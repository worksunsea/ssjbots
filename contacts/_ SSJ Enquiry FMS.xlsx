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up" sheetId="1" r:id="rId5"/>
    <sheet state="visible" name="Customer Enquiry Form" sheetId="2" r:id="rId6"/>
    <sheet state="visible" name="Sheet13" sheetId="3" r:id="rId7"/>
    <sheet state="visible" name="FMS" sheetId="4" r:id="rId8"/>
    <sheet state="visible" name="Dashboard" sheetId="5" r:id="rId9"/>
    <sheet state="visible" name="DB_Format" sheetId="6" r:id="rId10"/>
    <sheet state="visible" name="Sheet11" sheetId="7" r:id="rId11"/>
    <sheet state="visible" name="Steps Directory" sheetId="8" r:id="rId12"/>
    <sheet state="visible" name="Holidays" sheetId="9" r:id="rId13"/>
  </sheets>
  <definedNames>
    <definedName hidden="1" localSheetId="1" name="Z_5CBB6EB5_E4D6_472A_868E_A3FDF49DB9E3_.wvu.FilterData">'Customer Enquiry Form'!$A$1:$V$983</definedName>
    <definedName hidden="1" localSheetId="3" name="Z_5CBB6EB5_E4D6_472A_868E_A3FDF49DB9E3_.wvu.FilterData">FMS!$A$6:$BB$207</definedName>
    <definedName hidden="1" localSheetId="1" name="Z_9F718A2C_5689_4D0D_8BA2_15D895F082A8_.wvu.FilterData">'Customer Enquiry Form'!$A$1:$V$983</definedName>
  </definedNames>
  <calcPr/>
  <customWorkbookViews>
    <customWorkbookView activeSheetId="0" maximized="1" windowHeight="0" windowWidth="0" guid="{9F718A2C-5689-4D0D-8BA2-15D895F082A8}" name="Filter 2"/>
    <customWorkbookView activeSheetId="0" maximized="1" windowHeight="0" windowWidth="0" guid="{5CBB6EB5-E4D6-472A-868E-A3FDF49DB9E3}"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32">
      <text>
        <t xml:space="preserve">Responder updated this value.</t>
      </text>
    </comment>
    <comment authorId="0" ref="F233">
      <text>
        <t xml:space="preserve">Responder updated this value.</t>
      </text>
    </comment>
    <comment authorId="0" ref="I233">
      <text>
        <t xml:space="preserve">Responder updated this value.</t>
      </text>
    </comment>
    <comment authorId="0" ref="G234">
      <text>
        <t xml:space="preserve">Responder updated this value.</t>
      </text>
    </comment>
    <comment authorId="0" ref="I234">
      <text>
        <t xml:space="preserve">Responder updated this value.</t>
      </text>
    </comment>
    <comment authorId="0" ref="H235">
      <text>
        <t xml:space="preserve">Responder updated this value.</t>
      </text>
    </comment>
    <comment authorId="0" ref="I235">
      <text>
        <t xml:space="preserve">Responder updated this value.</t>
      </text>
    </comment>
    <comment authorId="0" ref="I236">
      <text>
        <t xml:space="preserve">Responder updated this value.</t>
      </text>
    </comment>
    <comment authorId="0" ref="H238">
      <text>
        <t xml:space="preserve">Responder updated this value.</t>
      </text>
    </comment>
    <comment authorId="0" ref="I238">
      <text>
        <t xml:space="preserve">Responder updated this value.</t>
      </text>
    </comment>
    <comment authorId="0" ref="M238">
      <text>
        <t xml:space="preserve">Responder updated this value.</t>
      </text>
    </comment>
    <comment authorId="0" ref="B239">
      <text>
        <t xml:space="preserve">Responder updated this value.</t>
      </text>
    </comment>
    <comment authorId="0" ref="I239">
      <text>
        <t xml:space="preserve">Responder updated this value.</t>
      </text>
    </comment>
    <comment authorId="0" ref="I240">
      <text>
        <t xml:space="preserve">Responder updated this value.</t>
      </text>
    </comment>
    <comment authorId="0" ref="I241">
      <text>
        <t xml:space="preserve">Responder updated this value.</t>
      </text>
    </comment>
    <comment authorId="0" ref="B307">
      <text>
        <t xml:space="preserve">Responder updated this value.</t>
      </text>
    </comment>
    <comment authorId="0" ref="C307">
      <text>
        <t xml:space="preserve">Responder updated this value.</t>
      </text>
    </comment>
    <comment authorId="0" ref="F307">
      <text>
        <t xml:space="preserve">Responder updated this value.</t>
      </text>
    </comment>
    <comment authorId="0" ref="M307">
      <text>
        <t xml:space="preserve">Responder updated this value.</t>
      </text>
    </comment>
    <comment authorId="0" ref="N312">
      <text>
        <t xml:space="preserve">Responder updated this value.</t>
      </text>
    </comment>
    <comment authorId="0" ref="O330">
      <text>
        <t xml:space="preserve">Responder updated this value.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=index(Form Responses 1!A2:F)</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=index(Form Responses 1!A2:F)</t>
      </text>
    </comment>
    <comment authorId="0" ref="G1">
      <text>
        <t xml:space="preserve">=index(Form Responses 1!A2:F)</t>
      </text>
    </comment>
  </commentList>
</comments>
</file>

<file path=xl/sharedStrings.xml><?xml version="1.0" encoding="utf-8"?>
<sst xmlns="http://schemas.openxmlformats.org/spreadsheetml/2006/main" count="10290" uniqueCount="2772">
  <si>
    <t>Timestamp</t>
  </si>
  <si>
    <t>Name</t>
  </si>
  <si>
    <t>Mobile Number</t>
  </si>
  <si>
    <t>Purchase Type</t>
  </si>
  <si>
    <t>Category</t>
  </si>
  <si>
    <t>Product</t>
  </si>
  <si>
    <t>Estimate Budget</t>
  </si>
  <si>
    <t>Specific Requirement</t>
  </si>
  <si>
    <t>Design Reference if any upload pic</t>
  </si>
  <si>
    <t xml:space="preserve">Attended by </t>
  </si>
  <si>
    <t>Follow up Needed by</t>
  </si>
  <si>
    <t>Where Did You Find US</t>
  </si>
  <si>
    <t>Requirement Needed by Date</t>
  </si>
  <si>
    <t>Priority Urgency</t>
  </si>
  <si>
    <t>Referred By (optional)</t>
  </si>
  <si>
    <t>Email Id</t>
  </si>
  <si>
    <t>url</t>
  </si>
  <si>
    <t>Kusha ji</t>
  </si>
  <si>
    <t>General</t>
  </si>
  <si>
    <t>Diamond Jewellery, Gold Jewellery</t>
  </si>
  <si>
    <t>Earring / Tops</t>
  </si>
  <si>
    <t xml:space="preserve">20k </t>
  </si>
  <si>
    <t xml:space="preserve">Round vaali with plain heart shaped gold hanging </t>
  </si>
  <si>
    <t>Saarika</t>
  </si>
  <si>
    <t>Old</t>
  </si>
  <si>
    <t>This Week</t>
  </si>
  <si>
    <t>https://docs.google.com/forms/d/e/1FAIpQLSeQ0wUAy9WJrwwZ_8x6kCxvJSihLYtbLF2nbMncVH08fybLWQ/viewform?edit2=2_ABaOnucOBtuzIBq648ZrMfcYHOkW9UiP3oPSq_Lj9KHly_tPcKrmgp2EdiB5cOtOKJ0hAaw</t>
  </si>
  <si>
    <t>Vinod</t>
  </si>
  <si>
    <t>Diamond Jewellery, Solitaire</t>
  </si>
  <si>
    <t>Chain, Nosepin</t>
  </si>
  <si>
    <t>Shivani</t>
  </si>
  <si>
    <t>Seema Mam</t>
  </si>
  <si>
    <t>https://docs.google.com/forms/d/e/1FAIpQLSeQ0wUAy9WJrwwZ_8x6kCxvJSihLYtbLF2nbMncVH08fybLWQ/viewform?edit2=2_ABaOnucjSholQ0zznOsx1FWO_yTZ6SDKtCeJJ5kjGajuBRYP2y8S8fehKqvKRlknV7fXnrY</t>
  </si>
  <si>
    <t>Jojo</t>
  </si>
  <si>
    <t>Diamond Jewellery</t>
  </si>
  <si>
    <t>Ladies Bracelet / Kada</t>
  </si>
  <si>
    <t>Cartier</t>
  </si>
  <si>
    <t>Saurav Sir</t>
  </si>
  <si>
    <t>This Month</t>
  </si>
  <si>
    <t>https://docs.google.com/forms/d/e/1FAIpQLSeQ0wUAy9WJrwwZ_8x6kCxvJSihLYtbLF2nbMncVH08fybLWQ/viewform?edit2=2_ABaOnudzstLQLbsbfevudiqxmMbvo4c8F070bC6Ec9-XWfWjuyfadq2gpm97VcnByzM_lWg</t>
  </si>
  <si>
    <t>Jaspreet ji</t>
  </si>
  <si>
    <t>Gemstone</t>
  </si>
  <si>
    <t>Misc</t>
  </si>
  <si>
    <t>Strings</t>
  </si>
  <si>
    <t>Later</t>
  </si>
  <si>
    <t>https://docs.google.com/forms/d/e/1FAIpQLSeQ0wUAy9WJrwwZ_8x6kCxvJSihLYtbLF2nbMncVH08fybLWQ/viewform?edit2=2_ABaOnuef_QZ5PJqCr0A29KrVkoIpdtcp6RFnaomNPQxqa9dhkZAJyO8lFtRmuMfh2Yru4fY</t>
  </si>
  <si>
    <t>Nayaa</t>
  </si>
  <si>
    <t>Solitaire</t>
  </si>
  <si>
    <t>https://docs.google.com/forms/d/e/1FAIpQLSeQ0wUAy9WJrwwZ_8x6kCxvJSihLYtbLF2nbMncVH08fybLWQ/viewform?edit2=2_ABaOnudv1eVSFQipyUBIKXWvcu6u4piRqVxPSAeLKoubF7n7aMVzCRm0IPuzhKWCHkLXvKA</t>
  </si>
  <si>
    <t>Kamal ji</t>
  </si>
  <si>
    <t>Gents Ring</t>
  </si>
  <si>
    <t>Sanjeev Sir</t>
  </si>
  <si>
    <t>3/15/0022</t>
  </si>
  <si>
    <t>https://docs.google.com/forms/d/e/1FAIpQLSeQ0wUAy9WJrwwZ_8x6kCxvJSihLYtbLF2nbMncVH08fybLWQ/viewform?edit2=2_ABaOnudmPtp-Yo7RJhF-TX7kjoSvgyWU41wdPmDThSvksNUM6S-QQGMiBZOiP6FluTV5ZtM</t>
  </si>
  <si>
    <t>Aditi ji</t>
  </si>
  <si>
    <t>Gold Jewellery</t>
  </si>
  <si>
    <t>Chain</t>
  </si>
  <si>
    <t>3/10/0022</t>
  </si>
  <si>
    <t>https://docs.google.com/forms/d/e/1FAIpQLSeQ0wUAy9WJrwwZ_8x6kCxvJSihLYtbLF2nbMncVH08fybLWQ/viewform?edit2=2_ABaOnudCq-EU8GSLgt4-aW5ke8lVNZrfPZ2MVjHS6gbu6xW3APTVvBbmTKhyuTVo2QBWzf4</t>
  </si>
  <si>
    <t>Vineeta ji AV</t>
  </si>
  <si>
    <t>Necklace Set</t>
  </si>
  <si>
    <t>3/30/0022</t>
  </si>
  <si>
    <t>https://docs.google.com/forms/d/e/1FAIpQLSeQ0wUAy9WJrwwZ_8x6kCxvJSihLYtbLF2nbMncVH08fybLWQ/viewform?edit2=2_ABaOnud8T0R4en4Ba9JioWznv4aRt7hUzMQd9p6Lw2O9OW9GThL9t6GXSQiRVroTw_32_XI</t>
  </si>
  <si>
    <t>Nidhi ji weblink</t>
  </si>
  <si>
    <t>Gold 24kt</t>
  </si>
  <si>
    <t>https://docs.google.com/forms/d/e/1FAIpQLSeQ0wUAy9WJrwwZ_8x6kCxvJSihLYtbLF2nbMncVH08fybLWQ/viewform?edit2=2_ABaOnufqNoSp79APZEidMKtRkuQ_OswUqDzptB_SiQZp02M3nUvbCPK3gCouTdmfqqy4S2g</t>
  </si>
  <si>
    <t>Pradeep Sachdeva ji</t>
  </si>
  <si>
    <t>Gents Bracelet / Kada</t>
  </si>
  <si>
    <t>https://docs.google.com/forms/d/e/1FAIpQLSeQ0wUAy9WJrwwZ_8x6kCxvJSihLYtbLF2nbMncVH08fybLWQ/viewform?edit2=2_ABaOnudO6Z8VUv-EFN6OXH8DD9GWjlu0VN93Iw7DGizr7gZGrUnvFNT3Lo8BFOY1y1sCJC8</t>
  </si>
  <si>
    <t>Shobha jo c o sheera</t>
  </si>
  <si>
    <t>Diamond Jewellery, Gemstone</t>
  </si>
  <si>
    <t>Pallavi</t>
  </si>
  <si>
    <t>Reference</t>
  </si>
  <si>
    <t>https://docs.google.com/forms/d/e/1FAIpQLSeQ0wUAy9WJrwwZ_8x6kCxvJSihLYtbLF2nbMncVH08fybLWQ/viewform?edit2=2_ABaOnufka6HO4xJFRWoKBT5oupkTDgJ0_tAP3liJJxf-1Q3aBJxx6CPMar2sL_sOu7sKMZ4</t>
  </si>
  <si>
    <t>Sareena ji</t>
  </si>
  <si>
    <t>Gifting</t>
  </si>
  <si>
    <t>Silver</t>
  </si>
  <si>
    <t>https://docs.google.com/forms/d/e/1FAIpQLSeQ0wUAy9WJrwwZ_8x6kCxvJSihLYtbLF2nbMncVH08fybLWQ/viewform?edit2=2_ABaOnuc9erjsOwfkNDVTn8bOLGNIgcEAXBqlUi8-OIOD2_WGMpX_rWK3Bl6iKh_Hp6OSpNQ</t>
  </si>
  <si>
    <t>Mridu ji</t>
  </si>
  <si>
    <t>Bangle</t>
  </si>
  <si>
    <t>.50 pointer bangles GHVS</t>
  </si>
  <si>
    <t>https://docs.google.com/forms/d/e/1FAIpQLSeQ0wUAy9WJrwwZ_8x6kCxvJSihLYtbLF2nbMncVH08fybLWQ/viewform?edit2=2_ABaOnue8XevbleIOLV6Zvd2G37FlNxMZJOVw5Q8ZveOXrl-aDLrqeulbaZs0ZmX_O5OIZGA</t>
  </si>
  <si>
    <t>Sonali ji</t>
  </si>
  <si>
    <t>https://docs.google.com/forms/d/e/1FAIpQLSeQ0wUAy9WJrwwZ_8x6kCxvJSihLYtbLF2nbMncVH08fybLWQ/viewform?edit2=2_ABaOnufU10HXks4gtKyjw2PBrrIZ7bPmtUydfCqliHEmErlsazHoHwp9wwSAXEjdDzzgKt0</t>
  </si>
  <si>
    <t>Anuj ji</t>
  </si>
  <si>
    <t>Nosepin</t>
  </si>
  <si>
    <t>https://docs.google.com/forms/d/e/1FAIpQLSeQ0wUAy9WJrwwZ_8x6kCxvJSihLYtbLF2nbMncVH08fybLWQ/viewform?edit2=2_ABaOnufFH8SnKCuhonbjl2dCGvrCncAaPrAMZz7Cwjz2fpfcF0S4PLFCFSMPjINr9CpOZEA</t>
  </si>
  <si>
    <t>Sangeeta ji</t>
  </si>
  <si>
    <t>https://docs.google.com/forms/d/e/1FAIpQLSeQ0wUAy9WJrwwZ_8x6kCxvJSihLYtbLF2nbMncVH08fybLWQ/viewform?edit2=2_ABaOnudtBKuQlAKSKmcGaH3jWqaYVTx86soVcJ-EDjo7hh0oWjmZe8C_usSNef6DiKAxzU4</t>
  </si>
  <si>
    <t>Sunny Anchal</t>
  </si>
  <si>
    <t>1500+</t>
  </si>
  <si>
    <t>4-5ct round range 25-30</t>
  </si>
  <si>
    <t>https://docs.google.com/forms/d/e/1FAIpQLSeQ0wUAy9WJrwwZ_8x6kCxvJSihLYtbLF2nbMncVH08fybLWQ/viewform?edit2=2_ABaOnuc8H0F6VxAESAEYvHMp1DIAZ4L3BkNgLHEemRz_GT__2UHav6-PTcU8LU7zETkhmDE</t>
  </si>
  <si>
    <t>Arun gupta ji</t>
  </si>
  <si>
    <t>Gold Jewellery, Solitaire</t>
  </si>
  <si>
    <t>Earring / Tops, Necklace Set</t>
  </si>
  <si>
    <t>https://docs.google.com/forms/d/e/1FAIpQLSeQ0wUAy9WJrwwZ_8x6kCxvJSihLYtbLF2nbMncVH08fybLWQ/viewform?edit2=2_ABaOnuc82M0MnGYwWslEVOfcdsN9fr5i2iHOy1Vg5BSzzzZNOBVM6mo5NWyovhjnf581ZaM</t>
  </si>
  <si>
    <t>Vijay ji Amritsar</t>
  </si>
  <si>
    <t>Necklace Set, Solitaire</t>
  </si>
  <si>
    <t>https://docs.google.com/forms/d/e/1FAIpQLSeQ0wUAy9WJrwwZ_8x6kCxvJSihLYtbLF2nbMncVH08fybLWQ/viewform?edit2=2_ABaOnudShLJWg3dSuNxIAUAfVQg5mpuRyvp9QszOlmROUYtVrt0Z7XeejNh423tF1nY3m00</t>
  </si>
  <si>
    <t>Abhinav gupta</t>
  </si>
  <si>
    <t>Ladies Ring</t>
  </si>
  <si>
    <t>Fancy Big Ring</t>
  </si>
  <si>
    <t>3/13/0022</t>
  </si>
  <si>
    <t>https://docs.google.com/forms/d/e/1FAIpQLSeQ0wUAy9WJrwwZ_8x6kCxvJSihLYtbLF2nbMncVH08fybLWQ/viewform?edit2=2_ABaOnueCDtj4VPxWl6VFbbL8jupX5CTCAq3hp2blVV3i0lZqeXRld_dACJd0YwZ0O_XHgf4</t>
  </si>
  <si>
    <t>Satish ji</t>
  </si>
  <si>
    <t>Solitaire Ring</t>
  </si>
  <si>
    <t xml:space="preserve">3-4 ct solitaire </t>
  </si>
  <si>
    <t>https://docs.google.com/forms/d/e/1FAIpQLSeQ0wUAy9WJrwwZ_8x6kCxvJSihLYtbLF2nbMncVH08fybLWQ/viewform?edit2=2_ABaOnudMErVkFq2TMTblXUutgWwRnbW51W7MmcFAuNsGDJggHzUzeZ9Q5ozmoHSxWQPghU0</t>
  </si>
  <si>
    <t>Rammo didi</t>
  </si>
  <si>
    <t>https://docs.google.com/forms/d/e/1FAIpQLSeQ0wUAy9WJrwwZ_8x6kCxvJSihLYtbLF2nbMncVH08fybLWQ/viewform?edit2=2_ABaOnuc7VksDuY6bH1GiOtJuafk91fHnTLZbNeDer1y5iZE0qMwvKGgQ4FszCpiNUnpVoHU</t>
  </si>
  <si>
    <t>Ankur ji CL</t>
  </si>
  <si>
    <t>Kitty</t>
  </si>
  <si>
    <t>3 gram coin</t>
  </si>
  <si>
    <t>https://docs.google.com/forms/d/e/1FAIpQLSeQ0wUAy9WJrwwZ_8x6kCxvJSihLYtbLF2nbMncVH08fybLWQ/viewform?edit2=2_ABaOnueWqpAzFDX08CmCtPz3UajMCKOmKXkhTjvwT3fcj2mSr9Y7m4qgbEbKX8BAbngJjP0</t>
  </si>
  <si>
    <t>Khurana ji</t>
  </si>
  <si>
    <t>https://docs.google.com/forms/d/e/1FAIpQLSeQ0wUAy9WJrwwZ_8x6kCxvJSihLYtbLF2nbMncVH08fybLWQ/viewform?edit2=2_ABaOnudqXjPiMidtiEFJ2dxQmsyOqCe9dLKDPDG-8gAPGNrtdRDmHbhY2kuwMmAfQma295Y</t>
  </si>
  <si>
    <t>Ritin ji</t>
  </si>
  <si>
    <t>1.00 ct</t>
  </si>
  <si>
    <t>https://docs.google.com/forms/d/e/1FAIpQLSeQ0wUAy9WJrwwZ_8x6kCxvJSihLYtbLF2nbMncVH08fybLWQ/viewform?edit2=2_ABaOnudEjLWPj55sqw4qj9MSo0oSnsDAfSbr1FcOeLcek3NuRs97QRYY6fbUBT7Jx-e-MGk</t>
  </si>
  <si>
    <t>Gaurav ji</t>
  </si>
  <si>
    <t>https://docs.google.com/forms/d/e/1FAIpQLSeQ0wUAy9WJrwwZ_8x6kCxvJSihLYtbLF2nbMncVH08fybLWQ/viewform?edit2=2_ABaOnucoHthyvcR-P3HYtzl92jA-jLbUZQqHK-ItmgYLgblqCxKraEibhLfhj-a-YylMIyA</t>
  </si>
  <si>
    <t>Sonal ji</t>
  </si>
  <si>
    <t>Polki</t>
  </si>
  <si>
    <t>https://docs.google.com/forms/d/e/1FAIpQLSeQ0wUAy9WJrwwZ_8x6kCxvJSihLYtbLF2nbMncVH08fybLWQ/viewform?edit2=2_ABaOnudr1wd2Oy_UwcNNtmZR39C_gvOynHV247G7KDhHidbM4KpshSiXAvZ5YV4AH7tRKD0</t>
  </si>
  <si>
    <t>Pradeep sachdeva ji</t>
  </si>
  <si>
    <t>https://docs.google.com/forms/d/e/1FAIpQLSeQ0wUAy9WJrwwZ_8x6kCxvJSihLYtbLF2nbMncVH08fybLWQ/viewform?edit2=2_ABaOnucxMsYOIH4YXb0eCm2m7AsZ9eKd41wIuk-Q2xGOzjR5TxCBvtsErQgr1cRJGe1k2yQ</t>
  </si>
  <si>
    <t>Lalit Mehra</t>
  </si>
  <si>
    <t>3 ratti</t>
  </si>
  <si>
    <t>https://docs.google.com/forms/d/e/1FAIpQLSeQ0wUAy9WJrwwZ_8x6kCxvJSihLYtbLF2nbMncVH08fybLWQ/viewform?edit2=2_ABaOnucnIl29Yt-KjOVJx1Zm8F4FQelnGgAaQmiA7aFQwOQXJoXyQKYSi614TFclx-3DQNU</t>
  </si>
  <si>
    <t xml:space="preserve">Shashi ji jaipur </t>
  </si>
  <si>
    <t>Chain, Necklace Set, Ladies Ring, Solitaire</t>
  </si>
  <si>
    <t>750-1000</t>
  </si>
  <si>
    <t>https://docs.google.com/forms/d/e/1FAIpQLSeQ0wUAy9WJrwwZ_8x6kCxvJSihLYtbLF2nbMncVH08fybLWQ/viewform?edit2=2_ABaOnueNYsSlY2wMog1-GG65HFhU5AMIwkg5Hp4TC-v9PmSt1zQlOVPqOSNXp2Mf_sMQQvs</t>
  </si>
  <si>
    <t>Puneet jain</t>
  </si>
  <si>
    <t>4/30/0022</t>
  </si>
  <si>
    <t>https://docs.google.com/forms/d/e/1FAIpQLSeQ0wUAy9WJrwwZ_8x6kCxvJSihLYtbLF2nbMncVH08fybLWQ/viewform?edit2=2_ABaOnucI-EYKA4fkV_WpDA26gRHrI7jMBrinenkiDutZRc7MMU86r6-PynxqsR-IgKmKJrM</t>
  </si>
  <si>
    <t>Chattarpati ji</t>
  </si>
  <si>
    <t>5/5/0022</t>
  </si>
  <si>
    <t>https://docs.google.com/forms/d/e/1FAIpQLSeQ0wUAy9WJrwwZ_8x6kCxvJSihLYtbLF2nbMncVH08fybLWQ/viewform?edit2=2_ABaOnufdiLKHlsa4JX-pIMDN1cUruT4CFzoXu6IcRkTEAwgErnCkdJVWHCpQVglgdwnWdqk</t>
  </si>
  <si>
    <t>Shashikant ji</t>
  </si>
  <si>
    <t>Bangle, Solitaire</t>
  </si>
  <si>
    <t>FG VVS 17 pointer bangles And 1.60 + 1.60  each pc</t>
  </si>
  <si>
    <t>5/10/0022</t>
  </si>
  <si>
    <t>https://docs.google.com/forms/d/e/1FAIpQLSeQ0wUAy9WJrwwZ_8x6kCxvJSihLYtbLF2nbMncVH08fybLWQ/viewform?edit2=2_ABaOnueEqk26LvFXb6hmACEYOGriy4YIWhJ3FO5zKzaWHv_izLdISNo-vWo9vi198828nbY</t>
  </si>
  <si>
    <t>Suchita ji</t>
  </si>
  <si>
    <t>30-50</t>
  </si>
  <si>
    <t>https://docs.google.com/forms/d/e/1FAIpQLSeQ0wUAy9WJrwwZ_8x6kCxvJSihLYtbLF2nbMncVH08fybLWQ/viewform?edit2=2_ABaOnuesfEGKeT2XLhNiIoCYgDbDHzygpNLvIKW1W8OEO-vpRD7L5gNUw7GuhDUiLSLYWUU</t>
  </si>
  <si>
    <t xml:space="preserve">Faridabad </t>
  </si>
  <si>
    <t xml:space="preserve">10 ct pair and 7. 00 ct pc and 1.50 ct bangle </t>
  </si>
  <si>
    <t>https://docs.google.com/forms/d/e/1FAIpQLSeQ0wUAy9WJrwwZ_8x6kCxvJSihLYtbLF2nbMncVH08fybLWQ/viewform?edit2=2_ABaOnudDN-904Ec89OvdxY3kSI87iEcQB98sK4nGQ7MNv6WyVpxl2QNhilDeWHRG8hbwcHw</t>
  </si>
  <si>
    <t>Charu Ji</t>
  </si>
  <si>
    <t>5/15/0022</t>
  </si>
  <si>
    <t>https://docs.google.com/forms/d/e/1FAIpQLSeQ0wUAy9WJrwwZ_8x6kCxvJSihLYtbLF2nbMncVH08fybLWQ/viewform?edit2=2_ABaOnucrVgOYsiSTSx3QKmTsfSlXb-fIGGM7gWltOnyoYZ332XD_ozejrBIyFnYpU5AsQx8</t>
  </si>
  <si>
    <t>Sabina ji</t>
  </si>
  <si>
    <t>Kundan bangle</t>
  </si>
  <si>
    <t>https://docs.google.com/forms/d/e/1FAIpQLSeQ0wUAy9WJrwwZ_8x6kCxvJSihLYtbLF2nbMncVH08fybLWQ/viewform?edit2=2_ABaOnudkRctbvTuUNJzXs0QGFXMQiWq1TLuloQig-dzlKWx73qcvb_R37rW4HH4jHHdeOYk</t>
  </si>
  <si>
    <t>https://docs.google.com/forms/d/e/1FAIpQLSeQ0wUAy9WJrwwZ_8x6kCxvJSihLYtbLF2nbMncVH08fybLWQ/viewform?edit2=2_ABaOnufp7FhY8NkWnbkd_YNcp4jE4izzEWlRMgkST4rUtdsYEQTJU1-rL2KQ9DOLct82E9k</t>
  </si>
  <si>
    <t>Anju Malik</t>
  </si>
  <si>
    <t>Pendant Set</t>
  </si>
  <si>
    <t>30-35 gms</t>
  </si>
  <si>
    <t>Radhu Mam</t>
  </si>
  <si>
    <t>https://docs.google.com/forms/d/e/1FAIpQLSeQ0wUAy9WJrwwZ_8x6kCxvJSihLYtbLF2nbMncVH08fybLWQ/viewform?edit2=2_ABaOnucdwO_2WInpvPXQNqDyDTU2UV2av_Pz3BJlb-vXog78ecyx-dV1zmvOTmNSCcNyyDE</t>
  </si>
  <si>
    <t>Paras ji</t>
  </si>
  <si>
    <t>5/30/0022</t>
  </si>
  <si>
    <t>https://docs.google.com/forms/d/e/1FAIpQLSeQ0wUAy9WJrwwZ_8x6kCxvJSihLYtbLF2nbMncVH08fybLWQ/viewform?edit2=2_ABaOnucztBTwIn6dDTo6tfotFf36JavZmXcnamrLqzHsOjyHsvf831Gq2vVpi4obZTt_a7s</t>
  </si>
  <si>
    <t>2500+</t>
  </si>
  <si>
    <t>https://docs.google.com/forms/d/e/1FAIpQLSeQ0wUAy9WJrwwZ_8x6kCxvJSihLYtbLF2nbMncVH08fybLWQ/viewform?edit2=2_ABaOnuenTjVpOC82zh7Z-_pZHMug-dYdJCDqUmw1bZcepUuHmw_tYVrsL7NlfpuEdwO06jc</t>
  </si>
  <si>
    <t>Mukesh ji</t>
  </si>
  <si>
    <t>https://docs.google.com/forms/d/e/1FAIpQLSeQ0wUAy9WJrwwZ_8x6kCxvJSihLYtbLF2nbMncVH08fybLWQ/viewform?edit2=2_ABaOnufwQxJKLONjUaOfkcNp4xda32ZjyPDTqruNLebfZ9sQcCl3oddVCDdt75pjSWIUKrE</t>
  </si>
  <si>
    <t>Sandeep ji</t>
  </si>
  <si>
    <t>12-15 range</t>
  </si>
  <si>
    <t>6/15/0022</t>
  </si>
  <si>
    <t>https://docs.google.com/forms/d/e/1FAIpQLSeQ0wUAy9WJrwwZ_8x6kCxvJSihLYtbLF2nbMncVH08fybLWQ/viewform?edit2=2_ABaOnuekBr3x2DnkMbPkUH7oPv94IaWPbe0p1pNjayybS3fnRRL7dA3TrwWKoqOjnFZQozM</t>
  </si>
  <si>
    <t>Sumit ji</t>
  </si>
  <si>
    <t>Gold Jewellery, Polki</t>
  </si>
  <si>
    <t>https://docs.google.com/forms/d/e/1FAIpQLSeQ0wUAy9WJrwwZ_8x6kCxvJSihLYtbLF2nbMncVH08fybLWQ/viewform?edit2=2_ABaOnuc5xirfqPFWvrU29ljPzyUmZua7FO715SULGwAZ2Wou5fgKnpP0NEZeUkujezlvAqM</t>
  </si>
  <si>
    <t xml:space="preserve">Priyanka Bansal </t>
  </si>
  <si>
    <t>https://docs.google.com/forms/d/e/1FAIpQLSeQ0wUAy9WJrwwZ_8x6kCxvJSihLYtbLF2nbMncVH08fybLWQ/viewform?edit2=2_ABaOnud4N1vDaAU_nejdiYG5HQrTPUcvBki3J_Kqi2UNCTbAKzZFWaFpHFupcOYlzSZcBAI</t>
  </si>
  <si>
    <t>Manisha hi Amritsar</t>
  </si>
  <si>
    <t>6/20/0022</t>
  </si>
  <si>
    <t>https://docs.google.com/forms/d/e/1FAIpQLSeQ0wUAy9WJrwwZ_8x6kCxvJSihLYtbLF2nbMncVH08fybLWQ/viewform?edit2=2_ABaOnue2HXNXeRg2tvKeKs8UkfaJWR7TmEOCf3qFsLDUc6aJudYSfVSI_Rfu3OAvujIBuRY</t>
  </si>
  <si>
    <t>Shiv ji</t>
  </si>
  <si>
    <t>Solitaire, Gemstone</t>
  </si>
  <si>
    <t>New Walkin</t>
  </si>
  <si>
    <t>6/8/0022</t>
  </si>
  <si>
    <t>https://docs.google.com/forms/d/e/1FAIpQLSeQ0wUAy9WJrwwZ_8x6kCxvJSihLYtbLF2nbMncVH08fybLWQ/viewform?edit2=2_ABaOnueHAq57_Vr8j_nsxWqPxXZgsqW0E_nHdcxrExw5EFDR5w8R-hR2wmuvOEuLE_LeN40</t>
  </si>
  <si>
    <t>Arvind ji DIL</t>
  </si>
  <si>
    <t>Pendant</t>
  </si>
  <si>
    <t>50-100</t>
  </si>
  <si>
    <t>8/6/0022</t>
  </si>
  <si>
    <t>https://docs.google.com/forms/d/e/1FAIpQLSeQ0wUAy9WJrwwZ_8x6kCxvJSihLYtbLF2nbMncVH08fybLWQ/viewform?edit2=2_ABaOnuewRcH5_Sq0vFDU1LrP-F24hqTqjiE_9PSKfy9Oug_mGlDaU-RIcwUV0VU-ohCeKg8</t>
  </si>
  <si>
    <t>Vimmi ji</t>
  </si>
  <si>
    <t>https://docs.google.com/forms/d/e/1FAIpQLSeQ0wUAy9WJrwwZ_8x6kCxvJSihLYtbLF2nbMncVH08fybLWQ/viewform?edit2=2_ABaOnueGGLFx9V4Gx0DpENMt8Th21toqJ1YovxKQ18-OOGYYrKKxVVw82EiP5nmkg37fVUU</t>
  </si>
  <si>
    <t>Ladies Ring, Misc</t>
  </si>
  <si>
    <t>Watch</t>
  </si>
  <si>
    <t>https://docs.google.com/forms/d/e/1FAIpQLSeQ0wUAy9WJrwwZ_8x6kCxvJSihLYtbLF2nbMncVH08fybLWQ/viewform?edit2=2_ABaOnucJcmfqLAilAzXPphxXfO1hCtJb9WrmOscpOUMV7MQ4Ir9sOUrrDu8uKBKdRZDtF28</t>
  </si>
  <si>
    <t>Kavita Nagpal</t>
  </si>
  <si>
    <t>15-30</t>
  </si>
  <si>
    <t>Kids</t>
  </si>
  <si>
    <t>https://docs.google.com/forms/d/e/1FAIpQLSeQ0wUAy9WJrwwZ_8x6kCxvJSihLYtbLF2nbMncVH08fybLWQ/viewform?edit2=2_ABaOnudwj9F9eTBuvoCaans65qHrOuXW7_b09YoMtm9WnUQjPRrYXKwply_aNo7ZsNbaPdc</t>
  </si>
  <si>
    <t>sangeeta ji</t>
  </si>
  <si>
    <t>ganesha in silver</t>
  </si>
  <si>
    <t>https://docs.google.com/forms/d/e/1FAIpQLSeQ0wUAy9WJrwwZ_8x6kCxvJSihLYtbLF2nbMncVH08fybLWQ/viewform?edit2=2_ABaOnueXXQC-EIep8m2CTGpiJsibQDMYoVhHd73Ftwe3CYBC6o_sjone9xdZm9-3IPF_GX8</t>
  </si>
  <si>
    <t>vir jewellers</t>
  </si>
  <si>
    <t>6 pc sets 55-75 gms</t>
  </si>
  <si>
    <t>https://docs.google.com/forms/d/e/1FAIpQLSeQ0wUAy9WJrwwZ_8x6kCxvJSihLYtbLF2nbMncVH08fybLWQ/viewform?edit2=2_ABaOnueCDvbuQSZuWXxwL05GyyJmu0gB-5G9IAhAXJnmcH3YNDT6IusNm6tpVvRq5B-DO-0</t>
  </si>
  <si>
    <t xml:space="preserve">Test </t>
  </si>
  <si>
    <t>10-15</t>
  </si>
  <si>
    <t>Test</t>
  </si>
  <si>
    <t>3 Months</t>
  </si>
  <si>
    <t>https://docs.google.com/forms/d/e/1FAIpQLSeQ0wUAy9WJrwwZ_8x6kCxvJSihLYtbLF2nbMncVH08fybLWQ/viewform?edit2=2_ABaOnueJH3gp5NrYkKl4qEpBn3jiw4qrafEORyapbXP1pUIDz7z33Z8Cg524A7TVVcEwwEA</t>
  </si>
  <si>
    <t>Rubina ji</t>
  </si>
  <si>
    <t>6/16/0022</t>
  </si>
  <si>
    <t>https://docs.google.com/forms/d/e/1FAIpQLSeQ0wUAy9WJrwwZ_8x6kCxvJSihLYtbLF2nbMncVH08fybLWQ/viewform?edit2=2_ABaOnudixqiDMKbIIxSMNOx02of6mQQqJc3LzLxBayhE8sVWGrxllOgtgzW9oAwnzMhg6DA</t>
  </si>
  <si>
    <t>https://docs.google.com/forms/d/e/1FAIpQLSeQ0wUAy9WJrwwZ_8x6kCxvJSihLYtbLF2nbMncVH08fybLWQ/viewform?edit2=2_ABaOnufppoDW79Y2Ztnjio6gk7O-unhOkYhBTp9IJYBTVF3S1u0oa2W3XvS1ZOm32KQtngs</t>
  </si>
  <si>
    <t>Deepak ji BNI</t>
  </si>
  <si>
    <t>South Sea pearl Mala</t>
  </si>
  <si>
    <t>https://docs.google.com/forms/d/e/1FAIpQLSeQ0wUAy9WJrwwZ_8x6kCxvJSihLYtbLF2nbMncVH08fybLWQ/viewform?edit2=2_ABaOnucwdv8sDFeCZfo1jIfLsUMO3m32Thufgo7c66CnCuLhoEL1eYbUGCLo7Pqethlr5VQ</t>
  </si>
  <si>
    <t>Tanvi ji</t>
  </si>
  <si>
    <t xml:space="preserve">Pink quarts </t>
  </si>
  <si>
    <t>https://docs.google.com/forms/d/e/1FAIpQLSeQ0wUAy9WJrwwZ_8x6kCxvJSihLYtbLF2nbMncVH08fybLWQ/viewform?edit2=2_ABaOnuev3crQ1E6ptoqBEFO-Xfy1myMz00oXtL0pjdFokVqaBde93XpfPNeWNly6A1nR1Eg</t>
  </si>
  <si>
    <t>Jatin Nagpal</t>
  </si>
  <si>
    <t>6/14/0022</t>
  </si>
  <si>
    <t>https://docs.google.com/forms/d/e/1FAIpQLSeQ0wUAy9WJrwwZ_8x6kCxvJSihLYtbLF2nbMncVH08fybLWQ/viewform?edit2=2_ABaOnudYFoPJiInv5VM3YTEbychqrusVSLpYAPh7zjXmjxvpTLAxkwoB7Tv9_nF7cmCG8zU</t>
  </si>
  <si>
    <t>Ashish ji</t>
  </si>
  <si>
    <t>2.00 ct /200-250 ct P ct /2.50-3.00 ct HVS</t>
  </si>
  <si>
    <t>https://docs.google.com/forms/d/e/1FAIpQLSeQ0wUAy9WJrwwZ_8x6kCxvJSihLYtbLF2nbMncVH08fybLWQ/viewform?edit2=2_ABaOnufBy56bBzP1lEsgrQo3Lrwqriy11TntP8c8l3fqJTcC-ZKfvEVCtTlBEbjGEivnN28</t>
  </si>
  <si>
    <t>Sunaina ji</t>
  </si>
  <si>
    <t>6/21/0022</t>
  </si>
  <si>
    <t>https://docs.google.com/forms/d/e/1FAIpQLSeQ0wUAy9WJrwwZ_8x6kCxvJSihLYtbLF2nbMncVH08fybLWQ/viewform?edit2=2_ABaOnuehPa8wZR4ifFfsalobqi5pRl7-iMFixGGrAtePUIhK7EDtDM_hwXIXlc8VG5MLVAw</t>
  </si>
  <si>
    <t>deepak ji</t>
  </si>
  <si>
    <t>https://docs.google.com/forms/d/e/1FAIpQLSeQ0wUAy9WJrwwZ_8x6kCxvJSihLYtbLF2nbMncVH08fybLWQ/viewform?edit2=2_ABaOnudr31xJtSPGrx3pcTCN2ESz50fp6y7IUcd3OmTgRCcJkVfDK16Hmatr4xYCjdIm9tM</t>
  </si>
  <si>
    <t>yogesh ji</t>
  </si>
  <si>
    <t>https://docs.google.com/forms/d/e/1FAIpQLSeQ0wUAy9WJrwwZ_8x6kCxvJSihLYtbLF2nbMncVH08fybLWQ/viewform?edit2=2_ABaOnucNVr43RZWnWkfLpp8oFMW7q8R6iqPpBxhNVFY6LC3_QiPRGekyDlEEEK_QJM3AT5Q</t>
  </si>
  <si>
    <t>Arvind ji</t>
  </si>
  <si>
    <t>7/1/0022</t>
  </si>
  <si>
    <t>https://docs.google.com/forms/d/e/1FAIpQLSeQ0wUAy9WJrwwZ_8x6kCxvJSihLYtbLF2nbMncVH08fybLWQ/viewform?edit2=2_ABaOnucIVteNQbjd6_SeiGXtAjV5Hiq_o9Q2VqAitcOnwktg0isvOkOp_giUvi0N5zorZlw</t>
  </si>
  <si>
    <t>Bina rawal ji</t>
  </si>
  <si>
    <t>https://docs.google.com/forms/d/e/1FAIpQLSeQ0wUAy9WJrwwZ_8x6kCxvJSihLYtbLF2nbMncVH08fybLWQ/viewform?edit2=2_ABaOnuf4UNJvSsKaoekH2uosC8ek08WinWlYScQ21gsow7z6ettrdH0V8J29R6XQkp-YF68</t>
  </si>
  <si>
    <t>Chawla hi DMN</t>
  </si>
  <si>
    <t>Single pc 30 gm</t>
  </si>
  <si>
    <t>7/30/0022</t>
  </si>
  <si>
    <t>https://docs.google.com/forms/d/e/1FAIpQLSeQ0wUAy9WJrwwZ_8x6kCxvJSihLYtbLF2nbMncVH08fybLWQ/viewform?edit2=2_ABaOnuf67xZ1vi03t9dC9odu4-3jrUM8mdzNHrBiEIUtYwRWc0EhIu1m1szBMsYslAUev8o</t>
  </si>
  <si>
    <t>Ritu Ji K-17</t>
  </si>
  <si>
    <t>400-500 range</t>
  </si>
  <si>
    <t>https://docs.google.com/forms/d/e/1FAIpQLSeQ0wUAy9WJrwwZ_8x6kCxvJSihLYtbLF2nbMncVH08fybLWQ/viewform?edit2=2_ABaOnudRlGtqLl4Y0n0Ak_-kpOvgL76wQdUbz8xqT_-iuT46Q-QfmTkB3C9EIYO2knL-qqo</t>
  </si>
  <si>
    <t>Sara</t>
  </si>
  <si>
    <t xml:space="preserve">Waaris  Sara Siddharth </t>
  </si>
  <si>
    <t>https://docs.google.com/forms/d/e/1FAIpQLSeQ0wUAy9WJrwwZ_8x6kCxvJSihLYtbLF2nbMncVH08fybLWQ/viewform?edit2=2_ABaOnuem1uJIuYCggWgMtfSbXWS7PMp0wZDtubPdzeXdVQAF_crqzZaTdrm1Jv00b3hHFBo</t>
  </si>
  <si>
    <t>5.00 ct HIVS</t>
  </si>
  <si>
    <t>7/25/0022</t>
  </si>
  <si>
    <t>https://docs.google.com/forms/d/e/1FAIpQLSeQ0wUAy9WJrwwZ_8x6kCxvJSihLYtbLF2nbMncVH08fybLWQ/viewform?edit2=2_ABaOnufqCmmg8tsnGLCcYKDdB8ugolwhWd3wacK0lW0NMVEZKqmgqmDhrg3H2nhiVn-8PkM</t>
  </si>
  <si>
    <t xml:space="preserve">Anita Ji Toronto </t>
  </si>
  <si>
    <t>7/20/0022</t>
  </si>
  <si>
    <t>https://docs.google.com/forms/d/e/1FAIpQLSeQ0wUAy9WJrwwZ_8x6kCxvJSihLYtbLF2nbMncVH08fybLWQ/viewform?edit2=2_ABaOnud_TvJb5VKGIL8XOr26dxI9M63ZCTna0EN0V4GyRIs6sCQ-ae9dmzTBZqwQZ2Y2mHk</t>
  </si>
  <si>
    <t>Sardar ji</t>
  </si>
  <si>
    <t xml:space="preserve">Single line .15 pointer </t>
  </si>
  <si>
    <t>https://docs.google.com/forms/d/e/1FAIpQLSeQ0wUAy9WJrwwZ_8x6kCxvJSihLYtbLF2nbMncVH08fybLWQ/viewform?edit2=2_ABaOnucRf4JPuU4mjP3zE9gpZPRNmC0wVUU2frxrwgHdt68xcOOzBJMs8npQeWE9A7vX_pU</t>
  </si>
  <si>
    <t>Arvind hi DIL</t>
  </si>
  <si>
    <t>https://docs.google.com/forms/d/e/1FAIpQLSeQ0wUAy9WJrwwZ_8x6kCxvJSihLYtbLF2nbMncVH08fybLWQ/viewform?edit2=2_ABaOnuc6Njlfl-h5tpmgSa-o6UeWLdDPkqu8U-sJfb3dJIP7GuGRALnHfdUg5MNHhr9_sXo</t>
  </si>
  <si>
    <t>RTY Gaurav ji</t>
  </si>
  <si>
    <t>7/12/0022</t>
  </si>
  <si>
    <t>https://docs.google.com/forms/d/e/1FAIpQLSeQ0wUAy9WJrwwZ_8x6kCxvJSihLYtbLF2nbMncVH08fybLWQ/viewform?edit2=2_ABaOnueY-ZPHdq_39gaSxWTabv39DbvcT5Q2bNMTGGnpKmX0yZj-lgpWdC6Yy3eQy0SnYhE</t>
  </si>
  <si>
    <t>Snowee</t>
  </si>
  <si>
    <t xml:space="preserve">2-2.25 ct </t>
  </si>
  <si>
    <t>https://docs.google.com/forms/d/e/1FAIpQLSeQ0wUAy9WJrwwZ_8x6kCxvJSihLYtbLF2nbMncVH08fybLWQ/viewform?edit2=2_ABaOnuex7uxCm4emqiSmjAHbOqnNgzztr7qh8H9V2wrSTC84wHokPQnzIXh4X-pLyIwuZFA</t>
  </si>
  <si>
    <t>Mridul ji</t>
  </si>
  <si>
    <t>100-250</t>
  </si>
  <si>
    <t>Gents chain 28 gm length 28 inch</t>
  </si>
  <si>
    <t>7/15/0022</t>
  </si>
  <si>
    <t>https://docs.google.com/forms/d/e/1FAIpQLSeQ0wUAy9WJrwwZ_8x6kCxvJSihLYtbLF2nbMncVH08fybLWQ/viewform?edit2=2_ABaOnudl4xnFgQfEn-Y3HKIH7D99D8u2anZsuXnUn0JrEFWTml6Mkt6Nh7H0gvOqPTmQvAQ</t>
  </si>
  <si>
    <t>Saloni ji</t>
  </si>
  <si>
    <t xml:space="preserve">Cartier mail design </t>
  </si>
  <si>
    <t>7/16/0022</t>
  </si>
  <si>
    <t>https://docs.google.com/forms/d/e/1FAIpQLSeQ0wUAy9WJrwwZ_8x6kCxvJSihLYtbLF2nbMncVH08fybLWQ/viewform?edit2=2_ABaOnucsNSS1Ktv01vO5qm7x9iLN_jz8ycl52x2yU-vjT9F26lU5Jb-OLs7YSp0_wenI-xs</t>
  </si>
  <si>
    <t>USA</t>
  </si>
  <si>
    <t>1.5 to 2 ct HVSSI</t>
  </si>
  <si>
    <t>https://docs.google.com/forms/d/e/1FAIpQLSeQ0wUAy9WJrwwZ_8x6kCxvJSihLYtbLF2nbMncVH08fybLWQ/viewform?edit2=2_ABaOnucuDDlzFM7duzQUw5JO-u0jWCg5ku2n8gftuX8b_7mXpq6S7kEcd9Mc1v3pst68XSE</t>
  </si>
  <si>
    <t>Jyoti bajaj ji</t>
  </si>
  <si>
    <t>Ginni 4/8 gm</t>
  </si>
  <si>
    <t>7/21/0022</t>
  </si>
  <si>
    <t>https://docs.google.com/forms/d/e/1FAIpQLSeQ0wUAy9WJrwwZ_8x6kCxvJSihLYtbLF2nbMncVH08fybLWQ/viewform?edit2=2_ABaOnufY_ZiBqGsfqx9TU-TSRT9WhMyBOVxWsfFmpTJbFzA6JJuhAgo4P_QNtmfpavutR8M</t>
  </si>
  <si>
    <t>Vishnu ji</t>
  </si>
  <si>
    <t>7/22/0022</t>
  </si>
  <si>
    <t>https://docs.google.com/forms/d/e/1FAIpQLSeQ0wUAy9WJrwwZ_8x6kCxvJSihLYtbLF2nbMncVH08fybLWQ/viewform?edit2=2_ABaOnucdZ3896fdERO0PufpVs-P-H2sPa9CMac0AxSBgmQj3CdNyWwqFOW613Kf0SHS-VLM</t>
  </si>
  <si>
    <t>Rajni bhabhi ji</t>
  </si>
  <si>
    <t>Necklace Set, Bangle, Solitaire, 5 ct pc IVS2-SI2/2+2 ct pair single line Bng 1 ct size fancy sets</t>
  </si>
  <si>
    <t>https://docs.google.com/forms/d/e/1FAIpQLSeQ0wUAy9WJrwwZ_8x6kCxvJSihLYtbLF2nbMncVH08fybLWQ/viewform?edit2=2_ABaOnucJM5cURV3e6sBpZ0_-XJq3pepSYucFCX9YR7KAmVvJAcwfae8HbVOv2xruJ_GbcI8</t>
  </si>
  <si>
    <t>Pooja hi noida</t>
  </si>
  <si>
    <t xml:space="preserve">Band </t>
  </si>
  <si>
    <t xml:space="preserve">.10/.15 pointer </t>
  </si>
  <si>
    <t>https://docs.google.com/forms/d/e/1FAIpQLSeQ0wUAy9WJrwwZ_8x6kCxvJSihLYtbLF2nbMncVH08fybLWQ/viewform?edit2=2_ABaOnufvO6pp_Ca2DJZ9en1OEYYUVe_sdXotbIL9drtBj-78xGLHTIPWtOSmfi9SQhvY8EY</t>
  </si>
  <si>
    <t>Shama Ji k-17</t>
  </si>
  <si>
    <t>Chain, Necklace Set</t>
  </si>
  <si>
    <t>7/26/0022</t>
  </si>
  <si>
    <t>https://docs.google.com/forms/d/e/1FAIpQLSeQ0wUAy9WJrwwZ_8x6kCxvJSihLYtbLF2nbMncVH08fybLWQ/viewform?edit2=2_ABaOnudPb2x2deTKMc-uzTBwrcvrRMSpFXwAYMYOdXUSOsyBXMyTb9WorhDYnaDR4uherwU</t>
  </si>
  <si>
    <t>Kunal ji</t>
  </si>
  <si>
    <t>1.50 ct EFF VVS</t>
  </si>
  <si>
    <t>7/27/0022</t>
  </si>
  <si>
    <t>https://docs.google.com/forms/d/e/1FAIpQLSeQ0wUAy9WJrwwZ_8x6kCxvJSihLYtbLF2nbMncVH08fybLWQ/viewform?edit2=2_ABaOnudh7grK8QBFjlgk32PAxaUOkNBwRtrssLGVOGPz40tcandwBZ5ZP59Z5MgsDoUmOug</t>
  </si>
  <si>
    <t xml:space="preserve">Shilpa Singhania </t>
  </si>
  <si>
    <t>Chain, Ladies Bracelet / Kada, Italian</t>
  </si>
  <si>
    <t>7/28/0022</t>
  </si>
  <si>
    <t>https://docs.google.com/forms/d/e/1FAIpQLSeQ0wUAy9WJrwwZ_8x6kCxvJSihLYtbLF2nbMncVH08fybLWQ/viewform?edit2=2_ABaOnue1XStlNbJaUEeBFMyBMSBfLgSyMBOgOuin7GwkNV461oJ93q_DmJC02Pdn_xbvWEc</t>
  </si>
  <si>
    <t>PARDEEP</t>
  </si>
  <si>
    <t>98103 35225</t>
  </si>
  <si>
    <t>TYAANI SET IS RANGE OF 2.5 LAC</t>
  </si>
  <si>
    <t>Kajal</t>
  </si>
  <si>
    <t>https://docs.google.com/forms/d/e/1FAIpQLSeQ0wUAy9WJrwwZ_8x6kCxvJSihLYtbLF2nbMncVH08fybLWQ/viewform?edit2=2_ABaOnufxPy1fjLeYOUQS918bPPO57WgXghTLvfYwywDztJpM_hkWdDzkEOMwQ0RNEpGBrpg</t>
  </si>
  <si>
    <t>RAJNIJI civil lines</t>
  </si>
  <si>
    <t>Wedding</t>
  </si>
  <si>
    <t>Diamond Jewellery, Polki, Solitaire</t>
  </si>
  <si>
    <t>Chain, Necklace Set, Pendant Set, Solitaire Ring, Solitaire</t>
  </si>
  <si>
    <t>earring pair 2+2 or 3+3 cts, gents ring round or prncess 2.5-3 cts, tayani  polki giftng pendant sets 1.5 lac * 5, Italian 3 layr chain, DIa choker with emerald 35-40 range</t>
  </si>
  <si>
    <t>https://docs.google.com/forms/d/e/1FAIpQLSeQ0wUAy9WJrwwZ_8x6kCxvJSihLYtbLF2nbMncVH08fybLWQ/viewform?edit2=2_ABaOnuc5grXEy1aMljF-kTXOIlMDGPKarktEo0T3SIRIISBTorRbfIK4hC3BZZo9sdtV-Ss</t>
  </si>
  <si>
    <t>Mrs Kapilla ji</t>
  </si>
  <si>
    <t>Sat lara</t>
  </si>
  <si>
    <t>8/25/0022</t>
  </si>
  <si>
    <t>https://docs.google.com/forms/d/e/1FAIpQLSeQ0wUAy9WJrwwZ_8x6kCxvJSihLYtbLF2nbMncVH08fybLWQ/viewform?edit2=2_ABaOnue-o1TymOrHfDlDajZVIs7Bt3xNuCXP_bz-11665QWvyTmDSpypmZ9ai3g3n9crzwA</t>
  </si>
  <si>
    <t>Kaish Ali Siddique</t>
  </si>
  <si>
    <t>Ladies Ring, Gents Ring</t>
  </si>
  <si>
    <t>DIAMOND RING</t>
  </si>
  <si>
    <t>https://docs.google.com/forms/d/e/1FAIpQLSeQ0wUAy9WJrwwZ_8x6kCxvJSihLYtbLF2nbMncVH08fybLWQ/viewform?edit2=2_ABaOnudJ_0a0L6flN6aGFR0bB3VACoKBjgHkT2lTt3Tq3touboAZfbDKIF6MJJVb2Oz5qcY</t>
  </si>
  <si>
    <t>Nidhi ji Dwarka</t>
  </si>
  <si>
    <t>Opal 7 Ratti</t>
  </si>
  <si>
    <t>8/20/0022</t>
  </si>
  <si>
    <t>https://docs.google.com/forms/d/e/1FAIpQLSeQ0wUAy9WJrwwZ_8x6kCxvJSihLYtbLF2nbMncVH08fybLWQ/viewform?edit2=2_ABaOnueMv81dXmOuX-Es00OYtqMPMbTP7c52G9UNsK2cfHn97_f75GglKqr5_oCIr1bR4Lw</t>
  </si>
  <si>
    <t>MONTY</t>
  </si>
  <si>
    <t>https://docs.google.com/forms/d/e/1FAIpQLSeQ0wUAy9WJrwwZ_8x6kCxvJSihLYtbLF2nbMncVH08fybLWQ/viewform?edit2=2_ABaOnufQeLyHbYj13V1rpFIM45kt1He0gbCXbzXPKo275SZvc4liZwhjZiDSCciQt331sCs</t>
  </si>
  <si>
    <t xml:space="preserve">Mrs Aggarwal </t>
  </si>
  <si>
    <t xml:space="preserve">6 ct pair </t>
  </si>
  <si>
    <t>8/17/0022</t>
  </si>
  <si>
    <t>https://docs.google.com/forms/d/e/1FAIpQLSeQ0wUAy9WJrwwZ_8x6kCxvJSihLYtbLF2nbMncVH08fybLWQ/viewform?edit2=2_ABaOnucYNn_yukr-FmLlcxxJIP90ay4iVliZHREHzLCMImHdOGr_9zTw3JE8MscSkfJnZQM</t>
  </si>
  <si>
    <t>somna</t>
  </si>
  <si>
    <t>https://docs.google.com/forms/d/e/1FAIpQLSeQ0wUAy9WJrwwZ_8x6kCxvJSihLYtbLF2nbMncVH08fybLWQ/viewform?edit2=2_ABaOnufZ4fxOpmuGehXs6ASpqdEDXbDIvpZ6EA5bJ7_Y7KWGrhKoQBZ2NrXxbhoBf5TPCxQ</t>
  </si>
  <si>
    <t>manish ji</t>
  </si>
  <si>
    <t>Bangle, Ladies Ring</t>
  </si>
  <si>
    <t>https://docs.google.com/forms/d/e/1FAIpQLSeQ0wUAy9WJrwwZ_8x6kCxvJSihLYtbLF2nbMncVH08fybLWQ/viewform?edit2=2_ABaOnud3ShlyaXKC2KgLJEWb73m22yu5uBr3vBpNiYkuoxcSmGE4NVg7NbI2d5rZiGcrhS0</t>
  </si>
  <si>
    <t xml:space="preserve">Bal krishna </t>
  </si>
  <si>
    <t>diamond pair</t>
  </si>
  <si>
    <t>https://docs.google.com/forms/d/e/1FAIpQLSeQ0wUAy9WJrwwZ_8x6kCxvJSihLYtbLF2nbMncVH08fybLWQ/viewform?edit2=2_ABaOnudG61Qy54MgPehkrALosAoknqmiKULzLfliMZlepUv5kRP7npXjldIdpVF6lZvIvLc</t>
  </si>
  <si>
    <t xml:space="preserve">shikha </t>
  </si>
  <si>
    <t>https://docs.google.com/forms/d/e/1FAIpQLSeQ0wUAy9WJrwwZ_8x6kCxvJSihLYtbLF2nbMncVH08fybLWQ/viewform?edit2=2_ABaOnuff68Knt67AfHEMl3ahzzt4RQGoO6DBzx0AwdKMonFLc9HjD8eAPOgQmqdwwlRLsTo</t>
  </si>
  <si>
    <t xml:space="preserve">mukesh </t>
  </si>
  <si>
    <t>Gold Jewellery, Kitty</t>
  </si>
  <si>
    <t>kitty</t>
  </si>
  <si>
    <t>https://docs.google.com/forms/d/e/1FAIpQLSeQ0wUAy9WJrwwZ_8x6kCxvJSihLYtbLF2nbMncVH08fybLWQ/viewform?edit2=2_ABaOnudWrFMJHp2J2_gi_gce8kaY9tgaTjD363wssIlFg3BCRKZlkL_weU6TAeflNKmnJWQ</t>
  </si>
  <si>
    <t xml:space="preserve">RISHIKA </t>
  </si>
  <si>
    <t>Ladies Bracelet / Kada, LORD DURGA AND LORD GANESHA</t>
  </si>
  <si>
    <t>https://docs.google.com/forms/d/e/1FAIpQLSeQ0wUAy9WJrwwZ_8x6kCxvJSihLYtbLF2nbMncVH08fybLWQ/viewform?edit2=2_ABaOnucGbF1yExF0E9yxwyMK9iAs8JNP572TZeKZjmfLHSJSkznGs6ajJFx_33Ooo-nRuBo</t>
  </si>
  <si>
    <t>Deepak joshi</t>
  </si>
  <si>
    <t>Platinum band</t>
  </si>
  <si>
    <t>8/26/0022</t>
  </si>
  <si>
    <t>https://docs.google.com/forms/d/e/1FAIpQLSeQ0wUAy9WJrwwZ_8x6kCxvJSihLYtbLF2nbMncVH08fybLWQ/viewform?edit2=2_ABaOnud4BkodrUSNtcIZtqdDBt0itdMAj1ZLAPzaTIgGYVnuNzed9VZ627foZcHBE4Ila2A</t>
  </si>
  <si>
    <t>Rajeev kapoor</t>
  </si>
  <si>
    <t>https://docs.google.com/forms/d/e/1FAIpQLSeQ0wUAy9WJrwwZ_8x6kCxvJSihLYtbLF2nbMncVH08fybLWQ/viewform?edit2=2_ABaOnuc3QAsHPzk3NBCdC3sUemacdJ7XK3PEsKrqn41QsKFc5ZSRFJ6YmuXGJmP4smTq2DQ</t>
  </si>
  <si>
    <t>mridul gupta</t>
  </si>
  <si>
    <t>Chain, Earring / Tops, Nosepin, Bangle, Ladies Ring</t>
  </si>
  <si>
    <t>https://docs.google.com/forms/d/e/1FAIpQLSeQ0wUAy9WJrwwZ_8x6kCxvJSihLYtbLF2nbMncVH08fybLWQ/viewform?edit2=2_ABaOnueVt7H7nQKaoCknGd3_wtqfFicTeISvNwOAUXue70IqFJNEhEtu37yOIYj3aAu_lMw</t>
  </si>
  <si>
    <t>ritin khatri</t>
  </si>
  <si>
    <t>https://docs.google.com/forms/d/e/1FAIpQLSeQ0wUAy9WJrwwZ_8x6kCxvJSihLYtbLF2nbMncVH08fybLWQ/viewform?edit2=2_ABaOnueEf49RyeO6uPGri5WWa_BbzbWFAtuLzO7BNqG2sJcPQX5xeF6jUgX1POrBhfJyz0w</t>
  </si>
  <si>
    <t>Aadit</t>
  </si>
  <si>
    <t>Lord Vishnu ji and Laxmi ji murti with singhasan</t>
  </si>
  <si>
    <t>https://docs.google.com/forms/d/e/1FAIpQLSeQ0wUAy9WJrwwZ_8x6kCxvJSihLYtbLF2nbMncVH08fybLWQ/viewform?edit2=2_ABaOnudAe_gwK9Bi0C9b3wdPnnGPzrkHsikPNoJTcGcP6RLJswaqZ7Dh-rwOdrfGuPfu7cs</t>
  </si>
  <si>
    <t>Sanjay ji</t>
  </si>
  <si>
    <t xml:space="preserve">5.00 ct </t>
  </si>
  <si>
    <t>9/6/0022</t>
  </si>
  <si>
    <t>https://docs.google.com/forms/d/e/1FAIpQLSeQ0wUAy9WJrwwZ_8x6kCxvJSihLYtbLF2nbMncVH08fybLWQ/viewform?edit2=2_ABaOnuc6DfGG4XeKlxToGBitP54mV8Iq8I4yVErGehk0DPZVccw4pUhPWbj_p5MwY40zs8U</t>
  </si>
  <si>
    <t>.90 pointer HIVS</t>
  </si>
  <si>
    <t>https://docs.google.com/forms/d/e/1FAIpQLSeQ0wUAy9WJrwwZ_8x6kCxvJSihLYtbLF2nbMncVH08fybLWQ/viewform?edit2=2_ABaOnucCaPTbiRB6xd7SVFsTjynIspgBnDYvHBkd46vnfi99qJvS4zQNbRFdXxyPCha-qPc</t>
  </si>
  <si>
    <t>rahul</t>
  </si>
  <si>
    <t>Cartier Bracelets , Temple pendant set</t>
  </si>
  <si>
    <t>https://docs.google.com/forms/d/e/1FAIpQLSeQ0wUAy9WJrwwZ_8x6kCxvJSihLYtbLF2nbMncVH08fybLWQ/viewform?edit2=2_ABaOnud4kaP1lrBB44H0genl21ajcntQoeg79-ceMSJucZvGOYzoBtwGahrdPaPP1izKTS0</t>
  </si>
  <si>
    <t>Pradeep sachdeva</t>
  </si>
  <si>
    <t>8 ct</t>
  </si>
  <si>
    <t>9/17/0022</t>
  </si>
  <si>
    <t>https://docs.google.com/forms/d/e/1FAIpQLSeQ0wUAy9WJrwwZ_8x6kCxvJSihLYtbLF2nbMncVH08fybLWQ/viewform?edit2=2_ABaOnueYJcT_TcMcTFILeXAq9HTxTUFRjgvwlDPLLT0lIzbBFUfbeeUIWc5yNTq-vL84iRU</t>
  </si>
  <si>
    <t>Preeti ji</t>
  </si>
  <si>
    <t>9/18/0022</t>
  </si>
  <si>
    <t>https://docs.google.com/forms/d/e/1FAIpQLSeQ0wUAy9WJrwwZ_8x6kCxvJSihLYtbLF2nbMncVH08fybLWQ/viewform?edit2=2_ABaOnuc2jW-7-6MOsmp7G_ljm4c4eFJCpdBeE6rtgNHzvqTwjDmd6eRmeREyNf7R31nLwUs</t>
  </si>
  <si>
    <t xml:space="preserve">mridul ji </t>
  </si>
  <si>
    <t>https://docs.google.com/forms/d/e/1FAIpQLSeQ0wUAy9WJrwwZ_8x6kCxvJSihLYtbLF2nbMncVH08fybLWQ/viewform?edit2=2_ABaOnucAgkow3_7LXadgQNKV6eLcW1LY8qCKQSxQoRv-hR692UU2NxmDzsuLgvV0Ed9CK2k</t>
  </si>
  <si>
    <t>neha mam (mom of kritika)</t>
  </si>
  <si>
    <t xml:space="preserve">diamond set </t>
  </si>
  <si>
    <t>https://docs.google.com/forms/d/e/1FAIpQLSeQ0wUAy9WJrwwZ_8x6kCxvJSihLYtbLF2nbMncVH08fybLWQ/viewform?edit2=2_ABaOnudaMLYT-05wf1x-HTC_WZjS0cLbiKdag_9PEy-ZCYVTnAhUbnOTblifIKHtxi3eVzk</t>
  </si>
  <si>
    <t>Dharmendra ji</t>
  </si>
  <si>
    <t>9/27/0022</t>
  </si>
  <si>
    <t>https://docs.google.com/forms/d/e/1FAIpQLSeQ0wUAy9WJrwwZ_8x6kCxvJSihLYtbLF2nbMncVH08fybLWQ/viewform?edit2=2_ABaOnucpy1hqSGFWZc9UW1gQrumCXk_SSPbK6GcGjnN8vSmfuzbPJLS1fckczkaDNWA1ckY</t>
  </si>
  <si>
    <t>Deepak singhal</t>
  </si>
  <si>
    <t>2 ct pc</t>
  </si>
  <si>
    <t>9/29/0022</t>
  </si>
  <si>
    <t>https://docs.google.com/forms/d/e/1FAIpQLSeQ0wUAy9WJrwwZ_8x6kCxvJSihLYtbLF2nbMncVH08fybLWQ/viewform?edit2=2_ABaOnucTf6PBOen2AqxRRLu-6p19k95UkfVSQl7ugoC7hHQvSucKmEWIr_0E0V8JDaLMv64</t>
  </si>
  <si>
    <t>Ramesh ji</t>
  </si>
  <si>
    <t xml:space="preserve">5 ct H colour </t>
  </si>
  <si>
    <t>10/1/0022</t>
  </si>
  <si>
    <t>https://docs.google.com/forms/d/e/1FAIpQLSeQ0wUAy9WJrwwZ_8x6kCxvJSihLYtbLF2nbMncVH08fybLWQ/viewform?edit2=2_ABaOnufviL3RMLiUwAcOTWO-wQasOB5JOa6kMA9WenkS-ZkBGxNYNCsB_-5bG7Z1SIssAyQ</t>
  </si>
  <si>
    <t>Archna ji Noida</t>
  </si>
  <si>
    <t>Karva chattar and coins</t>
  </si>
  <si>
    <t>https://docs.google.com/forms/d/e/1FAIpQLSeQ0wUAy9WJrwwZ_8x6kCxvJSihLYtbLF2nbMncVH08fybLWQ/viewform?edit2=2_ABaOnufIiGMxbQbOZcP5tV1TsO8gQTG7fh-6KvBlG6dM9HkypQPDPPWBYmurx0EYvrWtZQI</t>
  </si>
  <si>
    <t>Priyanka ji Mall Road</t>
  </si>
  <si>
    <t>4.00 ct pair</t>
  </si>
  <si>
    <t>10/4/0022</t>
  </si>
  <si>
    <t>https://docs.google.com/forms/d/e/1FAIpQLSeQ0wUAy9WJrwwZ_8x6kCxvJSihLYtbLF2nbMncVH08fybLWQ/viewform?edit2=2_ABaOnudRT8mhrF2tDiCFROCyPUKMvTaDGYA7L_qcfrahdp5HeZdEX6qaqvJFbop9XokdgvQ</t>
  </si>
  <si>
    <t>C/O Saurav Sir</t>
  </si>
  <si>
    <t>Mangalsutra  1 ct fancy pc</t>
  </si>
  <si>
    <t>10/7/0022</t>
  </si>
  <si>
    <t>https://docs.google.com/forms/d/e/1FAIpQLSeQ0wUAy9WJrwwZ_8x6kCxvJSihLYtbLF2nbMncVH08fybLWQ/viewform?edit2=2_ABaOnueegxWj6lH9bum2UfHuLhMyasC9AOHaSCno22O5AL9IVujUK3sGPD3uJ1jpFTl7v8U</t>
  </si>
  <si>
    <t>Renu didi</t>
  </si>
  <si>
    <t>Thepa Nkl Set</t>
  </si>
  <si>
    <t>10/8/0022</t>
  </si>
  <si>
    <t>https://docs.google.com/forms/d/e/1FAIpQLSeQ0wUAy9WJrwwZ_8x6kCxvJSihLYtbLF2nbMncVH08fybLWQ/viewform?edit2=2_ABaOnufxQEZ5DoFnHu45z2A4yNexMXZF5QVL37MNHX20zjuy0JTHpWhAukmlmXMz2VMeXgs</t>
  </si>
  <si>
    <t>Neha Gupta BMP</t>
  </si>
  <si>
    <t>10/9/0022</t>
  </si>
  <si>
    <t>https://docs.google.com/forms/d/e/1FAIpQLSeQ0wUAy9WJrwwZ_8x6kCxvJSihLYtbLF2nbMncVH08fybLWQ/viewform?edit2=2_ABaOnueDAzwCQK2ykvcM1tchKvO2M4SjchRggG2zI0UANrUtJn8k7V_NNVFf1QB8BW3D-xo</t>
  </si>
  <si>
    <t>Rakhi Ji jmu</t>
  </si>
  <si>
    <t>10/11/0022</t>
  </si>
  <si>
    <t>https://docs.google.com/forms/d/e/1FAIpQLSeQ0wUAy9WJrwwZ_8x6kCxvJSihLYtbLF2nbMncVH08fybLWQ/viewform?edit2=2_ABaOnue7PiSdgmZACVHe9cMAnJITktgZ-4h_MenuYYK5YWW-giAoqpiIZAO6m5gyk-rXkPM</t>
  </si>
  <si>
    <t>Anu ji Rishtey</t>
  </si>
  <si>
    <t>3-4 ct pair</t>
  </si>
  <si>
    <t>10/18/0022</t>
  </si>
  <si>
    <t>https://docs.google.com/forms/d/e/1FAIpQLSeQ0wUAy9WJrwwZ_8x6kCxvJSihLYtbLF2nbMncVH08fybLWQ/viewform?edit2=2_ABaOnucJLeYO2xxT1NxSaP8QPWU5y60iSh7CRL-wddtfSfvvK9huJyHX_slNMaaAOFMTn0g</t>
  </si>
  <si>
    <t>rahul ji BCI</t>
  </si>
  <si>
    <t>20gms coins with box</t>
  </si>
  <si>
    <t>https://docs.google.com/forms/d/e/1FAIpQLSeQ0wUAy9WJrwwZ_8x6kCxvJSihLYtbLF2nbMncVH08fybLWQ/viewform?edit2=2_ABaOnudCqCKYt14z9FO1Ip3eqVKvVrBWp1kHdAl6n3eHpCfJzdtsRnyJ5qt-ZVXAPG3VpJc</t>
  </si>
  <si>
    <t>ritu ji</t>
  </si>
  <si>
    <t>lord laxmi &amp; ganesha murti and akhand jyot</t>
  </si>
  <si>
    <t>https://docs.google.com/forms/d/e/1FAIpQLSeQ0wUAy9WJrwwZ_8x6kCxvJSihLYtbLF2nbMncVH08fybLWQ/viewform?edit2=2_ABaOnudI3n77cNF8MonDl9E-C3cwhfs3GGXgyW1e82Pr_8-jrlsc2IOTRTqFLTHMfGQvXMw</t>
  </si>
  <si>
    <t>ramandeep</t>
  </si>
  <si>
    <t>https://docs.google.com/forms/d/e/1FAIpQLSeQ0wUAy9WJrwwZ_8x6kCxvJSihLYtbLF2nbMncVH08fybLWQ/viewform?edit2=2_ABaOnue9c33rD-LKcx4gnUiDaSNCDOR37stUBAEIsi5K_GznGYZE6q-FcH7JtQAvvA0HyPY</t>
  </si>
  <si>
    <t xml:space="preserve">tanvi ji </t>
  </si>
  <si>
    <t>Diamond Jewellery, Gold Jewellery, Polki</t>
  </si>
  <si>
    <t>Earring / Tops, Necklace Set, Ladies Bracelet / Kada</t>
  </si>
  <si>
    <t>https://docs.google.com/forms/d/e/1FAIpQLSeQ0wUAy9WJrwwZ_8x6kCxvJSihLYtbLF2nbMncVH08fybLWQ/viewform?edit2=2_ABaOnueMMT_AJN_h-q3XPWfcX5c6fTriFa5nTpftEWLgkFPfbx8qCblDeItCtATGE9QmsJk</t>
  </si>
  <si>
    <t>mum jigna ji</t>
  </si>
  <si>
    <t>Diamond Jewellery, Polki</t>
  </si>
  <si>
    <t>Earring / Tops, Necklace Set, Bangle, Mang Tikka / Nath</t>
  </si>
  <si>
    <t>https://docs.google.com/forms/d/e/1FAIpQLSeQ0wUAy9WJrwwZ_8x6kCxvJSihLYtbLF2nbMncVH08fybLWQ/viewform?edit2=2_ABaOnucpVPPpq2doZT2-YJvQAnG4Hsm4yDv7l8tYlM8Edim2dWqIE7afpaZ8gc-S4eKXogI</t>
  </si>
  <si>
    <t>sumit ji civil lines</t>
  </si>
  <si>
    <t>https://docs.google.com/forms/d/e/1FAIpQLSeQ0wUAy9WJrwwZ_8x6kCxvJSihLYtbLF2nbMncVH08fybLWQ/viewform?edit2=2_ABaOnucvCkP0ly27K4xBm6HLMIIfWvsGQRVViXxDqDfzDn0xRivPFdugmteYF3RePx0BnLY</t>
  </si>
  <si>
    <t>https://docs.google.com/forms/d/e/1FAIpQLSeQ0wUAy9WJrwwZ_8x6kCxvJSihLYtbLF2nbMncVH08fybLWQ/viewform?edit2=2_ABaOnufVkR_DP08VnxN2fWjQ9u6utBF1y8iO-fMvZSmp6xoRvGwaKoeTErMmpZhhq5hrOZM</t>
  </si>
  <si>
    <t>pardeep sachendr</t>
  </si>
  <si>
    <t xml:space="preserve">Gemstone, 8 ratti weight sapphire </t>
  </si>
  <si>
    <t>https://docs.google.com/forms/d/e/1FAIpQLSeQ0wUAy9WJrwwZ_8x6kCxvJSihLYtbLF2nbMncVH08fybLWQ/viewform?edit2=2_ABaOnucnukW9muUN-y1cfAhnJf7J_I0OViuSH2f70fAIv9NarfhxUJDGbERrxhZE02wYnx8</t>
  </si>
  <si>
    <t>sumit goel civil line</t>
  </si>
  <si>
    <t>Bangle, 1ct bangles</t>
  </si>
  <si>
    <t>https://docs.google.com/forms/d/e/1FAIpQLSeQ0wUAy9WJrwwZ_8x6kCxvJSihLYtbLF2nbMncVH08fybLWQ/viewform?edit2=2_ABaOnufXYTqaPImGzlgmfNc6kOsjAhjJXmUHdo9AGs8i97Pd31NF9K9_xuXHdNbdTLnJM98</t>
  </si>
  <si>
    <t xml:space="preserve">sashikant ji </t>
  </si>
  <si>
    <t>https://docs.google.com/forms/d/e/1FAIpQLSeQ0wUAy9WJrwwZ_8x6kCxvJSihLYtbLF2nbMncVH08fybLWQ/viewform?edit2=2_ABaOnuc59vLUiWy9W2gIuy0DXPF7fJ446Ro38etXFzFkhbzcS7L4_tmtPxiXInp_zcsc71Q</t>
  </si>
  <si>
    <t>tanvi</t>
  </si>
  <si>
    <t>https://docs.google.com/forms/d/e/1FAIpQLSeQ0wUAy9WJrwwZ_8x6kCxvJSihLYtbLF2nbMncVH08fybLWQ/viewform?edit2=2_ABaOnufc958Id1KBJkq8FEMJORjTFpflFJb9-EuBACVdUs1wzq80sh1Eiof6PpG-3hOVzzo</t>
  </si>
  <si>
    <t>jigna ji</t>
  </si>
  <si>
    <t>Necklace Set, Bangle, Ladies Ring</t>
  </si>
  <si>
    <t>https://docs.google.com/forms/d/e/1FAIpQLSeQ0wUAy9WJrwwZ_8x6kCxvJSihLYtbLF2nbMncVH08fybLWQ/viewform?edit2=2_ABaOnueVDM3qobpBHN2_04avpXRs_lt70xTyPYenmxaay2u03e0R03e5Ld1hKSQNwHG0AIQ</t>
  </si>
  <si>
    <t>punit jain</t>
  </si>
  <si>
    <t>neelam and panna jewellery</t>
  </si>
  <si>
    <t>https://docs.google.com/forms/d/e/1FAIpQLSeQ0wUAy9WJrwwZ_8x6kCxvJSihLYtbLF2nbMncVH08fybLWQ/viewform?edit2=2_ABaOnucJOpS2S432JokYCa-L103PNRc0F5_Azz0FYYLvBnLiI0ODDujsYjFTv2r9DUpLnl0</t>
  </si>
  <si>
    <t>ankit gupta ji</t>
  </si>
  <si>
    <t>https://docs.google.com/forms/d/e/1FAIpQLSeQ0wUAy9WJrwwZ_8x6kCxvJSihLYtbLF2nbMncVH08fybLWQ/viewform?edit2=2_ABaOnudajISv8apmWckrbw6vVXFctkKW-5VLLxODWV60IzfMVwt0DNEx5zjeMuOxKxYJ6w0</t>
  </si>
  <si>
    <t xml:space="preserve">ritu aadi ji </t>
  </si>
  <si>
    <t>https://docs.google.com/forms/d/e/1FAIpQLSeQ0wUAy9WJrwwZ_8x6kCxvJSihLYtbLF2nbMncVH08fybLWQ/viewform?edit2=2_ABaOnudl1Lzsi_OcA9C5KuRbx0gdME4b5W0-3v7IM7xhkt9purTPIrOfm3YHVPR3tK8G18o</t>
  </si>
  <si>
    <t>ankur bci gupta</t>
  </si>
  <si>
    <t>https://docs.google.com/forms/d/e/1FAIpQLSeQ0wUAy9WJrwwZ_8x6kCxvJSihLYtbLF2nbMncVH08fybLWQ/viewform?edit2=2_ABaOnueNirZK8EdOOoEAJsKMtpZB_Q2KZ-BvYQaDoMMNPqB9MlUviKg0DM8nMMeJPBvxGjg</t>
  </si>
  <si>
    <t xml:space="preserve">pankaj ji </t>
  </si>
  <si>
    <t xml:space="preserve">glass 30gms </t>
  </si>
  <si>
    <t>https://docs.google.com/forms/d/e/1FAIpQLSeQ0wUAy9WJrwwZ_8x6kCxvJSihLYtbLF2nbMncVH08fybLWQ/viewform?edit2=2_ABaOnudAzcWV8-1AdLzhkA1LiIFtrZL9n0fWNs8HITKnagngor1EufqHciLrazlNOR59IhQ</t>
  </si>
  <si>
    <t>Yedla Vasudeva Rao</t>
  </si>
  <si>
    <t>gemstone</t>
  </si>
  <si>
    <t>https://docs.google.com/forms/d/e/1FAIpQLSeQ0wUAy9WJrwwZ_8x6kCxvJSihLYtbLF2nbMncVH08fybLWQ/viewform?edit2=2_ABaOnud425VHiJpeD_MaGD7Jw8dAw0oFtgGYWoFnxRPDPATSWDHGkWVj8jufm831sANXYl4</t>
  </si>
  <si>
    <t>RITU JI K-17</t>
  </si>
  <si>
    <t>Earring / Tops, Ladies Ring, POLKI RING AND GOLD COCKTAIL RING AND GOLD EARRINGS</t>
  </si>
  <si>
    <t>https://docs.google.com/forms/d/e/1FAIpQLSeQ0wUAy9WJrwwZ_8x6kCxvJSihLYtbLF2nbMncVH08fybLWQ/viewform?edit2=2_ABaOnud12HWCTJygORKFZr2q_E1U0svqLtC0f1qjfR1-0MC3QmqOdOofjWOoh3_2H501uIk</t>
  </si>
  <si>
    <t>RITU PURI JI SCHOOL</t>
  </si>
  <si>
    <t>Chain, NAVRATNA CHAIN</t>
  </si>
  <si>
    <t>https://docs.google.com/forms/d/e/1FAIpQLSeQ0wUAy9WJrwwZ_8x6kCxvJSihLYtbLF2nbMncVH08fybLWQ/viewform?edit2=2_ABaOnue22mCgTCFZdB6c2v-nzc--IKcb4el2_W6zy9u3qHselb8wXIMYPlYFFcG_g1i3Frg</t>
  </si>
  <si>
    <t>PALLI RANBIR KAUR</t>
  </si>
  <si>
    <t>https://docs.google.com/forms/d/e/1FAIpQLSeQ0wUAy9WJrwwZ_8x6kCxvJSihLYtbLF2nbMncVH08fybLWQ/viewform?edit2=2_ABaOnuf4o6eOsCvYkWAXRpUy6aHwZGQgOdC4PmyX06Ht4So5M5opjC04PC-D4O1ZiLh0EZ0</t>
  </si>
  <si>
    <t>PARAS JAIN</t>
  </si>
  <si>
    <t>https://docs.google.com/forms/d/e/1FAIpQLSeQ0wUAy9WJrwwZ_8x6kCxvJSihLYtbLF2nbMncVH08fybLWQ/viewform?edit2=2_ABaOnue-0x5GSG6eq_xyWBPJ81qnrjIDcJTPZVMu0t8r4x6ktstojpIZBjjzbqLzlJYIzD0</t>
  </si>
  <si>
    <t>deepak joshi</t>
  </si>
  <si>
    <t>platinum band cartier</t>
  </si>
  <si>
    <t>https://docs.google.com/forms/d/e/1FAIpQLSeQ0wUAy9WJrwwZ_8x6kCxvJSihLYtbLF2nbMncVH08fybLWQ/viewform?edit2=2_ABaOnudkMVyVt12F5x-zyK_LYsMC28Y4pQxAGwZtgfphP12y4wcXNByOkwqYFUz2z7GWyT8</t>
  </si>
  <si>
    <t>SARA JI</t>
  </si>
  <si>
    <t>https://docs.google.com/forms/d/e/1FAIpQLSeQ0wUAy9WJrwwZ_8x6kCxvJSihLYtbLF2nbMncVH08fybLWQ/viewform?edit2=2_ABaOnufS2rV5S94b8-2NU5ENUKFU6xMzu78xmFObStILOw5WhNVmy-Bcsr9bluK8CzNZaxw</t>
  </si>
  <si>
    <t xml:space="preserve">RUBINA JI </t>
  </si>
  <si>
    <t>2CT PCS 1-2H VS ROUND</t>
  </si>
  <si>
    <t>https://docs.google.com/forms/d/e/1FAIpQLSeQ0wUAy9WJrwwZ_8x6kCxvJSihLYtbLF2nbMncVH08fybLWQ/viewform?edit2=2_ABaOnuebEpCZqVcRCEvtGZxaJtVEpFF-qjzXHy292Adv2Meizp61kyoSaxr7BAxi70mEgYA</t>
  </si>
  <si>
    <t>AMIT GUPTA JI</t>
  </si>
  <si>
    <t>1.2+1.2CT PAIR, H COLOR ,VS PRIORITY, ROUND SHAPE</t>
  </si>
  <si>
    <t>https://docs.google.com/forms/d/e/1FAIpQLSeQ0wUAy9WJrwwZ_8x6kCxvJSihLYtbLF2nbMncVH08fybLWQ/viewform?edit2=2_ABaOnuebkBJm_UWI1ofuU6NjTIbgq9oGSjYylkUubjPCxWQsyAt18uomP7w2YPQbZ2kNMX8</t>
  </si>
  <si>
    <t xml:space="preserve">sara ji </t>
  </si>
  <si>
    <t>Polki, Gemstone</t>
  </si>
  <si>
    <t>Necklace Set, Ladies Bracelet / Kada, NAVRATAN POLKI SET, POLKI BRACELET</t>
  </si>
  <si>
    <t>https://docs.google.com/forms/d/e/1FAIpQLSeQ0wUAy9WJrwwZ_8x6kCxvJSihLYtbLF2nbMncVH08fybLWQ/viewform?edit2=2_ABaOnudJEXsPlR7JaXKBRtuXcOyBG3-ITrJkpZb0Z_qiUah13nXcdu4J_45L7pzKqIwHMzg</t>
  </si>
  <si>
    <t xml:space="preserve">BCI ANURAG JI </t>
  </si>
  <si>
    <t>94374 94721</t>
  </si>
  <si>
    <t>Earring / Tops, Ladies Ring, Solitaire Ring</t>
  </si>
  <si>
    <t>https://docs.google.com/forms/d/e/1FAIpQLSeQ0wUAy9WJrwwZ_8x6kCxvJSihLYtbLF2nbMncVH08fybLWQ/viewform?edit2=2_ABaOnucs4-Czsivwhv8za7Ud3ZzKdllskGtY-bocRZH5Oka_Q-L52ocMdyaRzsjsRI8Dc00</t>
  </si>
  <si>
    <t>PARDEEP SACHDEVA JI</t>
  </si>
  <si>
    <t>https://docs.google.com/forms/d/e/1FAIpQLSeQ0wUAy9WJrwwZ_8x6kCxvJSihLYtbLF2nbMncVH08fybLWQ/viewform?edit2=2_ABaOnuf6UbnJhnIP3UnDMVrm29t8ai6PWmSZ0i1c4U7oDyHU1Tm-2cspka9DN6UUR7wSUh8</t>
  </si>
  <si>
    <t>Vandana Makkar Patel Nagar</t>
  </si>
  <si>
    <t>gents ring and tops</t>
  </si>
  <si>
    <t>https://docs.google.com/forms/d/e/1FAIpQLSeQ0wUAy9WJrwwZ_8x6kCxvJSihLYtbLF2nbMncVH08fybLWQ/viewform?edit2=2_ABaOnufvHELdC2KukImrlOUN3SMv-XY7Iv1wjcRCMfCV0zf7khfRJ8Jg73Fi2zZKRcP3bgc</t>
  </si>
  <si>
    <t xml:space="preserve">charu ji </t>
  </si>
  <si>
    <t>https://docs.google.com/forms/d/e/1FAIpQLSeQ0wUAy9WJrwwZ_8x6kCxvJSihLYtbLF2nbMncVH08fybLWQ/viewform?edit2=2_ABaOnudVPY0SmqUNIDJWsr3qalq_D-BTzoC8WWEQAglgvDkg_fiscSpLEPbhCDZap81sBRA</t>
  </si>
  <si>
    <t>Amritsar bci</t>
  </si>
  <si>
    <t>Pendant, panna and neelam</t>
  </si>
  <si>
    <t>https://docs.google.com/forms/d/e/1FAIpQLSeQ0wUAy9WJrwwZ_8x6kCxvJSihLYtbLF2nbMncVH08fybLWQ/viewform?edit2=2_ABaOnud0DbtIPVWWcAi2yU8-6fZZ6mgdJMBY9kF0GrgbRlI5jtfDnvSEoH3JVuX53yltTcw</t>
  </si>
  <si>
    <t>kinika ji udaipur</t>
  </si>
  <si>
    <t>https://docs.google.com/forms/d/e/1FAIpQLSeQ0wUAy9WJrwwZ_8x6kCxvJSihLYtbLF2nbMncVH08fybLWQ/viewform?edit2=2_ABaOnuf6Pi6SWzxBVrwCSjXN8ifqXJwTt2_r3MXfOrYYTWf08UmCf2Gy6mowImH3KFqLmUg</t>
  </si>
  <si>
    <t>seema chawla</t>
  </si>
  <si>
    <t>Solitaire, solitaire 2ct string</t>
  </si>
  <si>
    <t>https://docs.google.com/forms/d/e/1FAIpQLSeQ0wUAy9WJrwwZ_8x6kCxvJSihLYtbLF2nbMncVH08fybLWQ/viewform?edit2=2_ABaOnuc_FxBVFg0SG2Dqjr_o_QE0RQITgd8zWOEHRpZ-QNl8eRIyE--CA7vr1BQtnNSVnoE</t>
  </si>
  <si>
    <t xml:space="preserve">shashikant ji </t>
  </si>
  <si>
    <t>Gents Bracelet / Kada, 1.5-1.8ct round pc hi vs , center tukri pendant fg vvs vs diamond</t>
  </si>
  <si>
    <t>https://docs.google.com/forms/d/e/1FAIpQLSeQ0wUAy9WJrwwZ_8x6kCxvJSihLYtbLF2nbMncVH08fybLWQ/viewform?edit2=2_ABaOnudgxiKDaQ-9gE2qFRo7Gv65v_BuaDcEihWdAW6kKlfO_p_O2C_gQV9mZtMzqspmyxg</t>
  </si>
  <si>
    <t>Dr. Bala bhaskar</t>
  </si>
  <si>
    <t>Neelam 4.5ct</t>
  </si>
  <si>
    <t>https://docs.google.com/forms/d/e/1FAIpQLSeQ0wUAy9WJrwwZ_8x6kCxvJSihLYtbLF2nbMncVH08fybLWQ/viewform?edit2=2_ABaOnufQOcjaemOr-YfMpFGSFH6kvw-ll--3vLe6zdqCrPkjZNLDLplRrb5-RV2R4Py7Y2M</t>
  </si>
  <si>
    <t>Necklace Set, Ruby and Emerald</t>
  </si>
  <si>
    <t>https://docs.google.com/forms/d/e/1FAIpQLSeQ0wUAy9WJrwwZ_8x6kCxvJSihLYtbLF2nbMncVH08fybLWQ/viewform?edit2=2_ABaOnucbUTI1ZxH3KdZ6wxlN7nUSyNXFVhyYWgrKaFdThAUWHiv8skzE-MR6co9XEykRx-I</t>
  </si>
  <si>
    <t>Jay Soni</t>
  </si>
  <si>
    <t>https://drive.google.com/open?id=1RkxEgdT8s_YeT0h3G3xLSzSHGcSgKwWn</t>
  </si>
  <si>
    <t>https://docs.google.com/forms/d/e/1FAIpQLSeQ0wUAy9WJrwwZ_8x6kCxvJSihLYtbLF2nbMncVH08fybLWQ/viewform?edit2=2_ABaOnufT4Lhfnf5mI8XgfSzDaA5UF1aUnNhMeQgK0c3gPtC1G0kfdKCD-EEdqfwz-ATgqqg</t>
  </si>
  <si>
    <t xml:space="preserve">Upasna </t>
  </si>
  <si>
    <t>Earring / Tops, Ladies Bracelet / Kada</t>
  </si>
  <si>
    <t>https://docs.google.com/forms/d/e/1FAIpQLSeQ0wUAy9WJrwwZ_8x6kCxvJSihLYtbLF2nbMncVH08fybLWQ/viewform?edit2=2_ABaOnuc8U1OiPZAaU5QZLaQkb5ynP9lnwksk_Qd_R31iNFiYJNnfvj1g7-KymreTQOuYt9s</t>
  </si>
  <si>
    <t>sudhanshu mathur</t>
  </si>
  <si>
    <t>https://docs.google.com/forms/d/e/1FAIpQLSeQ0wUAy9WJrwwZ_8x6kCxvJSihLYtbLF2nbMncVH08fybLWQ/viewform?edit2=2_ABaOnufZe0ly-TNWwPkNFJqaqLAFCN2hWszVDs4s5j4HC96fCF88UoDRrjKU5eF5pBawnxg</t>
  </si>
  <si>
    <t xml:space="preserve">Divya tanvi ji </t>
  </si>
  <si>
    <t>Earring diamond, polki bangles, single line bangle</t>
  </si>
  <si>
    <t>https://drive.google.com/open?id=1QFRBiUtC9EmkiSOhV8QOpDcHv9DFGKWR</t>
  </si>
  <si>
    <t>https://docs.google.com/forms/d/e/1FAIpQLSeQ0wUAy9WJrwwZ_8x6kCxvJSihLYtbLF2nbMncVH08fybLWQ/viewform?edit2=2_ABaOnue82kpLd2FNOom-7NMBKCOKape8Cws_RsM636W8APd8mJL8vGg0TKFGKoDf5NbY7bY</t>
  </si>
  <si>
    <t>kunal gandhi</t>
  </si>
  <si>
    <t xml:space="preserve">diamond mangalsutra , bracelet , ring </t>
  </si>
  <si>
    <t>https://docs.google.com/forms/d/e/1FAIpQLSeQ0wUAy9WJrwwZ_8x6kCxvJSihLYtbLF2nbMncVH08fybLWQ/viewform?edit2=2_ABaOnufXgrQZLBfe3j6O5esdwRa9XOysISatVWH8eqVzPWNU6AUMlNiscwXkKiMYcXcpzDE</t>
  </si>
  <si>
    <t>1kg gold</t>
  </si>
  <si>
    <t>https://docs.google.com/forms/d/e/1FAIpQLSeQ0wUAy9WJrwwZ_8x6kCxvJSihLYtbLF2nbMncVH08fybLWQ/viewform?edit2=2_ABaOnud2DKqedDyaLfHw7KJQ44cN8rxDP4cU7Rf7GIHbRJ9s52ywbPu6d0_mAet0znzIFaU</t>
  </si>
  <si>
    <t>Sandeep Bansal</t>
  </si>
  <si>
    <t>50 Hawncups</t>
  </si>
  <si>
    <t>https://docs.google.com/forms/d/e/1FAIpQLSeQ0wUAy9WJrwwZ_8x6kCxvJSihLYtbLF2nbMncVH08fybLWQ/viewform?edit2=2_ABaOnuc8m80TAAKx0rry9TNdYa-RCbJboH-MS5lCvlJFOPaldQFiBe9tZH7GrzsFdwIYGL4</t>
  </si>
  <si>
    <t>Nidhi web link</t>
  </si>
  <si>
    <t>diamond string neck</t>
  </si>
  <si>
    <t>https://docs.google.com/forms/d/e/1FAIpQLSeQ0wUAy9WJrwwZ_8x6kCxvJSihLYtbLF2nbMncVH08fybLWQ/viewform?edit2=2_ABaOnueWlPwFUlvqrILajwMIKKTe5hrZt5IGPS7HFxfNO3eSwObPCfpvgbzG8IAvQqMLsnk</t>
  </si>
  <si>
    <t>Deepika Astro</t>
  </si>
  <si>
    <t>Cartier Bracelet</t>
  </si>
  <si>
    <t>https://docs.google.com/forms/d/e/1FAIpQLSeQ0wUAy9WJrwwZ_8x6kCxvJSihLYtbLF2nbMncVH08fybLWQ/viewform?edit2=2_ABaOnudO8koVurOkv9sh1eFCGO74HtdbJOSllqqvI00z792t9TNaQVaE8CU80PUUG_Uv118</t>
  </si>
  <si>
    <t>Seema Bhasin</t>
  </si>
  <si>
    <t>AU Bangles</t>
  </si>
  <si>
    <t>https://docs.google.com/forms/d/e/1FAIpQLSeQ0wUAy9WJrwwZ_8x6kCxvJSihLYtbLF2nbMncVH08fybLWQ/viewform?edit2=2_ABaOnueoB9mavJk6n8xRDngvKUOfOnQsaaE9UyNmW91cItWqNr0HZVpih0KpO0S0XjPV1NU</t>
  </si>
  <si>
    <t>G C. Overseas Co Ajay Chacha</t>
  </si>
  <si>
    <t>92127 98449</t>
  </si>
  <si>
    <t>https://drive.google.com/open?id=1KCMxNGvOnF7UB8f-RaA05XPATeMrJ0ls</t>
  </si>
  <si>
    <t>https://docs.google.com/forms/d/e/1FAIpQLSeQ0wUAy9WJrwwZ_8x6kCxvJSihLYtbLF2nbMncVH08fybLWQ/viewform?edit2=2_ABaOnudQujpj6FgLhYKtR9_hi7ZYs2XMoMY1KLU7BKDI1vinqonzgHV2CcNYVrNkqbOmu4g</t>
  </si>
  <si>
    <t xml:space="preserve">Shaurya Bhalla C o Upasna </t>
  </si>
  <si>
    <t>Diamond band</t>
  </si>
  <si>
    <t>https://docs.google.com/forms/d/e/1FAIpQLSeQ0wUAy9WJrwwZ_8x6kCxvJSihLYtbLF2nbMncVH08fybLWQ/viewform?edit2=2_ABaOnucabDor148zl2H1-mFap_33ZocyhZ5V8TzzCOg1rNG1YJEfpnTYbLvNGB5XJCh_RT8</t>
  </si>
  <si>
    <t>Deepika pukhraj 7.25 r @ 25 to 50 k pct</t>
  </si>
  <si>
    <t>pukhraj 7.25 r @ 25 to 50 k pct</t>
  </si>
  <si>
    <t>https://docs.google.com/forms/d/e/1FAIpQLSeQ0wUAy9WJrwwZ_8x6kCxvJSihLYtbLF2nbMncVH08fybLWQ/viewform?edit2=2_ABaOnucLimBFsPH5JdnEFUhH3TPYPf6MAdbupjWzy4OprRoyrgLtNS7yeEfI3JQPQnrpJxA</t>
  </si>
  <si>
    <t>Poonam</t>
  </si>
  <si>
    <t>Diamond Jewellery, Gold Jewellery, Solitaire</t>
  </si>
  <si>
    <t>Necklace Set, soliatires 1-1.5ct  sets gold and diamond</t>
  </si>
  <si>
    <t>https://docs.google.com/forms/d/e/1FAIpQLSeQ0wUAy9WJrwwZ_8x6kCxvJSihLYtbLF2nbMncVH08fybLWQ/viewform?edit2=2_ABaOnufzx9DlOA2eaLm4f3F-5JPW3Oxa8K2wDefm_eGATLBxpTRdnQDBBdxIIVr8MzkiyvY</t>
  </si>
  <si>
    <t>Upasna</t>
  </si>
  <si>
    <t xml:space="preserve">Mangalsutra </t>
  </si>
  <si>
    <t>https://docs.google.com/forms/d/e/1FAIpQLSeQ0wUAy9WJrwwZ_8x6kCxvJSihLYtbLF2nbMncVH08fybLWQ/viewform?edit2=2_ABaOnudWxyJFpS5GFdF6OPnwfE_DyZ-MQA64meCm9yQ8S03rRGriePmL-G773MO--Mbp8eU</t>
  </si>
  <si>
    <t xml:space="preserve">Sheetal </t>
  </si>
  <si>
    <t>3ct pc Solitaire</t>
  </si>
  <si>
    <t>https://docs.google.com/forms/d/e/1FAIpQLSeQ0wUAy9WJrwwZ_8x6kCxvJSihLYtbLF2nbMncVH08fybLWQ/viewform?edit2=2_ABaOnudpwaB_kny2CYTlR_fYtyRoZJ8CtfrEkKNu1tWPTUr4cSJ2efCVEG7hvdnfrPr0hRw</t>
  </si>
  <si>
    <t>Nand Kishor  DMN</t>
  </si>
  <si>
    <t>Emerald 5-6 Ratti</t>
  </si>
  <si>
    <t>https://docs.google.com/forms/d/e/1FAIpQLSeQ0wUAy9WJrwwZ_8x6kCxvJSihLYtbLF2nbMncVH08fybLWQ/viewform?edit2=2_ABaOnudBwg-EdR1rVQz2EbSfV_K6R0oaKiUryY2YK24iynl4bwlR3HFKgEz8uf0oY2REg78</t>
  </si>
  <si>
    <t xml:space="preserve">Kritika </t>
  </si>
  <si>
    <t>polki or kundan set</t>
  </si>
  <si>
    <t>https://docs.google.com/forms/d/e/1FAIpQLSeQ0wUAy9WJrwwZ_8x6kCxvJSihLYtbLF2nbMncVH08fybLWQ/viewform?edit2=2_ABaOnuf4K9IQUxscp3lgAagSkUYhOJsAWEP1fgwLwYzdDe1euM5mrusTGPZhnGX2Rw0o-tQ</t>
  </si>
  <si>
    <t>Rajesh kumar</t>
  </si>
  <si>
    <t>250gms silver Ganesh ji Murti</t>
  </si>
  <si>
    <t>https://docs.google.com/forms/d/e/1FAIpQLSeQ0wUAy9WJrwwZ_8x6kCxvJSihLYtbLF2nbMncVH08fybLWQ/viewform?edit2=2_ABaOnucfa3_6L7vGwMYb8MA_v5AbY47MfgsyvfBlI3j9F2G2NY7isurKueRiiDlkZUZurl8</t>
  </si>
  <si>
    <t>Seema Singhal</t>
  </si>
  <si>
    <t>https://docs.google.com/forms/d/e/1FAIpQLSeQ0wUAy9WJrwwZ_8x6kCxvJSihLYtbLF2nbMncVH08fybLWQ/viewform?edit2=2_ABaOnuclFc15YA5nATqiNKij17YlJxKH7y_89fUIcx4l0j-iblxEWaFwNYR4BhykdAcXsL4</t>
  </si>
  <si>
    <t>Udhav</t>
  </si>
  <si>
    <t>https://docs.google.com/forms/d/e/1FAIpQLSeQ0wUAy9WJrwwZ_8x6kCxvJSihLYtbLF2nbMncVH08fybLWQ/viewform?edit2=2_ABaOnudp-l9YAxRz_Yn1DK8IKQcB5qqSGGHK3ezN5PC8Ff-Z-IkwJ7Av6GnhzalIdu5W__g</t>
  </si>
  <si>
    <t>Rajni</t>
  </si>
  <si>
    <t>Necklace Set, Bangle</t>
  </si>
  <si>
    <t>https://docs.google.com/forms/d/e/1FAIpQLSeQ0wUAy9WJrwwZ_8x6kCxvJSihLYtbLF2nbMncVH08fybLWQ/viewform?edit2=2_ABaOnufNYO0qo3tR1eeQhGFZ2k7rO62Xeaj4BNFuJtluMJCJGxelGboGOTzetC9rf9hbX3U</t>
  </si>
  <si>
    <t xml:space="preserve">Ranbeer Kaur </t>
  </si>
  <si>
    <t>Evil Eye Ring</t>
  </si>
  <si>
    <t>https://docs.google.com/forms/d/e/1FAIpQLSeQ0wUAy9WJrwwZ_8x6kCxvJSihLYtbLF2nbMncVH08fybLWQ/viewform?edit2=2_ABaOnucqVtl4zUDh0tJMPCSLV6RLyrm1JgRjDqXkM8PXHJq5hcgE84yQVd84qv2OOcMc2jQ</t>
  </si>
  <si>
    <t>amit jain</t>
  </si>
  <si>
    <t>seven line neckless</t>
  </si>
  <si>
    <t>https://docs.google.com/forms/d/e/1FAIpQLSeQ0wUAy9WJrwwZ_8x6kCxvJSihLYtbLF2nbMncVH08fybLWQ/viewform?edit2=2_ABaOnue_MMUxVAVf84KpHqkxLLonL5xXOffnBuBtBPVeqpxDejsXYpRvbYeSIn8ktT6ZwRU</t>
  </si>
  <si>
    <t>Kunal Gandhi</t>
  </si>
  <si>
    <t>Solitaire, 1.9 se 2.1 round shape</t>
  </si>
  <si>
    <t>https://docs.google.com/forms/d/e/1FAIpQLSeQ0wUAy9WJrwwZ_8x6kCxvJSihLYtbLF2nbMncVH08fybLWQ/viewform?edit2=2_ABaOnudiM9nr3z_r171_I7q94AQqlybDvHR-HaVBBF8yyMWZkTqX5SASzQF-WImLmWNhEqc</t>
  </si>
  <si>
    <t>Guddu</t>
  </si>
  <si>
    <t xml:space="preserve">Earring / Tops, Necklace Set, Bangle, Bracelet Polki, Tennis Bracelet Diamond, Polki Gajra </t>
  </si>
  <si>
    <t>https://docs.google.com/forms/d/e/1FAIpQLSeQ0wUAy9WJrwwZ_8x6kCxvJSihLYtbLF2nbMncVH08fybLWQ/viewform?edit2=2_ABaOnudrpChFgjSPGylDAKfJxglVuFREbzwhilpqUZWWpFbKf4Mldj3wHNtFU5OV11z1NEQ</t>
  </si>
  <si>
    <t>Manish ji</t>
  </si>
  <si>
    <t>50grm rectangle silver coins 12pcs</t>
  </si>
  <si>
    <t>https://docs.google.com/forms/d/e/1FAIpQLSeQ0wUAy9WJrwwZ_8x6kCxvJSihLYtbLF2nbMncVH08fybLWQ/viewform?edit2=2_ABaOnucOfATbQBLlhijUMFmDsfitGtWqvHZN-yzdNVpEUsPysmdxFz5lY7xPY8-vUqrKV2c</t>
  </si>
  <si>
    <t>Ajay ji C/O nidhi ji muradabad</t>
  </si>
  <si>
    <t xml:space="preserve">Polki Goods </t>
  </si>
  <si>
    <t>https://docs.google.com/forms/d/e/1FAIpQLSeQ0wUAy9WJrwwZ_8x6kCxvJSihLYtbLF2nbMncVH08fybLWQ/viewform?edit2=2_ABaOnuc120N4pHsySMEW5lYaXrdbntkl1pai4SGzGOPJk7JGs2XUH4QA5RiwsBI3OGkGwac</t>
  </si>
  <si>
    <t>deepankar</t>
  </si>
  <si>
    <t>Gents Bracelet / Kada, Gents kada 30gm</t>
  </si>
  <si>
    <t>https://docs.google.com/forms/d/e/1FAIpQLSeQ0wUAy9WJrwwZ_8x6kCxvJSihLYtbLF2nbMncVH08fybLWQ/viewform?edit2=2_ABaOnucnYiA1OV4C4C_4Hb4W8GRXWOwElinUyIZTd11IM1HaGbqErGGJyUbnmpYyklfMNMg</t>
  </si>
  <si>
    <t>DR Sunita</t>
  </si>
  <si>
    <t>https://docs.google.com/forms/d/e/1FAIpQLSeQ0wUAy9WJrwwZ_8x6kCxvJSihLYtbLF2nbMncVH08fybLWQ/viewform?edit2=2_ABaOnufgWzeGp9Gk-CqS4lIGQfsuXAi-7Lm_SaXpgCKS1I__KJ6PIsrtDcYeJscFb8tmGNU</t>
  </si>
  <si>
    <t xml:space="preserve">sheenu </t>
  </si>
  <si>
    <t>diamond watch</t>
  </si>
  <si>
    <t>https://docs.google.com/forms/d/e/1FAIpQLSeQ0wUAy9WJrwwZ_8x6kCxvJSihLYtbLF2nbMncVH08fybLWQ/viewform?edit2=2_ABaOnueT8AQrAPKkOXKIou0Ljy_cyOwwnfRoXg6UUcU_yuTOXPDA5O-eb5ZxL-wIVgQa--w</t>
  </si>
  <si>
    <t>kako did</t>
  </si>
  <si>
    <t>moonga 9.25 r 800 to 1500 rate</t>
  </si>
  <si>
    <t>https://docs.google.com/forms/d/e/1FAIpQLSeQ0wUAy9WJrwwZ_8x6kCxvJSihLYtbLF2nbMncVH08fybLWQ/viewform?edit2=2_ABaOnuf_HJtVU7Pbzh29Zlndnz-fnVZUKkdvySQhWOzcfoqv5BDTK9nxV-ScrKr2H9D_K8A</t>
  </si>
  <si>
    <t xml:space="preserve">Farhana ji </t>
  </si>
  <si>
    <t>5-6 ct pair ISI2</t>
  </si>
  <si>
    <t>https://docs.google.com/forms/d/e/1FAIpQLSeQ0wUAy9WJrwwZ_8x6kCxvJSihLYtbLF2nbMncVH08fybLWQ/viewform?edit2=2_ABaOnueMDp_6fYXBCGp7UwPyxl-ZyyPJa38qne1pOvNQHWWGbOJqqvrB32WkY35BEDEPezQ</t>
  </si>
  <si>
    <t xml:space="preserve">Paras ji </t>
  </si>
  <si>
    <t>2.00 solitaire  I colour</t>
  </si>
  <si>
    <t>https://docs.google.com/forms/d/e/1FAIpQLSeQ0wUAy9WJrwwZ_8x6kCxvJSihLYtbLF2nbMncVH08fybLWQ/viewform?edit2=2_ABaOnueCcR2_gTYbanUAWKBmbO1PlComUsLyiDQAhXxvdoAhNYypMs5qwTzsGCTO5SojP5M</t>
  </si>
  <si>
    <t xml:space="preserve">khushboo UK </t>
  </si>
  <si>
    <t>cartier bangles</t>
  </si>
  <si>
    <t>https://docs.google.com/forms/d/e/1FAIpQLSeQ0wUAy9WJrwwZ_8x6kCxvJSihLYtbLF2nbMncVH08fybLWQ/viewform?edit2=2_ABaOnudxohUfxUZ6fJI8GzIfQB9OyTOTDL7XkHVpJguFowe0LSy2QFsdDbPQ1370ZZS_DgI</t>
  </si>
  <si>
    <t xml:space="preserve">Rahul puri </t>
  </si>
  <si>
    <t>Anniversary</t>
  </si>
  <si>
    <t>earrings / bracelets</t>
  </si>
  <si>
    <t>https://docs.google.com/forms/d/e/1FAIpQLSeQ0wUAy9WJrwwZ_8x6kCxvJSihLYtbLF2nbMncVH08fybLWQ/viewform?edit2=2_ABaOnuchDGCTwbul0DknTph5fF7C028TCBh3UMu1Z70_WGmX0IurYv9UgcUG3y5NwoMyN8M</t>
  </si>
  <si>
    <t xml:space="preserve">anita chawla </t>
  </si>
  <si>
    <t>KITTY</t>
  </si>
  <si>
    <t>https://docs.google.com/forms/d/e/1FAIpQLSeQ0wUAy9WJrwwZ_8x6kCxvJSihLYtbLF2nbMncVH08fybLWQ/viewform?edit2=2_ABaOnuc4vDjrG5xIHayWXXJKnkg4kzc1S_x3722JChUO24G_18dfEUeCQOtTHpFVZDCuCJI</t>
  </si>
  <si>
    <t>Dimple ji Noida</t>
  </si>
  <si>
    <t>Wax Ganesh ji  25 pc</t>
  </si>
  <si>
    <t>https://docs.google.com/forms/d/e/1FAIpQLSeQ0wUAy9WJrwwZ_8x6kCxvJSihLYtbLF2nbMncVH08fybLWQ/viewform?edit2=2_ABaOnufNut66MTSlk-TcieDjMQTyFFuRG3tqUbMUKHvcepw5dBkuJ96lBqaLdgxoouPXKL0</t>
  </si>
  <si>
    <t>Chandigarh</t>
  </si>
  <si>
    <t>diamond pacheli’s, diamonds bangle</t>
  </si>
  <si>
    <t>https://drive.google.com/open?id=1f-CTGJCPGjgoUiyzw3z0KmHJi3czi8OZ</t>
  </si>
  <si>
    <t>https://docs.google.com/forms/d/e/1FAIpQLSeQ0wUAy9WJrwwZ_8x6kCxvJSihLYtbLF2nbMncVH08fybLWQ/viewform?edit2=2_ABaOnue-DiJAp5O9eWsgXJnO4ENz5ayU-mgWBYqutNgS3t08dpaRPSLMj9TLI1YdUSNbKHc</t>
  </si>
  <si>
    <t>Pooja ji noida</t>
  </si>
  <si>
    <t>sunseajwellers@yahoo.com</t>
  </si>
  <si>
    <t>https://docs.google.com/forms/d/e/1FAIpQLSeQ0wUAy9WJrwwZ_8x6kCxvJSihLYtbLF2nbMncVH08fybLWQ/viewform?edit2=2_ABaOnuftV4C3G1pef-ceT8DDbk-x93rb_lV45Ng6oP4V30qLZczBfBl8F6BwZw-FUH2IZig</t>
  </si>
  <si>
    <t>Amit gupta</t>
  </si>
  <si>
    <t>Solitaire, Gold 24kt</t>
  </si>
  <si>
    <t>Gents Ring, Solitaire Ring</t>
  </si>
  <si>
    <t>2.5 ,3 ct pcs i vs, 1kg, 100 ginni, 100*100gm silver</t>
  </si>
  <si>
    <t>https://docs.google.com/forms/d/e/1FAIpQLSeQ0wUAy9WJrwwZ_8x6kCxvJSihLYtbLF2nbMncVH08fybLWQ/viewform?edit2=2_ABaOnufgoU1QfuFrfAyUXtJgsVFVddJVkn0T4LMQIZM9dFezEaXBEu_5v_QTOdAXVY7eb5c</t>
  </si>
  <si>
    <t>Kapila mam</t>
  </si>
  <si>
    <t>5 ct pair @2.5</t>
  </si>
  <si>
    <t>https://docs.google.com/forms/d/e/1FAIpQLSeQ0wUAy9WJrwwZ_8x6kCxvJSihLYtbLF2nbMncVH08fybLWQ/viewform?edit2=2_ABaOnuelOOU1nGALq7dTzZPccNKw_ibPC8-9JSTLQ4V8QAYwPwPUdCLTeME45UMToxA7E18</t>
  </si>
  <si>
    <t>Sheela aunty</t>
  </si>
  <si>
    <t>Earring / Tops, Bangle</t>
  </si>
  <si>
    <t>1000+</t>
  </si>
  <si>
    <t>Bangle princess 30-35 pointer white @ 80k , mb, jagdish, sim. Pair 1.5+1.5 @6_8 range</t>
  </si>
  <si>
    <t>https://docs.google.com/forms/d/e/1FAIpQLSeQ0wUAy9WJrwwZ_8x6kCxvJSihLYtbLF2nbMncVH08fybLWQ/viewform?edit2=2_ABaOnufeEYtLhkN7SwzRMfhsylYa7xc_xmJc_QoXy4Q9j99Y8Xe0woDDHHQPKWMYtpkZ6Y0</t>
  </si>
  <si>
    <t>Jalan anand</t>
  </si>
  <si>
    <t>2.5+2.5 princess i vs less 35 quote</t>
  </si>
  <si>
    <t>https://docs.google.com/forms/d/e/1FAIpQLSeQ0wUAy9WJrwwZ_8x6kCxvJSihLYtbLF2nbMncVH08fybLWQ/viewform?edit2=2_ABaOnueXOwq4Y-JT0phw7xu8IxLlLY-Fi-SAuczs7Bh62KapmL5761yXglMJU2DfrYB0ZjM</t>
  </si>
  <si>
    <t xml:space="preserve">silver coins  100 gm round and rectangle </t>
  </si>
  <si>
    <t xml:space="preserve">100gm </t>
  </si>
  <si>
    <t>saurav sir</t>
  </si>
  <si>
    <t>cshk04@gmail.com</t>
  </si>
  <si>
    <t>https://docs.google.com/forms/d/e/1FAIpQLSeQ0wUAy9WJrwwZ_8x6kCxvJSihLYtbLF2nbMncVH08fybLWQ/viewform?edit2=2_ABaOnuf5w3sBsavuh0bmgJN_kND4jFNPEwo1yb6Lz96TTh92hIwgk-c3kKFlmRb87yWvIuA</t>
  </si>
  <si>
    <t>Anand Jalan</t>
  </si>
  <si>
    <t>Princess tops pair hi vvs vs</t>
  </si>
  <si>
    <t>https://docs.google.com/forms/d/e/1FAIpQLSeQ0wUAy9WJrwwZ_8x6kCxvJSihLYtbLF2nbMncVH08fybLWQ/viewform?edit2=2_ABaOnueMicjvUg6Y6qt23wkRjX7hHzwI92VOIaw6Mh261rWjGIVR6PGu57clXiOgrghQ6gY</t>
  </si>
  <si>
    <t>Coin</t>
  </si>
  <si>
    <t>3 coins 5 GM each 31680 per coin cut</t>
  </si>
  <si>
    <t>https://docs.google.com/forms/d/e/1FAIpQLSeQ0wUAy9WJrwwZ_8x6kCxvJSihLYtbLF2nbMncVH08fybLWQ/viewform?edit2=2_ABaOnucPbUary0OuQPU2QpZZ81EOuye-qOKWmf467c4CMNqmDcCjVR8RrGeSJAIzAxCP9yA</t>
  </si>
  <si>
    <t>Sanjay kalsi</t>
  </si>
  <si>
    <t>6-8 Ratti oval emerald @20-25k</t>
  </si>
  <si>
    <t>https://docs.google.com/forms/d/e/1FAIpQLSeQ0wUAy9WJrwwZ_8x6kCxvJSihLYtbLF2nbMncVH08fybLWQ/viewform?edit2=2_ABaOnuet6mH1yfXEnjEolPnzbIVM6d9CvITQBGlci6U65gEEq96UfcRldcrNfUoYWeDzHnE</t>
  </si>
  <si>
    <t xml:space="preserve">Dr Neerja johar </t>
  </si>
  <si>
    <t>1.8-2.0 ct and 2.8-3.0 ct emerald cut soli hi vvs vs</t>
  </si>
  <si>
    <t>Dr Puri</t>
  </si>
  <si>
    <t>https://docs.google.com/forms/d/e/1FAIpQLSeQ0wUAy9WJrwwZ_8x6kCxvJSihLYtbLF2nbMncVH08fybLWQ/viewform?edit2=2_ABaOnuflSyKXdTaexBs2PWglLydhWhmsURyfoyFltp1HCXtdu3uhpDCZ8mW5cAaGhIW8-uw</t>
  </si>
  <si>
    <t>Dr Aarti puri sis</t>
  </si>
  <si>
    <t>250-500</t>
  </si>
  <si>
    <t>Round 1 ct cert soli hi vs kind</t>
  </si>
  <si>
    <t>https://docs.google.com/forms/d/e/1FAIpQLSeQ0wUAy9WJrwwZ_8x6kCxvJSihLYtbLF2nbMncVH08fybLWQ/viewform?edit2=2_ABaOnuedP-4zez5W5d7KkYEe6ZhCP1EQSW6tY3pvA9M8V1BAfCP-dTcI6DnIvbXJsJNlrno</t>
  </si>
  <si>
    <t xml:space="preserve">aadya srivastav </t>
  </si>
  <si>
    <t>Himanshi</t>
  </si>
  <si>
    <t>Instagram / Facebook</t>
  </si>
  <si>
    <t>https://docs.google.com/forms/d/e/1FAIpQLSeQ0wUAy9WJrwwZ_8x6kCxvJSihLYtbLF2nbMncVH08fybLWQ/viewform?edit2=2_ABaOnueH31Uklg9fWjdQGATRS3zbLKAWVcc0aKWGWuKzrHJJg6wTOYsj0guXePBBHW8hgC8</t>
  </si>
  <si>
    <t xml:space="preserve">Dr. Sagar soni </t>
  </si>
  <si>
    <t>https://docs.google.com/forms/d/e/1FAIpQLSeQ0wUAy9WJrwwZ_8x6kCxvJSihLYtbLF2nbMncVH08fybLWQ/viewform?edit2=2_ABaOnudyHNEzwAwLXyQE1d5bL6BrElV8tYMh8h7BXbyrQrPnnuyDd4UV7atzmGrfgjBCJHE</t>
  </si>
  <si>
    <t xml:space="preserve">Ankita bansal </t>
  </si>
  <si>
    <t>https://docs.google.com/forms/d/e/1FAIpQLSeQ0wUAy9WJrwwZ_8x6kCxvJSihLYtbLF2nbMncVH08fybLWQ/viewform?edit2=2_ABaOnucBJdzAd2HiMea-gfygGGHsxwr7zzS9BRNMaTcvJ1eUIbbJ_qVYrpfyRPqAki8LmxU</t>
  </si>
  <si>
    <t xml:space="preserve">Vidhi bansal </t>
  </si>
  <si>
    <t xml:space="preserve">Ladies Bracelet / Kada, </t>
  </si>
  <si>
    <t>https://docs.google.com/forms/d/e/1FAIpQLSeQ0wUAy9WJrwwZ_8x6kCxvJSihLYtbLF2nbMncVH08fybLWQ/viewform?edit2=2_ABaOnudD8zYfLoASAgc_rvK5f_WNjSCPio9DolZWYfyqiNgOy_5luOVwKWnT6WMNbXK4A9w</t>
  </si>
  <si>
    <t xml:space="preserve">Neha pathak </t>
  </si>
  <si>
    <t>https://docs.google.com/forms/d/e/1FAIpQLSeQ0wUAy9WJrwwZ_8x6kCxvJSihLYtbLF2nbMncVH08fybLWQ/viewform?edit2=2_ABaOnueBCAhj0nTboykTQfZDOR8l72GltJ-Oy5ye_9Aam3vSXVBvJLOKlffc7Bw42lo9_8Q</t>
  </si>
  <si>
    <t xml:space="preserve">Eeshita Dewan </t>
  </si>
  <si>
    <t>https://docs.google.com/forms/d/e/1FAIpQLSeQ0wUAy9WJrwwZ_8x6kCxvJSihLYtbLF2nbMncVH08fybLWQ/viewform?edit2=2_ABaOnudNFPrK2OJyS-26lPfgYYEyAtNOrh1OKNEB6OvEimtG1Ipree2VBgqSnRINTCNNa90</t>
  </si>
  <si>
    <t xml:space="preserve">Srishti gaurav </t>
  </si>
  <si>
    <t>https://docs.google.com/forms/d/e/1FAIpQLSeQ0wUAy9WJrwwZ_8x6kCxvJSihLYtbLF2nbMncVH08fybLWQ/viewform?edit2=2_ABaOnuc9fOyYcSzV9BCRftRINCLiiysJ1T0Z-VLhtf618c_xvJd_543rrFfW-hN9-BsJ9NE</t>
  </si>
  <si>
    <t>Charu gandhawa</t>
  </si>
  <si>
    <t>https://docs.google.com/forms/d/e/1FAIpQLSeQ0wUAy9WJrwwZ_8x6kCxvJSihLYtbLF2nbMncVH08fybLWQ/viewform?edit2=2_ABaOnuf-nRgAXPdLhsP9pd8OBxctauWwt5Evrqi-qf6324KzZcX7XsYXnOEpVb1lJHUvh4o</t>
  </si>
  <si>
    <t xml:space="preserve">vidhi bansal </t>
  </si>
  <si>
    <t>https://docs.google.com/forms/d/e/1FAIpQLSeQ0wUAy9WJrwwZ_8x6kCxvJSihLYtbLF2nbMncVH08fybLWQ/viewform?edit2=2_ABaOnucU_trc7fvF7xXCu--cn3v8qz35xtXumwbAWMtVBIay8zyx9ijdZRI45YjRnOeHNQw</t>
  </si>
  <si>
    <t>Sonal shalimar</t>
  </si>
  <si>
    <t>Ginni</t>
  </si>
  <si>
    <t>100 8 gm</t>
  </si>
  <si>
    <t>https://docs.google.com/forms/d/e/1FAIpQLSeQ0wUAy9WJrwwZ_8x6kCxvJSihLYtbLF2nbMncVH08fybLWQ/viewform?edit2=2_ABaOnufuarr1m6UbRJcVtISlo_v4Yy0gAxfhb9wU2U0lmRuDSnwvzq9H9sdLiKE-s40VOvA</t>
  </si>
  <si>
    <t xml:space="preserve">SHASHI KANT </t>
  </si>
  <si>
    <t>500-750</t>
  </si>
  <si>
    <t>FANCY SHAPES KA PENDANT SET</t>
  </si>
  <si>
    <t>https://docs.google.com/forms/d/e/1FAIpQLSeQ0wUAy9WJrwwZ_8x6kCxvJSihLYtbLF2nbMncVH08fybLWQ/viewform?edit2=2_ABaOnufpCO6LRYJc1lyInm_v-aFtStFU-JFCod8E0zrknVMrUADVEvovP_OD-UIyZCcFlaY</t>
  </si>
  <si>
    <t>diviya gupta</t>
  </si>
  <si>
    <t>purse</t>
  </si>
  <si>
    <t>silvr purse for gifting range 15k</t>
  </si>
  <si>
    <t>Anjali</t>
  </si>
  <si>
    <t>https://docs.google.com/forms/d/e/1FAIpQLSeQ0wUAy9WJrwwZ_8x6kCxvJSihLYtbLF2nbMncVH08fybLWQ/viewform?edit2=2_ABaOnud12Do1TJ8oAF7FF6hbMhhf7jD6FEHrSt4se3B0VDW6UzOf9Z3Se6louPisoJCDJCg</t>
  </si>
  <si>
    <t>Amita thapar</t>
  </si>
  <si>
    <t>2.5+2.5 @ 200-250 round pair</t>
  </si>
  <si>
    <t>https://docs.google.com/forms/d/e/1FAIpQLSeQ0wUAy9WJrwwZ_8x6kCxvJSihLYtbLF2nbMncVH08fybLWQ/viewform?edit2=2_ABaOnucG92v-LHXtm6Mk4pO_6USR80Y21UKx9jMFCB5ssJMdwJ3N4097n73K3DzPoDBL1uY</t>
  </si>
  <si>
    <t>Gaurav raipur</t>
  </si>
  <si>
    <t>Bracelet 1.25</t>
  </si>
  <si>
    <t>https://docs.google.com/forms/d/e/1FAIpQLSeQ0wUAy9WJrwwZ_8x6kCxvJSihLYtbLF2nbMncVH08fybLWQ/viewform?edit2=2_ABaOnuf7Vh7VlCVd2HAM0IPzJAexSt79k-nBGKu70Du5OK2x7uOuszJ7V6KP4_WV5cof7yQ</t>
  </si>
  <si>
    <t>Dhruv sir</t>
  </si>
  <si>
    <t xml:space="preserve"> silver baby items</t>
  </si>
  <si>
    <t>https://docs.google.com/forms/d/e/1FAIpQLSeQ0wUAy9WJrwwZ_8x6kCxvJSihLYtbLF2nbMncVH08fybLWQ/viewform?edit2=2_ABaOnufy_RYwBy3YJNbKuu2cMzm1o2mvGRWXEaJ19OEZihwHNWziv3oYSphOdbysTiOpQwY</t>
  </si>
  <si>
    <t xml:space="preserve">Dhruv sir </t>
  </si>
  <si>
    <t>https://docs.google.com/forms/d/e/1FAIpQLSeQ0wUAy9WJrwwZ_8x6kCxvJSihLYtbLF2nbMncVH08fybLWQ/viewform?edit2=2_ABaOnuf3EgemDqFjcY1VqhlfEl8UOJTiMfQGk2oRgpasSBidayXrXdddETYRrQsRq8P6aMw</t>
  </si>
  <si>
    <t>Priyanka bansali</t>
  </si>
  <si>
    <t>+919318440048</t>
  </si>
  <si>
    <t>4 range mein tennis bracelet chaiye mkx shaoes or full round mein</t>
  </si>
  <si>
    <t>https://docs.google.com/forms/d/e/1FAIpQLSeQ0wUAy9WJrwwZ_8x6kCxvJSihLYtbLF2nbMncVH08fybLWQ/viewform?edit2=2_ABaOnufPlrb8lXPNpvCRDfAioyYdTSN4Z13j_JAFuVtfngqFBrHL53TYARQRdWDvOmXipwo</t>
  </si>
  <si>
    <t>Single line bangle 1 ct size</t>
  </si>
  <si>
    <t>https://docs.google.com/forms/d/e/1FAIpQLSeQ0wUAy9WJrwwZ_8x6kCxvJSihLYtbLF2nbMncVH08fybLWQ/viewform?edit2=2_ABaOnud1eiEUb5QbKCL9OY0PcEvjFd1Umfo3KiOtPUpJt6Ei1WSila-DwfLdbIV90McSMhQ</t>
  </si>
  <si>
    <t>Mohita ji</t>
  </si>
  <si>
    <t>H vs 1 1 pair</t>
  </si>
  <si>
    <t>https://docs.google.com/forms/d/e/1FAIpQLSeQ0wUAy9WJrwwZ_8x6kCxvJSihLYtbLF2nbMncVH08fybLWQ/viewform?edit2=2_ABaOnucrNLMiIZkDKkOc2CJEEVA1zWeBRwaG-U1LgI1gw0V0qi6lRXNQPIuUtWywCekrXlQ</t>
  </si>
  <si>
    <t xml:space="preserve">Aarti Aunty   </t>
  </si>
  <si>
    <t>9 810062881</t>
  </si>
  <si>
    <t>solitaire Tops</t>
  </si>
  <si>
    <t>https://docs.google.com/forms/d/e/1FAIpQLSeQ0wUAy9WJrwwZ_8x6kCxvJSihLYtbLF2nbMncVH08fybLWQ/viewform?edit2=2_ABaOnueeUIqaN4PL8MqLPBx3Gd2QyfwjKOXUKUwESBXNTY1rDsWVh9x35k6aQuUx9bnkaL0</t>
  </si>
  <si>
    <t>Mohita varun</t>
  </si>
  <si>
    <t>+919871320724</t>
  </si>
  <si>
    <t>Earring / Tops, Solitaire</t>
  </si>
  <si>
    <t>1+1 ct pc</t>
  </si>
  <si>
    <t>https://docs.google.com/forms/d/e/1FAIpQLSeQ0wUAy9WJrwwZ_8x6kCxvJSihLYtbLF2nbMncVH08fybLWQ/viewform?edit2=2_ABaOnufVoJiyodvEXW1oDx2OpLMZF-F1cyfBSsaVnBTLxlwDR6pTnnYfgyqktCxbPQF1buw</t>
  </si>
  <si>
    <t xml:space="preserve"> Dipti ji</t>
  </si>
  <si>
    <t>Italiyan bracelet</t>
  </si>
  <si>
    <t>Not confirm budget</t>
  </si>
  <si>
    <t>https://docs.google.com/forms/d/e/1FAIpQLSeQ0wUAy9WJrwwZ_8x6kCxvJSihLYtbLF2nbMncVH08fybLWQ/viewform?edit2=2_ABaOnueWUnje8TiAWeNICFIl3kT0UqujAMvwzcbW8uj9OuOEqYVmuwls1duyVwlL90nS3Bs</t>
  </si>
  <si>
    <t>Deepanshu</t>
  </si>
  <si>
    <t>Bluesapphire 5.25</t>
  </si>
  <si>
    <t>https://docs.google.com/forms/d/e/1FAIpQLSeQ0wUAy9WJrwwZ_8x6kCxvJSihLYtbLF2nbMncVH08fybLWQ/viewform?edit2=2_ABaOnufb4FTCF6JJgVcBwDJAEZkxgIDv-SfscETZHLWY-X63leWlYn8wOCE4ZvzSgTV1E1o</t>
  </si>
  <si>
    <t>Tarun bhaiya bhabhi</t>
  </si>
  <si>
    <t>Princess pair 1.5 each cvd</t>
  </si>
  <si>
    <t>https://docs.google.com/forms/d/e/1FAIpQLSeQ0wUAy9WJrwwZ_8x6kCxvJSihLYtbLF2nbMncVH08fybLWQ/viewform?edit2=2_ABaOnueU4lGSeuhh2X0xAEp4MuULJVxa_9BWILZAh-6R9Fvyg5aSMcE8mBWr5pbtirCWcBI</t>
  </si>
  <si>
    <t>Sheenu Aggarwal Gupta</t>
  </si>
  <si>
    <t>watch</t>
  </si>
  <si>
    <t>https://drive.google.com/open?id=12mAbwt0wvLbsClF5F0V7sABZloQEkpw8</t>
  </si>
  <si>
    <t>old</t>
  </si>
  <si>
    <t>https://docs.google.com/forms/d/e/1FAIpQLSeQ0wUAy9WJrwwZ_8x6kCxvJSihLYtbLF2nbMncVH08fybLWQ/viewform?edit2=2_ABaOnucnsOuo74yO6Kc6cNzBxQW0HybsMEd1rfZOCwqUAfOmyYhy7LFtp3ftTkScLygIZk0</t>
  </si>
  <si>
    <t>Neil singh</t>
  </si>
  <si>
    <t xml:space="preserve">band </t>
  </si>
  <si>
    <t>https://drive.google.com/open?id=1yESwV1QeEMyNZWm-9Bi5JA3A-8QCgdnF</t>
  </si>
  <si>
    <t>New</t>
  </si>
  <si>
    <t>https://docs.google.com/forms/d/e/1FAIpQLSeQ0wUAy9WJrwwZ_8x6kCxvJSihLYtbLF2nbMncVH08fybLWQ/viewform?edit2=2_ABaOnufawexIcIbg600RuoeZtRS4Oe_zhM2OF7W-q2MgEGri5bXA-oDxoheAdlUfws1fzh8</t>
  </si>
  <si>
    <t xml:space="preserve">Pardeep sachdeva </t>
  </si>
  <si>
    <t>chain</t>
  </si>
  <si>
    <t>https://drive.google.com/open?id=1LHiwR7mLlT7rTj3dErm1iFfVR4V174Hr</t>
  </si>
  <si>
    <t>https://docs.google.com/forms/d/e/1FAIpQLSeQ0wUAy9WJrwwZ_8x6kCxvJSihLYtbLF2nbMncVH08fybLWQ/viewform?edit2=2_ABaOnudM-t_kQjrpN-qpwQGvVQuJNCY1rBBY8udWFdntHwLHodMezSesGbEpYFCnT1rRhiQ</t>
  </si>
  <si>
    <t>Archana goel</t>
  </si>
  <si>
    <t>Pandent</t>
  </si>
  <si>
    <t>https://drive.google.com/open?id=1C_HpP_jpRmj0obPoddA4QCRoG5e2n_yF</t>
  </si>
  <si>
    <t>https://docs.google.com/forms/d/e/1FAIpQLSeQ0wUAy9WJrwwZ_8x6kCxvJSihLYtbLF2nbMncVH08fybLWQ/viewform?edit2=2_ABaOnudQQmaoUO0cfPjpR2Aq6fpz-a8uDDosZtPW6ZG7Zf07QcuvkxMb2IlC0XPJ1BXU580</t>
  </si>
  <si>
    <t>Suman kalra</t>
  </si>
  <si>
    <t>https://drive.google.com/open?id=1uMPI5hDWfzuPMP5KL-9BbN4_k8htvAIr</t>
  </si>
  <si>
    <t>https://docs.google.com/forms/d/e/1FAIpQLSeQ0wUAy9WJrwwZ_8x6kCxvJSihLYtbLF2nbMncVH08fybLWQ/viewform?edit2=2_ABaOnudu5LE9BNtYCfZ3TCgTCbMJ-bHwuDznmXr473eQfqucaB6AIQph6ZUywnCmoRYxG4o</t>
  </si>
  <si>
    <t xml:space="preserve">gold coin </t>
  </si>
  <si>
    <t>gold coin</t>
  </si>
  <si>
    <t>https://docs.google.com/forms/d/e/1FAIpQLSeQ0wUAy9WJrwwZ_8x6kCxvJSihLYtbLF2nbMncVH08fybLWQ/viewform?edit2=2_ABaOnufWjQZmtV6IlErcjfxRSxlwWK6EOIANPRrcVbedJh-bgnG4TeCjeQeZPIteuuMHexE</t>
  </si>
  <si>
    <t>Pooja maami ji</t>
  </si>
  <si>
    <t>solitaire</t>
  </si>
  <si>
    <t>https://drive.google.com/open?id=164Jgt-Et-Fw-a8sWvFup1H60paQpRwQE</t>
  </si>
  <si>
    <t>https://docs.google.com/forms/d/e/1FAIpQLSeQ0wUAy9WJrwwZ_8x6kCxvJSihLYtbLF2nbMncVH08fybLWQ/viewform?edit2=2_ABaOnudLsFoP6E5cZXQBP4ZtJ6DWOPIJ0Mn2WuawgbU5rGfD5tNOnp_T3cv2bqswj3ky7Jk</t>
  </si>
  <si>
    <t>Bci Puneet ji</t>
  </si>
  <si>
    <t>ring</t>
  </si>
  <si>
    <t>https://drive.google.com/open?id=1V6dBng1B1w2zByWN7F4a4ABFqrQOar2b</t>
  </si>
  <si>
    <t>reference</t>
  </si>
  <si>
    <t>https://docs.google.com/forms/d/e/1FAIpQLSeQ0wUAy9WJrwwZ_8x6kCxvJSihLYtbLF2nbMncVH08fybLWQ/viewform?edit2=2_ABaOnucElteMb5-47tY-kMVC4f4wweIomCwYV0UA26cz4AV3Xe2MN62a2HTuOZjMDaFw63I</t>
  </si>
  <si>
    <t>Somna aggarwal</t>
  </si>
  <si>
    <t>4.5 se 5 ct ki jodi chaiye @ 200 ke bhav aur koi single line ki string range 3-4 normal not cluster diamonds</t>
  </si>
  <si>
    <t>https://drive.google.com/open?id=1wKZxByxHEHM57JZPcF3jlYXy2XAvj2g1</t>
  </si>
  <si>
    <t>https://docs.google.com/forms/d/e/1FAIpQLSeQ0wUAy9WJrwwZ_8x6kCxvJSihLYtbLF2nbMncVH08fybLWQ/viewform?edit2=2_ABaOnuezwPC9bE4SZQbBopq-NKEqVHqfmjzdtZCEZEI2Mu9W1hllXOki0pSspGeUXV48yYU</t>
  </si>
  <si>
    <t>Priyanka</t>
  </si>
  <si>
    <t>gold bracelet with diamond</t>
  </si>
  <si>
    <t>https://drive.google.com/open?id=1IwX-Whwu6Dms_YxT9xiZuEb3-sdBcFG6</t>
  </si>
  <si>
    <t>https://docs.google.com/forms/d/e/1FAIpQLSeQ0wUAy9WJrwwZ_8x6kCxvJSihLYtbLF2nbMncVH08fybLWQ/viewform?edit2=2_ABaOnuf0t608Da8e8ktviBvJNwV1Q8JJK1M-4bG3Co81NBs1EuIZzmVsWHDLKFDRi6H_pm8</t>
  </si>
  <si>
    <t>Bhawna mamiji</t>
  </si>
  <si>
    <t>polki tops + diamond with gold</t>
  </si>
  <si>
    <t>https://drive.google.com/open?id=1uPN-MNDDvFbeHENzdTIED3Ga_2aKjGm8</t>
  </si>
  <si>
    <t>https://docs.google.com/forms/d/e/1FAIpQLSeQ0wUAy9WJrwwZ_8x6kCxvJSihLYtbLF2nbMncVH08fybLWQ/viewform?edit2=2_ABaOnufTiD16i8Uuac4UUOKseDdxFbMJn6kkmd0iioNIjyuaEEuVp5qpI0aXlXGp2VcSMxU</t>
  </si>
  <si>
    <t>seema makkar</t>
  </si>
  <si>
    <t>green emerald with diamond necklace</t>
  </si>
  <si>
    <t>https://drive.google.com/open?id=1pKr_UxvEXoVOTKvv3n1XDfTCE4oK4d_r</t>
  </si>
  <si>
    <t>https://docs.google.com/forms/d/e/1FAIpQLSeQ0wUAy9WJrwwZ_8x6kCxvJSihLYtbLF2nbMncVH08fybLWQ/viewform?edit2=2_ABaOnufUz-bV0u5eEgT0Bf7NDRZi7yKBHk14zlZca-fkO3NV9QOCAhUBr2YGQ5tz-Qg2Nkw</t>
  </si>
  <si>
    <t>Arti</t>
  </si>
  <si>
    <t xml:space="preserve">silver ring </t>
  </si>
  <si>
    <t>https://drive.google.com/open?id=1d4W6A0SruOAXrABUcY2eazckqGsixOFx</t>
  </si>
  <si>
    <t xml:space="preserve">old </t>
  </si>
  <si>
    <t>https://docs.google.com/forms/d/e/1FAIpQLSeQ0wUAy9WJrwwZ_8x6kCxvJSihLYtbLF2nbMncVH08fybLWQ/viewform?edit2=2_ABaOnueMbDJcn69vP2s0tUGf0VXVttHuwCC4FdSDBWgDmB3qRGJRAO1wVcq4CiyJ7t0MwO8</t>
  </si>
  <si>
    <t>Nidhi ji</t>
  </si>
  <si>
    <t>diamond or rose gold ladies kada</t>
  </si>
  <si>
    <t>https://drive.google.com/open?id=1jARFcTqSKpjmkobIEVQV9W8y-5FKKlV1</t>
  </si>
  <si>
    <t>https://docs.google.com/forms/d/e/1FAIpQLSeQ0wUAy9WJrwwZ_8x6kCxvJSihLYtbLF2nbMncVH08fybLWQ/viewform?edit2=2_ABaOnufQCKyRVN9iWGGBDUB9GoeYfTYxrO0HblV5msWGcyAlC4d1VsLbj8q5bcrhf9saHs0</t>
  </si>
  <si>
    <t>suman kalra</t>
  </si>
  <si>
    <t>silver gents kada</t>
  </si>
  <si>
    <t>Charul</t>
  </si>
  <si>
    <t>https://docs.google.com/forms/d/e/1FAIpQLSeQ0wUAy9WJrwwZ_8x6kCxvJSihLYtbLF2nbMncVH08fybLWQ/viewform?edit2=2_ABaOnudjqERGPL5zb5YNqfbqGKeGLxORC8g92xYbjIjiSVdfzDVMYq75mabzDyl6h4NzqDs</t>
  </si>
  <si>
    <t>Anita gangotra ji</t>
  </si>
  <si>
    <t>Gold 24kt, Silver</t>
  </si>
  <si>
    <t xml:space="preserve">gold coin  silver coin </t>
  </si>
  <si>
    <t>old coins-1 gm each and 5 sets of silver coins(king and queen)</t>
  </si>
  <si>
    <t>https://docs.google.com/forms/d/e/1FAIpQLSeQ0wUAy9WJrwwZ_8x6kCxvJSihLYtbLF2nbMncVH08fybLWQ/viewform?edit2=2_ABaOnucxOh5PcuTTMFx-LAb4oTIs-dTSBBjYsQ3wJVmPcAEsakb5TLPLQ5V706ztz-fSGjQ</t>
  </si>
  <si>
    <t xml:space="preserve">engagement rings </t>
  </si>
  <si>
    <t>https://docs.google.com/forms/d/e/1FAIpQLSeQ0wUAy9WJrwwZ_8x6kCxvJSihLYtbLF2nbMncVH08fybLWQ/viewform?edit2=2_ABaOnuesW9rXApGb5w1LJFXJdBFr2PD82We-gXrSYsVJfO1Lvf1i00zm2tejjmOFvnF8NcE</t>
  </si>
  <si>
    <t xml:space="preserve">Rama aunt </t>
  </si>
  <si>
    <t xml:space="preserve">Chain, Pendant, Silver Coins  50 gram -1 pc  25 gram’s-2 pc Chain and pendant </t>
  </si>
  <si>
    <t xml:space="preserve">Silver Coins  50 gram -1 pc  25 gram’s-2 pc Chain and pendant </t>
  </si>
  <si>
    <t>https://docs.google.com/forms/d/e/1FAIpQLSeQ0wUAy9WJrwwZ_8x6kCxvJSihLYtbLF2nbMncVH08fybLWQ/viewform?edit2=2_ABaOnucLXstIrEuq5YS_BTOlIAA0CLw2LjHNoXecscqyVBaPaJbQHEgRdM2LBHm0Z2zkRBQ</t>
  </si>
  <si>
    <t>Bhawna ji</t>
  </si>
  <si>
    <t>Diamond Jewellery, Gold, Gemstone</t>
  </si>
  <si>
    <t xml:space="preserve">Ladies Ring, emerald ring </t>
  </si>
  <si>
    <t>emerald ring</t>
  </si>
  <si>
    <t>https://docs.google.com/forms/d/e/1FAIpQLSeQ0wUAy9WJrwwZ_8x6kCxvJSihLYtbLF2nbMncVH08fybLWQ/viewform?edit2=2_ABaOnudETIN02hjO8-_LqVvE0zMJ_bCUaYJ3BXRb58HFRsHNDJmWVONv8aWsYhNEml1xlxo</t>
  </si>
  <si>
    <t xml:space="preserve"> Nitu di</t>
  </si>
  <si>
    <t>95605 38133</t>
  </si>
  <si>
    <t xml:space="preserve">gold coin 50 gm </t>
  </si>
  <si>
    <t xml:space="preserve">50 gm gold coin </t>
  </si>
  <si>
    <t>https://docs.google.com/forms/d/e/1FAIpQLSeQ0wUAy9WJrwwZ_8x6kCxvJSihLYtbLF2nbMncVH08fybLWQ/viewform?edit2=2_ABaOnuej_ti104RZmLY19OeUSdrk2UJu_vPywnT-WxQWbyfm7uaqPWRvYPwZUOilT9DoCBM</t>
  </si>
  <si>
    <t>shashikant sarraf</t>
  </si>
  <si>
    <t>https://docs.google.com/forms/d/e/1FAIpQLSeQ0wUAy9WJrwwZ_8x6kCxvJSihLYtbLF2nbMncVH08fybLWQ/viewform?edit2=2_ABaOnueSwqauhLWdXgiu7tRpOl0xgwzNfBJ8YSQHp8Iksw44nvobgSLAou-rR_RZExGiK3I</t>
  </si>
  <si>
    <t>Bina rawal mam</t>
  </si>
  <si>
    <t xml:space="preserve">Gemstone, Opal 7.25 Ratti  </t>
  </si>
  <si>
    <t>Opal 7.25 Ratti    10-15000 range</t>
  </si>
  <si>
    <t>https://docs.google.com/forms/d/e/1FAIpQLSeQ0wUAy9WJrwwZ_8x6kCxvJSihLYtbLF2nbMncVH08fybLWQ/viewform?edit2=2_ABaOnud2NOwm9S-GHFj6h57K8CafXNFEG5ZU8KB62r1PP7-bT1sZsBQ7GHuNLhGD0qStJZM</t>
  </si>
  <si>
    <t>Bci raipur sanjay rathi ji</t>
  </si>
  <si>
    <t xml:space="preserve">Ladies Bracelet / Kada, Gents Bracelet / Kada, </t>
  </si>
  <si>
    <t>Any good diamond bracelets? Medium size? Please bring them too. Evergreen and good designs</t>
  </si>
  <si>
    <t>https://docs.google.com/forms/d/e/1FAIpQLSeQ0wUAy9WJrwwZ_8x6kCxvJSihLYtbLF2nbMncVH08fybLWQ/viewform?edit2=2_ABaOnudayZ6vSDkkDBINHm8kDEDUqCcGydqjfpo3VSyKguCyRgqWGk4hIewlraIN71n-T1c</t>
  </si>
  <si>
    <t>Aftab bhai</t>
  </si>
  <si>
    <t>Emerald Rectangle 2 ct plus.fine</t>
  </si>
  <si>
    <t>Sanjeev sir</t>
  </si>
  <si>
    <t>https://docs.google.com/forms/d/e/1FAIpQLSeQ0wUAy9WJrwwZ_8x6kCxvJSihLYtbLF2nbMncVH08fybLWQ/viewform?edit2=2_ABaOnudaYf8cPPsVrqkP3ZBB79YYOet2jBAqeozDCGXnVBb3gDYjQSksuaklJcS_fjUhGGY</t>
  </si>
  <si>
    <t>Rajni kalra</t>
  </si>
  <si>
    <t>Pendant, Pendant Set</t>
  </si>
  <si>
    <t>guruji ka pendent</t>
  </si>
  <si>
    <t>https://drive.google.com/open?id=10PYTymRgfRld7U7erNO0nhpsukiardlN</t>
  </si>
  <si>
    <t>https://docs.google.com/forms/d/e/1FAIpQLSeQ0wUAy9WJrwwZ_8x6kCxvJSihLYtbLF2nbMncVH08fybLWQ/viewform?edit2=2_ABaOnueP_a-XYYjeVAnHp_-d-1CupFKAWuTXB8iA8QPBUl7h5rTaftuqL6UC83ZkDNCzEaA</t>
  </si>
  <si>
    <t>sudh ji noida</t>
  </si>
  <si>
    <t xml:space="preserve">200 gram gold coin </t>
  </si>
  <si>
    <t>https://docs.google.com/forms/d/e/1FAIpQLSeQ0wUAy9WJrwwZ_8x6kCxvJSihLYtbLF2nbMncVH08fybLWQ/viewform?edit2=2_ABaOnufqpREV3ntBLz_H7daPpnK5-RSRO8zKUl7TuJil8q_xkqtBbnMFCN96oeWBhTxHAb0</t>
  </si>
  <si>
    <t>Komal</t>
  </si>
  <si>
    <t xml:space="preserve">jewellery </t>
  </si>
  <si>
    <t>jewellery</t>
  </si>
  <si>
    <t>https://docs.google.com/forms/d/e/1FAIpQLSeQ0wUAy9WJrwwZ_8x6kCxvJSihLYtbLF2nbMncVH08fybLWQ/viewform?edit2=2_ABaOnucQ9EhXfRrqZnc2wohrL02W3p-VDjmRmMvlON0JgsrizVIszT_mXVDLYyjSdlQdUVM</t>
  </si>
  <si>
    <t xml:space="preserve">Puneet jain </t>
  </si>
  <si>
    <t>Necklace Set, jewellery</t>
  </si>
  <si>
    <t>sets and jewellery</t>
  </si>
  <si>
    <t>https://docs.google.com/forms/d/e/1FAIpQLSeQ0wUAy9WJrwwZ_8x6kCxvJSihLYtbLF2nbMncVH08fybLWQ/viewform?edit2=2_ABaOnuffxUpOXFklz3AVEkn4mXS3inTk2DybswUs4-VDhgxtL9Y61M7b9QfsuxG_O_6YXdg</t>
  </si>
  <si>
    <t>Kusum ji</t>
  </si>
  <si>
    <t>Necklace set 1-3 lakhs ki range ke diamond ke dekhne hai</t>
  </si>
  <si>
    <t>https://docs.google.com/forms/d/e/1FAIpQLSeQ0wUAy9WJrwwZ_8x6kCxvJSihLYtbLF2nbMncVH08fybLWQ/viewform?edit2=2_ABaOnud_YEodmpvSp7jYwhA0Wyw2hQaToJtLpKKe-lDwhPcewvvlkqrW9UK9EsSFrpZvEQY</t>
  </si>
  <si>
    <t>white gold ki ring with diamond lgake</t>
  </si>
  <si>
    <t>kunal gandhi ki side se aayenge</t>
  </si>
  <si>
    <t>https://docs.google.com/forms/d/e/1FAIpQLSeQ0wUAy9WJrwwZ_8x6kCxvJSihLYtbLF2nbMncVH08fybLWQ/viewform?edit2=2_ABaOnudVI6VfrSdALgFFh297Wg0S8V_prIgeH4LG9ebRuaojdc3udXpUNxMtYnP3RlPwgnA</t>
  </si>
  <si>
    <t>ArtI Gaur</t>
  </si>
  <si>
    <t>Silver, Gemstone</t>
  </si>
  <si>
    <t>Chain, Gemstone</t>
  </si>
  <si>
    <t>14 mukhi.same</t>
  </si>
  <si>
    <t>https://drive.google.com/open?id=1JZay7ZlRBHmad8h0Xi7g8V964R2Y2_PY</t>
  </si>
  <si>
    <t>https://docs.google.com/forms/d/e/1FAIpQLSeQ0wUAy9WJrwwZ_8x6kCxvJSihLYtbLF2nbMncVH08fybLWQ/viewform?edit2=2_ABaOnueO0rRCcve95YKJU8yJhKUjcxlqtqtXvidJfMz5OeH2gXhroSvuih-rVTh9fr1M5RY</t>
  </si>
  <si>
    <t xml:space="preserve">Mamta ji </t>
  </si>
  <si>
    <t>97111 40470</t>
  </si>
  <si>
    <t>Needa dia sinhle line bangle range 8-10 lacs good white diamonds approx 13-15 ct size.</t>
  </si>
  <si>
    <t>https://docs.google.com/forms/d/e/1FAIpQLSeQ0wUAy9WJrwwZ_8x6kCxvJSihLYtbLF2nbMncVH08fybLWQ/viewform?edit2=2_ABaOnud09GxPiMdGgPAakTwg2N-DydiEucPSVJfD6z0PNuiFL_UNeTFCnj_8_O6Q1s35N8s</t>
  </si>
  <si>
    <t>Anita ji</t>
  </si>
  <si>
    <t>+61 430393622</t>
  </si>
  <si>
    <t>Gold Jewellery, Gemstone</t>
  </si>
  <si>
    <t>Bangle, Ruby (dark colour) Fine quality  5 ratti plus size Gold bangle</t>
  </si>
  <si>
    <t>Ruby (dark colour) Fine quality  5 ratti plus size Gold bangle</t>
  </si>
  <si>
    <t>https://docs.google.com/forms/d/e/1FAIpQLSeQ0wUAy9WJrwwZ_8x6kCxvJSihLYtbLF2nbMncVH08fybLWQ/viewform?edit2=2_ABaOnufopuLf5WKkT0wCiJ6rRL3eq7Orme0zZ-3q9w4PcUm_O54gEek9rCVjLqbDzLT1xiI</t>
  </si>
  <si>
    <t>Illa sharma</t>
  </si>
  <si>
    <t>Diamond Jewellery, Gold Jewellery, Gemstone</t>
  </si>
  <si>
    <t>Necklace Set, Gemstone,  necklace ka style chahiye in green jade.</t>
  </si>
  <si>
    <t xml:space="preserve"> necklace ka style chahiye in green jade.</t>
  </si>
  <si>
    <t>https://drive.google.com/open?id=1lbeHr3xuLCUyIwTICPLuAzY6kjQz5r9L</t>
  </si>
  <si>
    <t>https://docs.google.com/forms/d/e/1FAIpQLSeQ0wUAy9WJrwwZ_8x6kCxvJSihLYtbLF2nbMncVH08fybLWQ/viewform?edit2=2_ABaOnufx6-UpmCKDoDVpGs9I6g_ISODPVVKXX8_AQbeUlKPwA1qDHpRaDUakwBsnWmtCUb8</t>
  </si>
  <si>
    <t>Anuj bhaiya</t>
  </si>
  <si>
    <t>bracelet for gents 20- 25- 30  gm need</t>
  </si>
  <si>
    <t>https://docs.google.com/forms/d/e/1FAIpQLSeQ0wUAy9WJrwwZ_8x6kCxvJSihLYtbLF2nbMncVH08fybLWQ/viewform?edit2=2_ABaOnucct0J9fiQTV00v7gxtqqQYZ5TxrEYFdaNz052zQwqurhVPXFiNP_ijYafNcjH2puw</t>
  </si>
  <si>
    <t>Himanshu</t>
  </si>
  <si>
    <t>2 to 2.5 lac gift ब्रेसलेट, pendants,light neclase with color etc.pics to send some.then he comes coming week to collect.</t>
  </si>
  <si>
    <t>https://docs.google.com/forms/d/e/1FAIpQLSeQ0wUAy9WJrwwZ_8x6kCxvJSihLYtbLF2nbMncVH08fybLWQ/viewform?edit2=2_ABaOnuffMOGxPRIYRbtF8XcMSSoNUNsaERR9NEIlX41s7T3_I7hKNFODvwMROC4PYurt1QA</t>
  </si>
  <si>
    <t>Ankur ji</t>
  </si>
  <si>
    <t>50 gram  Coin</t>
  </si>
  <si>
    <t>https://docs.google.com/forms/d/e/1FAIpQLSeQ0wUAy9WJrwwZ_8x6kCxvJSihLYtbLF2nbMncVH08fybLWQ/viewform?edit2=2_ABaOnufn5MKyDSq5ka0SJFFJMt2DaTb-LHro_TWVgN463uKi4uVcEHKckqdioLxQk8Xq-uw</t>
  </si>
  <si>
    <t>Shikha ji jaipur</t>
  </si>
  <si>
    <t xml:space="preserve">Solitaire  1-1.25 ct </t>
  </si>
  <si>
    <t>https://docs.google.com/forms/d/e/1FAIpQLSeQ0wUAy9WJrwwZ_8x6kCxvJSihLYtbLF2nbMncVH08fybLWQ/viewform?edit2=2_ABaOnuf349ZIc63j89fwjZnRlTy9B-kbAl3hQkrRTjFgKDU_vEj1SKy82wjNZgnuVSiJ1D8</t>
  </si>
  <si>
    <t>Gold 8-10 gram Diamond.50-.60</t>
  </si>
  <si>
    <t>https://docs.google.com/forms/d/e/1FAIpQLSeQ0wUAy9WJrwwZ_8x6kCxvJSihLYtbLF2nbMncVH08fybLWQ/viewform?edit2=2_ABaOnucr3zcGfYTyjDbpvG7X7nBgKKw19bJyc6nir5R0_x8OIYSo_IiJ9XJKXv1mrIk66PY</t>
  </si>
  <si>
    <t xml:space="preserve">Vimmi </t>
  </si>
  <si>
    <t xml:space="preserve">Bangle, Range diamond single line  bangles in CVD </t>
  </si>
  <si>
    <t xml:space="preserve">Range diamond single line  bangles in CVD </t>
  </si>
  <si>
    <t>https://docs.google.com/forms/d/e/1FAIpQLSeQ0wUAy9WJrwwZ_8x6kCxvJSihLYtbLF2nbMncVH08fybLWQ/viewform?edit2=2_ABaOnuc-eJdsLDuT4HE2uxyvUpGIG94mLrgVWSApTbENe3wNXoEDlnv5JoRt4waD3TPpL3g</t>
  </si>
  <si>
    <t>Mrs Malhotra DIL Laxmi Nagar</t>
  </si>
  <si>
    <t>Chain, Necklace Set, Necklace, Pendant Set, Diamond string set, pendent set and gold set 3-5 taule ke dekhne hain. Gold chain also.</t>
  </si>
  <si>
    <t>Diamond string set, pendent set and gold set 3-5 taule ke dekhne hain. Gold chain also.</t>
  </si>
  <si>
    <t>https://docs.google.com/forms/d/e/1FAIpQLSeQ0wUAy9WJrwwZ_8x6kCxvJSihLYtbLF2nbMncVH08fybLWQ/viewform?edit2=2_ABaOnueZaVIDMVmGso4dPlaQScKbYHR19CAuhi-VufiuvmXhZgoH41_is7A7rJ3Yh_WtUKA</t>
  </si>
  <si>
    <t>Anita ji sydney</t>
  </si>
  <si>
    <t>Ladies Ring, these are rings to be made in 18ct yellow gold with cubic zirconia stones. Could you let me know if these can be made and how much each ring will cost,</t>
  </si>
  <si>
    <t>these are rings to be made in 18ct yellow gold with cubic zirconia stones. Could you let me know if these can be made and how much each ring will cost,</t>
  </si>
  <si>
    <t>https://drive.google.com/open?id=1b4EOJ6qxDD0nbqapAZkl2e_nfGMgYFBw</t>
  </si>
  <si>
    <t>https://docs.google.com/forms/d/e/1FAIpQLSeQ0wUAy9WJrwwZ_8x6kCxvJSihLYtbLF2nbMncVH08fybLWQ/viewform?edit2=2_ABaOnufrSR0cvort2JsvpsB4miSAsVIRSA3q_JYuzVpd8jopors7puBRzN8xHRvO9-A9AFI</t>
  </si>
  <si>
    <t>Seema chawla ji</t>
  </si>
  <si>
    <t>Diamond Jewellery, Gold Jewellery, Silver</t>
  </si>
  <si>
    <t>Some similar designs For the other ring Plus some jadau kada and gold or single line kada, around 3-4 I wanted to see some different shape than round in 1 carat with small diamonds on side.</t>
  </si>
  <si>
    <t>https://drive.google.com/open?id=1SIH-SJS5TmAXzJsEb0HnkHgT7oPeQbF3, https://drive.google.com/open?id=1jSWHdOrj_q5XUCHX1_zJB2vQaICKBtSf, https://drive.google.com/open?id=1rS7cWweICWwXM5152TcjO25RTZM7SiS_, https://drive.google.com/open?id=1TIxP-ZTbzhcDr7MbE5H6fFO1iXrDNw22</t>
  </si>
  <si>
    <t>https://docs.google.com/forms/d/e/1FAIpQLSeQ0wUAy9WJrwwZ_8x6kCxvJSihLYtbLF2nbMncVH08fybLWQ/viewform?edit2=2_ABaOnue902u-_k9L5EncblYtMjHn6Gpt5ietXZBuCvbVlx-5tOsiOT85wMH16FLbzanKHfY</t>
  </si>
  <si>
    <t>Ranjana mam</t>
  </si>
  <si>
    <t>Earring / Tops, wants earrings / tops 25 k approx Gold/ diamond design</t>
  </si>
  <si>
    <t>wants earrings / tops 25 k approx Gold/ diamond design</t>
  </si>
  <si>
    <t>https://docs.google.com/forms/d/e/1FAIpQLSeQ0wUAy9WJrwwZ_8x6kCxvJSihLYtbLF2nbMncVH08fybLWQ/viewform?edit2=2_ABaOnuc76JHHkO0Ai4zWVaFvws58hSl_DXlO2WJFCqYDPCjb3YHN9C1MsBUmwkzFpZL_b8M</t>
  </si>
  <si>
    <t>priyanka mam</t>
  </si>
  <si>
    <t>Ladies Bracelet / Kada, diamond tennis bracelet</t>
  </si>
  <si>
    <t>diamond tennis bracelet</t>
  </si>
  <si>
    <t>https://drive.google.com/open?id=1wqsF7jPhtk4LSJth4DDmWaaSADN2vz8Y, https://drive.google.com/open?id=1Doyhd7Zq4tVVteIm4ofpXCNbsW2quSh-</t>
  </si>
  <si>
    <t>https://docs.google.com/forms/d/e/1FAIpQLSeQ0wUAy9WJrwwZ_8x6kCxvJSihLYtbLF2nbMncVH08fybLWQ/viewform?edit2=2_ABaOnufQdp-VkmkgLb1xUvidTp7lBsx6JkE7upKWgIPrOvCd6ZyxiCv8-EsUXNpMjSPpBWo</t>
  </si>
  <si>
    <t>Shika ji</t>
  </si>
  <si>
    <t xml:space="preserve">Ladies Bracelet / Kada, Diamond Bracelets </t>
  </si>
  <si>
    <t xml:space="preserve">Diamond Bracelets </t>
  </si>
  <si>
    <t>https://docs.google.com/forms/d/e/1FAIpQLSeQ0wUAy9WJrwwZ_8x6kCxvJSihLYtbLF2nbMncVH08fybLWQ/viewform?edit2=2_ABaOnucasEePdmuF0NFKBmLmvsSnWVl9KT4rRLogWTanKGi7kraaRZtnEISJRcUijBkHkvw</t>
  </si>
  <si>
    <t>Suman kalra Mam</t>
  </si>
  <si>
    <t>Bangle, Gents Bracelet / Kada, Jade bangle  Silver gents bracelets</t>
  </si>
  <si>
    <t>Jade bangle  Silver gents bracelets</t>
  </si>
  <si>
    <t>https://drive.google.com/open?id=1y6U31R0zxNcQdenztowYHb6H0DN061G0</t>
  </si>
  <si>
    <t>https://docs.google.com/forms/d/e/1FAIpQLSeQ0wUAy9WJrwwZ_8x6kCxvJSihLYtbLF2nbMncVH08fybLWQ/viewform?edit2=2_ABaOnuc0-Qc7eR19v-A6LbKCPvFZc432apuVQmDxafOoqXPhDaTyuiKHIW2izCt1rncZ21k</t>
  </si>
  <si>
    <t>Rajni kalra mam</t>
  </si>
  <si>
    <t xml:space="preserve">5 ct Emerald </t>
  </si>
  <si>
    <t>https://docs.google.com/forms/d/e/1FAIpQLSeQ0wUAy9WJrwwZ_8x6kCxvJSihLYtbLF2nbMncVH08fybLWQ/viewform?edit2=2_ABaOnufpT14DpFV3GAdf3ryk5dKS3AoH3HWqMUNZ_dYcaqhHHy0CyGZMsjPMSyGjW-Rz-x8</t>
  </si>
  <si>
    <t>Pradeep Sachdeva</t>
  </si>
  <si>
    <t>https://drive.google.com/open?id=1x_w5D7PEhKLAciO7EAUNHuNTYuGhUuGC</t>
  </si>
  <si>
    <t>https://docs.google.com/forms/d/e/1FAIpQLSeQ0wUAy9WJrwwZ_8x6kCxvJSihLYtbLF2nbMncVH08fybLWQ/viewform?edit2=2_ABaOnucBizIFFS36eyf-PGqVZ9NB3M9aKD1pkOtrv3m9XQxhufJf7bbpK_lf8KQZcM-VtZM</t>
  </si>
  <si>
    <t>Bina Rawal</t>
  </si>
  <si>
    <t>https://docs.google.com/forms/d/e/1FAIpQLSeQ0wUAy9WJrwwZ_8x6kCxvJSihLYtbLF2nbMncVH08fybLWQ/viewform?edit2=2_ABaOnudvx2ezv89dXzCV3MXZTyLairoTknbk9-BRm4PrCcTeOj3yRKKxQQCOeK1pL46BOm8</t>
  </si>
  <si>
    <t xml:space="preserve">Somna </t>
  </si>
  <si>
    <t>also bracelet with pointers or polki open setting range 1.8</t>
  </si>
  <si>
    <t>https://docs.google.com/forms/d/e/1FAIpQLSeQ0wUAy9WJrwwZ_8x6kCxvJSihLYtbLF2nbMncVH08fybLWQ/viewform?edit2=2_ABaOnudAQB9C5teL-dfrutSDkNVfl1HTKllBaWP7TG_JbSKQsd6_kLw-FCGMxK_4vhPFBQw</t>
  </si>
  <si>
    <t>TANVI JI</t>
  </si>
  <si>
    <t xml:space="preserve">SILVER BOX </t>
  </si>
  <si>
    <t>https://drive.google.com/open?id=1nNBaWo1nyiQzcietPSCcbX21B_agp9Dr</t>
  </si>
  <si>
    <t>OLD</t>
  </si>
  <si>
    <t>https://docs.google.com/forms/d/e/1FAIpQLSeQ0wUAy9WJrwwZ_8x6kCxvJSihLYtbLF2nbMncVH08fybLWQ/viewform?edit2=2_ABaOnucEyoag4JWQTs6FbxLGe3UpHygoiTnPqe5nxhWRXwaUue8ffG5EO43QP3Lf0HBvi_U</t>
  </si>
  <si>
    <t xml:space="preserve">NISHI SHUKLA </t>
  </si>
  <si>
    <t xml:space="preserve">SILVER COIN IN 50 GM </t>
  </si>
  <si>
    <t>https://docs.google.com/forms/d/e/1FAIpQLSeQ0wUAy9WJrwwZ_8x6kCxvJSihLYtbLF2nbMncVH08fybLWQ/viewform?edit2=2_ABaOnufUNsVdrmba3PrV8rgFBejXnU9ExiESznivW3O7qEh9oSvxrQoECOSB7MJjh70ZjAM</t>
  </si>
  <si>
    <t xml:space="preserve">REETA MAM </t>
  </si>
  <si>
    <t xml:space="preserve">NAVRATTAN  MALA </t>
  </si>
  <si>
    <t>https://docs.google.com/forms/d/e/1FAIpQLSeQ0wUAy9WJrwwZ_8x6kCxvJSihLYtbLF2nbMncVH08fybLWQ/viewform?edit2=2_ABaOnuc1xyk8u0Kn33IDteblQ4OCzOwnJ0kXp_c4NAEpsRE9I01Zi1sRlj-NVf0x_5hZU7A</t>
  </si>
  <si>
    <t>VISHNU SIR</t>
  </si>
  <si>
    <t xml:space="preserve">GOLD SET 60 - 70 GM MAI </t>
  </si>
  <si>
    <t>https://drive.google.com/open?id=1DGZ8p4iwSu0rNlONygtAx7yIP38GMW7i</t>
  </si>
  <si>
    <t>https://docs.google.com/forms/d/e/1FAIpQLSeQ0wUAy9WJrwwZ_8x6kCxvJSihLYtbLF2nbMncVH08fybLWQ/viewform?edit2=2_ABaOnufV6BIOGxUF80JcclboiIL0qAQ1BiC6PLrEAyT6wTw0DI1lqeaqNCeSASVPyYXY0Ek</t>
  </si>
  <si>
    <t xml:space="preserve">Divya sapra	</t>
  </si>
  <si>
    <t xml:space="preserve">Gemstone, Pearl Strings </t>
  </si>
  <si>
    <t>Pearl Strings  1000-2000</t>
  </si>
  <si>
    <t>https://docs.google.com/forms/d/e/1FAIpQLSeQ0wUAy9WJrwwZ_8x6kCxvJSihLYtbLF2nbMncVH08fybLWQ/viewform?edit2=2_ABaOnucJE9q1xco6XPQ_0uJJ2MofsaMPj9lb_T7aF8W5JvfN5zWPhbcZZGoC7WonAM51U1M</t>
  </si>
  <si>
    <t>VINEETA TIMBER</t>
  </si>
  <si>
    <t>Bhaiya is type kah set chahiye Matha Patti bhi assi Vinita wants these kind sets for sure</t>
  </si>
  <si>
    <t>https://drive.google.com/open?id=1Er58F7zmfo6nPnnAN8xwLQhPyLeyC4_p</t>
  </si>
  <si>
    <t>https://docs.google.com/forms/d/e/1FAIpQLSeQ0wUAy9WJrwwZ_8x6kCxvJSihLYtbLF2nbMncVH08fybLWQ/viewform?edit2=2_ABaOnueYZXBQ_N0UQpLMho0f7YgoLcwrsMkQ6JJr1TrNHTiGVr5fth1SnnKjGma2oFnuWXw</t>
  </si>
  <si>
    <t xml:space="preserve">ANITA JI AIRFORCE </t>
  </si>
  <si>
    <t>Hi Shivani, can you send me designs of Ruby and diamond bangles</t>
  </si>
  <si>
    <t>https://docs.google.com/forms/d/e/1FAIpQLSeQ0wUAy9WJrwwZ_8x6kCxvJSihLYtbLF2nbMncVH08fybLWQ/viewform?edit2=2_ABaOnuclxJhwJyt8En2zjAecg93wLch1oJEn0PLLDc6kiHOKrhREC5tiCe6YF5rHVNUuf1Q</t>
  </si>
  <si>
    <t xml:space="preserve">NISHI HRC </t>
  </si>
  <si>
    <t xml:space="preserve">WHITE SAPPHIRE 5 TO 7 CARAT 15K </t>
  </si>
  <si>
    <t>https://docs.google.com/forms/d/e/1FAIpQLSeQ0wUAy9WJrwwZ_8x6kCxvJSihLYtbLF2nbMncVH08fybLWQ/viewform?edit2=2_ABaOnuflgzzeJ4zZZGSXZzVIV5TPpCx6YEyhJEeEvaHLw4T7H-Lr4U5kueexc_x4gMx2YTk</t>
  </si>
  <si>
    <t>VIMMI JI</t>
  </si>
  <si>
    <t xml:space="preserve">SHIVLING WITH STAND </t>
  </si>
  <si>
    <t>https://drive.google.com/open?id=1Hc1yJkdKb_RVi1lbzoaGB1OzEqP3GIWF</t>
  </si>
  <si>
    <t>https://docs.google.com/forms/d/e/1FAIpQLSeQ0wUAy9WJrwwZ_8x6kCxvJSihLYtbLF2nbMncVH08fybLWQ/viewform?edit2=2_ABaOnuda8SUccFzMnS_4mUpSDixr-zBE7zj7ahjFlSQPxJcQGUvcqrchh_D4FARDpT3yPvs</t>
  </si>
  <si>
    <t>AMITA THAPAR</t>
  </si>
  <si>
    <t>Earring / Tops, Gemstone</t>
  </si>
  <si>
    <t>Is type earings chaiye give me estimate</t>
  </si>
  <si>
    <t>https://drive.google.com/open?id=1mNCMD15SghaCSIL5KOG8_50N-YzBEF31</t>
  </si>
  <si>
    <t xml:space="preserve">anitathapar13@gmail.com	</t>
  </si>
  <si>
    <t>https://docs.google.com/forms/d/e/1FAIpQLSeQ0wUAy9WJrwwZ_8x6kCxvJSihLYtbLF2nbMncVH08fybLWQ/viewform?edit2=2_ABaOnue9alTYbxCaZiEAfGu7j2zkMjlr6piIE61XY3JqB5WcP7zdvIkKRRus6n_VXyhJ53Y</t>
  </si>
  <si>
    <t>ANITA LUGANI</t>
  </si>
  <si>
    <t>5 NATURAL PEARLS WITHOUT THE HOLE</t>
  </si>
  <si>
    <t>https://docs.google.com/forms/d/e/1FAIpQLSeQ0wUAy9WJrwwZ_8x6kCxvJSihLYtbLF2nbMncVH08fybLWQ/viewform?edit2=2_ABaOnucZVNsLNV8-jM4XA8q1985tM4QK28lj_4UQm0YrPHI5AqJAX3GFmDhMoL40-Aej4UM</t>
  </si>
  <si>
    <t>MANJULA GANDHI</t>
  </si>
  <si>
    <t>GOLD COIN /BISCUIT 5GM OR 10 GM</t>
  </si>
  <si>
    <t xml:space="preserve">GOLD COIN / BISCUIT 5 GM TO 10 GM </t>
  </si>
  <si>
    <t>https://docs.google.com/forms/d/e/1FAIpQLSeQ0wUAy9WJrwwZ_8x6kCxvJSihLYtbLF2nbMncVH08fybLWQ/viewform?edit2=2_ABaOnud5_tgRztR4O5_-x9wKuRz2NQzbtDp5WKKTheOXPQkhxC66J-SUXxpVwJxLPdbG6LM</t>
  </si>
  <si>
    <t xml:space="preserve">RASHMI JI </t>
  </si>
  <si>
    <t>00491722528560</t>
  </si>
  <si>
    <t xml:space="preserve">need emerald </t>
  </si>
  <si>
    <t>https://docs.google.com/forms/d/e/1FAIpQLSeQ0wUAy9WJrwwZ_8x6kCxvJSihLYtbLF2nbMncVH08fybLWQ/viewform?edit2=2_ABaOnucXo-ksm_AEo9Bpihq7_0WMZX-FBg4NUJ1Kz9ICBdXIio8_MwYOKkIGpq7N-a8oPgg</t>
  </si>
  <si>
    <t>ARCHANA GOEL JI</t>
  </si>
  <si>
    <t>Tops  Flower shape designs  1 range</t>
  </si>
  <si>
    <t>https://docs.google.com/forms/d/e/1FAIpQLSeQ0wUAy9WJrwwZ_8x6kCxvJSihLYtbLF2nbMncVH08fybLWQ/viewform?edit2=2_ABaOnucfvmOGHHSN0kyywwK5VnuxxI--SeVETXYiBvDZi_SP67hUzxCBXnYyWpRl0yZmtz0</t>
  </si>
  <si>
    <t>PRIYANKA LUGANI</t>
  </si>
  <si>
    <t>5.00 carat pukhraj / yellow sapphire For customer</t>
  </si>
  <si>
    <t>https://docs.google.com/forms/d/e/1FAIpQLSeQ0wUAy9WJrwwZ_8x6kCxvJSihLYtbLF2nbMncVH08fybLWQ/viewform?edit2=2_ABaOnucF-9Lqf4ba9ju8TCbtodeIaaMrV1jjNvzjhEFDZcn26db6fNgygQj9C4gdQJutbOM</t>
  </si>
  <si>
    <t xml:space="preserve">SEEMA MAKKAR JI </t>
  </si>
  <si>
    <t xml:space="preserve">20 ML KA EMERALD SAWA KT </t>
  </si>
  <si>
    <t>https://drive.google.com/open?id=1jBkpokVpwC0VyKCrlAb6I0m0oTFO68E4</t>
  </si>
  <si>
    <t>https://docs.google.com/forms/d/e/1FAIpQLSeQ0wUAy9WJrwwZ_8x6kCxvJSihLYtbLF2nbMncVH08fybLWQ/viewform?edit2=2_ABaOnufWvL21q_1Q_etdzZ4xH233xXHpZl0-PE2XKjWISEnJdd6Ya27wE0I5flfLznDRwrE</t>
  </si>
  <si>
    <t>SONU JI</t>
  </si>
  <si>
    <t>Little finger - moti - size 11 , Ring finger - Monga - size 16 , Index finger - bukhraj - size 19</t>
  </si>
  <si>
    <t>https://docs.google.com/forms/d/e/1FAIpQLSeQ0wUAy9WJrwwZ_8x6kCxvJSihLYtbLF2nbMncVH08fybLWQ/viewform?edit2=2_ABaOnudU0EPosfYI2clO-f3e5-vV05XcNdrqJnhrAjw8vxVIbxNvqV7cJmgPvPm7aaRfkGE</t>
  </si>
  <si>
    <t xml:space="preserve">AMITA JI </t>
  </si>
  <si>
    <t>Antique chain set for amita ji</t>
  </si>
  <si>
    <t>https://docs.google.com/forms/d/e/1FAIpQLSeQ0wUAy9WJrwwZ_8x6kCxvJSihLYtbLF2nbMncVH08fybLWQ/viewform?edit2=2_ABaOnucswA4JY_rgOlglNBha9ZxnBaBJMQMCXYVNZ91JcnmhbkeZXeXc6HmTrfRm69o5jWs</t>
  </si>
  <si>
    <t>Ashmit singh saini</t>
  </si>
  <si>
    <t>https://docs.google.com/forms/d/e/1FAIpQLSeQ0wUAy9WJrwwZ_8x6kCxvJSihLYtbLF2nbMncVH08fybLWQ/viewform?edit2=2_ABaOnufQkT0tKS4lENberjnlAyfGpRIy46kHQVa-88lyb1DPNHXH4YhRCXiFnRvCWpwamUc</t>
  </si>
  <si>
    <t>Gaurav Chouhan</t>
  </si>
  <si>
    <t>Preeti</t>
  </si>
  <si>
    <t>https://docs.google.com/forms/d/e/1FAIpQLSeQ0wUAy9WJrwwZ_8x6kCxvJSihLYtbLF2nbMncVH08fybLWQ/viewform?edit2=2_ABaOnuc3OmtVWUMjMeeOMmAFEU88zlInBAsaWJzufZNc48bJjB5rd5TIFoA6Ey9daiAgV18</t>
  </si>
  <si>
    <t>Yatin Naresh</t>
  </si>
  <si>
    <t xml:space="preserve">Gold </t>
  </si>
  <si>
    <t>MMTC Coins</t>
  </si>
  <si>
    <t>Pooja</t>
  </si>
  <si>
    <t>Mansa</t>
  </si>
  <si>
    <t>https://docs.google.com/forms/d/e/1FAIpQLSeQ0wUAy9WJrwwZ_8x6kCxvJSihLYtbLF2nbMncVH08fybLWQ/viewform?edit2=2_ABaOnudOOnELTxeBxNC5vyeKzEOoAo_NI1NcGXVsNUAKR9H_XXqbxuytUR4SCXFwvqenZ3A</t>
  </si>
  <si>
    <t xml:space="preserve"> Mridul ji</t>
  </si>
  <si>
    <t>Bowl set 6</t>
  </si>
  <si>
    <t>https://docs.google.com/forms/d/e/1FAIpQLSeQ0wUAy9WJrwwZ_8x6kCxvJSihLYtbLF2nbMncVH08fybLWQ/viewform?edit2=2_ABaOnuepnx-YW3Ck2AZ6vrh_c6dgTM8BaIzo05oqPCGcT5Za__7o1LkpbaG7Jd_ewJ3S9j4</t>
  </si>
  <si>
    <t xml:space="preserve">Ritu Mahajan </t>
  </si>
  <si>
    <t>https://docs.google.com/forms/d/e/1FAIpQLSeQ0wUAy9WJrwwZ_8x6kCxvJSihLYtbLF2nbMncVH08fybLWQ/viewform?edit2=2_ABaOnucj8V-Kr93pGtBYf7Z24aOiLP7jhrfzRrK2Xb1mfjUA3_j5WRs-0t9rQFS0Xq306AA</t>
  </si>
  <si>
    <t>Ranbeer kaur</t>
  </si>
  <si>
    <t>Bangles ki pear or emerald bangles</t>
  </si>
  <si>
    <t>https://docs.google.com/forms/d/e/1FAIpQLSeQ0wUAy9WJrwwZ_8x6kCxvJSihLYtbLF2nbMncVH08fybLWQ/viewform?edit2=2_ABaOnud32dQBNQr1AlIbGFFHOPLhsLZuaZ7TwH3QUuEIryKvv11ITcMKkqthn1A5aZcLI4I</t>
  </si>
  <si>
    <t>Neetu ji</t>
  </si>
  <si>
    <t>Gemstone, Gold set</t>
  </si>
  <si>
    <t>https://docs.google.com/forms/d/e/1FAIpQLSeQ0wUAy9WJrwwZ_8x6kCxvJSihLYtbLF2nbMncVH08fybLWQ/viewform?edit2=2_ABaOnueTstr8kl760kRNDk4wehl4HAc7EuyY3RTZ8mHWVLbXwY91V24h7NBdQgSs_X1qgxk</t>
  </si>
  <si>
    <t>Somna ji</t>
  </si>
  <si>
    <t>Chain, Earring / Tops, Necklace, Ladies Bracelet / Kada</t>
  </si>
  <si>
    <t>https://docs.google.com/forms/d/e/1FAIpQLSeQ0wUAy9WJrwwZ_8x6kCxvJSihLYtbLF2nbMncVH08fybLWQ/viewform?edit2=2_ABaOnueoqXDqr3Ms7w3anbClKh0Z8ViDDN4UWbeV56B2GbL8oV6x3IZ4V-CrxWkom9jziSk</t>
  </si>
  <si>
    <t>Manish guglani</t>
  </si>
  <si>
    <t>https://docs.google.com/forms/d/e/1FAIpQLSeQ0wUAy9WJrwwZ_8x6kCxvJSihLYtbLF2nbMncVH08fybLWQ/viewform?edit2=2_ABaOnufkC4EApAXQx6tYsm3VBnuu5lCi_nvoeskKQ90dAOcLDTybnNLMixEnh_l-n6gC95M</t>
  </si>
  <si>
    <t>Ambika Aggarwal</t>
  </si>
  <si>
    <t>https://docs.google.com/forms/d/e/1FAIpQLSeQ0wUAy9WJrwwZ_8x6kCxvJSihLYtbLF2nbMncVH08fybLWQ/viewform?edit2=2_ABaOnufNTTykvViJB1eJod1rcSVMbhv1UxGSVhWI589JxUDIqXjD_9VJXUl_cQ761trdlMc</t>
  </si>
  <si>
    <t>Sheetal ji</t>
  </si>
  <si>
    <t>silver items</t>
  </si>
  <si>
    <t>https://docs.google.com/forms/d/e/1FAIpQLSeQ0wUAy9WJrwwZ_8x6kCxvJSihLYtbLF2nbMncVH08fybLWQ/viewform?edit2=2_ABaOnufjAXdBAJC2aCBj7cYHEwLK9vr5i1mehPtApcH74jaSdNZ24WyELPS8XuaKcuhGjts</t>
  </si>
  <si>
    <t xml:space="preserve">Vikas malhotra </t>
  </si>
  <si>
    <t>coins</t>
  </si>
  <si>
    <t>https://docs.google.com/forms/d/e/1FAIpQLSeQ0wUAy9WJrwwZ_8x6kCxvJSihLYtbLF2nbMncVH08fybLWQ/viewform?edit2=2_ABaOnufBgE61MmdlPQ25shxLSUeizoFIytbSFlIgTv96o0pPJRffqyfxNeNDwl-MSajSQVY</t>
  </si>
  <si>
    <t>Puneet ji</t>
  </si>
  <si>
    <t>Gifts Items</t>
  </si>
  <si>
    <t>mansa</t>
  </si>
  <si>
    <t>https://docs.google.com/forms/d/e/1FAIpQLSeQ0wUAy9WJrwwZ_8x6kCxvJSihLYtbLF2nbMncVH08fybLWQ/viewform?edit2=2_ABaOnucsWVbLsNeD2V_z03Zk0wJl6pPRLcscdDwzzNuU8dXi4vhSizNqnBJaCtvmjDExwGY</t>
  </si>
  <si>
    <t xml:space="preserve">Jaspreet ji </t>
  </si>
  <si>
    <t>100 gm silver coins</t>
  </si>
  <si>
    <t>https://docs.google.com/forms/d/e/1FAIpQLSeQ0wUAy9WJrwwZ_8x6kCxvJSihLYtbLF2nbMncVH08fybLWQ/viewform?edit2=2_ABaOnudpRAYJfyNXOUrSr0bqRarCt1QPbraHzoNwqdvaGPTjvPX_2SSuVtHC9qufc5cNwEU</t>
  </si>
  <si>
    <t xml:space="preserve">Ponam ji </t>
  </si>
  <si>
    <t>2 gm gold coins</t>
  </si>
  <si>
    <t>https://docs.google.com/forms/d/e/1FAIpQLSeQ0wUAy9WJrwwZ_8x6kCxvJSihLYtbLF2nbMncVH08fybLWQ/viewform?edit2=2_ABaOnudOUUdv-dhANyfi856tdhaEOB6CeG7A_DkVPt3riotRusfEpzwBsK4VeAdt2ISpAQ8</t>
  </si>
  <si>
    <t>Divya gupta</t>
  </si>
  <si>
    <t xml:space="preserve">Pick diamond 2 se 3 ct </t>
  </si>
  <si>
    <t>https://docs.google.com/forms/d/e/1FAIpQLSeQ0wUAy9WJrwwZ_8x6kCxvJSihLYtbLF2nbMncVH08fybLWQ/viewform?edit2=2_ABaOnucxI4Cy4aRd_Vzi9UsicbECTdTrIx30scNhe3Gu7dJW9LP-2NEfUMgKFrLNFvIYiOA</t>
  </si>
  <si>
    <t>Parul gupta</t>
  </si>
  <si>
    <t>Gemstone, 2 Mukhi nepali rudraksh</t>
  </si>
  <si>
    <t>https://docs.google.com/forms/d/e/1FAIpQLSeQ0wUAy9WJrwwZ_8x6kCxvJSihLYtbLF2nbMncVH08fybLWQ/viewform?edit2=2_ABaOnudqTQHJFAo3JD381JkAiMfQ_70tTgLGlpdOuVLSXkZ377ICKcYpDS0ZD-R5668Wjp4</t>
  </si>
  <si>
    <t>Dr pankaj</t>
  </si>
  <si>
    <t>Gents Bracelet / Kada, Rudraksh</t>
  </si>
  <si>
    <t>https://docs.google.com/forms/d/e/1FAIpQLSeQ0wUAy9WJrwwZ_8x6kCxvJSihLYtbLF2nbMncVH08fybLWQ/viewform?edit2=2_ABaOnuer_8UPgb6LotSuLyVbvNlNkT-U086wTwZVZ4E9LYBDx9_ldfve-ridYS4066wRpKg</t>
  </si>
  <si>
    <t>Anu naresh ji</t>
  </si>
  <si>
    <t>https://drive.google.com/open?id=1XByO6YljE70jT54pZnEY7pF2umM92Q4a</t>
  </si>
  <si>
    <t>sanjeev sir</t>
  </si>
  <si>
    <t>https://docs.google.com/forms/d/e/1FAIpQLSeQ0wUAy9WJrwwZ_8x6kCxvJSihLYtbLF2nbMncVH08fybLWQ/viewform?edit2=2_ABaOnucvlWfTKz1GpKkjTpgFNh85ngp8NBRqUjTbC_DxlNCnZglm-jML69igQmqH7SB80tY</t>
  </si>
  <si>
    <t xml:space="preserve">Shaista Khan </t>
  </si>
  <si>
    <t>payal</t>
  </si>
  <si>
    <t>https://docs.google.com/forms/d/e/1FAIpQLSeQ0wUAy9WJrwwZ_8x6kCxvJSihLYtbLF2nbMncVH08fybLWQ/viewform?edit2=2_ABaOnucUKb2Jwm-af6jIbRV4UPaRUNjO3k1iZUTSmzjuuTcx9WuAifoVvb3sAemgmIjp5Ck</t>
  </si>
  <si>
    <t>Vasu malik</t>
  </si>
  <si>
    <t>Mangalsutr</t>
  </si>
  <si>
    <t>https://drive.google.com/open?id=1b7sS7pZlcOhi6i72ziYw_w5XknakwObc</t>
  </si>
  <si>
    <t>Chhaya</t>
  </si>
  <si>
    <t>https://docs.google.com/forms/d/e/1FAIpQLSeQ0wUAy9WJrwwZ_8x6kCxvJSihLYtbLF2nbMncVH08fybLWQ/viewform?edit2=2_ABaOnufXI7dlPiLin-IBck8ZMTtBX_iixi4Kg39kn1Gu1zMtQlrIgGw3H0x8eyMRwhBBbNo</t>
  </si>
  <si>
    <t>Pooja ji</t>
  </si>
  <si>
    <t>Silver, gold</t>
  </si>
  <si>
    <t>100 gm silver coins MMTC,  5 gm gold coin MMTC  tops box</t>
  </si>
  <si>
    <t>https://docs.google.com/forms/d/e/1FAIpQLSeQ0wUAy9WJrwwZ_8x6kCxvJSihLYtbLF2nbMncVH08fybLWQ/viewform?edit2=2_ABaOnueOV352n1PnZ2d5agj54tRRZbmfGZWVDn7Oyk2o-nIYe6Xi9SlqdfEpq29DzPfemOM</t>
  </si>
  <si>
    <t>Raj kumar CA</t>
  </si>
  <si>
    <t>9891396566     7827442025</t>
  </si>
  <si>
    <t>Silver murti saraswati 4-5 inch size</t>
  </si>
  <si>
    <t>https://docs.google.com/forms/d/e/1FAIpQLSeQ0wUAy9WJrwwZ_8x6kCxvJSihLYtbLF2nbMncVH08fybLWQ/viewform?edit2=2_ABaOnuf61EbBpiI6_hQ2roS1ntHXRkUUEG1OsMyxe-bEdp5-GzFUqSIMuC6jmT-o8I-ChmY</t>
  </si>
  <si>
    <t>https://drive.google.com/open?id=1QUsSNgS_n47ZW56nocwU_MODjWVYgTRx</t>
  </si>
  <si>
    <t>https://docs.google.com/forms/d/e/1FAIpQLSeQ0wUAy9WJrwwZ_8x6kCxvJSihLYtbLF2nbMncVH08fybLWQ/viewform?edit2=2_ABaOnuf1uUqJSzovlfrbhJosKzfsZx1OC6bITvgLvDpbpFVo36Hdq4ys8Tje_zkWSFwlRmU</t>
  </si>
  <si>
    <t>Saurav ji co seema makkar</t>
  </si>
  <si>
    <t xml:space="preserve">2 pc coin 10 garm </t>
  </si>
  <si>
    <t>https://docs.google.com/forms/d/e/1FAIpQLSeQ0wUAy9WJrwwZ_8x6kCxvJSihLYtbLF2nbMncVH08fybLWQ/viewform?edit2=2_ABaOnudAxXqvuEwkICfOz4VlsViElyiiGSR8V04FggJ_rz4zNP-8uUNGSlwFr4Ncr3u0pVM</t>
  </si>
  <si>
    <t xml:space="preserve">Dilip Bhatia ji </t>
  </si>
  <si>
    <t>Natural Diamond</t>
  </si>
  <si>
    <t>https://docs.google.com/forms/d/e/1FAIpQLSeQ0wUAy9WJrwwZ_8x6kCxvJSihLYtbLF2nbMncVH08fybLWQ/viewform?edit2=2_ABaOnucZRPNcpVdePwazJcDxDp-vm4zTuP-e0kkfcB0kI6ZEEjQR-Gv6yR3DJ9GW_dkkByo</t>
  </si>
  <si>
    <t>Anshu ji</t>
  </si>
  <si>
    <t>100 gm 10 ,50 gm 10 , MMTC Boxes</t>
  </si>
  <si>
    <t>https://docs.google.com/forms/d/e/1FAIpQLSeQ0wUAy9WJrwwZ_8x6kCxvJSihLYtbLF2nbMncVH08fybLWQ/viewform?edit2=2_ABaOnufVclAP3LFKW8yrdAFUGk3frEplt7iAN0E7R3On0nF4uTqQzxhkTHKBYvsdxFep-BE</t>
  </si>
  <si>
    <t>Charu ji</t>
  </si>
  <si>
    <t>10 gram coins gold</t>
  </si>
  <si>
    <t>https://docs.google.com/forms/d/e/1FAIpQLSeQ0wUAy9WJrwwZ_8x6kCxvJSihLYtbLF2nbMncVH08fybLWQ/viewform?edit2=2_ABaOnue_C7GdZ1dY36ZzwX2HtJYgRHZol6m7XniDbLanHv6v2ysVxbjdxIMT_-pTa6qY5PA</t>
  </si>
  <si>
    <t>https://docs.google.com/forms/d/e/1FAIpQLSeQ0wUAy9WJrwwZ_8x6kCxvJSihLYtbLF2nbMncVH08fybLWQ/viewform?edit2=2_ABaOnucN3jhauf7bNX__Gcgoo5T5_S1GsQbhFuWbaoXegE2TyxlRWbO3H8_x0OXsHNADVM0</t>
  </si>
  <si>
    <t>Khushboo ji</t>
  </si>
  <si>
    <t>Ladies Bracelet / Kada, Polki green bracelet</t>
  </si>
  <si>
    <t>Bhumika</t>
  </si>
  <si>
    <t>Raadhu Garg</t>
  </si>
  <si>
    <t>https://docs.google.com/forms/d/e/1FAIpQLSeQ0wUAy9WJrwwZ_8x6kCxvJSihLYtbLF2nbMncVH08fybLWQ/viewform?edit2=2_ABaOnudXPyiLFO7hwY7WRGWL6TvAAtR6xKowGV5qONWCaNUbEJxOvVhirwYjoD_fqt2Zewo</t>
  </si>
  <si>
    <t>Sweta jain ji</t>
  </si>
  <si>
    <t>gold guliband</t>
  </si>
  <si>
    <t>https://docs.google.com/forms/d/e/1FAIpQLSeQ0wUAy9WJrwwZ_8x6kCxvJSihLYtbLF2nbMncVH08fybLWQ/viewform?edit2=2_ABaOnufWmejMmRvArP_ZUcfudrF9F09qQLQLt0WOKEomMa7FzoyoJZEJJRSmwvPo3jNxY_g</t>
  </si>
  <si>
    <t>Necklace Set, Ladies Bracelet / Kada, Ladies Ring</t>
  </si>
  <si>
    <t>https://docs.google.com/forms/d/e/1FAIpQLSeQ0wUAy9WJrwwZ_8x6kCxvJSihLYtbLF2nbMncVH08fybLWQ/viewform?edit2=2_ABaOnucxG6enC0dg5FP8H_-o1S_cu91k9_mbA0ecZCsaBxWLfzK2XFEtF33840Ol9ohfUqg</t>
  </si>
  <si>
    <t>Partibha mittal</t>
  </si>
  <si>
    <t>Necklace</t>
  </si>
  <si>
    <t>https://docs.google.com/forms/d/e/1FAIpQLSeQ0wUAy9WJrwwZ_8x6kCxvJSihLYtbLF2nbMncVH08fybLWQ/viewform?edit2=2_ABaOnufT93TFz0i5YQNeWw__FSBy1snIIh7jRkvwfm5-hSIYRa5EN8kT_f35YsaEQ5ULeRQ</t>
  </si>
  <si>
    <t>Rajesh ji</t>
  </si>
  <si>
    <t>mmtc coins</t>
  </si>
  <si>
    <t>https://docs.google.com/forms/d/e/1FAIpQLSeQ0wUAy9WJrwwZ_8x6kCxvJSihLYtbLF2nbMncVH08fybLWQ/viewform?edit2=2_ABaOnudX-N7IvepppU7bpdZl5MWoWNRi7oLTJKggKV3JH8YzLiNTEpziGm2ckxRjQ4UkxF4</t>
  </si>
  <si>
    <t xml:space="preserve">Shaista khan </t>
  </si>
  <si>
    <t>https://drive.google.com/open?id=1kJauBysqstsnKQtvr8GMnkmB0DWtDHM7</t>
  </si>
  <si>
    <t>https://docs.google.com/forms/d/e/1FAIpQLSeQ0wUAy9WJrwwZ_8x6kCxvJSihLYtbLF2nbMncVH08fybLWQ/viewform?edit2=2_ABaOnuf2kP-EF3n3AfVOANgHcOow5MMwmcsa0W-YD3MbQ4D_gukUJvjLtkcu0kLdRcc_hfk</t>
  </si>
  <si>
    <t>Daily wear</t>
  </si>
  <si>
    <t>https://drive.google.com/open?id=1oe_zO-KnMysDafcwu9LHiZeb0SFonECr</t>
  </si>
  <si>
    <t>https://docs.google.com/forms/d/e/1FAIpQLSeQ0wUAy9WJrwwZ_8x6kCxvJSihLYtbLF2nbMncVH08fybLWQ/viewform?edit2=2_ABaOnufb82Qu6z_dp9jxdCNPqE9Sr1iO9zWW36zvIRgRKokqBWomvHzD2dL61ZVoWdXu5Cg</t>
  </si>
  <si>
    <t xml:space="preserve">Shaagun </t>
  </si>
  <si>
    <t>Bracelet</t>
  </si>
  <si>
    <t>https://docs.google.com/forms/d/e/1FAIpQLSeQ0wUAy9WJrwwZ_8x6kCxvJSihLYtbLF2nbMncVH08fybLWQ/viewform?edit2=2_ABaOnueYM5NmDI6YoUZoDxc5I_pru10MhiINCeMIGu4rkdpr87PoxnFwuSjbDWdgf1yrKXo</t>
  </si>
  <si>
    <t>Neena ji</t>
  </si>
  <si>
    <t>Reena</t>
  </si>
  <si>
    <t>https://docs.google.com/forms/d/e/1FAIpQLSeQ0wUAy9WJrwwZ_8x6kCxvJSihLYtbLF2nbMncVH08fybLWQ/viewform?edit2=2_ABaOnuccC8EyxjQygJGVOqeWk8TILCWwk1sWbMxxu359h44kdE4EgzBdGA-GkBe5Buh44sA</t>
  </si>
  <si>
    <t>Sudhanshu Mathur</t>
  </si>
  <si>
    <t>polki set</t>
  </si>
  <si>
    <t>https://docs.google.com/forms/d/e/1FAIpQLSeQ0wUAy9WJrwwZ_8x6kCxvJSihLYtbLF2nbMncVH08fybLWQ/viewform?edit2=2_ABaOnucxpD35-cIW1GfsPeHP6eC95GH6Hrjlz24ForeECnmx2ISjhHJ8U31I55F0_FYyjrk</t>
  </si>
  <si>
    <t>Shaista khan</t>
  </si>
  <si>
    <t>https://docs.google.com/forms/d/e/1FAIpQLSeQ0wUAy9WJrwwZ_8x6kCxvJSihLYtbLF2nbMncVH08fybLWQ/viewform?edit2=2_ABaOnueH4QcrA9UqtBcr49N-wqfYjxJjOQe8IkphXbOrYeZm6J9w_XbfsZeqzCWv5dcmGjc</t>
  </si>
  <si>
    <t xml:space="preserve">Vishnu ji </t>
  </si>
  <si>
    <t>https://docs.google.com/forms/d/e/1FAIpQLSeQ0wUAy9WJrwwZ_8x6kCxvJSihLYtbLF2nbMncVH08fybLWQ/viewform?edit2=2_ABaOnueSnwpGvYdHghZunm6JwgHDdD2VZ72i6fEmEt_EjwtIxSUVsaD5mggw3mKeQFidVFU</t>
  </si>
  <si>
    <t>Bina rowal ji</t>
  </si>
  <si>
    <t>https://docs.google.com/forms/d/e/1FAIpQLSeQ0wUAy9WJrwwZ_8x6kCxvJSihLYtbLF2nbMncVH08fybLWQ/viewform?edit2=2_ABaOnucdjJD6uyywdOlbmZa5-VDWUkqLTkiCGGwOQIvMMAEmXvXjd-QMXIaxdYSIkHlAzII</t>
  </si>
  <si>
    <t xml:space="preserve">Amit ca </t>
  </si>
  <si>
    <t>https://docs.google.com/forms/d/e/1FAIpQLSeQ0wUAy9WJrwwZ_8x6kCxvJSihLYtbLF2nbMncVH08fybLWQ/viewform?edit2=2_ABaOnud8r3Y3MtecHFKWBQEywnzh4AoCnfKjr7iydxSY3512Vk3ilY6f0kFVLO21WTNIwpE</t>
  </si>
  <si>
    <t>Setu ji</t>
  </si>
  <si>
    <t>mmtc silver frame</t>
  </si>
  <si>
    <t>https://drive.google.com/open?id=1gceaUda_kuXYy8qbU19DNTJrlPNBEvve</t>
  </si>
  <si>
    <t>https://docs.google.com/forms/d/e/1FAIpQLSeQ0wUAy9WJrwwZ_8x6kCxvJSihLYtbLF2nbMncVH08fybLWQ/viewform?edit2=2_ABaOnue3VF-1a8VSaNU8fSWLcCAAsX_VTIBFqvVLv6COk_pl8nPjGBKwdGjCzOxhPSWEhFE</t>
  </si>
  <si>
    <t xml:space="preserve">Kako di </t>
  </si>
  <si>
    <t>gold bracelet</t>
  </si>
  <si>
    <t>https://docs.google.com/forms/d/e/1FAIpQLSeQ0wUAy9WJrwwZ_8x6kCxvJSihLYtbLF2nbMncVH08fybLWQ/viewform?edit2=2_ABaOnuf-13rkB_yiiNwdv2H4TEJu3xv0mAgPmjpYGhue1u54NP_ksz2KNsBsJZSDygKlAtQ</t>
  </si>
  <si>
    <t>Ranbeer kaur ji</t>
  </si>
  <si>
    <t xml:space="preserve">Gents Bracelet / Kada, </t>
  </si>
  <si>
    <t>https://docs.google.com/forms/d/e/1FAIpQLSeQ0wUAy9WJrwwZ_8x6kCxvJSihLYtbLF2nbMncVH08fybLWQ/viewform?edit2=2_ABaOnufZyxMcKCyUrwJa1ipHmpKvlQQHSptOEYJgQ5pPFTKMfCxTva6-5McpuAQnvPXyGc0</t>
  </si>
  <si>
    <t>Akp jain</t>
  </si>
  <si>
    <t>Diamond heart shape bangles</t>
  </si>
  <si>
    <t>https://docs.google.com/forms/d/e/1FAIpQLSeQ0wUAy9WJrwwZ_8x6kCxvJSihLYtbLF2nbMncVH08fybLWQ/viewform?edit2=2_ABaOnucfCA2ZhseYcuTISkjBV_1cdmkmbx-mbJH-CZiLyc6z3lYPv3J__O-CYJVZKeiNlhc</t>
  </si>
  <si>
    <t xml:space="preserve">Vidhi ji </t>
  </si>
  <si>
    <t>3 ring</t>
  </si>
  <si>
    <t>https://docs.google.com/forms/d/e/1FAIpQLSeQ0wUAy9WJrwwZ_8x6kCxvJSihLYtbLF2nbMncVH08fybLWQ/viewform?edit2=2_ABaOnueKZaBCFNOlskuofdaZiITXFK_7d1xgIrik13oh048Hfof1xFtjzmAacO81abNx1iE</t>
  </si>
  <si>
    <t>https://docs.google.com/forms/d/e/1FAIpQLSeQ0wUAy9WJrwwZ_8x6kCxvJSihLYtbLF2nbMncVH08fybLWQ/viewform?edit2=2_ABaOnucdlOzW6AS0FHT001f_c-QBfv3I2G6qBiHZDBY6eDiL0IjcNm7F3If62Xg3okLlQoo</t>
  </si>
  <si>
    <t>pc sharma ji</t>
  </si>
  <si>
    <t>Chain, Pendant, ring</t>
  </si>
  <si>
    <t>https://docs.google.com/forms/d/e/1FAIpQLSeQ0wUAy9WJrwwZ_8x6kCxvJSihLYtbLF2nbMncVH08fybLWQ/viewform?edit2=2_ABaOnuerGP2Y5mzfZPEo1CQhdPq9EMTkZ3wh4y9oAvwVffsbk3lYC_hbuHeAkJs7W0e2P6I</t>
  </si>
  <si>
    <t>sara ji</t>
  </si>
  <si>
    <t>set aur ring</t>
  </si>
  <si>
    <t>https://docs.google.com/forms/d/e/1FAIpQLSeQ0wUAy9WJrwwZ_8x6kCxvJSihLYtbLF2nbMncVH08fybLWQ/viewform?edit2=2_ABaOnue4yTywGOJ_k0uEvNFTpr0WlVutX_vjzdvjqDcnsSoLWbj7t-moXfQhKRF4i0rbyCo</t>
  </si>
  <si>
    <t>rashmi ji</t>
  </si>
  <si>
    <t>pick diamand ki ring</t>
  </si>
  <si>
    <t>https://docs.google.com/forms/d/e/1FAIpQLSeQ0wUAy9WJrwwZ_8x6kCxvJSihLYtbLF2nbMncVH08fybLWQ/viewform?edit2=2_ABaOnueQHF2QLNzr1IZWAmWyH0alg0CFwqCnScUJPfNIQb7DdRqBygbPbYCzqM05sHR_8Iw</t>
  </si>
  <si>
    <t>Amita ji</t>
  </si>
  <si>
    <t xml:space="preserve">gold set </t>
  </si>
  <si>
    <t>https://docs.google.com/forms/d/e/1FAIpQLSeQ0wUAy9WJrwwZ_8x6kCxvJSihLYtbLF2nbMncVH08fybLWQ/viewform?edit2=2_ABaOnuc5l-iqfoBo5CnuhCeNwivpv59UFY2aFhxay71jngCHOsbRsTH1eEA6v058ZUqEGPE</t>
  </si>
  <si>
    <t>pooja ji</t>
  </si>
  <si>
    <t>cvd pair aur tops</t>
  </si>
  <si>
    <t>Kamini</t>
  </si>
  <si>
    <t>https://docs.google.com/forms/d/e/1FAIpQLSeQ0wUAy9WJrwwZ_8x6kCxvJSihLYtbLF2nbMncVH08fybLWQ/viewform?edit2=2_ABaOnufy1c-7yMiHHyj8wfqkTVXECHJ2en4NQFgbJdNIaJQ5En3DwATIlnL50J1l2wjhl5Q</t>
  </si>
  <si>
    <t>https://docs.google.com/forms/d/e/1FAIpQLSeQ0wUAy9WJrwwZ_8x6kCxvJSihLYtbLF2nbMncVH08fybLWQ/viewform?edit2=2_ABaOnuf9gNsBBUO-CK4b97uMbjp5A8LS9l6Va7BQGGe4FYXybX03dEFbgsVrEOn1NIIdjV4</t>
  </si>
  <si>
    <t>Seema Narula</t>
  </si>
  <si>
    <t>wedding jewellery</t>
  </si>
  <si>
    <t>shailendernarula56@gmail.com</t>
  </si>
  <si>
    <t>https://docs.google.com/forms/d/e/1FAIpQLSeQ0wUAy9WJrwwZ_8x6kCxvJSihLYtbLF2nbMncVH08fybLWQ/viewform?edit2=2_ABaOnucp1_jnLdCLM6KZ-fz9jsds2aAdv42foO0w87vR6gUF4jlU9jXHWWDKFjYxCXMLO3M</t>
  </si>
  <si>
    <t>Manisha Goel</t>
  </si>
  <si>
    <t>manishagoelmg123@gmail.com</t>
  </si>
  <si>
    <t>https://docs.google.com/forms/d/e/1FAIpQLSeQ0wUAy9WJrwwZ_8x6kCxvJSihLYtbLF2nbMncVH08fybLWQ/viewform?edit2=2_ABaOnufv287642YoclwTHsU1En6BJJA4ZFFo5iuPbTA-zjNdc55BhEIvO9Mep2rIJNyzjFY</t>
  </si>
  <si>
    <t>Meena Gupta</t>
  </si>
  <si>
    <t>meenagupta.1111972@gmail.com</t>
  </si>
  <si>
    <t>https://docs.google.com/forms/d/e/1FAIpQLSeQ0wUAy9WJrwwZ_8x6kCxvJSihLYtbLF2nbMncVH08fybLWQ/viewform?edit2=2_ABaOnueNkuTFwJH5FRKUGaOnoxk-qXSecCMO77-BvmWG3HaIKouuUE2e2yz_9l1KQM1hsmg</t>
  </si>
  <si>
    <t>Archana Prajapati</t>
  </si>
  <si>
    <t>wedding jewelery</t>
  </si>
  <si>
    <t>efmyuvi@gmail.com</t>
  </si>
  <si>
    <t>https://docs.google.com/forms/d/e/1FAIpQLSeQ0wUAy9WJrwwZ_8x6kCxvJSihLYtbLF2nbMncVH08fybLWQ/viewform?edit2=2_ABaOnucSA8F-Pj-OwWm1O3uN3VKJxJqiDxEpqkgOjvDyfLb6bEHLR22DGS6V3aX0qx1n9Yk</t>
  </si>
  <si>
    <t>Simmi Mishra</t>
  </si>
  <si>
    <t>simmimishra1967@gmail.com</t>
  </si>
  <si>
    <t>https://docs.google.com/forms/d/e/1FAIpQLSeQ0wUAy9WJrwwZ_8x6kCxvJSihLYtbLF2nbMncVH08fybLWQ/viewform?edit2=2_ABaOnudDaSMj3oY-5DXfLgjxkqYE1TdlmH9juNQ66FxPwWuh3U7TOgA5TLaNlrBguLLx5ec</t>
  </si>
  <si>
    <t>Kalp Jyoti Jain</t>
  </si>
  <si>
    <t>Kalpjyotijain@gmail.com</t>
  </si>
  <si>
    <t>https://docs.google.com/forms/d/e/1FAIpQLSeQ0wUAy9WJrwwZ_8x6kCxvJSihLYtbLF2nbMncVH08fybLWQ/viewform?edit2=2_ABaOnuevmNNXcREPk6F15mzmFLO5eaVcWedKOma_qA77uRxWhj3WM8v87g3uypSCJYUHsuc</t>
  </si>
  <si>
    <t>Noor Afroz</t>
  </si>
  <si>
    <t>noorafroz85@gmail.com</t>
  </si>
  <si>
    <t>https://docs.google.com/forms/d/e/1FAIpQLSeQ0wUAy9WJrwwZ_8x6kCxvJSihLYtbLF2nbMncVH08fybLWQ/viewform?edit2=2_ABaOnuebTx2SKzQ1dMyFgKwFyUYKGQwxYM7Juq9Hq_rHbaj_K-KMLUrCJ5XDrgf5aPPqO5o</t>
  </si>
  <si>
    <t>Asha Solanki</t>
  </si>
  <si>
    <t>ashasolanki098@gmail.com</t>
  </si>
  <si>
    <t>https://docs.google.com/forms/d/e/1FAIpQLSeQ0wUAy9WJrwwZ_8x6kCxvJSihLYtbLF2nbMncVH08fybLWQ/viewform?edit2=2_ABaOnueojrl_isueJyJojLXT5b0MjvEUMWzq6QGnJrUE66-r8I7iL3iljPEWsjErN3Li89U</t>
  </si>
  <si>
    <t>Mohd Gulzar</t>
  </si>
  <si>
    <t>wedding</t>
  </si>
  <si>
    <t>mdgulzarmdgulzar85379@gmail.com</t>
  </si>
  <si>
    <t>https://docs.google.com/forms/d/e/1FAIpQLSeQ0wUAy9WJrwwZ_8x6kCxvJSihLYtbLF2nbMncVH08fybLWQ/viewform?edit2=2_ABaOnueh9V8J80sw0HznsM-Yb7y3BeburyEzloqKX30weSVnEqqAHFZt04uFZy6KmhdiDAQ</t>
  </si>
  <si>
    <t>Neena Grover</t>
  </si>
  <si>
    <t>neenagrover6@gmail.com</t>
  </si>
  <si>
    <t>https://docs.google.com/forms/d/e/1FAIpQLSeQ0wUAy9WJrwwZ_8x6kCxvJSihLYtbLF2nbMncVH08fybLWQ/viewform?edit2=2_ABaOnufXEtLAplNlrwFinHVUBxVK-th2OJ9PMo6bn6rWfpeBBbzPJJ2wGqCrc5EWaIkV5_E</t>
  </si>
  <si>
    <t>Dippy Khanna</t>
  </si>
  <si>
    <t>dippykumar@yahoo.com</t>
  </si>
  <si>
    <t>https://docs.google.com/forms/d/e/1FAIpQLSeQ0wUAy9WJrwwZ_8x6kCxvJSihLYtbLF2nbMncVH08fybLWQ/viewform?edit2=2_ABaOnufy24sXkIzB9mTGNt4UlVTyS5ZWW7ikRp28yseuSVxk0r0sg0KV2uUoC_33wl7tEeo</t>
  </si>
  <si>
    <t>Ruchika Kumar Dang</t>
  </si>
  <si>
    <t>ruchika.kumar90@gmail.com</t>
  </si>
  <si>
    <t>https://docs.google.com/forms/d/e/1FAIpQLSeQ0wUAy9WJrwwZ_8x6kCxvJSihLYtbLF2nbMncVH08fybLWQ/viewform?edit2=2_ABaOnud6j8ZlEnd1o1s7sy0GU_cU74hwD3hEvzXbYAlMPQN7wdbtGp7kpusjn-rQ0EXiwNg</t>
  </si>
  <si>
    <t>Meenesh Gulati</t>
  </si>
  <si>
    <t>meenesh9313887076@gmail.com</t>
  </si>
  <si>
    <t>https://docs.google.com/forms/d/e/1FAIpQLSeQ0wUAy9WJrwwZ_8x6kCxvJSihLYtbLF2nbMncVH08fybLWQ/viewform?edit2=2_ABaOnueUAzYEYddacCwy7ip6fvT510veypk6-L5AF7r9SCwbgwsuVjc1qrjXmEim1wUhPBo</t>
  </si>
  <si>
    <t>Babita Garg</t>
  </si>
  <si>
    <t>babitagarg77@yahoo.com</t>
  </si>
  <si>
    <t>https://docs.google.com/forms/d/e/1FAIpQLSeQ0wUAy9WJrwwZ_8x6kCxvJSihLYtbLF2nbMncVH08fybLWQ/viewform?edit2=2_ABaOnueo0PBS-Xdcq4J1ZZHBxAN5f7nm2hfiEdlEyoX5NQVpCOLm5VI_7n9BF5L9woQrqpQ</t>
  </si>
  <si>
    <t>Poonam Bansal</t>
  </si>
  <si>
    <t>abconnect28@gmail.com</t>
  </si>
  <si>
    <t>https://docs.google.com/forms/d/e/1FAIpQLSeQ0wUAy9WJrwwZ_8x6kCxvJSihLYtbLF2nbMncVH08fybLWQ/viewform?edit2=2_ABaOnudYvLDGobDqUsYNXfVQMH00Mz4eMKVPoLH9EkhLPKt9-8dnhSKF4lKo50Sa3vCF-Fk</t>
  </si>
  <si>
    <t>gold jewellery</t>
  </si>
  <si>
    <t>https://docs.google.com/forms/d/e/1FAIpQLSeQ0wUAy9WJrwwZ_8x6kCxvJSihLYtbLF2nbMncVH08fybLWQ/viewform?edit2=2_ABaOnufScehqWrOimrbTIpwWyDA34cjiGh9NGkihkRp16h2ag7qVM2R7AFOlt-CCQMDCmbw</t>
  </si>
  <si>
    <t>https://docs.google.com/forms/d/e/1FAIpQLSeQ0wUAy9WJrwwZ_8x6kCxvJSihLYtbLF2nbMncVH08fybLWQ/viewform?edit2=2_ABaOnue1Qf0QljZgM1VwLznCiCZVauHUoLI7Dne9hroAeHJWH3gxo57FjFc8i96JMnfDUNk</t>
  </si>
  <si>
    <t>https://docs.google.com/forms/d/e/1FAIpQLSeQ0wUAy9WJrwwZ_8x6kCxvJSihLYtbLF2nbMncVH08fybLWQ/viewform?edit2=2_ABaOnuf8trRvJYjz9cMlZNxTaL2iAMw1BfDUTU6WlZdiKRxX1YwD1tDaKvq4r8-jM4eN1O4</t>
  </si>
  <si>
    <t>gold silver</t>
  </si>
  <si>
    <t>https://docs.google.com/forms/d/e/1FAIpQLSeQ0wUAy9WJrwwZ_8x6kCxvJSihLYtbLF2nbMncVH08fybLWQ/viewform?edit2=2_ABaOnucREklewRME5bIuWoRGOcutCfDcN2duIj9EJbTVmPtwuY1DVUWQEjQZzzuXvCtoOL8</t>
  </si>
  <si>
    <t>gold silver jewellery</t>
  </si>
  <si>
    <t>https://docs.google.com/forms/d/e/1FAIpQLSeQ0wUAy9WJrwwZ_8x6kCxvJSihLYtbLF2nbMncVH08fybLWQ/viewform?edit2=2_ABaOnufF3etMCS_k0T5XaWFuJwEBuWzuRQX1CN-xvx-5nKnPYrU2oZO00EdCKs_sfprO8FU</t>
  </si>
  <si>
    <t xml:space="preserve">gold silver </t>
  </si>
  <si>
    <t>https://docs.google.com/forms/d/e/1FAIpQLSeQ0wUAy9WJrwwZ_8x6kCxvJSihLYtbLF2nbMncVH08fybLWQ/viewform?edit2=2_ABaOnuebnH0KXV5jXE6nIATYVNabk96Gi77rjHX8wEAoqdlBrsIqiSbYkXJg7ACN4CLSJmk</t>
  </si>
  <si>
    <t>https://docs.google.com/forms/d/e/1FAIpQLSeQ0wUAy9WJrwwZ_8x6kCxvJSihLYtbLF2nbMncVH08fybLWQ/viewform?edit2=2_ABaOnudSNRqEhYTrE0r9jAl-OkDEtVjo9_3qS0jtjbo3rvVVgu8vxRpyCLUwPkKU9j4-NNA</t>
  </si>
  <si>
    <t>Tulsi</t>
  </si>
  <si>
    <t>https://docs.google.com/forms/d/e/1FAIpQLSeQ0wUAy9WJrwwZ_8x6kCxvJSihLYtbLF2nbMncVH08fybLWQ/viewform?edit2=2_ABaOnudwbIb-nzXJB6M_7w1x8Ps3Tr0DkLIE2hO72vNACOyY2Ya40J-OXl4UZsT8B83KZAQ</t>
  </si>
  <si>
    <t>Renu Ahuja</t>
  </si>
  <si>
    <t>Diamond ring</t>
  </si>
  <si>
    <t>https://docs.google.com/forms/d/e/1FAIpQLSeQ0wUAy9WJrwwZ_8x6kCxvJSihLYtbLF2nbMncVH08fybLWQ/viewform?edit2=2_ABaOnucWtQd2WV7iBzM27KEL0C6zvjMRTO1ZBoxUrchoqpZdTMmJ94oG6SxtCL8b1Ra91pg</t>
  </si>
  <si>
    <t>Rachna</t>
  </si>
  <si>
    <t>https://docs.google.com/forms/d/e/1FAIpQLSeQ0wUAy9WJrwwZ_8x6kCxvJSihLYtbLF2nbMncVH08fybLWQ/viewform?edit2=2_ABaOnucuKFI_0WQgcS31Z-7aaHZy9awzG4TO8bq3NB9McLruZONfkhLxF3Fa-mfJBAAt2mU</t>
  </si>
  <si>
    <t>Kinshu Gupta</t>
  </si>
  <si>
    <t xml:space="preserve">Diamond Ring, Earrings </t>
  </si>
  <si>
    <t>https://docs.google.com/forms/d/e/1FAIpQLSeQ0wUAy9WJrwwZ_8x6kCxvJSihLYtbLF2nbMncVH08fybLWQ/viewform?edit2=2_ABaOnucIIkmSwesWXKbaTSH1KmiZrUQDvkcnTZ901MT-Gb5Y0MbooXCMDL6sK2Z0ow8ulug</t>
  </si>
  <si>
    <t>Mrs.Ahuja</t>
  </si>
  <si>
    <t>https://docs.google.com/forms/d/e/1FAIpQLSeQ0wUAy9WJrwwZ_8x6kCxvJSihLYtbLF2nbMncVH08fybLWQ/viewform?edit2=2_ABaOnuffYv5-Bm0pK-qItzS76y2DoRybDUmD1lOgdiHKguQIa4RRDtBaFwbF6bOmZADKL_E</t>
  </si>
  <si>
    <t>Vikash garg</t>
  </si>
  <si>
    <t>https://docs.google.com/forms/d/e/1FAIpQLSeQ0wUAy9WJrwwZ_8x6kCxvJSihLYtbLF2nbMncVH08fybLWQ/viewform?edit2=2_ABaOnueVH0wipTjBnyLg1GttlkMVtQ49byyV3MzskEooeyg4fru83K4mcfyyQudhUtRtK5o</t>
  </si>
  <si>
    <t>Pooja Verma</t>
  </si>
  <si>
    <t>pv600802@gmail.com</t>
  </si>
  <si>
    <t>https://docs.google.com/forms/d/e/1FAIpQLSeQ0wUAy9WJrwwZ_8x6kCxvJSihLYtbLF2nbMncVH08fybLWQ/viewform?edit2=2_ABaOnufERUT5BSwZS071h9fJ8m0lGdlz1WHTQ1tl5Uwc2CZoa0CFPz67Kj8szaFiE5PYGd8</t>
  </si>
  <si>
    <t>Pulkit</t>
  </si>
  <si>
    <t>https://docs.google.com/forms/d/e/1FAIpQLSeQ0wUAy9WJrwwZ_8x6kCxvJSihLYtbLF2nbMncVH08fybLWQ/viewform?edit2=2_ABaOnueqgQ92_DmIcGsyaiPWnAqdvsqiWOiOda_dXYv2dh7jnVRpMicXv7TSaUFBqAPUmAI</t>
  </si>
  <si>
    <t>Gagan</t>
  </si>
  <si>
    <t>https://docs.google.com/forms/d/e/1FAIpQLSeQ0wUAy9WJrwwZ_8x6kCxvJSihLYtbLF2nbMncVH08fybLWQ/viewform?edit2=2_ABaOnufJQ0eVtlQM9rkaoKWLeO6XKzvzEqQustJ-7dt9mtQvkoCd-6l5jaiZgIh2g85Bl7g</t>
  </si>
  <si>
    <t>Sanjay Batra</t>
  </si>
  <si>
    <t>https://docs.google.com/forms/d/e/1FAIpQLSeQ0wUAy9WJrwwZ_8x6kCxvJSihLYtbLF2nbMncVH08fybLWQ/viewform?edit2=2_ABaOnucW4VydbMvKrTeyHTju6tk6QuW2kES0VDKYn2xrNxOudWzPhg0NCYEgxy6BWVH-GMk</t>
  </si>
  <si>
    <t xml:space="preserve">Shyaam agarwal </t>
  </si>
  <si>
    <t>https://docs.google.com/forms/d/e/1FAIpQLSeQ0wUAy9WJrwwZ_8x6kCxvJSihLYtbLF2nbMncVH08fybLWQ/viewform?edit2=2_ABaOnuftDoA_gVNfKkCgYBxOusS_JztQc_JIkNXL7KWRHThIIEWmCQ6676wLGsmsO9MuWzc</t>
  </si>
  <si>
    <t>Renu Batra</t>
  </si>
  <si>
    <t xml:space="preserve">diamond earrings </t>
  </si>
  <si>
    <t>https://docs.google.com/forms/d/e/1FAIpQLSeQ0wUAy9WJrwwZ_8x6kCxvJSihLYtbLF2nbMncVH08fybLWQ/viewform?edit2=2_ABaOnucDLX5XNZXRZb_YNkUn57TQP6wKEQ8qLZZFKdIv_-QPsYpqeD1p9AIvTEB799sD2pM</t>
  </si>
  <si>
    <t>Kanchan ji</t>
  </si>
  <si>
    <t>https://docs.google.com/forms/d/e/1FAIpQLSeQ0wUAy9WJrwwZ_8x6kCxvJSihLYtbLF2nbMncVH08fybLWQ/viewform?edit2=2_ABaOnudlM83x1w80NEajml_eSK-2D9NxKayYK-e9024Tqe1p6zoO82T8XuGGdO0hDbbckWo</t>
  </si>
  <si>
    <t>Nisha tayal</t>
  </si>
  <si>
    <t>https://docs.google.com/forms/d/e/1FAIpQLSeQ0wUAy9WJrwwZ_8x6kCxvJSihLYtbLF2nbMncVH08fybLWQ/viewform?edit2=2_ABaOnudGW7RJk3O-IDW8rIdxmbWHW__gQ4twaPSJlny2gxPwuFWRKHgBdOuRJHRxiq2RcME</t>
  </si>
  <si>
    <t>sonam aggarwal</t>
  </si>
  <si>
    <t>https://docs.google.com/forms/d/e/1FAIpQLSeQ0wUAy9WJrwwZ_8x6kCxvJSihLYtbLF2nbMncVH08fybLWQ/viewform?edit2=2_ABaOnuc0hLA2isFtpgvhpY2vw5IoB2K_00cA4jqFMvQwUGXr2JYlsGFlChq_RYJ-sdR7CFw</t>
  </si>
  <si>
    <t>An u marketing</t>
  </si>
  <si>
    <t>https://docs.google.com/forms/d/e/1FAIpQLSeQ0wUAy9WJrwwZ_8x6kCxvJSihLYtbLF2nbMncVH08fybLWQ/viewform?edit2=2_ABaOnuevJPbrYkFpuzzq3dmz_h2cqmQvb9fkc1f88LPwTVUyI7FPRc8RNHqU4wNBbka-M0U</t>
  </si>
  <si>
    <t>Anita vaid</t>
  </si>
  <si>
    <t>vaidanita222@gmail.com</t>
  </si>
  <si>
    <t>https://docs.google.com/forms/d/e/1FAIpQLSeQ0wUAy9WJrwwZ_8x6kCxvJSihLYtbLF2nbMncVH08fybLWQ/viewform?edit2=2_ABaOnuchvuuhTYFaYcCphGae_RyGJZ7WYC_YXEPUKH9LHApAse0gZdrz5w9yxdF_LiB1z48</t>
  </si>
  <si>
    <t xml:space="preserve">Avdhesh kumar sharma </t>
  </si>
  <si>
    <t>Avdsharma30@gmail.com</t>
  </si>
  <si>
    <t>https://docs.google.com/forms/d/e/1FAIpQLSeQ0wUAy9WJrwwZ_8x6kCxvJSihLYtbLF2nbMncVH08fybLWQ/viewform?edit2=2_ABaOnudjtPiOXXBZZbxvVy7Ru0MNT65jpyk-3tZyr07petCZceswXs0-PoIV5Pp7f1vu8xA</t>
  </si>
  <si>
    <t>shweta</t>
  </si>
  <si>
    <t>diamond Rings</t>
  </si>
  <si>
    <t>https://docs.google.com/forms/d/e/1FAIpQLSeQ0wUAy9WJrwwZ_8x6kCxvJSihLYtbLF2nbMncVH08fybLWQ/viewform?edit2=2_ABaOnudKdOkTdbNLaguHTwA1aWwi6dqpxOeSiTo4K6JXRpsy3dflRHOj5NKuUNi0zb31rzg</t>
  </si>
  <si>
    <t xml:space="preserve">Jaspreet </t>
  </si>
  <si>
    <t>https://docs.google.com/forms/d/e/1FAIpQLSeQ0wUAy9WJrwwZ_8x6kCxvJSihLYtbLF2nbMncVH08fybLWQ/viewform?edit2=2_ABaOnuerQlFrRkZ4ub-GV4ySsdk-XSL1aDPQ1eWzM0bjXPsZdZizLB5mNM8JlEY4HAybh9U</t>
  </si>
  <si>
    <t xml:space="preserve">BR Rajnish </t>
  </si>
  <si>
    <t>https://docs.google.com/forms/d/e/1FAIpQLSeQ0wUAy9WJrwwZ_8x6kCxvJSihLYtbLF2nbMncVH08fybLWQ/viewform?edit2=2_ABaOnudUJ_bIPCz7qp_bHGdSvnqOQ7Yg3J1A7-zpzxvTynmFG2MnU_tIoZLoCryZAkFWP9E</t>
  </si>
  <si>
    <t>yashwant Awasthi</t>
  </si>
  <si>
    <t>https://docs.google.com/forms/d/e/1FAIpQLSeQ0wUAy9WJrwwZ_8x6kCxvJSihLYtbLF2nbMncVH08fybLWQ/viewform?edit2=2_ABaOnufp2yIfFMXeZJQTYgKICgemms3QeFPHw3o-YLuO7tkyz-byUW1SYHlaZ-wf9sh6otM</t>
  </si>
  <si>
    <t xml:space="preserve">Raksha </t>
  </si>
  <si>
    <t>https://docs.google.com/forms/d/e/1FAIpQLSeQ0wUAy9WJrwwZ_8x6kCxvJSihLYtbLF2nbMncVH08fybLWQ/viewform?edit2=2_ABaOnucT0xMjDf1ZGzXMa-uEPzYiFnplZ4hAiVALiM6uhNxJO_NzJ0SWDpBdpgUf4p9s298</t>
  </si>
  <si>
    <t>Rajesh</t>
  </si>
  <si>
    <t>https://docs.google.com/forms/d/e/1FAIpQLSeQ0wUAy9WJrwwZ_8x6kCxvJSihLYtbLF2nbMncVH08fybLWQ/viewform?edit2=2_ABaOnuccfqEk-wlVah_Z29CzBMUfWaJHZh2LP7kPRVuWaNvHGxmNRM7d-hNOzV0ZDem_JuQ</t>
  </si>
  <si>
    <t>Deepti Singh</t>
  </si>
  <si>
    <t>2 ct. Earrings ,Band style Ring</t>
  </si>
  <si>
    <t>deeptisingh0602@gmail.com</t>
  </si>
  <si>
    <t>https://docs.google.com/forms/d/e/1FAIpQLSeQ0wUAy9WJrwwZ_8x6kCxvJSihLYtbLF2nbMncVH08fybLWQ/viewform?edit2=2_ABaOnuex-QrSH4NVBoFcVtK8--z2o_bFoP3vMZXXgv17FMuZaM1NTaWrNG6wMvj_OOi3dbU</t>
  </si>
  <si>
    <t>Jitender Kumar</t>
  </si>
  <si>
    <t>Ladies Rings</t>
  </si>
  <si>
    <t>jitenderr4u@gmail.com</t>
  </si>
  <si>
    <t>https://docs.google.com/forms/d/e/1FAIpQLSeQ0wUAy9WJrwwZ_8x6kCxvJSihLYtbLF2nbMncVH08fybLWQ/viewform?edit2=2_ABaOnuec0GHoKkHxeWZ6oKiMAenD0RagCrunJSfnzVDoR-sxWxElRdG0B1ZD82xPs2KIINY</t>
  </si>
  <si>
    <t>Rd gupta</t>
  </si>
  <si>
    <t>https://docs.google.com/forms/d/e/1FAIpQLSeQ0wUAy9WJrwwZ_8x6kCxvJSihLYtbLF2nbMncVH08fybLWQ/viewform?edit2=2_ABaOnufL-3IBt3fUG96Vdj3-b7vUqac1bTppPSuProSo6b3px4G7IZs28-aRGKEe1EXzRVI</t>
  </si>
  <si>
    <t>Darshan lal</t>
  </si>
  <si>
    <t>https://docs.google.com/forms/d/e/1FAIpQLSeQ0wUAy9WJrwwZ_8x6kCxvJSihLYtbLF2nbMncVH08fybLWQ/viewform?edit2=2_ABaOnufx3pt0ApwrB_GxfsP3wOxs7k4aw1164ClcC-FRwiV9pd_tasZNdv58kKYUbU0-sMw</t>
  </si>
  <si>
    <t>Saroj Jain</t>
  </si>
  <si>
    <t>https://docs.google.com/forms/d/e/1FAIpQLSeQ0wUAy9WJrwwZ_8x6kCxvJSihLYtbLF2nbMncVH08fybLWQ/viewform?edit2=2_ABaOnufAMd_m6FBTzjsY-dkWhsOAawKXOhC51YpLxdnmYk-Ncg1u7GzisQvQMEBXhJ1WisU</t>
  </si>
  <si>
    <t>Roshni Devi</t>
  </si>
  <si>
    <t>https://docs.google.com/forms/d/e/1FAIpQLSeQ0wUAy9WJrwwZ_8x6kCxvJSihLYtbLF2nbMncVH08fybLWQ/viewform?edit2=2_ABaOnufzu8reAxRQgzqP6yiCKTVQnfT-vtsCML093qnF2Pq6LSIZvEgQCauKjsu6xVymd0U</t>
  </si>
  <si>
    <t>Sheily</t>
  </si>
  <si>
    <t>Sheilygupta05@gmail.com</t>
  </si>
  <si>
    <t>https://docs.google.com/forms/d/e/1FAIpQLSeQ0wUAy9WJrwwZ_8x6kCxvJSihLYtbLF2nbMncVH08fybLWQ/viewform?edit2=2_ABaOnuc6m9v3NoXXFLbo8NHBjJZRYT6vsNT7Sq1GJF2vsPkvnCJvX5qj7JrZjEbodykoU20</t>
  </si>
  <si>
    <t>Chanderkant gupta</t>
  </si>
  <si>
    <t>Ring gents 1ct ef vvs</t>
  </si>
  <si>
    <t>Seasonsfarm@rediffmail.com</t>
  </si>
  <si>
    <t>https://docs.google.com/forms/d/e/1FAIpQLSeQ0wUAy9WJrwwZ_8x6kCxvJSihLYtbLF2nbMncVH08fybLWQ/viewform?edit2=2_ABaOnucdZPnKb6qgeDrKfxndC0jqjpFMKlTLjY2069Qvc9ZatSkkuSoai0L4FU91Q62G88o</t>
  </si>
  <si>
    <t>Soniya</t>
  </si>
  <si>
    <t>Rings</t>
  </si>
  <si>
    <t>https://docs.google.com/forms/d/e/1FAIpQLSeQ0wUAy9WJrwwZ_8x6kCxvJSihLYtbLF2nbMncVH08fybLWQ/viewform?edit2=2_ABaOnucNE5chwY8kNHuR0ewpa_0DXp0AoiDDCDOe2l-aCBcIfQCstphHxTOyNeennhsJ0qc</t>
  </si>
  <si>
    <t>Sushma Kumari</t>
  </si>
  <si>
    <t>Earrings,Rings</t>
  </si>
  <si>
    <t>sushmataranagar@gmail.com</t>
  </si>
  <si>
    <t>https://docs.google.com/forms/d/e/1FAIpQLSeQ0wUAy9WJrwwZ_8x6kCxvJSihLYtbLF2nbMncVH08fybLWQ/viewform?edit2=2_ABaOnudGM5rsUp4F26rF8GRVipxlm7TWkZOKmfOxZKx4G2tyqLe9nK92JuZzhYl7knwKFaw</t>
  </si>
  <si>
    <t>Manju mehra</t>
  </si>
  <si>
    <t>https://docs.google.com/forms/d/e/1FAIpQLSeQ0wUAy9WJrwwZ_8x6kCxvJSihLYtbLF2nbMncVH08fybLWQ/viewform?edit2=2_ABaOnufQ0Xv7Z1nOdqUW-OIikpaGuGc6xm0rqUZG-zbOQsmAwK_e1iAF-AHBkv8rTSyookM</t>
  </si>
  <si>
    <t>Saket</t>
  </si>
  <si>
    <t>https://docs.google.com/forms/d/e/1FAIpQLSeQ0wUAy9WJrwwZ_8x6kCxvJSihLYtbLF2nbMncVH08fybLWQ/viewform?edit2=2_ABaOnufBy-X2PIbExLJZlEmT7Wam8xruVcErZDaCXZXS8yGk_g-ADvKSM7j05KA6qK3l6hU</t>
  </si>
  <si>
    <t>kamini</t>
  </si>
  <si>
    <t>https://docs.google.com/forms/d/e/1FAIpQLSeQ0wUAy9WJrwwZ_8x6kCxvJSihLYtbLF2nbMncVH08fybLWQ/viewform?edit2=2_ABaOnuf00Hf5kunQpsrJV3CkWP_qxasHqAdlwcvJe7mckzAeh3yGq3sQEGkvKg3HCL_rwXY</t>
  </si>
  <si>
    <t>https://docs.google.com/forms/d/e/1FAIpQLSeQ0wUAy9WJrwwZ_8x6kCxvJSihLYtbLF2nbMncVH08fybLWQ/viewform?edit2=2_ABaOnuf5SbrxFnOUVqKuBusR4hse3NowvxNZHV_yA4lqBGv2vYTpF0hv855qacqYvxX3sss</t>
  </si>
  <si>
    <t>Ashutosh mishra</t>
  </si>
  <si>
    <t>https://docs.google.com/forms/d/e/1FAIpQLSeQ0wUAy9WJrwwZ_8x6kCxvJSihLYtbLF2nbMncVH08fybLWQ/viewform?edit2=2_ABaOnueWpBNvMmrwW4gm6FhKayuBLwiGt9O308uQTWDh9RX41DjN8pJ1OVCD3nIYWiF0_0c</t>
  </si>
  <si>
    <t>Kiran pawar</t>
  </si>
  <si>
    <t>https://docs.google.com/forms/d/e/1FAIpQLSeQ0wUAy9WJrwwZ_8x6kCxvJSihLYtbLF2nbMncVH08fybLWQ/viewform?edit2=2_ABaOnue-9VCQXcEmteT07j8IDdy9sxsEFE0GdmE5oCHHfMLEgMyz9Q14VZR-g_J_lwxDKTY</t>
  </si>
  <si>
    <t>Dipika</t>
  </si>
  <si>
    <t>https://docs.google.com/forms/d/e/1FAIpQLSeQ0wUAy9WJrwwZ_8x6kCxvJSihLYtbLF2nbMncVH08fybLWQ/viewform?edit2=2_ABaOnueJaOtyEgTkkxavwJizCBYq-86EeuLGPr_82O6KmayidGtl7gCbIUeU5fWJMXdM26I</t>
  </si>
  <si>
    <t>Sandeep seth</t>
  </si>
  <si>
    <t>https://docs.google.com/forms/d/e/1FAIpQLSeQ0wUAy9WJrwwZ_8x6kCxvJSihLYtbLF2nbMncVH08fybLWQ/viewform?edit2=2_ABaOnuf10TXEhU5XHi1duinWjn45lM1u-sQQrudSKo4tvARcRp5uYHYj1e-1Q365Ne1ITSw</t>
  </si>
  <si>
    <t>Krishwee</t>
  </si>
  <si>
    <t>https://docs.google.com/forms/d/e/1FAIpQLSeQ0wUAy9WJrwwZ_8x6kCxvJSihLYtbLF2nbMncVH08fybLWQ/viewform?edit2=2_ABaOnuftKw9zdYOULcQ7OOvvmegKiry6fk57vKoDioe5T640jPz0kjL3kEx_TR86SHhGM20</t>
  </si>
  <si>
    <t>Valentines day Special</t>
  </si>
  <si>
    <t>https://docs.google.com/forms/d/e/1FAIpQLSeQ0wUAy9WJrwwZ_8x6kCxvJSihLYtbLF2nbMncVH08fybLWQ/viewform?edit2=2_ABaOnuetSECFXAH9fXw-nOcAQTN_z9caP5JZj1mG6KJIkAyZuxlqn2I88izcfVjdITO-ggs</t>
  </si>
  <si>
    <t>Valentine day special</t>
  </si>
  <si>
    <t>https://docs.google.com/forms/d/e/1FAIpQLSeQ0wUAy9WJrwwZ_8x6kCxvJSihLYtbLF2nbMncVH08fybLWQ/viewform?edit2=2_ABaOnue7rr0I-NQuxwuHU0rDlf6k0aOQsxWcjN1Po4UNydoUrG9i73IlmS1ufDSJLVPNU48</t>
  </si>
  <si>
    <t>Diamond Jewellery, Silver</t>
  </si>
  <si>
    <t>Valentine day  special</t>
  </si>
  <si>
    <t>https://docs.google.com/forms/d/e/1FAIpQLSeQ0wUAy9WJrwwZ_8x6kCxvJSihLYtbLF2nbMncVH08fybLWQ/viewform?edit2=2_ABaOnueT9O2_SD38k5wf-LMOVMjSaOWn0JPPWZdyg6gRy4WDU-IuxYLk3tpp9Fax0GPuexw</t>
  </si>
  <si>
    <t>https://docs.google.com/forms/d/e/1FAIpQLSeQ0wUAy9WJrwwZ_8x6kCxvJSihLYtbLF2nbMncVH08fybLWQ/viewform?edit2=2_ABaOnue-neVuyxKWRcO4jcpbu-AlaTbm24wPYT3YNoYnF1IjCJg4iPRahA4RmskrI3Xw6jY</t>
  </si>
  <si>
    <t>https://docs.google.com/forms/d/e/1FAIpQLSeQ0wUAy9WJrwwZ_8x6kCxvJSihLYtbLF2nbMncVH08fybLWQ/viewform?edit2=2_ABaOnufEeM0rtnQAJQzuwAXIhNmnV1A5Xq-UioypVKGqLdxJHhHEAjY3CLpjp-kwWo-S_Js</t>
  </si>
  <si>
    <t>https://docs.google.com/forms/d/e/1FAIpQLSeQ0wUAy9WJrwwZ_8x6kCxvJSihLYtbLF2nbMncVH08fybLWQ/viewform?edit2=2_ABaOnucIN9-ESiHf4xbAqn_UJrywNtfJHQ7JKIOAlTHWS7tzsLlRb8YSlIvQ9AN9OneeqZI</t>
  </si>
  <si>
    <t>https://docs.google.com/forms/d/e/1FAIpQLSeQ0wUAy9WJrwwZ_8x6kCxvJSihLYtbLF2nbMncVH08fybLWQ/viewform?edit2=2_ABaOnudU5mIQn1mNIEe5IC7TYR2a-e4L5V_anBZVBxchUgzzUWZTUu8YLN8i8nT6ivV8t7w</t>
  </si>
  <si>
    <t>https://docs.google.com/forms/d/e/1FAIpQLSeQ0wUAy9WJrwwZ_8x6kCxvJSihLYtbLF2nbMncVH08fybLWQ/viewform?edit2=2_ABaOnueHMr-X6e8Ja0tlMUebbFfJKyWROsmGTnIp9FsVSSPMFgoCMt8bpMvVw74g07bhf4Q</t>
  </si>
  <si>
    <t>https://docs.google.com/forms/d/e/1FAIpQLSeQ0wUAy9WJrwwZ_8x6kCxvJSihLYtbLF2nbMncVH08fybLWQ/viewform?edit2=2_ABaOnueNpUvzy64F4uGAs50B9vNALzoRFpunKNjeheN2tIgg6td_ufIDTef1olFAbbwS3rk</t>
  </si>
  <si>
    <t>https://docs.google.com/forms/d/e/1FAIpQLSeQ0wUAy9WJrwwZ_8x6kCxvJSihLYtbLF2nbMncVH08fybLWQ/viewform?edit2=2_ABaOnufaXeBHnKZzSmeX4pT-oZB2nZ9_lilqy2zPKtgjlih2kqu3egWWxAeOyJWFDdbU9KA</t>
  </si>
  <si>
    <t>https://docs.google.com/forms/d/e/1FAIpQLSeQ0wUAy9WJrwwZ_8x6kCxvJSihLYtbLF2nbMncVH08fybLWQ/viewform?edit2=2_ABaOnud0xLg9yuqU3AKvYD-9YxIhxT14iQpM66Y4yqwugUMLz-RtfHyLfkkAy-s6XPtqTzQ</t>
  </si>
  <si>
    <t>https://docs.google.com/forms/d/e/1FAIpQLSeQ0wUAy9WJrwwZ_8x6kCxvJSihLYtbLF2nbMncVH08fybLWQ/viewform?edit2=2_ABaOnudE_dkWuy1HcWUzmqpQIv6YOz8S4TG57CdLl_S_HhE_LVudK0ebRPsuw9U_GQrPMD0</t>
  </si>
  <si>
    <t>https://docs.google.com/forms/d/e/1FAIpQLSeQ0wUAy9WJrwwZ_8x6kCxvJSihLYtbLF2nbMncVH08fybLWQ/viewform?edit2=2_ABaOnucNWK_wxBmFhoCLNPDqtsL3qQ3mDukW2MHWbDR_1WzwKOaieDw-0h8S9SO8dwuYMtc</t>
  </si>
  <si>
    <t>https://docs.google.com/forms/d/e/1FAIpQLSeQ0wUAy9WJrwwZ_8x6kCxvJSihLYtbLF2nbMncVH08fybLWQ/viewform?edit2=2_ABaOnucOuvDk9zCRSuaSxSGfXIvemvDwPG3quI2tnVpbe8BXR5vD3kO8Mtk0VmhIim3o1vg</t>
  </si>
  <si>
    <t>https://docs.google.com/forms/d/e/1FAIpQLSeQ0wUAy9WJrwwZ_8x6kCxvJSihLYtbLF2nbMncVH08fybLWQ/viewform?edit2=2_ABaOnudkj-qE2ufWNfnN36yeil4a8AMdXL46BTRDb5GXzJPAhio1GwMnTpPlhmC6yXYFpwY</t>
  </si>
  <si>
    <t>https://docs.google.com/forms/d/e/1FAIpQLSeQ0wUAy9WJrwwZ_8x6kCxvJSihLYtbLF2nbMncVH08fybLWQ/viewform?edit2=2_ABaOnueXpWSI4F2sTtCZz49tF7xXxdXPNvw1qDMga0F7i9ButclUzwo2ocmY9RrBEwjqAUg</t>
  </si>
  <si>
    <t>https://docs.google.com/forms/d/e/1FAIpQLSeQ0wUAy9WJrwwZ_8x6kCxvJSihLYtbLF2nbMncVH08fybLWQ/viewform?edit2=2_ABaOnufnAyBlv7u1knlwmB1m-0R8gxBctSpCkifxKtMqR0LCkyEpaCQiQe1ekzIpMqgOMFI</t>
  </si>
  <si>
    <t>https://docs.google.com/forms/d/e/1FAIpQLSeQ0wUAy9WJrwwZ_8x6kCxvJSihLYtbLF2nbMncVH08fybLWQ/viewform?edit2=2_ABaOnueg-EzwAaz3uLHcE30skJ58_uUjajED3i0NL4c5BeeCqY5dCjlDW5jCDo3FuoJonVo</t>
  </si>
  <si>
    <t>https://docs.google.com/forms/d/e/1FAIpQLSeQ0wUAy9WJrwwZ_8x6kCxvJSihLYtbLF2nbMncVH08fybLWQ/viewform?edit2=2_ABaOnucimhkzwn_ObvFWs-KM-gvlwxtH0aGVSCRcyu8NeKiQjvTzjtiD-DvqwVEN3Pk0KdI</t>
  </si>
  <si>
    <t>https://docs.google.com/forms/d/e/1FAIpQLSeQ0wUAy9WJrwwZ_8x6kCxvJSihLYtbLF2nbMncVH08fybLWQ/viewform?edit2=2_ABaOnucU_Ck2eKuI-QtZwe_GSvA8C19vfK6JDEPHYiVbBoRJ_Y2Yq7nARY2yfDZv96Ihfno</t>
  </si>
  <si>
    <t>Deepali</t>
  </si>
  <si>
    <t>https://docs.google.com/forms/d/e/1FAIpQLSeQ0wUAy9WJrwwZ_8x6kCxvJSihLYtbLF2nbMncVH08fybLWQ/viewform?edit2=2_ABaOnucuibQYQgXA0udjmC5p6Y8i20fhNTxkqF1ikH0foM3CNipADqkk1FBraNFbrg3t_Ro</t>
  </si>
  <si>
    <t>https://docs.google.com/forms/d/e/1FAIpQLSeQ0wUAy9WJrwwZ_8x6kCxvJSihLYtbLF2nbMncVH08fybLWQ/viewform?edit2=2_ABaOnucDyYoajS2q0JCipC0EQpSxbeNd89JQl2Aa8P71oEsTSfgjjZkZFzgpNDH8-dSqLgQ</t>
  </si>
  <si>
    <t>https://docs.google.com/forms/d/e/1FAIpQLSeQ0wUAy9WJrwwZ_8x6kCxvJSihLYtbLF2nbMncVH08fybLWQ/viewform?edit2=2_ABaOnufqfBGIriQBobGcYloUUXQV4daYJn4-qQVbkQQwnJwykCLksyWw6JXlKWwLqND6UGA</t>
  </si>
  <si>
    <t>https://docs.google.com/forms/d/e/1FAIpQLSeQ0wUAy9WJrwwZ_8x6kCxvJSihLYtbLF2nbMncVH08fybLWQ/viewform?edit2=2_ABaOnufVEJ7cv3knROObxn62HxlcEtlXU13MrzUHcPpsUsw69wtUx6hPMAMAFJayLzCSti8</t>
  </si>
  <si>
    <t>https://docs.google.com/forms/d/e/1FAIpQLSeQ0wUAy9WJrwwZ_8x6kCxvJSihLYtbLF2nbMncVH08fybLWQ/viewform?edit2=2_ABaOnufBAt7yUwATvEV5RLneEd_pNu9Y9lhJfHww0hyFz6gAl98UQfjiHph6EvHVBCiZVqI</t>
  </si>
  <si>
    <t>https://docs.google.com/forms/d/e/1FAIpQLSeQ0wUAy9WJrwwZ_8x6kCxvJSihLYtbLF2nbMncVH08fybLWQ/viewform?edit2=2_ABaOnuev3_NehkxUFObgNHVogimSpGlf_xlOu_tIX6Y7V0VyIk5lrrMQ61RAHeQXNQwCmVE</t>
  </si>
  <si>
    <t>https://docs.google.com/forms/d/e/1FAIpQLSeQ0wUAy9WJrwwZ_8x6kCxvJSihLYtbLF2nbMncVH08fybLWQ/viewform?edit2=2_ABaOnufQOKKq-m-14rIF_inzthHVjvOw4VqY2dNWxKKR9xWTflluKT9-dYfbvaMhY_B_WlA</t>
  </si>
  <si>
    <t>https://docs.google.com/forms/d/e/1FAIpQLSeQ0wUAy9WJrwwZ_8x6kCxvJSihLYtbLF2nbMncVH08fybLWQ/viewform?edit2=2_ABaOnueVL0IVt2FV12iLsqtn1VXu4nLP7FMSbdo4wqei1f2yitlTz5uaZghvZBcuWQzs9Hg</t>
  </si>
  <si>
    <t>Gold Jewellery, Silver</t>
  </si>
  <si>
    <t>https://docs.google.com/forms/d/e/1FAIpQLSeQ0wUAy9WJrwwZ_8x6kCxvJSihLYtbLF2nbMncVH08fybLWQ/viewform?edit2=2_ABaOnuf5z4Nh6cqIeCK_5xyu_eiShXrSPJryAFbqiMSwchc8EankrEQR9VP5YgHdXbTY4EI</t>
  </si>
  <si>
    <t>https://docs.google.com/forms/d/e/1FAIpQLSeQ0wUAy9WJrwwZ_8x6kCxvJSihLYtbLF2nbMncVH08fybLWQ/viewform?edit2=2_ABaOnuf9XrSV8HXYsc4--J867fzgHHuIckKUSvcEwg1rSNRGh4Pb3LZ5tHLxqguodUcueAE</t>
  </si>
  <si>
    <t>https://docs.google.com/forms/d/e/1FAIpQLSeQ0wUAy9WJrwwZ_8x6kCxvJSihLYtbLF2nbMncVH08fybLWQ/viewform?edit2=2_ABaOnuca96uDWv9o1ZiaDRzBKJg18w2eVuLHJBOBNPd3OPgaYc6v_9hICXhJbeYwuPGuITQ</t>
  </si>
  <si>
    <t>https://docs.google.com/forms/d/e/1FAIpQLSeQ0wUAy9WJrwwZ_8x6kCxvJSihLYtbLF2nbMncVH08fybLWQ/viewform?edit2=2_ABaOnudmbmShsxvNqCBK91v-BdyKYoX5kK50rToFJG_yWQvP833WrW-76ah7MF3YVXozfzk</t>
  </si>
  <si>
    <t>https://docs.google.com/forms/d/e/1FAIpQLSeQ0wUAy9WJrwwZ_8x6kCxvJSihLYtbLF2nbMncVH08fybLWQ/viewform?edit2=2_ABaOnudE_zbEGR2G_38zuBF8YXmt8zWuzV5xMx1AGclLxHXrY4yOoTejAQ9wqC0dQkRy9to</t>
  </si>
  <si>
    <t>https://docs.google.com/forms/d/e/1FAIpQLSeQ0wUAy9WJrwwZ_8x6kCxvJSihLYtbLF2nbMncVH08fybLWQ/viewform?edit2=2_ABaOnufwJipKonwlotUL_YvatRFdmRDqzcg5hg-rvWCKilWXXW0_n2yONxuQP3qs5I7XmRU</t>
  </si>
  <si>
    <t>https://docs.google.com/forms/d/e/1FAIpQLSeQ0wUAy9WJrwwZ_8x6kCxvJSihLYtbLF2nbMncVH08fybLWQ/viewform?edit2=2_ABaOnue2RTvKQbN4nwbu9OL3lDXx1UGXhrCofsBv1ya6XVVo3UZvQpjtF36u86Gh11lImrY</t>
  </si>
  <si>
    <t>https://docs.google.com/forms/d/e/1FAIpQLSeQ0wUAy9WJrwwZ_8x6kCxvJSihLYtbLF2nbMncVH08fybLWQ/viewform?edit2=2_ABaOnudGGnHuvj1Mx8OwLrKSn1AqjCLomMEhrhU5fDYrdTDi9LSE-dY6JHdcNIhcYTCZ0zs</t>
  </si>
  <si>
    <t>https://docs.google.com/forms/d/e/1FAIpQLSeQ0wUAy9WJrwwZ_8x6kCxvJSihLYtbLF2nbMncVH08fybLWQ/viewform?edit2=2_ABaOnudXhM1YubUtlL_x3waSKTDGX8zH2Wg-69ngukLQmiU9U7aedjyueG8V1n-S_jav85k</t>
  </si>
  <si>
    <t>Ashutosh Mishra</t>
  </si>
  <si>
    <t>89536 40314</t>
  </si>
  <si>
    <t>https://docs.google.com/forms/d/e/1FAIpQLSeQ0wUAy9WJrwwZ_8x6kCxvJSihLYtbLF2nbMncVH08fybLWQ/viewform?edit2=2_ABaOnucrhpOHdofMktaH2g8mucaS6UaWcthnhudO2VuPY2eOfJYkw0UBmmrvpi4ZQjWHRYo</t>
  </si>
  <si>
    <t>Kiran Pawar</t>
  </si>
  <si>
    <t>73788 47979</t>
  </si>
  <si>
    <t>https://docs.google.com/forms/d/e/1FAIpQLSeQ0wUAy9WJrwwZ_8x6kCxvJSihLYtbLF2nbMncVH08fybLWQ/viewform?edit2=2_ABaOnufW1UCHH9wL7IHMYEZKwK5toNDsO6kALA1qBpvoRqwtdYb3MvbHT69ZXcFpUpgt-dA</t>
  </si>
  <si>
    <t xml:space="preserve">Dipika </t>
  </si>
  <si>
    <t>97175 14559</t>
  </si>
  <si>
    <t>https://docs.google.com/forms/d/e/1FAIpQLSeQ0wUAy9WJrwwZ_8x6kCxvJSihLYtbLF2nbMncVH08fybLWQ/viewform?edit2=2_ABaOnueN6nk5qt-ZFf1Jd7x9FvYM8lr7HJegiHUQ7UYowQ916wudXRw7X2_92RuzxYydCFA</t>
  </si>
  <si>
    <t>Sandeep Seth</t>
  </si>
  <si>
    <t>88602 11768</t>
  </si>
  <si>
    <t>https://docs.google.com/forms/d/e/1FAIpQLSeQ0wUAy9WJrwwZ_8x6kCxvJSihLYtbLF2nbMncVH08fybLWQ/viewform?edit2=2_ABaOnueiO35TaAerLU_2NMscdks6W0_VEuKFoTTvFfiCE2C9YblpKbuRQ-yEj0hL8ghWjAo</t>
  </si>
  <si>
    <t>Pawan Mahajan</t>
  </si>
  <si>
    <t>70730 10860</t>
  </si>
  <si>
    <t>https://docs.google.com/forms/d/e/1FAIpQLSeQ0wUAy9WJrwwZ_8x6kCxvJSihLYtbLF2nbMncVH08fybLWQ/viewform?edit2=2_ABaOnudRJwsYfhjzx2rMicXa7vHnQLGlQ7EUmlwZEZQOr5Fi07dAH-J7FREQfg4N8UokL8g</t>
  </si>
  <si>
    <t>81304 99150</t>
  </si>
  <si>
    <t>https://docs.google.com/forms/d/e/1FAIpQLSeQ0wUAy9WJrwwZ_8x6kCxvJSihLYtbLF2nbMncVH08fybLWQ/viewform?edit2=2_ABaOnud1-F7jve2DVHHOVcKdUXmcp9o1HASX2e3aYeituriwakZ0Qy1u6CtJLZvNor1Qdg8</t>
  </si>
  <si>
    <t>Satya Saxena</t>
  </si>
  <si>
    <t>76689 09426</t>
  </si>
  <si>
    <t>https://docs.google.com/forms/d/e/1FAIpQLSeQ0wUAy9WJrwwZ_8x6kCxvJSihLYtbLF2nbMncVH08fybLWQ/viewform?edit2=2_ABaOnufKcI9iCLqUZzDc-03QRu9JxnbaubcpHUrx_xZq1oeD-XmDnv5HsAwhr7j80zkGYE8</t>
  </si>
  <si>
    <t>Deep Rajput</t>
  </si>
  <si>
    <t>80574 59326</t>
  </si>
  <si>
    <t>https://docs.google.com/forms/d/e/1FAIpQLSeQ0wUAy9WJrwwZ_8x6kCxvJSihLYtbLF2nbMncVH08fybLWQ/viewform?edit2=2_ABaOnud4vn4pGsgLF0C3cf10OGF_vlqai_FJw6X2QE2WoSPZtRLCFSZ6I4UADHa7Ka5p79c</t>
  </si>
  <si>
    <t>Rishika</t>
  </si>
  <si>
    <t>97978 72525</t>
  </si>
  <si>
    <t>https://docs.google.com/forms/d/e/1FAIpQLSeQ0wUAy9WJrwwZ_8x6kCxvJSihLYtbLF2nbMncVH08fybLWQ/viewform?edit2=2_ABaOnuew6qcafUDEB1-v9ctQzs5dNmPwqG0tBOdVSbQxEs1dDZ-I-xtkKLN_ONwMHb5FT6A</t>
  </si>
  <si>
    <t>Neha Sonu</t>
  </si>
  <si>
    <t>81782 12608</t>
  </si>
  <si>
    <t>https://docs.google.com/forms/d/e/1FAIpQLSeQ0wUAy9WJrwwZ_8x6kCxvJSihLYtbLF2nbMncVH08fybLWQ/viewform?edit2=2_ABaOnucNEeUIsekREkCeYSIb7lTBLmZiROMtazqvYz4Tnw8N6ve8bppTZHhSLPTXeYMuDhg</t>
  </si>
  <si>
    <t>Pawan Kumar</t>
  </si>
  <si>
    <t>93771 00100</t>
  </si>
  <si>
    <t>https://docs.google.com/forms/d/e/1FAIpQLSeQ0wUAy9WJrwwZ_8x6kCxvJSihLYtbLF2nbMncVH08fybLWQ/viewform?edit2=2_ABaOnuep7RmTK_cW9tlYHo7cHP_kMSrss-fOtNnE5IhovYVmTpGbTRS1QSTgFx-OMpEdxLs</t>
  </si>
  <si>
    <t>Mamani</t>
  </si>
  <si>
    <t>79993 40144</t>
  </si>
  <si>
    <t>https://docs.google.com/forms/d/e/1FAIpQLSeQ0wUAy9WJrwwZ_8x6kCxvJSihLYtbLF2nbMncVH08fybLWQ/viewform?edit2=2_ABaOnucW9mOgNirOA0gf6msI4Zj8Ro1dK7E2qB4ImBMu_na1Kcg_lWsqIWfZ4cW2lNosHuY</t>
  </si>
  <si>
    <t>Arun</t>
  </si>
  <si>
    <t>99717 36893</t>
  </si>
  <si>
    <t>https://docs.google.com/forms/d/e/1FAIpQLSeQ0wUAy9WJrwwZ_8x6kCxvJSihLYtbLF2nbMncVH08fybLWQ/viewform?edit2=2_ABaOnudWKMbUo6n30mKSI2iqWiw7YhYhfcix680fYWx3xF4aC6_tLgXj9goV8Epv4o3scTw</t>
  </si>
  <si>
    <t xml:space="preserve">Arun Kumar </t>
  </si>
  <si>
    <t>64 21 188 3044</t>
  </si>
  <si>
    <t>https://docs.google.com/forms/d/e/1FAIpQLSeQ0wUAy9WJrwwZ_8x6kCxvJSihLYtbLF2nbMncVH08fybLWQ/viewform?edit2=2_ABaOnufY93e6i9lu_QSnJaMtueHc-IMw9tXO5epDk5Hj4kTLw3KK_xy7Cw6lUo8uPW5UKBs</t>
  </si>
  <si>
    <t>Nishant</t>
  </si>
  <si>
    <t>94539 27824</t>
  </si>
  <si>
    <t>https://docs.google.com/forms/d/e/1FAIpQLSeQ0wUAy9WJrwwZ_8x6kCxvJSihLYtbLF2nbMncVH08fybLWQ/viewform?edit2=2_ABaOnud6xFQxQBVWrd7C9IPZ4qHeKCiAuE1sxQTzc82xCRCVblpJfDsyQmOxuhoQ_-UtTmw</t>
  </si>
  <si>
    <t>Ashok Bhura</t>
  </si>
  <si>
    <t>98290 04102</t>
  </si>
  <si>
    <t>https://docs.google.com/forms/d/e/1FAIpQLSeQ0wUAy9WJrwwZ_8x6kCxvJSihLYtbLF2nbMncVH08fybLWQ/viewform?edit2=2_ABaOnueJtOQbmv82Gf43naHXC5buz-jlggYz92VlAlHuPlW9O-a3kxp_EiuhR6aBTpj4RU8</t>
  </si>
  <si>
    <t>Gaurav Rana</t>
  </si>
  <si>
    <t>97583 68612</t>
  </si>
  <si>
    <t>https://docs.google.com/forms/d/e/1FAIpQLSeQ0wUAy9WJrwwZ_8x6kCxvJSihLYtbLF2nbMncVH08fybLWQ/viewform?edit2=2_ABaOnucGzYtZEOjIGYnTUl6pZBFbFGhFLSydym15y28SinQxYZ9IL_GtXr1yGkD40u4W794</t>
  </si>
  <si>
    <t>Jabr</t>
  </si>
  <si>
    <t>82872 49453</t>
  </si>
  <si>
    <t>https://docs.google.com/forms/d/e/1FAIpQLSeQ0wUAy9WJrwwZ_8x6kCxvJSihLYtbLF2nbMncVH08fybLWQ/viewform?edit2=2_ABaOnuds7YZ5zgxrMlz72RWgDln4czztXe6LvijLbIs7u2BuxRNQYt2XSFKkWfrM4t9eAHM</t>
  </si>
  <si>
    <t>Sachin Gautam</t>
  </si>
  <si>
    <t xml:space="preserve"> 96543 80044</t>
  </si>
  <si>
    <t>https://docs.google.com/forms/d/e/1FAIpQLSeQ0wUAy9WJrwwZ_8x6kCxvJSihLYtbLF2nbMncVH08fybLWQ/viewform?edit2=2_ABaOnudAoiIZp31UXNJOkUi8DBzbps0pH18YF_M7EbgES3x13BLXBNjhO3dCQ_GK4U8-LGg</t>
  </si>
  <si>
    <t>Mayank</t>
  </si>
  <si>
    <t>88023 07409</t>
  </si>
  <si>
    <t>https://docs.google.com/forms/d/e/1FAIpQLSeQ0wUAy9WJrwwZ_8x6kCxvJSihLYtbLF2nbMncVH08fybLWQ/viewform?edit2=2_ABaOnudlBngir7pt8-X1-c0BWHIDEWMNxjj2a_9FGWIF-zDg-KKSsyDp5uPQ1K_DAujKjnw</t>
  </si>
  <si>
    <t>Mayank Pandit</t>
  </si>
  <si>
    <t>92052 62500</t>
  </si>
  <si>
    <t>https://docs.google.com/forms/d/e/1FAIpQLSeQ0wUAy9WJrwwZ_8x6kCxvJSihLYtbLF2nbMncVH08fybLWQ/viewform?edit2=2_ABaOnudD_bvqRiH1cqfeA4Ru5hN90Nrn9bf3Oz8w87J7Wx2eDPrSNSjTGAPuPXVkkwx9gus</t>
  </si>
  <si>
    <t>Brijesh Arya</t>
  </si>
  <si>
    <t>96856 07392</t>
  </si>
  <si>
    <t>https://docs.google.com/forms/d/e/1FAIpQLSeQ0wUAy9WJrwwZ_8x6kCxvJSihLYtbLF2nbMncVH08fybLWQ/viewform?edit2=2_ABaOnueRcQv29R_QDiD48bwSp7XtxuBpWx-pdPN0CmocsuR7JBV0Y7RBEwhQAXGnvt-8XYw</t>
  </si>
  <si>
    <t>Nikita Dhayani</t>
  </si>
  <si>
    <t>85275 69433</t>
  </si>
  <si>
    <t>https://docs.google.com/forms/d/e/1FAIpQLSeQ0wUAy9WJrwwZ_8x6kCxvJSihLYtbLF2nbMncVH08fybLWQ/viewform?edit2=2_ABaOnueqdiyYWuQ8ECObMz00e2q1K1HNkOlIiuVgCAcsq1c1O-LGs_bqUAxW9uGw2hKweNk</t>
  </si>
  <si>
    <t>Kunal Bagri</t>
  </si>
  <si>
    <t>99993 45617</t>
  </si>
  <si>
    <t>https://docs.google.com/forms/d/e/1FAIpQLSeQ0wUAy9WJrwwZ_8x6kCxvJSihLYtbLF2nbMncVH08fybLWQ/viewform?edit2=2_ABaOnueLtF_5POo3u2lYfyL8U_cuJ5WjC78nSPvNd4eZhDdpWyQcpoKJ58VdJVTf1X_Vlzg</t>
  </si>
  <si>
    <t xml:space="preserve">Akbar Quddusi </t>
  </si>
  <si>
    <t>84392 94084</t>
  </si>
  <si>
    <t>https://docs.google.com/forms/d/e/1FAIpQLSeQ0wUAy9WJrwwZ_8x6kCxvJSihLYtbLF2nbMncVH08fybLWQ/viewform?edit2=2_ABaOnud9fAu_Fd-BVXT6EdP30uu_ke3WjY7HsiT15ZqRu93K6J-x7msKQYo6QTfzHyoiaTs</t>
  </si>
  <si>
    <t>Manish Kumar</t>
  </si>
  <si>
    <t>95992 27783</t>
  </si>
  <si>
    <t>https://docs.google.com/forms/d/e/1FAIpQLSeQ0wUAy9WJrwwZ_8x6kCxvJSihLYtbLF2nbMncVH08fybLWQ/viewform?edit2=2_ABaOnudmjEcW3NiHRtVhtbeiEcMlVSFXrl44CUYb3Ngvj7KLGdfZAN_IQ71qFuDnXG3seZ8</t>
  </si>
  <si>
    <t>Rajan Mishra</t>
  </si>
  <si>
    <t>93549 36615</t>
  </si>
  <si>
    <t>https://docs.google.com/forms/d/e/1FAIpQLSeQ0wUAy9WJrwwZ_8x6kCxvJSihLYtbLF2nbMncVH08fybLWQ/viewform?edit2=2_ABaOnueQ3k_zIBeH0buWXQpzRMrPdSBODbOQKj17EDST8DYOfXvJBqtKlUxWkblcVuu0hhY</t>
  </si>
  <si>
    <t>Shalu Aggarwal</t>
  </si>
  <si>
    <t>89010 35974</t>
  </si>
  <si>
    <t>Diamond Jewellery, Gold Jewellery, Polki, Silver</t>
  </si>
  <si>
    <t>https://docs.google.com/forms/d/e/1FAIpQLSeQ0wUAy9WJrwwZ_8x6kCxvJSihLYtbLF2nbMncVH08fybLWQ/viewform?edit2=2_ABaOnueKM9N_iS8nXlFdjkdn3Wo5pOoRMNh0URXd2ffSLdWlbCeiEFgjcFZiMiVLUDtvefA</t>
  </si>
  <si>
    <t>Laxmi  Challa</t>
  </si>
  <si>
    <t>challalaxmikantha@gmail.com</t>
  </si>
  <si>
    <t>https://docs.google.com/forms/d/e/1FAIpQLSeQ0wUAy9WJrwwZ_8x6kCxvJSihLYtbLF2nbMncVH08fybLWQ/viewform?edit2=2_ABaOnucpKEoTd_u2JfVHKw73o8oWPFEqbCAK0TUDb_VEPgeccxlrNB0KDjanWonTBNf8lsk</t>
  </si>
  <si>
    <t>Vinita</t>
  </si>
  <si>
    <t>Diamond Ring</t>
  </si>
  <si>
    <t>https://docs.google.com/forms/d/e/1FAIpQLSeQ0wUAy9WJrwwZ_8x6kCxvJSihLYtbLF2nbMncVH08fybLWQ/viewform?edit2=2_ABaOnue9JuL2pA4ckkeHjf8LDSTNzmHzHJAwZyboALeM7m4xYpJA_2tIPeEw07rkyZUpNfE</t>
  </si>
  <si>
    <t>Atul Kumar</t>
  </si>
  <si>
    <t>https://docs.google.com/forms/d/e/1FAIpQLSeQ0wUAy9WJrwwZ_8x6kCxvJSihLYtbLF2nbMncVH08fybLWQ/viewform?edit2=2_ABaOnufoW_dOTBrq5Gwwy8CAjFN1pcQMgc5dY8ZqZ-ti7Ys5OIh9uf5GUlNp8wtJmKsF83Y</t>
  </si>
  <si>
    <t>Manish lodi</t>
  </si>
  <si>
    <t>manishlodi099@gmail.com</t>
  </si>
  <si>
    <t>https://docs.google.com/forms/d/e/1FAIpQLSeQ0wUAy9WJrwwZ_8x6kCxvJSihLYtbLF2nbMncVH08fybLWQ/viewform?edit2=2_ABaOnucPGQwHSSnRBd_bRrNneORmuoTfonNG_G842y9U7I5K-AMtzLn991ibAfcGxgIdT-w</t>
  </si>
  <si>
    <t>Siddhartha</t>
  </si>
  <si>
    <t>https://docs.google.com/forms/d/e/1FAIpQLSeQ0wUAy9WJrwwZ_8x6kCxvJSihLYtbLF2nbMncVH08fybLWQ/viewform?edit2=2_ABaOnucZQtEtytqDDYswq4mMZ9sfJ-wJ75Oyzbtokdp8MZWOnlBkF5hZDRQ3i0ODvUjlOUc</t>
  </si>
  <si>
    <t>Hari Om</t>
  </si>
  <si>
    <t xml:space="preserve">diamond </t>
  </si>
  <si>
    <t>hari.om@jimsindia.org</t>
  </si>
  <si>
    <t>https://docs.google.com/forms/d/e/1FAIpQLSeQ0wUAy9WJrwwZ_8x6kCxvJSihLYtbLF2nbMncVH08fybLWQ/viewform?edit2=2_ABaOnud_IsDnxsCrNGXwrQH4Y_CuXfM9bWjQgOb0nl6guKrWcRR3ggkEIt1MhONni-Ouy6c</t>
  </si>
  <si>
    <t>Priya</t>
  </si>
  <si>
    <t>https://docs.google.com/forms/d/e/1FAIpQLSeQ0wUAy9WJrwwZ_8x6kCxvJSihLYtbLF2nbMncVH08fybLWQ/viewform?edit2=2_ABaOnufXGlcwtDfoQQFwRyoIr8hLRo-uVP2K2A3hKT1blDHj-RKWFKDBOw4twd7Yocs9i4w</t>
  </si>
  <si>
    <t>Surbhi</t>
  </si>
  <si>
    <t>https://docs.google.com/forms/d/e/1FAIpQLSeQ0wUAy9WJrwwZ_8x6kCxvJSihLYtbLF2nbMncVH08fybLWQ/viewform?edit2=2_ABaOnufSKd0Q-WyJx358Kel4qFYlbhiivZg9AfusdYtcxACj5e9ZE-OJkCmYV4uQ16BWg1U</t>
  </si>
  <si>
    <t>Sahil</t>
  </si>
  <si>
    <t>sahilpanchal8295407030@gmail.com</t>
  </si>
  <si>
    <t>https://docs.google.com/forms/d/e/1FAIpQLSeQ0wUAy9WJrwwZ_8x6kCxvJSihLYtbLF2nbMncVH08fybLWQ/viewform?edit2=2_ABaOnueNr87jUOdPQYJmb-IDP1Ad3i6kvclHlVEzu-T6s69Zrjd_Sn9FuXhc5mhePj3oXkc</t>
  </si>
  <si>
    <t>Shivfat Mishra</t>
  </si>
  <si>
    <t xml:space="preserve">Diamond </t>
  </si>
  <si>
    <t>shivmishra5128@gmail.com</t>
  </si>
  <si>
    <t>https://docs.google.com/forms/d/e/1FAIpQLSeQ0wUAy9WJrwwZ_8x6kCxvJSihLYtbLF2nbMncVH08fybLWQ/viewform?edit2=2_ABaOnudKjy7dQRkMN_5Zxu73rvDZSt1Juy0LwCSCAYGJUTIrY9nCh195Z7lkuzrBfPhQXd8</t>
  </si>
  <si>
    <t xml:space="preserve">Ravi Kant </t>
  </si>
  <si>
    <t>Vinodmorkheriya@gmail.com</t>
  </si>
  <si>
    <t>https://docs.google.com/forms/d/e/1FAIpQLSeQ0wUAy9WJrwwZ_8x6kCxvJSihLYtbLF2nbMncVH08fybLWQ/viewform?edit2=2_ABaOnufJoDjZitGQ8EVyIajspHPefeGJ6_c-xmMyX_I7YG4EnJ_K01G0lOCw7SaPGL2SMNM</t>
  </si>
  <si>
    <t>Anil Kumar</t>
  </si>
  <si>
    <t>akanilkumar975@gmail.com</t>
  </si>
  <si>
    <t>https://docs.google.com/forms/d/e/1FAIpQLSeQ0wUAy9WJrwwZ_8x6kCxvJSihLYtbLF2nbMncVH08fybLWQ/viewform?edit2=2_ABaOnudeNY3td-tQPsVpruyv5dgwTG9h0MMYTi28U1Fy1bqUGSBBdMvvupZn14P1uwwgS1c</t>
  </si>
  <si>
    <t xml:space="preserve">Rakesh varma </t>
  </si>
  <si>
    <t>Rakeshvarma2525@gmail.com</t>
  </si>
  <si>
    <t>https://docs.google.com/forms/d/e/1FAIpQLSeQ0wUAy9WJrwwZ_8x6kCxvJSihLYtbLF2nbMncVH08fybLWQ/viewform?edit2=2_ABaOnuc8kJuHlLehOLpvyDho4y-fXmJ2spRZ7e0g1hU3NaWdRrk1Fk1lnDT63sPqtJqTAAA</t>
  </si>
  <si>
    <t>Subh</t>
  </si>
  <si>
    <t>https://docs.google.com/forms/d/e/1FAIpQLSeQ0wUAy9WJrwwZ_8x6kCxvJSihLYtbLF2nbMncVH08fybLWQ/viewform?edit2=2_ABaOnuebZ0RbFc6GkZiqaCwgpzWHjFZRxuOouwnXx0GzZhe_Wb-By2TMzKZ4w_9K9Yyw15Q</t>
  </si>
  <si>
    <t xml:space="preserve">Mohit ji </t>
  </si>
  <si>
    <t>Mohitkushwaha10@gmail.com</t>
  </si>
  <si>
    <t>https://docs.google.com/forms/d/e/1FAIpQLSeQ0wUAy9WJrwwZ_8x6kCxvJSihLYtbLF2nbMncVH08fybLWQ/viewform?edit2=2_ABaOnufw7gU8j1D8AmK_PdeLm7VPlM9gBrzcEJGFeEb8sD2-Pu_veuaWoidOROeGX7bTKwE</t>
  </si>
  <si>
    <t>Uma Shankar Singla</t>
  </si>
  <si>
    <t>https://docs.google.com/forms/d/e/1FAIpQLSeQ0wUAy9WJrwwZ_8x6kCxvJSihLYtbLF2nbMncVH08fybLWQ/viewform?edit2=2_ABaOnuezj_O06uTYe4r0XAT6LMM0HsQbjRPQW-C5MjVT2v_5Zg7R35pEZzGSL3i1Qhzouus</t>
  </si>
  <si>
    <t>Sachin</t>
  </si>
  <si>
    <t>https://docs.google.com/forms/d/e/1FAIpQLSeQ0wUAy9WJrwwZ_8x6kCxvJSihLYtbLF2nbMncVH08fybLWQ/viewform?edit2=2_ABaOnucMyhPGNtlAgo06c-_IT5Kq2pEh8IcR-ncVeng7PL8Je9eq035UTjg_Rs9zDaFHyRs</t>
  </si>
  <si>
    <t>https://docs.google.com/forms/d/e/1FAIpQLSeQ0wUAy9WJrwwZ_8x6kCxvJSihLYtbLF2nbMncVH08fybLWQ/viewform?edit2=2_ABaOnuf6s0EtC_ISW3UFa_UjYf18KzbvAs5rARiB_HpMRRWQvCsLrH6ipW0Mc63vSMYFZR8</t>
  </si>
  <si>
    <t>Vikas Jain</t>
  </si>
  <si>
    <t>vikasjain_adv@yahoo.co.in</t>
  </si>
  <si>
    <t>https://docs.google.com/forms/d/e/1FAIpQLSeQ0wUAy9WJrwwZ_8x6kCxvJSihLYtbLF2nbMncVH08fybLWQ/viewform?edit2=2_ABaOnufXzmK6l4Qx3dypjJEc4UU5qBgQzUCI51w50Dnm2rOT8UQ_gSDz2NDueIKkNBkVqQE</t>
  </si>
  <si>
    <t>Manju</t>
  </si>
  <si>
    <t>https://docs.google.com/forms/d/e/1FAIpQLSeQ0wUAy9WJrwwZ_8x6kCxvJSihLYtbLF2nbMncVH08fybLWQ/viewform?edit2=2_ABaOnufV6gaiiVyTvoWiYF9Zb2eiaYPG75dlnTVkCrRz29_Qlx9ehiRJFdNQ7IuyD833xHA</t>
  </si>
  <si>
    <t>Payal</t>
  </si>
  <si>
    <t>https://docs.google.com/forms/d/e/1FAIpQLSeQ0wUAy9WJrwwZ_8x6kCxvJSihLYtbLF2nbMncVH08fybLWQ/viewform?edit2=2_ABaOnufrqCO9cQf_we6QQZjrZzVR9OxOFeoexAduagk9dXwNFs28o4jyMmrqmOgtJnpEk2I</t>
  </si>
  <si>
    <t>https://docs.google.com/forms/d/e/1FAIpQLSeQ0wUAy9WJrwwZ_8x6kCxvJSihLYtbLF2nbMncVH08fybLWQ/viewform?edit2=2_ABaOnud0xRcRi4ulC5FYSoy_0UeSd5gW1ojThX4mNYTmpwRxd_dTsktBqdU_nRHxa5WjdQs</t>
  </si>
  <si>
    <t>https://docs.google.com/forms/d/e/1FAIpQLSeQ0wUAy9WJrwwZ_8x6kCxvJSihLYtbLF2nbMncVH08fybLWQ/viewform?edit2=2_ABaOnufGkPsMstNkQ7taAusdlea6bIfT_0uwee7fjO0pxlxucdk5otKo9r7qhM-AEAtC4xo</t>
  </si>
  <si>
    <t>https://docs.google.com/forms/d/e/1FAIpQLSeQ0wUAy9WJrwwZ_8x6kCxvJSihLYtbLF2nbMncVH08fybLWQ/viewform?edit2=2_ABaOnuerM3RX9jewhMQZM89MyCiQSBXVwczLsRGNh2_vgdHQjOhgA7jQdGFxrDtOGbma7zU</t>
  </si>
  <si>
    <t>Chain, Ladies Ring, Gents Ring</t>
  </si>
  <si>
    <t>https://docs.google.com/forms/d/e/1FAIpQLSeQ0wUAy9WJrwwZ_8x6kCxvJSihLYtbLF2nbMncVH08fybLWQ/viewform?edit2=2_ABaOnudbnC-WaFTFxKOmzFl2U_KPgvLF8WtNkzgCKlPEOuz0YQFLXctym-ak8Ifqn9gN75k</t>
  </si>
  <si>
    <t>Chain, Necklace, Pendant, Ladies Ring, Gents Ring</t>
  </si>
  <si>
    <t>https://docs.google.com/forms/d/e/1FAIpQLSeQ0wUAy9WJrwwZ_8x6kCxvJSihLYtbLF2nbMncVH08fybLWQ/viewform?edit2=2_ABaOnueaURh8R8X_3IZK2j82kDzvfA6Gbq8E5nZFfMXbx8p8thsizVBxRwS6VZd4Xv2Ldn8</t>
  </si>
  <si>
    <t>Chain, Necklace, Ladies Ring, Gents Ring</t>
  </si>
  <si>
    <t>https://docs.google.com/forms/d/e/1FAIpQLSeQ0wUAy9WJrwwZ_8x6kCxvJSihLYtbLF2nbMncVH08fybLWQ/viewform?edit2=2_ABaOnufdeqAFEErj8k2R3aLFuF_NLCDr_LwdAZaHxG68AXzFHHB4yoAbpPWJFIuQLORokmA</t>
  </si>
  <si>
    <t>Chain, Pendant, Ladies Ring, Gents Ring</t>
  </si>
  <si>
    <t>https://docs.google.com/forms/d/e/1FAIpQLSeQ0wUAy9WJrwwZ_8x6kCxvJSihLYtbLF2nbMncVH08fybLWQ/viewform?edit2=2_ABaOnucNnwl5xhm3EYexjFDVWZsKo--e5_AYBErvRSS3ESLzYgWMAAFeGLcjJScECwhTw8Y</t>
  </si>
  <si>
    <t>Chain, Ladies Bracelet / Kada, Ladies Ring, Gents Ring</t>
  </si>
  <si>
    <t>https://docs.google.com/forms/d/e/1FAIpQLSeQ0wUAy9WJrwwZ_8x6kCxvJSihLYtbLF2nbMncVH08fybLWQ/viewform?edit2=2_ABaOnufftwC-IAot3vGNRtUMutnba-dB5a9dhROTLe6BAnrx4AQN2VF3qXdiDdZppwYNmSw</t>
  </si>
  <si>
    <t>https://docs.google.com/forms/d/e/1FAIpQLSeQ0wUAy9WJrwwZ_8x6kCxvJSihLYtbLF2nbMncVH08fybLWQ/viewform?edit2=2_ABaOnudpGVH6fk2A8smQLdU9mct6-UdCDGC7IOmRBXZww4c53VeFJeqod0ZL8AWoRQZt5XM</t>
  </si>
  <si>
    <t>https://docs.google.com/forms/d/e/1FAIpQLSeQ0wUAy9WJrwwZ_8x6kCxvJSihLYtbLF2nbMncVH08fybLWQ/viewform?edit2=2_ABaOnufHuNE8LKFXdHdIKLK-Uc-SBKeJgq8IKPXAADw552gh_mPBU2Z7lxtksqT2Be6sDt0</t>
  </si>
  <si>
    <t>Chain, Earring / Tops, Gents Ring, Solitaire Ring</t>
  </si>
  <si>
    <t>https://docs.google.com/forms/d/e/1FAIpQLSeQ0wUAy9WJrwwZ_8x6kCxvJSihLYtbLF2nbMncVH08fybLWQ/viewform?edit2=2_ABaOnueywRhnhuwA6Jd-uctllmZVDGt_SJJqUHMQiyoI4-0gobsQjnD0YfWFylgkcI2xh38</t>
  </si>
  <si>
    <t>https://docs.google.com/forms/d/e/1FAIpQLSeQ0wUAy9WJrwwZ_8x6kCxvJSihLYtbLF2nbMncVH08fybLWQ/viewform?edit2=2_ABaOnuc0wZeBmRQOuMz0BtvZzm1y3rowzD9RHRG8AgeyTn689fdoLYtR0ypNNeUs2YdWGF0</t>
  </si>
  <si>
    <t>https://docs.google.com/forms/d/e/1FAIpQLSeQ0wUAy9WJrwwZ_8x6kCxvJSihLYtbLF2nbMncVH08fybLWQ/viewform?edit2=2_ABaOnudlBlILHGRvNTgoP6voL3R_14mecCj_AwOOhkVrp7Gu9bWXkhmG37MNizWWYgKhPNg</t>
  </si>
  <si>
    <t>Necklace, Pendant</t>
  </si>
  <si>
    <t>https://docs.google.com/forms/d/e/1FAIpQLSeQ0wUAy9WJrwwZ_8x6kCxvJSihLYtbLF2nbMncVH08fybLWQ/viewform?edit2=2_ABaOnuegyQA1HOBCuv4DMySnpG9kmIjbJd2leUiJkb5DJwng38lXfYbAHM5bTWrU3wD_A20</t>
  </si>
  <si>
    <t>https://docs.google.com/forms/d/e/1FAIpQLSeQ0wUAy9WJrwwZ_8x6kCxvJSihLYtbLF2nbMncVH08fybLWQ/viewform?edit2=2_ABaOnue1mAnLDXtfSgQPhK2hYahNgYHrBDL9Ri-ke_ebtjMgCmR1o9oMgIahlBz02ZsKhF8</t>
  </si>
  <si>
    <t>https://docs.google.com/forms/d/e/1FAIpQLSeQ0wUAy9WJrwwZ_8x6kCxvJSihLYtbLF2nbMncVH08fybLWQ/viewform?edit2=2_ABaOnueiSfIuXXWv2iEvBev3l5oA3-gnLsHm4j6WLZdp7sW-wE1DzBY6x5iyA3sDUISnQho</t>
  </si>
  <si>
    <t>https://docs.google.com/forms/d/e/1FAIpQLSeQ0wUAy9WJrwwZ_8x6kCxvJSihLYtbLF2nbMncVH08fybLWQ/viewform?edit2=2_ABaOnufNlFa8BKwbxtz1vo6_jR7DkwwJNgoYXiLkEfX8RHm5oJOwpBnpi4Ia9IEi1B-J6fI</t>
  </si>
  <si>
    <t>https://docs.google.com/forms/d/e/1FAIpQLSeQ0wUAy9WJrwwZ_8x6kCxvJSihLYtbLF2nbMncVH08fybLWQ/viewform?edit2=2_ABaOnudK4_daid0LXYVzgo8xsxi6cRLJcs_GKCYakTOZDTRliHgByXZBCFhFIjj3Pm0KwcI</t>
  </si>
  <si>
    <t>https://docs.google.com/forms/d/e/1FAIpQLSeQ0wUAy9WJrwwZ_8x6kCxvJSihLYtbLF2nbMncVH08fybLWQ/viewform?edit2=2_ABaOnueAG4rhkGjNKICNQaFaC1kzxU4IEV-lrjtcOzUT_ewiPX_uh2dlFacpZyu1sXzQiCA</t>
  </si>
  <si>
    <t>https://docs.google.com/forms/d/e/1FAIpQLSeQ0wUAy9WJrwwZ_8x6kCxvJSihLYtbLF2nbMncVH08fybLWQ/viewform?edit2=2_ABaOnudUvvVaovotKnM1ut3DlhwC_N4Mel7S7QDUSKkKeQzToS0lwcpe-3heJkiX4K1Ad38</t>
  </si>
  <si>
    <t>https://docs.google.com/forms/d/e/1FAIpQLSeQ0wUAy9WJrwwZ_8x6kCxvJSihLYtbLF2nbMncVH08fybLWQ/viewform?edit2=2_ABaOnue2oSBThN23ijDV2P8mw9u5L0b3ZYaZ315NKNVaWXg0hy7I4Oq_6uHCXvwHKrEieSA</t>
  </si>
  <si>
    <t>Chain, Earring / Tops, Ladies Ring, Gents Ring</t>
  </si>
  <si>
    <t>https://docs.google.com/forms/d/e/1FAIpQLSeQ0wUAy9WJrwwZ_8x6kCxvJSihLYtbLF2nbMncVH08fybLWQ/viewform?edit2=2_ABaOnudJ7my266hBQVmeAe_tCYPEjZWhsjj7DmFHRa5NgzGeatEPWoS7RXwVahn35gy3KI8</t>
  </si>
  <si>
    <t>https://docs.google.com/forms/d/e/1FAIpQLSeQ0wUAy9WJrwwZ_8x6kCxvJSihLYtbLF2nbMncVH08fybLWQ/viewform?edit2=2_ABaOnufRKCGJFNpUyi1mJE53h4ubvLzthzLtlnbu1EawvPhHmEGfoOIttktaoDQYd-M-630</t>
  </si>
  <si>
    <t>Chain, Ladies Ring, Gents Ring, Gold Jewellery</t>
  </si>
  <si>
    <t>https://docs.google.com/forms/d/e/1FAIpQLSeQ0wUAy9WJrwwZ_8x6kCxvJSihLYtbLF2nbMncVH08fybLWQ/viewform?edit2=2_ABaOnufkRJDMEVHtlCtOQzyt8PitExgqhWoHJA39-X2jIuQXMA1ZpId4SYDiSjaIa1AISEs</t>
  </si>
  <si>
    <t>https://docs.google.com/forms/d/e/1FAIpQLSeQ0wUAy9WJrwwZ_8x6kCxvJSihLYtbLF2nbMncVH08fybLWQ/viewform?edit2=2_ABaOnudEFJIQ8uTiu7Xil09OPxlZ4j6rZlG1CYok11zcuWYOBkARTFb2kU-oXXeBljEuUCw</t>
  </si>
  <si>
    <t>https://docs.google.com/forms/d/e/1FAIpQLSeQ0wUAy9WJrwwZ_8x6kCxvJSihLYtbLF2nbMncVH08fybLWQ/viewform?edit2=2_ABaOnuc6heR41BrYjKZkuSrhIHH2q8KpXfUPzy5zu-GF0sYxRDxXRwj7CKZkn5_Nx4GQRA0</t>
  </si>
  <si>
    <t>https://docs.google.com/forms/d/e/1FAIpQLSeQ0wUAy9WJrwwZ_8x6kCxvJSihLYtbLF2nbMncVH08fybLWQ/viewform?edit2=2_ABaOnuexa_q5VY4oMnonjP4s7jjbqgsnTcxPQw7PBSIPs00d29_zsEF4lHa0CyGFAF_oFW4</t>
  </si>
  <si>
    <t>https://docs.google.com/forms/d/e/1FAIpQLSeQ0wUAy9WJrwwZ_8x6kCxvJSihLYtbLF2nbMncVH08fybLWQ/viewform?edit2=2_ABaOnuccX7b09xmSmC_Hy0uI2wfffQTaDbXRmGgsjsQ_EjsRsiET2yLXwnuiIUsIN6NfepM</t>
  </si>
  <si>
    <t>Name pendant in chain</t>
  </si>
  <si>
    <t>https://docs.google.com/forms/d/e/1FAIpQLSeQ0wUAy9WJrwwZ_8x6kCxvJSihLYtbLF2nbMncVH08fybLWQ/viewform?edit2=2_ABaOnuePtV5dWczF9fLWylpAYsjz-OUPHpXrUH7ndlw4wmdoEiGD7CdSJrlzIesQiIwmO3c</t>
  </si>
  <si>
    <t>Manu kapila</t>
  </si>
  <si>
    <t>6 ct round pair I si</t>
  </si>
  <si>
    <t>https://docs.google.com/forms/d/e/1FAIpQLSeQ0wUAy9WJrwwZ_8x6kCxvJSihLYtbLF2nbMncVH08fybLWQ/viewform?edit2=2_ABaOnufTjYvSOMW2oeBNvkblwD9pbPJ-Tn8kg5FDIyW5JLJ278vFRUgG_kvSElc1r7BEASo</t>
  </si>
  <si>
    <t>Rahul jmu</t>
  </si>
  <si>
    <t>Coins</t>
  </si>
  <si>
    <t>3 kg mixed coins</t>
  </si>
  <si>
    <t>https://docs.google.com/forms/d/e/1FAIpQLSeQ0wUAy9WJrwwZ_8x6kCxvJSihLYtbLF2nbMncVH08fybLWQ/viewform?edit2=2_ABaOnuf9I2s6jiBVhgZlmoE5aAYSpuCXlakEB-SPZ50j_yjXkIuQU4NJ68Qj1aPLos9E4RE</t>
  </si>
  <si>
    <t>Sunny wedding asia</t>
  </si>
  <si>
    <t>Cvd 1 ct bangle</t>
  </si>
  <si>
    <t>https://docs.google.com/forms/d/e/1FAIpQLSeQ0wUAy9WJrwwZ_8x6kCxvJSihLYtbLF2nbMncVH08fybLWQ/viewform?edit2=2_ABaOnuf7HG9O5MEX6Kj-jeJgeFXkFac_Y3IRJReB8k-nzrgm75yIqSjkUs8F9Nowtzpr82k</t>
  </si>
  <si>
    <t>Sunny wedding asis</t>
  </si>
  <si>
    <t>Necklace Set, Necklace, Pendant, Bangle</t>
  </si>
  <si>
    <t>Wedding in home in nov</t>
  </si>
  <si>
    <t>https://docs.google.com/forms/d/e/1FAIpQLSeQ0wUAy9WJrwwZ_8x6kCxvJSihLYtbLF2nbMncVH08fybLWQ/viewform?edit2=2_ABaOnuf9GIEi0tyVotQxCcjxxaJeChR6ZRFWRmbK7uKaY7oVm-oSM-7mgbYIKw_Vz1I9M0Q</t>
  </si>
  <si>
    <t>Vipan ji</t>
  </si>
  <si>
    <t>Light weight chain</t>
  </si>
  <si>
    <t>https://docs.google.com/forms/d/e/1FAIpQLSeQ0wUAy9WJrwwZ_8x6kCxvJSihLYtbLF2nbMncVH08fybLWQ/viewform?edit2=2_ABaOnuda5IOmkfWttX6rbcQE9fSSNArN2sABih8vMZuSGmPitjPViwH7sXYojUCBfOcPdeE</t>
  </si>
  <si>
    <t>Mridul</t>
  </si>
  <si>
    <t>Ruby 6.25 ratti</t>
  </si>
  <si>
    <t>https://docs.google.com/forms/d/e/1FAIpQLSeQ0wUAy9WJrwwZ_8x6kCxvJSihLYtbLF2nbMncVH08fybLWQ/viewform?edit2=2_ABaOnuedt-EjWj7cD3-IDaBTm7OrR7-H9O9DZvwnGUS4D0SMdzpf4QasMH1e9bhXWsZmCDs</t>
  </si>
  <si>
    <t>Anshul pankaj</t>
  </si>
  <si>
    <t>GEMSTONE</t>
  </si>
  <si>
    <t>https://docs.google.com/forms/d/e/1FAIpQLSeQ0wUAy9WJrwwZ_8x6kCxvJSihLYtbLF2nbMncVH08fybLWQ/viewform?edit2=2_ABaOnudZeEbUe5lMb3Y_Em-F1YMZQGMgwDlBU3-6kfyLPgW9rkvudkiD9ThOdrcXyiOc2MQ</t>
  </si>
  <si>
    <t>Manoj shoe</t>
  </si>
  <si>
    <t>silver payal</t>
  </si>
  <si>
    <t>https://docs.google.com/forms/d/e/1FAIpQLSeQ0wUAy9WJrwwZ_8x6kCxvJSihLYtbLF2nbMncVH08fybLWQ/viewform?edit2=2_ABaOnudGQjqoHF3Vpl9pKxpWDbTU3E-CijH8O41ob6ZS_LuMZF3k8U4xfsv1QYci_QXlsgI</t>
  </si>
  <si>
    <t>paras ji</t>
  </si>
  <si>
    <t>1.50ct pc</t>
  </si>
  <si>
    <t>https://docs.google.com/forms/d/e/1FAIpQLSeQ0wUAy9WJrwwZ_8x6kCxvJSihLYtbLF2nbMncVH08fybLWQ/viewform?edit2=2_ABaOnudhOY7lmXDiuMjO7jk6848qC3xcJhR3e8nxj6xjqacsz7rSoXTNJqRbN4O42ssDFYs</t>
  </si>
  <si>
    <t>AJAY JI</t>
  </si>
  <si>
    <t>7 chakra braclete</t>
  </si>
  <si>
    <t>https://docs.google.com/forms/d/e/1FAIpQLSeQ0wUAy9WJrwwZ_8x6kCxvJSihLYtbLF2nbMncVH08fybLWQ/viewform?edit2=2_ABaOnueKYqF4OBA2dxNbOZsf5ZXI_w-n1Uqd4_w18-eAojgmdX4cDpEw6Wa81OGgMT15hF8</t>
  </si>
  <si>
    <t>Prtha mam</t>
  </si>
  <si>
    <t>pendent chain h.earing bnnne h.</t>
  </si>
  <si>
    <t>https://docs.google.com/forms/d/e/1FAIpQLSeQ0wUAy9WJrwwZ_8x6kCxvJSihLYtbLF2nbMncVH08fybLWQ/viewform?edit2=2_ABaOnucaiOJOCqm1Bc-vYs6e_438gPKbwKe0OSzGz2mEhhHK49tsFaYS-7ta-Gth4lHKDV4</t>
  </si>
  <si>
    <t>jagdish ji</t>
  </si>
  <si>
    <t>Emerald diamond set</t>
  </si>
  <si>
    <t>https://docs.google.com/forms/d/e/1FAIpQLSeQ0wUAy9WJrwwZ_8x6kCxvJSihLYtbLF2nbMncVH08fybLWQ/viewform?edit2=2_ABaOnudXGHgnLDOsqpPUl8rmkPLtYkHrGNBk27aJPyqfvZQLto9Yt0oqACaq8VtVBahTsK4</t>
  </si>
  <si>
    <t xml:space="preserve">Dr. Srishti </t>
  </si>
  <si>
    <t>https://drive.google.com/open?id=11komQDzACMlF_lUqKzqmkJV-nk8wwxKG</t>
  </si>
  <si>
    <t>https://docs.google.com/forms/d/e/1FAIpQLSeQ0wUAy9WJrwwZ_8x6kCxvJSihLYtbLF2nbMncVH08fybLWQ/viewform?edit2=2_ABaOnueSpe1Wt2Qk-1fbY70qxvzc4cArNSRWYcuYs6WNHCzVspaGy1M2eX-mksCyAghCvYE</t>
  </si>
  <si>
    <t>sunita  Vashishta</t>
  </si>
  <si>
    <t xml:space="preserve"> 75 ct two pieces </t>
  </si>
  <si>
    <t>https://docs.google.com/forms/d/e/1FAIpQLSeQ0wUAy9WJrwwZ_8x6kCxvJSihLYtbLF2nbMncVH08fybLWQ/viewform?edit2=2_ABaOnufj79mGeEQnA0YneCAH75I6YGLLNuJ7Ykzp3P6bdTraJQ6lJnwrjFawaRpBzqh3DBk</t>
  </si>
  <si>
    <t>Jyoti mam</t>
  </si>
  <si>
    <t>https://docs.google.com/forms/d/e/1FAIpQLSeQ0wUAy9WJrwwZ_8x6kCxvJSihLYtbLF2nbMncVH08fybLWQ/viewform?edit2=2_ABaOnucuw-o4jzIuS5w0dCwcRSRlsSeJRIiB6GjjOySSOQ-Hzvud1KBnb_lnyp0ajUqQYbY</t>
  </si>
  <si>
    <t>Pankaj sir</t>
  </si>
  <si>
    <t>https://docs.google.com/forms/d/e/1FAIpQLSeQ0wUAy9WJrwwZ_8x6kCxvJSihLYtbLF2nbMncVH08fybLWQ/viewform?edit2=2_ABaOnufDlYND1mwcxqj8yF_uOBRcwUipo6C9PTi4XvDMEMhI4bzS3IXyIJ94qe9hotGvj_M</t>
  </si>
  <si>
    <t>Dimple mam</t>
  </si>
  <si>
    <t>HSI2 ,CVD2 CT</t>
  </si>
  <si>
    <t>https://docs.google.com/forms/d/e/1FAIpQLSeQ0wUAy9WJrwwZ_8x6kCxvJSihLYtbLF2nbMncVH08fybLWQ/viewform?edit2=2_ABaOnuc_079U24Y_QrXtXOMnVkI75TRxffAHOf14Hbr3rSpldJrdDiDS5YzrcXKeLQGY_Io</t>
  </si>
  <si>
    <t xml:space="preserve">sunny </t>
  </si>
  <si>
    <t>https://docs.google.com/forms/d/e/1FAIpQLSeQ0wUAy9WJrwwZ_8x6kCxvJSihLYtbLF2nbMncVH08fybLWQ/viewform?edit2=2_ABaOnudks2VRZO_D3ll6_6SfNYRG7ucPDPeTekX9GazVHTlmc1pHziVY9wV_yYRRn128IoM</t>
  </si>
  <si>
    <t xml:space="preserve">Gaurav ji </t>
  </si>
  <si>
    <t>man made 4ct vs 1 D colour radiant cut with emerald shape</t>
  </si>
  <si>
    <t>https://docs.google.com/forms/d/e/1FAIpQLSeQ0wUAy9WJrwwZ_8x6kCxvJSihLYtbLF2nbMncVH08fybLWQ/viewform?edit2=2_ABaOnud23X11fd3Vy6s-K3sMGWut6StFq61nzKHBWjl8UIU1ImWtTHkrQIesfigH6_vH1DA</t>
  </si>
  <si>
    <t>Mrs kapila</t>
  </si>
  <si>
    <t>https://docs.google.com/forms/d/e/1FAIpQLSeQ0wUAy9WJrwwZ_8x6kCxvJSihLYtbLF2nbMncVH08fybLWQ/viewform?edit2=2_ABaOnufkp70n91YMVMdGe7mex_TfdAmqD0VHI9nIuduqmw0qFVjgp7iHvCX6uLVsM0qrniY</t>
  </si>
  <si>
    <t>Dinesh sharma</t>
  </si>
  <si>
    <t>sava 12 rati opel 12k ring</t>
  </si>
  <si>
    <t>https://docs.google.com/forms/d/e/1FAIpQLSeQ0wUAy9WJrwwZ_8x6kCxvJSihLYtbLF2nbMncVH08fybLWQ/viewform?edit2=2_ABaOnuc5hPHFpvwHNHzSXWmaJ21IGnavBl8VtigLiTJDCK0cWfuvo4bRMIfKZ6Bl6EBLDTs</t>
  </si>
  <si>
    <t xml:space="preserve">Farhana </t>
  </si>
  <si>
    <t>gold coin 100gm 24k</t>
  </si>
  <si>
    <t>https://docs.google.com/forms/d/e/1FAIpQLSeQ0wUAy9WJrwwZ_8x6kCxvJSihLYtbLF2nbMncVH08fybLWQ/viewform?edit2=2_ABaOnueppj9lOCwPU1x-d4oD9Xxtlvj-1m-NUnM2fmZIQdxm65RQMTusoopph3vYRzlC-FY</t>
  </si>
  <si>
    <t xml:space="preserve">Mrs.  sikka </t>
  </si>
  <si>
    <t>2 coins mmtc 10gm</t>
  </si>
  <si>
    <t>https://docs.google.com/forms/d/e/1FAIpQLSeQ0wUAy9WJrwwZ_8x6kCxvJSihLYtbLF2nbMncVH08fybLWQ/viewform?edit2=2_ABaOnueUd8jVWCmGaAAya0kTIIBndKwXRkuu23iVhQYIAj3S0ct5AazIsALqiiVVdHEcWks</t>
  </si>
  <si>
    <t>Mrs. kapila</t>
  </si>
  <si>
    <t>Amethyst pendant silver</t>
  </si>
  <si>
    <t>https://docs.google.com/forms/d/e/1FAIpQLSeQ0wUAy9WJrwwZ_8x6kCxvJSihLYtbLF2nbMncVH08fybLWQ/viewform?edit2=2_ABaOnucrxvLDqrSKN7UGppzRFcDm9pf0UU075Hcnz89vZQJ9Qm9cqWb6H78EXMjmZP7WGPI</t>
  </si>
  <si>
    <t>PRIYANKA SRIVASTAVA</t>
  </si>
  <si>
    <t xml:space="preserve">2 YANTRA </t>
  </si>
  <si>
    <t>https://docs.google.com/forms/d/e/1FAIpQLSeQ0wUAy9WJrwwZ_8x6kCxvJSihLYtbLF2nbMncVH08fybLWQ/viewform?edit2=2_ABaOnuez_oojKhmissLvfyBKp_PbEV6cNOsjH0WH3bembyhczehQM-gSZZtIc7UkCFEqpRo</t>
  </si>
  <si>
    <t>RAKESH SINGHAL</t>
  </si>
  <si>
    <t>50 GM MMTC BAR ( SIVER OR GOLD )</t>
  </si>
  <si>
    <t>https://docs.google.com/forms/d/e/1FAIpQLSeQ0wUAy9WJrwwZ_8x6kCxvJSihLYtbLF2nbMncVH08fybLWQ/viewform?edit2=2_ABaOnuejpdPvuoOl6pIKz2Z7g1bXInzt8U3e4xCtqCVsmeOmfm-8vlhRgdLpTAKdA3sViCE</t>
  </si>
  <si>
    <t>GEETA ARORA</t>
  </si>
  <si>
    <t>BAND 21 NO.</t>
  </si>
  <si>
    <t>Tannu</t>
  </si>
  <si>
    <t>https://docs.google.com/forms/d/e/1FAIpQLSeQ0wUAy9WJrwwZ_8x6kCxvJSihLYtbLF2nbMncVH08fybLWQ/viewform?edit2=2_ABaOnueqaW_9pQyhwX_azJpcpGz6JAAUm0OQfC02mtPsDXFaQyePUIWJuV2r-3EMPi8df_g</t>
  </si>
  <si>
    <t>preeti ji</t>
  </si>
  <si>
    <t>https://docs.google.com/forms/d/e/1FAIpQLSeQ0wUAy9WJrwwZ_8x6kCxvJSihLYtbLF2nbMncVH08fybLWQ/viewform?edit2=2_ABaOnuduFbRGM46C_BR0F2ZknFDHmV1uExp77jaMkHn_g69xw29KiL-CkiDZtHE7b537FfM</t>
  </si>
  <si>
    <t>venkadesh babu</t>
  </si>
  <si>
    <t>https://docs.google.com/forms/d/e/1FAIpQLSeQ0wUAy9WJrwwZ_8x6kCxvJSihLYtbLF2nbMncVH08fybLWQ/viewform?edit2=2_ABaOnudII8Uv0MN4AfhI1Ro6mu8q814ATykTqj_iv0reHdWA0GdMyvNjctgk0lSyff_uQ9o</t>
  </si>
  <si>
    <t>VINAY</t>
  </si>
  <si>
    <t>https://docs.google.com/forms/d/e/1FAIpQLSeQ0wUAy9WJrwwZ_8x6kCxvJSihLYtbLF2nbMncVH08fybLWQ/viewform?edit2=2_ABaOnud6EfrIku1BB5vQPKVbyOcwez83Pu3aUUHkZgZnGj-LJXJerztiAAYHjPWKq4J9aSY</t>
  </si>
  <si>
    <t>sanjay kalsi</t>
  </si>
  <si>
    <t>https://docs.google.com/forms/d/e/1FAIpQLSeQ0wUAy9WJrwwZ_8x6kCxvJSihLYtbLF2nbMncVH08fybLWQ/viewform?edit2=2_ABaOnueuk4zxXJGbmezAjMOsF7pN3gQv4VEAFUHmDY_dq5p9T4jSVoKcfFYJCzF1Ce3lxLI</t>
  </si>
  <si>
    <t>farhana mam</t>
  </si>
  <si>
    <t>diamond marquise pendant</t>
  </si>
  <si>
    <t>https://docs.google.com/forms/d/e/1FAIpQLSeQ0wUAy9WJrwwZ_8x6kCxvJSihLYtbLF2nbMncVH08fybLWQ/viewform?edit2=2_ABaOnuetyJjMg8Kyy0x1BWol3aULuw743Q4xm-qOvpvpxdn4B6bosF5DzDzHxhX_-uVKpCE</t>
  </si>
  <si>
    <t>ambica mam</t>
  </si>
  <si>
    <t>https://docs.google.com/forms/d/e/1FAIpQLSeQ0wUAy9WJrwwZ_8x6kCxvJSihLYtbLF2nbMncVH08fybLWQ/viewform?edit2=2_ABaOnucuwRVvGGg3JdER_621wrPn-e6lUIHSvTt78n3w374mpuzy8YfQTL0hOjAyuOuVasc</t>
  </si>
  <si>
    <t>DIMPLE KHER</t>
  </si>
  <si>
    <t>https://docs.google.com/forms/d/e/1FAIpQLSeQ0wUAy9WJrwwZ_8x6kCxvJSihLYtbLF2nbMncVH08fybLWQ/viewform?edit2=2_ABaOnufmnx2qTPsTPPsGJKrEBpK2-oNVy_avRtnK_nLKlElC9TqrWDEkRtJ3Z1rb63EFiyg</t>
  </si>
  <si>
    <t>MAHAVEER SWAMI</t>
  </si>
  <si>
    <t xml:space="preserve">150 PC KUKUJI WAX SILVER COATED </t>
  </si>
  <si>
    <t>https://docs.google.com/forms/d/e/1FAIpQLSeQ0wUAy9WJrwwZ_8x6kCxvJSihLYtbLF2nbMncVH08fybLWQ/viewform?edit2=2_ABaOnudMqMaACfr2_Q2BEgjoDCXoehekuFmmCEjuk_greAx8K-aprnMnDG8T1wSWJEd1v04</t>
  </si>
  <si>
    <t>manjeet kaur</t>
  </si>
  <si>
    <t>8 mm sfatik mala</t>
  </si>
  <si>
    <t>https://docs.google.com/forms/d/e/1FAIpQLSeQ0wUAy9WJrwwZ_8x6kCxvJSihLYtbLF2nbMncVH08fybLWQ/viewform?edit2=2_ABaOnud8DbEipDslFc1Y119oL6OzGbfbvRGz7D3sxfiCMGrBEtYpx3IcCzCvEeX4igrn2CA</t>
  </si>
  <si>
    <t>sh pawan ahuja</t>
  </si>
  <si>
    <t>gold coin ( 50 gm)</t>
  </si>
  <si>
    <t>https://docs.google.com/forms/d/e/1FAIpQLSeQ0wUAy9WJrwwZ_8x6kCxvJSihLYtbLF2nbMncVH08fybLWQ/viewform?edit2=2_ABaOnufBZuLciDMfXFuZxmAxRNRvsSPRYvfsDjMyu9ABkzG8NdtV1uOSVejJOWMQOvkTUto</t>
  </si>
  <si>
    <t>malhotra ji</t>
  </si>
  <si>
    <t>lakshmi ji coin ( 10 gm )</t>
  </si>
  <si>
    <t>https://docs.google.com/forms/d/e/1FAIpQLSeQ0wUAy9WJrwwZ_8x6kCxvJSihLYtbLF2nbMncVH08fybLWQ/viewform?edit2=2_ABaOnuca6Gd1MQ2c7t3kvOoafiRkswdJPkS297iFP7kZiJuB6bZ1guGSlPKEe-WKfqJw8ls</t>
  </si>
  <si>
    <t>RIKKI JI</t>
  </si>
  <si>
    <t>1 KG GOLD</t>
  </si>
  <si>
    <t>https://docs.google.com/forms/d/e/1FAIpQLSeQ0wUAy9WJrwwZ_8x6kCxvJSihLYtbLF2nbMncVH08fybLWQ/viewform?edit2=2_ABaOnuc5XGFqaAlMgiy7tfYIDLgBIiPCK9SlW3bbi3PsqOqcd5QiK19IeqrQ3can9TkEZxs</t>
  </si>
  <si>
    <t>KISMAT JI</t>
  </si>
  <si>
    <t>GOLD MANGALSUTRA</t>
  </si>
  <si>
    <t>https://docs.google.com/forms/d/e/1FAIpQLSeQ0wUAy9WJrwwZ_8x6kCxvJSihLYtbLF2nbMncVH08fybLWQ/viewform?edit2=2_ABaOnudhYWkaUeYf3Vn-ptcWsHwud7ZKXOvFNpf6YxvgzyUGRElD83kWUuzIqNd2Be15BzA</t>
  </si>
  <si>
    <t>3 LEYAR JHUMKI BIG SIZE</t>
  </si>
  <si>
    <t>https://docs.google.com/forms/d/e/1FAIpQLSeQ0wUAy9WJrwwZ_8x6kCxvJSihLYtbLF2nbMncVH08fybLWQ/viewform?edit2=2_ABaOnueANEvaCjifsTH0BDPNwEBzW8mCSHXibt-l_0DKacbmm8PvlaMCgHyKdLIW94igDG4</t>
  </si>
  <si>
    <t>DIMPLE JI</t>
  </si>
  <si>
    <t xml:space="preserve">Gents Ring, MARVADI KADE POLKI KE ,  GENTS BAND DIAMOND </t>
  </si>
  <si>
    <t>https://docs.google.com/forms/d/e/1FAIpQLSeQ0wUAy9WJrwwZ_8x6kCxvJSihLYtbLF2nbMncVH08fybLWQ/viewform?edit2=2_ABaOnudbzfpoweO_5wufQf571rKvpIly2ahfD_TOjJfIEUXw9pwklvCW6_u3vGtm0DORLaY</t>
  </si>
  <si>
    <t xml:space="preserve">DHRUV SIR </t>
  </si>
  <si>
    <t>BIG HANGINGS AND JHUMKA SAMALL DIAMOND SET WITH RUBIES AND EMERALDS</t>
  </si>
  <si>
    <t>https://docs.google.com/forms/d/e/1FAIpQLSeQ0wUAy9WJrwwZ_8x6kCxvJSihLYtbLF2nbMncVH08fybLWQ/viewform?edit2=2_ABaOnufXFYxozuVLJpBMaKcGQ9_aBQW7KYfFLCkkvnxC4Pxa15NXkc4u5VsKjbbQ16VxUBQ</t>
  </si>
  <si>
    <t>ARVIND SIR</t>
  </si>
  <si>
    <t>Chain, FANCY CHAIN ( 10 -20) GRAM</t>
  </si>
  <si>
    <t>https://drive.google.com/open?id=1iXIkYHSXUzTA1qbu_663EyWmGG7l_z2c</t>
  </si>
  <si>
    <t>https://docs.google.com/forms/d/e/1FAIpQLSeQ0wUAy9WJrwwZ_8x6kCxvJSihLYtbLF2nbMncVH08fybLWQ/viewform?edit2=2_ABaOnudarjW9nugiktFjwAMILQkR0UPF6LdXsHwjDRe_q8Yv6oYpbm_CSGljNS-F4Qi9F5k</t>
  </si>
  <si>
    <t>CHETAN JI</t>
  </si>
  <si>
    <t>SILVER COINS</t>
  </si>
  <si>
    <t>https://docs.google.com/forms/d/e/1FAIpQLSeQ0wUAy9WJrwwZ_8x6kCxvJSihLYtbLF2nbMncVH08fybLWQ/viewform?edit2=2_ABaOnuc-Yav7fw8ssfdCsBw8-nsEIbqmgt4mcnieWzJAZtBdd8naQv1foYPLVVH3tRpor-4</t>
  </si>
  <si>
    <t>RITU JI</t>
  </si>
  <si>
    <t>SILVER BRACELET ( 1000 PAR SEA SOUTH PAREL)</t>
  </si>
  <si>
    <t>https://docs.google.com/forms/d/e/1FAIpQLSeQ0wUAy9WJrwwZ_8x6kCxvJSihLYtbLF2nbMncVH08fybLWQ/viewform?edit2=2_ABaOnuc7s-Y9jfA-c0VwUGwuFyfrkkLF5fGMQLs1mSXqe6esENtdmryKY4R4Tw-hqOaNBRk</t>
  </si>
  <si>
    <t>JITANDER JI</t>
  </si>
  <si>
    <t>COINS</t>
  </si>
  <si>
    <t>https://docs.google.com/forms/d/e/1FAIpQLSeQ0wUAy9WJrwwZ_8x6kCxvJSihLYtbLF2nbMncVH08fybLWQ/viewform?edit2=2_ABaOnufRN0imvElRKBMjqOIqjNyFf00zXNqeaMR1TC_bDJmx2IZJ4c4iT0BcveUR8rEoPVw</t>
  </si>
  <si>
    <t>TSHA JI</t>
  </si>
  <si>
    <t>Gold Jewellery, Gold 24kt</t>
  </si>
  <si>
    <t>Necklace Set, GOLD MMTC 100 GRM COIN</t>
  </si>
  <si>
    <t>https://docs.google.com/forms/d/e/1FAIpQLSeQ0wUAy9WJrwwZ_8x6kCxvJSihLYtbLF2nbMncVH08fybLWQ/viewform?edit2=2_ABaOnuf2d80UuJoTHLF7hG_tGQOJnsafXyHC2LeZIyP2iHjny_2wcWKjsccIYCJDjbYJO8A</t>
  </si>
  <si>
    <t>NEERAJ JI</t>
  </si>
  <si>
    <t>44- 7411526764</t>
  </si>
  <si>
    <t>https://docs.google.com/forms/d/e/1FAIpQLSeQ0wUAy9WJrwwZ_8x6kCxvJSihLYtbLF2nbMncVH08fybLWQ/viewform?edit2=2_ABaOnueDFcGz94t_gJVlGpJUB2gL8ScYS3MAXpO4W1qAQpwz4cZsOCVSbfWJ9vlHJxa6otM</t>
  </si>
  <si>
    <t>DAMAN GADHI</t>
  </si>
  <si>
    <t>5GRM ( 2 COIN) GOLD</t>
  </si>
  <si>
    <t>https://docs.google.com/forms/d/e/1FAIpQLSeQ0wUAy9WJrwwZ_8x6kCxvJSihLYtbLF2nbMncVH08fybLWQ/viewform?edit2=2_ABaOnudplMRpsInHVbm_aCQiKS3_-u-jIeGDkDTmcv8Lw-SZ9kxBGDt7KcBhSYmgV6azQQo</t>
  </si>
  <si>
    <t>JASPREET MAM</t>
  </si>
  <si>
    <t>https://docs.google.com/forms/d/e/1FAIpQLSeQ0wUAy9WJrwwZ_8x6kCxvJSihLYtbLF2nbMncVH08fybLWQ/viewform?edit2=2_ABaOnud2pdrZFaV8erI6ScaI_Jd4LGCWSfs2TLAhsu1gez6eJHzE7KwlHymDn4zpuoVG-7c</t>
  </si>
  <si>
    <t>MANSHA DHAS</t>
  </si>
  <si>
    <t>GOLD MMTC COIN 10 PCS (10 GRM )</t>
  </si>
  <si>
    <t>https://docs.google.com/forms/d/e/1FAIpQLSeQ0wUAy9WJrwwZ_8x6kCxvJSihLYtbLF2nbMncVH08fybLWQ/viewform?edit2=2_ABaOnucmOs97osJlDNVWmusASPLpRmbweb6Z2IEEHZxXJaJVCIXZp3foGVyyRMxcnwxZT90</t>
  </si>
  <si>
    <t xml:space="preserve">PARDEEP JI </t>
  </si>
  <si>
    <t>SILVER GANESH - LAKSHMI MURTI</t>
  </si>
  <si>
    <t>https://docs.google.com/forms/d/e/1FAIpQLSeQ0wUAy9WJrwwZ_8x6kCxvJSihLYtbLF2nbMncVH08fybLWQ/viewform?edit2=2_ABaOnueJ_HImr_HGZgw6wGyrV94PZp6RwwbjlbNwggMtaJlD6Cgeq_XmqMZ6F8agYkQc_SE</t>
  </si>
  <si>
    <t>LOVELESH JI</t>
  </si>
  <si>
    <t>NORMAL GOLD COIN ( 5GRM,10GRM,20GRM)</t>
  </si>
  <si>
    <t>https://docs.google.com/forms/d/e/1FAIpQLSeQ0wUAy9WJrwwZ_8x6kCxvJSihLYtbLF2nbMncVH08fybLWQ/viewform?edit2=2_ABaOnufyvvKXbUVxywliIE-N7T6ny3NlFAVuJ3mACvh9P4gPjLJO2uYz00hhi_GyrvTv5Tw</t>
  </si>
  <si>
    <t>JYOTI MAM ( NOIDA)</t>
  </si>
  <si>
    <t xml:space="preserve">LAC WALI BALLS </t>
  </si>
  <si>
    <t>https://docs.google.com/forms/d/e/1FAIpQLSeQ0wUAy9WJrwwZ_8x6kCxvJSihLYtbLF2nbMncVH08fybLWQ/viewform?edit2=2_ABaOnudquXn95qbSsvtWW355rEXEeHPQiuDuRXYOqKvvUwp575CWe1V6KgLxWAEXlGVLb3g</t>
  </si>
  <si>
    <t>MANOJ GARG JI</t>
  </si>
  <si>
    <t xml:space="preserve">PENDANT SRI NATH JI ,BANKEY BIHARI JI </t>
  </si>
  <si>
    <t>https://docs.google.com/forms/d/e/1FAIpQLSeQ0wUAy9WJrwwZ_8x6kCxvJSihLYtbLF2nbMncVH08fybLWQ/viewform?edit2=2_ABaOnuepCmBJG5_rwD-cEizXbmS1HqrnG9fm0JOgS_qSisRNAy4aXxCdqgdxe3jB2BMOdLo</t>
  </si>
  <si>
    <t>SHAILJA MAM</t>
  </si>
  <si>
    <t>https://docs.google.com/forms/d/e/1FAIpQLSeQ0wUAy9WJrwwZ_8x6kCxvJSihLYtbLF2nbMncVH08fybLWQ/viewform?edit2=2_ABaOnucKwmU7Jt_o74EFfFZu9-r4YZ4Yh23dm36l3rtRO_9o5RL7n7KH4pPaorALjZh2cIE</t>
  </si>
  <si>
    <t xml:space="preserve">SANDEEP ,RITU </t>
  </si>
  <si>
    <t>SILVER BELL PICS</t>
  </si>
  <si>
    <t>https://docs.google.com/forms/d/e/1FAIpQLSeQ0wUAy9WJrwwZ_8x6kCxvJSihLYtbLF2nbMncVH08fybLWQ/viewform?edit2=2_ABaOnufayZ2u-A0gekkwhd9dfjsvFLjkv50MlstQ2DO1UOrkuF5R9PxCsJ-GQUHACcPZ-BQ</t>
  </si>
  <si>
    <t>PAWAN HRC</t>
  </si>
  <si>
    <t>Gemstone, BLUE SAPPHIRE</t>
  </si>
  <si>
    <t>https://docs.google.com/forms/d/e/1FAIpQLSeQ0wUAy9WJrwwZ_8x6kCxvJSihLYtbLF2nbMncVH08fybLWQ/viewform?edit2=2_ABaOnueyDJc5rk9X5ATm1p8smxEt2GmhqpgAt8C7YqMUYoYKstALm3PWZ4vkuG1NVEDU4_s</t>
  </si>
  <si>
    <t>ANUPAMA SHARMA</t>
  </si>
  <si>
    <t>NAVRATAN SET</t>
  </si>
  <si>
    <t>https://docs.google.com/forms/d/e/1FAIpQLSeQ0wUAy9WJrwwZ_8x6kCxvJSihLYtbLF2nbMncVH08fybLWQ/viewform?edit2=2_ABaOnudQL1dsk4dVeDXGGCPztdBghrImd9P5LvgcdF0ePVuz_mC5WLfZspVaZrf4C5l_ri8</t>
  </si>
  <si>
    <t>SHEETAL JI</t>
  </si>
  <si>
    <t>SILVER JOT</t>
  </si>
  <si>
    <t>https://docs.google.com/forms/d/e/1FAIpQLSeQ0wUAy9WJrwwZ_8x6kCxvJSihLYtbLF2nbMncVH08fybLWQ/viewform?edit2=2_ABaOnufsfaR5ycnh3AOCiLpdFwYxBHmE9cjo79hCNYt1sMB61gjizHWYuX5Y_EF30S3nEuE</t>
  </si>
  <si>
    <t>RATAN SEHGAL</t>
  </si>
  <si>
    <t>https://docs.google.com/forms/d/e/1FAIpQLSeQ0wUAy9WJrwwZ_8x6kCxvJSihLYtbLF2nbMncVH08fybLWQ/viewform?edit2=2_ABaOnucFw-MqSZw3txcHVDGjlVBufL9khOREYDhyeIsUfufW1QGtTc-J7KuSFLL6R9gLUS0</t>
  </si>
  <si>
    <t>ANUJ JI</t>
  </si>
  <si>
    <t xml:space="preserve">SILVER COCONUT, PLATE </t>
  </si>
  <si>
    <t>https://docs.google.com/forms/d/e/1FAIpQLSeQ0wUAy9WJrwwZ_8x6kCxvJSihLYtbLF2nbMncVH08fybLWQ/viewform?edit2=2_ABaOnueyTufgAspkYusyzJfJ0KQ6W6lru4ERwn5ycw_czsbZF-JEog1FVlMQ6aa1IgKUvwY</t>
  </si>
  <si>
    <t>ambika ji</t>
  </si>
  <si>
    <t>https://docs.google.com/forms/d/e/1FAIpQLSeQ0wUAy9WJrwwZ_8x6kCxvJSihLYtbLF2nbMncVH08fybLWQ/viewform?edit2=2_ABaOnuc0N-MMK_8QRoIi5acsDw-q_a3YR6sAyArpP-3zuBbo1vjKljjJ6cIw4kBOsHvH2M0</t>
  </si>
  <si>
    <t>priyanka rishab</t>
  </si>
  <si>
    <t>https://docs.google.com/forms/d/e/1FAIpQLSeQ0wUAy9WJrwwZ_8x6kCxvJSihLYtbLF2nbMncVH08fybLWQ/viewform?edit2=2_ABaOnuflVD_4IerbKE73uyXUciuA2xQwbFa2SgXiLvw3JYnxZ3ILZHzkLVJfzr_odicPzCU</t>
  </si>
  <si>
    <t>shivam ji</t>
  </si>
  <si>
    <t>https://docs.google.com/forms/d/e/1FAIpQLSeQ0wUAy9WJrwwZ_8x6kCxvJSihLYtbLF2nbMncVH08fybLWQ/viewform?edit2=2_ABaOnucoexvCLD-iz3D7jcyQcPKNBBwesmeKb8zv7vRM1LEE8KH68Gt-a5HCZK9aECOQPxM</t>
  </si>
  <si>
    <t>Asha pawar ji</t>
  </si>
  <si>
    <t>https://drive.google.com/open?id=1TN62czRromC6SWLgmlgz9gcVusF9BPcg</t>
  </si>
  <si>
    <t>https://docs.google.com/forms/d/e/1FAIpQLSeQ0wUAy9WJrwwZ_8x6kCxvJSihLYtbLF2nbMncVH08fybLWQ/viewform?edit2=2_ABaOnucxXXl5UL-KnEdMk2Cuz7oThEs48bj7zlQ0s8BoBZaNH7rbzxNUePWt01khT2fBn28</t>
  </si>
  <si>
    <t>Reshmi ji MG</t>
  </si>
  <si>
    <t>Chain, Pendant</t>
  </si>
  <si>
    <t>https://docs.google.com/forms/d/e/1FAIpQLSeQ0wUAy9WJrwwZ_8x6kCxvJSihLYtbLF2nbMncVH08fybLWQ/viewform?edit2=2_ABaOnufSUhRrBI7eIUXQOLaXzc04i1qcOaXrnbDhHoFuHMqukaa3V4HTQEUKrKeqpE3PRg0</t>
  </si>
  <si>
    <t>mmtc gold coin</t>
  </si>
  <si>
    <t>https://docs.google.com/forms/d/e/1FAIpQLSeQ0wUAy9WJrwwZ_8x6kCxvJSihLYtbLF2nbMncVH08fybLWQ/viewform?edit2=2_ABaOnudY_GrwP6QPEFv3qgD0IUoEHudTRCn9_Hvp63MF4NHgZEs3PbQdRr-RxK_UJGVotYY</t>
  </si>
  <si>
    <t xml:space="preserve">Mr. sikka </t>
  </si>
  <si>
    <t>https://docs.google.com/forms/d/e/1FAIpQLSeQ0wUAy9WJrwwZ_8x6kCxvJSihLYtbLF2nbMncVH08fybLWQ/viewform?edit2=2_ABaOnucx4E0ERj7P0O1k3CioCzkE-lufJyoJpollnB0cWkKm-hu8kdkTvMX-oNd5cjPwF5c</t>
  </si>
  <si>
    <t>Mona poddar</t>
  </si>
  <si>
    <t>gold pendant</t>
  </si>
  <si>
    <t>https://drive.google.com/open?id=1BjU0XdK4Nec0LlLurvzpx2ZbTLKj0LJ8</t>
  </si>
  <si>
    <t>https://docs.google.com/forms/d/e/1FAIpQLSeQ0wUAy9WJrwwZ_8x6kCxvJSihLYtbLF2nbMncVH08fybLWQ/viewform?edit2=2_ABaOnuecJLzUqswBlZOghwWl1CgIJy22Rm6u-L7x7ZYhkvPKLChLfj-QyqmMX1J6_Uon-uk</t>
  </si>
  <si>
    <t>Malhotra ji</t>
  </si>
  <si>
    <t>gold coin 100 and 50 grm</t>
  </si>
  <si>
    <t>https://docs.google.com/forms/d/e/1FAIpQLSeQ0wUAy9WJrwwZ_8x6kCxvJSihLYtbLF2nbMncVH08fybLWQ/viewform?edit2=2_ABaOnue3P3UNOaCDsYUPf_tUFTXTK67W3ZE59MIOPGETMwE_x2sjBXzyoKyx5S-2JxiUzSI</t>
  </si>
  <si>
    <t>Ramesh sir</t>
  </si>
  <si>
    <t>Polki, Gold 24kt</t>
  </si>
  <si>
    <t>5 and 10 grm coin and polki set</t>
  </si>
  <si>
    <t>https://docs.google.com/forms/d/e/1FAIpQLSeQ0wUAy9WJrwwZ_8x6kCxvJSihLYtbLF2nbMncVH08fybLWQ/viewform?edit2=2_ABaOnue0PwtujxbffMj5A70HrzYrtAwghktEJegXFR8L9sWxJ4I5a4SHgGc7F1nrEQSqPFs</t>
  </si>
  <si>
    <t>Rubina mam</t>
  </si>
  <si>
    <t>https://drive.google.com/open?id=1Tw6Vt8NC9fa68ywFdWAnWQys9O7vZKqA</t>
  </si>
  <si>
    <t>https://docs.google.com/forms/d/e/1FAIpQLSeQ0wUAy9WJrwwZ_8x6kCxvJSihLYtbLF2nbMncVH08fybLWQ/viewform?edit2=2_ABaOnufJ3U08Kv2M30xzjG71WNxYyx8eECn4bTNLG9UsrlpveZ_toHoBiw724qqWz4F73oo</t>
  </si>
  <si>
    <t>naman ji</t>
  </si>
  <si>
    <t>ring for remaking</t>
  </si>
  <si>
    <t>https://drive.google.com/open?id=1GX5ptqEC_H3Tf7UpxeeSpjHvCNYZ-Mgy</t>
  </si>
  <si>
    <t>https://docs.google.com/forms/d/e/1FAIpQLSeQ0wUAy9WJrwwZ_8x6kCxvJSihLYtbLF2nbMncVH08fybLWQ/viewform?edit2=2_ABaOnueiJ1mozlAAUCHqYILarJ3ZWNmezb6EdidDRoPfBcPXC_Z1VHqVix-0LADydo9nq6Q</t>
  </si>
  <si>
    <t xml:space="preserve">SARA MAM </t>
  </si>
  <si>
    <t>4ct pcs ovel</t>
  </si>
  <si>
    <t>https://docs.google.com/forms/d/e/1FAIpQLSeQ0wUAy9WJrwwZ_8x6kCxvJSihLYtbLF2nbMncVH08fybLWQ/viewform?edit2=2_ABaOnucScl2wz57F0Dzx57zof4N4pVXd8gMUuu3KEe2djEv1QAM1iwmO2xpE6F-gAdBdTIY</t>
  </si>
  <si>
    <t>2.50 +  2.50 CT PCS</t>
  </si>
  <si>
    <t>https://docs.google.com/forms/d/e/1FAIpQLSeQ0wUAy9WJrwwZ_8x6kCxvJSihLYtbLF2nbMncVH08fybLWQ/viewform?edit2=2_ABaOnudpjv69SIw04g_hKerfqixnpe8u5iHoAwcka3Ua6dtgvtu7YWmD_sMQaPAcCPLbHYE</t>
  </si>
  <si>
    <t>REETA CHAUDHARY</t>
  </si>
  <si>
    <t>https://drive.google.com/open?id=1-3riqkrtvA1VEj1ULk1WgEz2dWz7MHoH</t>
  </si>
  <si>
    <t>https://docs.google.com/forms/d/e/1FAIpQLSeQ0wUAy9WJrwwZ_8x6kCxvJSihLYtbLF2nbMncVH08fybLWQ/viewform?edit2=2_ABaOnudgaGo2i4mJGQzwbqlxts9JqnalDJbSq4KN2KQADEH0cWbnwyVeSiEYm-8fgF0yq-g</t>
  </si>
  <si>
    <t xml:space="preserve">GAURAV SIR </t>
  </si>
  <si>
    <t>Bangle, Ladies Bracelet / Kada</t>
  </si>
  <si>
    <t>https://docs.google.com/forms/d/e/1FAIpQLSeQ0wUAy9WJrwwZ_8x6kCxvJSihLYtbLF2nbMncVH08fybLWQ/viewform?edit2=2_ABaOnuc_XftEoP1KKYlHohZ15oNvqxY_sUvs6Ah7UqW91Qy4-nBKnjJivekddJggZuR7qDE</t>
  </si>
  <si>
    <t xml:space="preserve">ameeta di </t>
  </si>
  <si>
    <t>Solitaire, 4ct +ct pair kangna , 6-7 ct pc princess</t>
  </si>
  <si>
    <t>https://docs.google.com/forms/d/e/1FAIpQLSeQ0wUAy9WJrwwZ_8x6kCxvJSihLYtbLF2nbMncVH08fybLWQ/viewform?edit2=2_ABaOnufGGG6T3K9vSDQtEPHfpT5WBo12CiqmeLEp88Ol5oz_R0kazk2CLIowwuFhRM8lyq4</t>
  </si>
  <si>
    <t xml:space="preserve">sangeeta  social media </t>
  </si>
  <si>
    <t>https://docs.google.com/forms/d/e/1FAIpQLSeQ0wUAy9WJrwwZ_8x6kCxvJSihLYtbLF2nbMncVH08fybLWQ/viewform?edit2=2_ABaOnucwfp_5HCOeNTNv3-i3WQD5XKHOy19a4xVbYPH-3sh6VaktUapmBRq82NccO3oeKQI</t>
  </si>
  <si>
    <t xml:space="preserve">DARSHIKA JI </t>
  </si>
  <si>
    <t>https://docs.google.com/forms/d/e/1FAIpQLSeQ0wUAy9WJrwwZ_8x6kCxvJSihLYtbLF2nbMncVH08fybLWQ/viewform?edit2=2_ABaOnuf9HrZ0nuGsKPPgukHqqI2oVDsvBuWmQwVhtAfk4Gjuqgn-fx4UqDVy7emOAW38wos</t>
  </si>
  <si>
    <t xml:space="preserve">NARESH JI </t>
  </si>
  <si>
    <t>2 TO 3 CTS app GHI colour princess and emerald</t>
  </si>
  <si>
    <t>https://docs.google.com/forms/d/e/1FAIpQLSeQ0wUAy9WJrwwZ_8x6kCxvJSihLYtbLF2nbMncVH08fybLWQ/viewform?edit2=2_ABaOnucGVQdH5t7EudcJfGxnqLsiaeQnXZZmyHeuJSWfYEFZzbVt-F4EWNG0wZpeQql9AMg</t>
  </si>
  <si>
    <t>https://docs.google.com/forms/d/e/1FAIpQLSeQ0wUAy9WJrwwZ_8x6kCxvJSihLYtbLF2nbMncVH08fybLWQ/viewform?edit2=2_ABaOnufknetJe8qXOi6MW0Du6fTRpZCtqmgV4t6dpfQPG8cFh2gzWr4GMtWhN0KcmvbH2Zs</t>
  </si>
  <si>
    <t>SEEMA MAKKAR JI</t>
  </si>
  <si>
    <t>Dangler, Necklace, Bangle</t>
  </si>
  <si>
    <t>https://docs.google.com/forms/d/e/1FAIpQLSeQ0wUAy9WJrwwZ_8x6kCxvJSihLYtbLF2nbMncVH08fybLWQ/viewform?edit2=2_ABaOnuedtsn7-3LHnx5wbirX5mLau4JhqSSHaCkKNxS61D5QQIfcffEIkj2UbREfoX-YEnk</t>
  </si>
  <si>
    <t>MONA BANSAL</t>
  </si>
  <si>
    <t>https://drive.google.com/open?id=1Fbj-tbiXTI4QxnD1InA189Cyk7gaee4g</t>
  </si>
  <si>
    <t>Sapna</t>
  </si>
  <si>
    <t>https://docs.google.com/forms/d/e/1FAIpQLSeQ0wUAy9WJrwwZ_8x6kCxvJSihLYtbLF2nbMncVH08fybLWQ/viewform?edit2=2_ABaOnudLa4v9pzVg3gkntO85vJjs66k5Oi9p5VCZ0NIpQFLHboskvdbYztSQDhAguDN7oAM</t>
  </si>
  <si>
    <t>POOJA JI ( NOIDA)</t>
  </si>
  <si>
    <t>https://drive.google.com/open?id=12H-PE4qRMRSGqd-DwEhiQZdB6KkIRhhP</t>
  </si>
  <si>
    <t>https://docs.google.com/forms/d/e/1FAIpQLSeQ0wUAy9WJrwwZ_8x6kCxvJSihLYtbLF2nbMncVH08fybLWQ/viewform?edit2=2_ABaOnuft9JmghOgisBALokTQjazUuFeO0PkaLsOb6cUGt3G-KWwTrk-Mq4XYo7pnRv8gfqM</t>
  </si>
  <si>
    <t>NEHA MAM</t>
  </si>
  <si>
    <t>Bangle, ROSE GOLD ME BANGLE</t>
  </si>
  <si>
    <t>https://docs.google.com/forms/d/e/1FAIpQLSeQ0wUAy9WJrwwZ_8x6kCxvJSihLYtbLF2nbMncVH08fybLWQ/viewform?edit2=2_ABaOnufxORbmTUfvu8njYa_pYw0IsZlCsa2YVMyMuilu6PeRo43QLDmoFYYmd2dcHTHaakE</t>
  </si>
  <si>
    <t>UPASNA JI</t>
  </si>
  <si>
    <t>https://docs.google.com/forms/d/e/1FAIpQLSeQ0wUAy9WJrwwZ_8x6kCxvJSihLYtbLF2nbMncVH08fybLWQ/viewform?edit2=2_ABaOnucwyl56FzlPdb13_U_k1k_BzKY-SkShwq4yeiqVyI0zjSJx0v7wbhoSJ6Zk61IR_yw</t>
  </si>
  <si>
    <t xml:space="preserve">Ankur ji </t>
  </si>
  <si>
    <t>gold coin ( 8grm) 10 coin</t>
  </si>
  <si>
    <t>https://docs.google.com/forms/d/e/1FAIpQLSeQ0wUAy9WJrwwZ_8x6kCxvJSihLYtbLF2nbMncVH08fybLWQ/viewform?edit2=2_ABaOnucPfdnR1zkZ8oZzssLhuEkfk2JL2QLmS95wI6Nuis_Mz8bNvFGv7fOwUd1W3XDW_6o</t>
  </si>
  <si>
    <t>rohit gera</t>
  </si>
  <si>
    <t>CVD pcs</t>
  </si>
  <si>
    <t>https://docs.google.com/forms/d/e/1FAIpQLSeQ0wUAy9WJrwwZ_8x6kCxvJSihLYtbLF2nbMncVH08fybLWQ/viewform?edit2=2_ABaOnude3-bIY4MR9iisEAeHkOVcNr13741_Z1l0pODEOL-ZXd72KZf61gScCBJPRkXbaMI</t>
  </si>
  <si>
    <t>dheeraj gupta</t>
  </si>
  <si>
    <t>2 ct pair CVD</t>
  </si>
  <si>
    <t>https://docs.google.com/forms/d/e/1FAIpQLSeQ0wUAy9WJrwwZ_8x6kCxvJSihLYtbLF2nbMncVH08fybLWQ/viewform?edit2=2_ABaOnudGlLXtnkaagammRLyy8rlnfk5PKDLMX0HG-VIQMZuwZ7vPkIns0ndMzE-1HcaXlhU</t>
  </si>
  <si>
    <t>100 grm coin,20 grm coin</t>
  </si>
  <si>
    <t>https://docs.google.com/forms/d/e/1FAIpQLSeQ0wUAy9WJrwwZ_8x6kCxvJSihLYtbLF2nbMncVH08fybLWQ/viewform?edit2=2_ABaOnudIrD5X9y7EoPQoAiT54MOXoNuiV5dSMuEMWxfp04XeotuBKRhD457oMX_AJgewN7I</t>
  </si>
  <si>
    <t>kamna ji</t>
  </si>
  <si>
    <t>lab grown bangle</t>
  </si>
  <si>
    <t>https://docs.google.com/forms/d/e/1FAIpQLSeQ0wUAy9WJrwwZ_8x6kCxvJSihLYtbLF2nbMncVH08fybLWQ/viewform?edit2=2_ABaOnueJyIiqevzMIHy7Su-swFV_gJSPNmaNXt5fRBtlWOqfKgY_rmu9OITreCC3HG1rDRg</t>
  </si>
  <si>
    <t>ranbeer kaur</t>
  </si>
  <si>
    <t>Pendant, 50 pointer pendant</t>
  </si>
  <si>
    <t>https://drive.google.com/open?id=1flbGBHyIUK51MXFxd2m4j8E_Pxp5k7yX</t>
  </si>
  <si>
    <t>https://docs.google.com/forms/d/e/1FAIpQLSeQ0wUAy9WJrwwZ_8x6kCxvJSihLYtbLF2nbMncVH08fybLWQ/viewform?edit2=2_ABaOnufZHWo7rqbx837HczhpTVEJ5SDi2aEwU_VA7XaubpbK0mX8cYBQPopj6YZtjHPPupo</t>
  </si>
  <si>
    <t>sheetal ji</t>
  </si>
  <si>
    <t>Chain, gold coin</t>
  </si>
  <si>
    <t>https://docs.google.com/forms/d/e/1FAIpQLSeQ0wUAy9WJrwwZ_8x6kCxvJSihLYtbLF2nbMncVH08fybLWQ/viewform?edit2=2_ABaOnucVyt5wW22ommXa086OKgtvGDzxrEslnZZrq4hzY_uyJqlJ_fPSYd_qC16VXYcCpYA</t>
  </si>
  <si>
    <t>pooja kochar usa co dembla</t>
  </si>
  <si>
    <t>(216)469-9689</t>
  </si>
  <si>
    <t>https://drive.google.com/open?id=1slAqSQvT8smEINonAttJkdtwYIqkRAnM</t>
  </si>
  <si>
    <t>https://docs.google.com/forms/d/e/1FAIpQLSeQ0wUAy9WJrwwZ_8x6kCxvJSihLYtbLF2nbMncVH08fybLWQ/viewform?edit2=2_ABaOnudw9kLM6JC6xbae6MtkfWm4_vq3fcNn61m9z8Zt3IOFlOHoCDYsWpqclzPFzm8VjCM</t>
  </si>
  <si>
    <t>kangna ji</t>
  </si>
  <si>
    <t>https://docs.google.com/forms/d/e/1FAIpQLSeQ0wUAy9WJrwwZ_8x6kCxvJSihLYtbLF2nbMncVH08fybLWQ/viewform?edit2=2_ABaOnue6hZR8QVxr099vo8794LQOQqAnM51CvrVuCC0pEai87sSFoj51HQkNK6KaAjr2FH8</t>
  </si>
  <si>
    <t xml:space="preserve">darshika mam </t>
  </si>
  <si>
    <t xml:space="preserve">pearl nacklace, amethyst necklace, </t>
  </si>
  <si>
    <t>https://docs.google.com/forms/d/e/1FAIpQLSeQ0wUAy9WJrwwZ_8x6kCxvJSihLYtbLF2nbMncVH08fybLWQ/viewform?edit2=2_ABaOnue8b7BMVMLBVi_guRoh7LTF3CgZd03isbAwZUn92Orzg8ZAVLttKRay3CQ8jqxBVD4</t>
  </si>
  <si>
    <t>himanshu ji</t>
  </si>
  <si>
    <t>lab grown diamond</t>
  </si>
  <si>
    <t>https://docs.google.com/forms/d/e/1FAIpQLSeQ0wUAy9WJrwwZ_8x6kCxvJSihLYtbLF2nbMncVH08fybLWQ/viewform?edit2=2_ABaOnueFFCAE3L2iI_ESPmE9St4BNWQ63BJIeHD4Fch7EJed2jb0aTtuKgnihAEm8v4p094</t>
  </si>
  <si>
    <t>kitty ji jaipur</t>
  </si>
  <si>
    <t>https://docs.google.com/forms/d/e/1FAIpQLSeQ0wUAy9WJrwwZ_8x6kCxvJSihLYtbLF2nbMncVH08fybLWQ/viewform?edit2=2_ABaOnuf45ea-jTSFbjTs2I6rMa1BU9IH9E1Q6ePSZRNMGq_HxfnPW6JX-e6vxIdrpptbSC8</t>
  </si>
  <si>
    <t>vimmi ji</t>
  </si>
  <si>
    <t xml:space="preserve">silver snake </t>
  </si>
  <si>
    <t>https://drive.google.com/open?id=1meMf9tzfysG7PmMNNOWMmIc2FkrqKYTM</t>
  </si>
  <si>
    <t>https://docs.google.com/forms/d/e/1FAIpQLSeQ0wUAy9WJrwwZ_8x6kCxvJSihLYtbLF2nbMncVH08fybLWQ/viewform?edit2=2_ABaOnufq6iHZzgVgNtvw_I32Rvasc2XOWrFNsUwpIRalxb9zvsjosA-2rVLWSut6gM3cFLs</t>
  </si>
  <si>
    <t>https://drive.google.com/open?id=1RS5v3zfCX5mPfNg0vPR175zE7Xm0Gr9m</t>
  </si>
  <si>
    <t>https://docs.google.com/forms/d/e/1FAIpQLSeQ0wUAy9WJrwwZ_8x6kCxvJSihLYtbLF2nbMncVH08fybLWQ/viewform?edit2=2_ABaOnufO-BYwExc7m8aIGxKReYWeecefpXuBxf3oCXaQGAHNb07tbnIGKPg_9TLV0aEmFBY</t>
  </si>
  <si>
    <t>sara ji ( jammu)</t>
  </si>
  <si>
    <t>4ct ovel ( 4.02 IVS1 34-50, 4.08 IVVS1 41 )</t>
  </si>
  <si>
    <t>https://docs.google.com/forms/d/e/1FAIpQLSeQ0wUAy9WJrwwZ_8x6kCxvJSihLYtbLF2nbMncVH08fybLWQ/viewform?edit2=2_ABaOnufKP3wlqg-ECgOepNy4N9mPTZ6Q496wMvZ8TT7ZXShXgLMupzeXzDi-K_v3mzQnMwE</t>
  </si>
  <si>
    <t xml:space="preserve">seema gupta </t>
  </si>
  <si>
    <t>Ladies Bracelet / Kada, Gents Bracelet / Kada, Ladies Ring, Gents Ring</t>
  </si>
  <si>
    <t>https://docs.google.com/forms/d/e/1FAIpQLSeQ0wUAy9WJrwwZ_8x6kCxvJSihLYtbLF2nbMncVH08fybLWQ/viewform?edit2=2_ABaOnucSD0qgWyFjgpP3DSfpHAwb5JcBPvRBf4KPTR_lbKC6ygbDs1ygx_sT4BHmS6jc5fs</t>
  </si>
  <si>
    <t>shalni ji</t>
  </si>
  <si>
    <t>https://drive.google.com/open?id=1T7hdnDjz_6CNCZtY2A_hATyqkQVglhXA</t>
  </si>
  <si>
    <t>https://docs.google.com/forms/d/e/1FAIpQLSeQ0wUAy9WJrwwZ_8x6kCxvJSihLYtbLF2nbMncVH08fybLWQ/viewform?edit2=2_ABaOnucZJYyGmigZDnO_3mHB60Ly4D5zW6FL_5pzPslFGOAw-XwTp5kNoT04ptRWHvWHqRM</t>
  </si>
  <si>
    <t>Anil dhamija ji</t>
  </si>
  <si>
    <t xml:space="preserve">100 grm gold coin </t>
  </si>
  <si>
    <t>MMTC coin 24kt</t>
  </si>
  <si>
    <t>Suman</t>
  </si>
  <si>
    <t>3/17/0025</t>
  </si>
  <si>
    <t>https://docs.google.com/forms/d/e/1FAIpQLSeQ0wUAy9WJrwwZ_8x6kCxvJSihLYtbLF2nbMncVH08fybLWQ/viewform?edit2=2_ABaOnucr7jSPNNZnCo67HXGSlQSPUVmsO7YuPDvq3BRLY0JwfIX2AJQwFA_kM2HIAlhsEQ8</t>
  </si>
  <si>
    <t xml:space="preserve">krishan kumar ji </t>
  </si>
  <si>
    <t xml:space="preserve">long antique set </t>
  </si>
  <si>
    <t>3/25/0025</t>
  </si>
  <si>
    <t>https://docs.google.com/forms/d/e/1FAIpQLSeQ0wUAy9WJrwwZ_8x6kCxvJSihLYtbLF2nbMncVH08fybLWQ/viewform?edit2=2_ABaOnudU9EUxPR75Sz6ITyK41CcqDpultXj0iupvZmVsHXsl-XUf3MrAou17IPV9TqD8wmc</t>
  </si>
  <si>
    <t>vivek gupta ji</t>
  </si>
  <si>
    <t>https://docs.google.com/forms/d/e/1FAIpQLSeQ0wUAy9WJrwwZ_8x6kCxvJSihLYtbLF2nbMncVH08fybLWQ/viewform?edit2=2_ABaOnuf63jO8QGsZ0Fh_TnZnTqSSYIDNJkUsnC62VuTRLVh5lNuz2quIzkql5KK5aRH2lvQ</t>
  </si>
  <si>
    <t>dineshji</t>
  </si>
  <si>
    <t>+91 98100 55109</t>
  </si>
  <si>
    <t>https://drive.google.com/open?id=1yn8bJ01ZYJ4ncpgxs_XWjafQkiwoWo1p</t>
  </si>
  <si>
    <t>https://docs.google.com/forms/d/e/1FAIpQLSeQ0wUAy9WJrwwZ_8x6kCxvJSihLYtbLF2nbMncVH08fybLWQ/viewform?edit2=2_ABaOnudO24bg-DW5wyV4MFFIc0pkzJLdSCs5vGLOoXnmsRfSUffflTzaR3A1XCJrpOzBkko</t>
  </si>
  <si>
    <t>neeraj ji</t>
  </si>
  <si>
    <t>8grm ginni</t>
  </si>
  <si>
    <t>https://docs.google.com/forms/d/e/1FAIpQLSeQ0wUAy9WJrwwZ_8x6kCxvJSihLYtbLF2nbMncVH08fybLWQ/viewform?edit2=2_ABaOnufAd0N1Q3GzX4nvnn5RJzTY1o6IxXwctKC1AGHiigclI2e0oiPa8eOjgX8T9zrVVmg</t>
  </si>
  <si>
    <t>manpriyaa</t>
  </si>
  <si>
    <t>https://docs.google.com/forms/d/e/1FAIpQLSeQ0wUAy9WJrwwZ_8x6kCxvJSihLYtbLF2nbMncVH08fybLWQ/viewform?edit2=2_ABaOnue7_qpFP9Bd2hN1M0LbCsDwNQs_EbXa_vD3b3ZmwJYlglcNVbVyI5r3RKDCnyrw4pU</t>
  </si>
  <si>
    <t>amit bhatia</t>
  </si>
  <si>
    <t>10 grm gold coin</t>
  </si>
  <si>
    <t>https://docs.google.com/forms/d/e/1FAIpQLSeQ0wUAy9WJrwwZ_8x6kCxvJSihLYtbLF2nbMncVH08fybLWQ/viewform?edit2=2_ABaOnueAe9LIvQstrqPPCcyl3iIGdY70m_QElaormF4WRUFI7CMdga4Mo6um2u0s5AW4ZYA</t>
  </si>
  <si>
    <t>beena rawal ji</t>
  </si>
  <si>
    <t>tulsi mala</t>
  </si>
  <si>
    <t>https://docs.google.com/forms/d/e/1FAIpQLSeQ0wUAy9WJrwwZ_8x6kCxvJSihLYtbLF2nbMncVH08fybLWQ/viewform?edit2=2_ABaOnuck_BXAfAO6XH3z8INA-Gab3A9eBWJ_cRd4lEbaFBa1oJ4oI91t5_3mbNd4M1_rb_k</t>
  </si>
  <si>
    <t>kunal  gadhi</t>
  </si>
  <si>
    <t>https://docs.google.com/forms/d/e/1FAIpQLSeQ0wUAy9WJrwwZ_8x6kCxvJSihLYtbLF2nbMncVH08fybLWQ/viewform?edit2=2_ABaOnueZ6hmcnzUxrWQCS3CMQf6skkexuOK7TP1KNjVRt4fjTIEaQ9YLEo6ikoPiV2fBUhE</t>
  </si>
  <si>
    <t xml:space="preserve">deepak ji </t>
  </si>
  <si>
    <t>pair 2 ct JSi</t>
  </si>
  <si>
    <t>https://docs.google.com/forms/d/e/1FAIpQLSeQ0wUAy9WJrwwZ_8x6kCxvJSihLYtbLF2nbMncVH08fybLWQ/viewform?edit2=2_ABaOnueegFZQ8t40twQHnRYtk3NSpufzw8oxEbGrEC7IikKD938gnZaSs405SlaIJxPoYqI</t>
  </si>
  <si>
    <t>himanshu ji noida</t>
  </si>
  <si>
    <t>Ladies Bracelet / Kada, Gents Bracelet / Kada</t>
  </si>
  <si>
    <t>https://docs.google.com/forms/d/e/1FAIpQLSeQ0wUAy9WJrwwZ_8x6kCxvJSihLYtbLF2nbMncVH08fybLWQ/viewform?edit2=2_ABaOnueIviV16S7_t1_HwXKCtLaFRbxTB4st3YmTxzs-0drU7CcGjvj74CLdGSW1oEodXlY</t>
  </si>
  <si>
    <t>SARA MAM FATHER</t>
  </si>
  <si>
    <t>Chain, Ladies Bracelet / Kada</t>
  </si>
  <si>
    <t>https://docs.google.com/forms/d/e/1FAIpQLSeQ0wUAy9WJrwwZ_8x6kCxvJSihLYtbLF2nbMncVH08fybLWQ/viewform?edit2=2_ABaOnudtBCJozREf91W-wMZCq7nYoE0__MRw3fAe8SRcJ7bUPD1uA-LVuK7QYpJfGUN5uAU</t>
  </si>
  <si>
    <t>VIKRAM JM</t>
  </si>
  <si>
    <t>https://docs.google.com/forms/d/e/1FAIpQLSeQ0wUAy9WJrwwZ_8x6kCxvJSihLYtbLF2nbMncVH08fybLWQ/viewform?edit2=2_ABaOnudUUe50aCp3ct6VYGYvAHJ1YDOrRlhPNbqbFwZKTOPf6aTQlYyYxA0S6CZ3vXYH1L0</t>
  </si>
  <si>
    <t>KITTY vidhi gupta</t>
  </si>
  <si>
    <t>https://docs.google.com/forms/d/e/1FAIpQLSeQ0wUAy9WJrwwZ_8x6kCxvJSihLYtbLF2nbMncVH08fybLWQ/viewform?edit2=2_ABaOnud-1n5T1d7TznAO_I2zGn8nHr2Cy2_Q5iNjcT_zVOIEw_p1gjmW3h8Ts6GU0e17l50</t>
  </si>
  <si>
    <t>https://docs.google.com/forms/d/e/1FAIpQLSeQ0wUAy9WJrwwZ_8x6kCxvJSihLYtbLF2nbMncVH08fybLWQ/viewform?edit2=2_ABaOnuftM7R2E4aZ6YouBnJ6EERd33IXNU5Co2pFkomUaEw6DZI2aFh43sx-Ao31KVJ8XSg</t>
  </si>
  <si>
    <t>aadit ji CA</t>
  </si>
  <si>
    <t>shivling,, saraswati murti</t>
  </si>
  <si>
    <t>https://docs.google.com/forms/d/e/1FAIpQLSeQ0wUAy9WJrwwZ_8x6kCxvJSihLYtbLF2nbMncVH08fybLWQ/viewform?edit2=2_ABaOnuftO-nuOKfn8zhUaKagQCQ7iee7s7PBzcEJF2PQ3BQ4w1J2yd7zLuO8N0N4hAH-Nu8</t>
  </si>
  <si>
    <t>kunal gadhi</t>
  </si>
  <si>
    <t>colour diamond 2ct pcs</t>
  </si>
  <si>
    <t>https://docs.google.com/forms/d/e/1FAIpQLSeQ0wUAy9WJrwwZ_8x6kCxvJSihLYtbLF2nbMncVH08fybLWQ/viewform?edit2=2_ABaOnucQPogrwDW1SjKppSZETBCwGY62zIlAfCvWDzYfwj22JzsQOo6CV-VRxrNw3fav4iM</t>
  </si>
  <si>
    <t>sanya bansal ji</t>
  </si>
  <si>
    <t>round or emerald natural vvs  vs 3ct i colour</t>
  </si>
  <si>
    <t>https://docs.google.com/forms/d/e/1FAIpQLSeQ0wUAy9WJrwwZ_8x6kCxvJSihLYtbLF2nbMncVH08fybLWQ/viewform?edit2=2_ABaOnueDC_iA7c77_F6UvJGqrXcihrY0-zfG8dzkzVoUoGW1vPNp-W4ZeW5zu77jrmA6KIM</t>
  </si>
  <si>
    <t xml:space="preserve">pooja  bhardwaj </t>
  </si>
  <si>
    <t>cvd jewe;;ery</t>
  </si>
  <si>
    <t>https://docs.google.com/forms/d/e/1FAIpQLSeQ0wUAy9WJrwwZ_8x6kCxvJSihLYtbLF2nbMncVH08fybLWQ/viewform?edit2=2_ABaOnuf3z8o4jTmaqfziMfu_zfdvJkZPNxgqcMGkbfFJdWX6O1_vnjJlg5EMbq6fHnkFJfg</t>
  </si>
  <si>
    <t>chano didi</t>
  </si>
  <si>
    <t>https://drive.google.com/open?id=1KjJm8Qo5cexkR63foEcR2WWR3I__rf7Y</t>
  </si>
  <si>
    <t>https://docs.google.com/forms/d/e/1FAIpQLSeQ0wUAy9WJrwwZ_8x6kCxvJSihLYtbLF2nbMncVH08fybLWQ/viewform?edit2=2_ABaOnuesj4dSDQkhyF4xDRTCfWN3bJWzJeIjiqYD4KT3_rn-lGOJ6YuypTlp0CeJxnDyOO0</t>
  </si>
  <si>
    <t>mustafa alam</t>
  </si>
  <si>
    <t>https://docs.google.com/forms/d/e/1FAIpQLSeQ0wUAy9WJrwwZ_8x6kCxvJSihLYtbLF2nbMncVH08fybLWQ/viewform?edit2=2_ABaOnuc2BGYiierYy1UMvnCPCmvBNqoDdtYuwuEzGd4_5xruJZlDwFOwzX3d2fUfNhlm_7w</t>
  </si>
  <si>
    <t>neena singh</t>
  </si>
  <si>
    <t>https://docs.google.com/forms/d/e/1FAIpQLSeQ0wUAy9WJrwwZ_8x6kCxvJSihLYtbLF2nbMncVH08fybLWQ/viewform?edit2=2_ABaOnucYeBFITiocuOY8J1zsilodPyCEunAuTFWCWucI4LQB4mhfuyQT23wSSHzn0DU0Vtk</t>
  </si>
  <si>
    <t>nidhi ji</t>
  </si>
  <si>
    <t>3ct pair, 4 ct pair, 2 ct pair cvd  rate</t>
  </si>
  <si>
    <t>https://docs.google.com/forms/d/e/1FAIpQLSeQ0wUAy9WJrwwZ_8x6kCxvJSihLYtbLF2nbMncVH08fybLWQ/viewform?edit2=2_ABaOnucf1gevr3QEQ9qKSr5F5TPK1LM51qSh3VkK9NMhG5M2AbqITuIkE9whI588d_czyNA</t>
  </si>
  <si>
    <t>manu kapila</t>
  </si>
  <si>
    <t>one ct i si round required</t>
  </si>
  <si>
    <t>https://docs.google.com/forms/d/e/1FAIpQLSeQ0wUAy9WJrwwZ_8x6kCxvJSihLYtbLF2nbMncVH08fybLWQ/viewform?edit2=2_ABaOnudx9NPze_uMBh5woKcVCzCIXu__lrukQ_kFz6XuQXAIog3A4aDopEokaVuTNDpVo0Y</t>
  </si>
  <si>
    <t>pratiksha ji</t>
  </si>
  <si>
    <t>Solitaire, 1.50 + 1.50 ct each HVVS  ( price idea 11.80 - 13L )</t>
  </si>
  <si>
    <t>https://docs.google.com/forms/d/e/1FAIpQLSeQ0wUAy9WJrwwZ_8x6kCxvJSihLYtbLF2nbMncVH08fybLWQ/viewform?edit2=2_ABaOnueiChEuDiAmOqfE7tdklmS949zGBKd30wZtS45DzpVylrYqN4rJEG8EzCn-erMT7do</t>
  </si>
  <si>
    <t>SHAISTA JI</t>
  </si>
  <si>
    <t>https://drive.google.com/open?id=1GaH7BD8X20XLJKqdA9Gp61wTxoqeCmdp</t>
  </si>
  <si>
    <t>https://docs.google.com/forms/d/e/1FAIpQLSeQ0wUAy9WJrwwZ_8x6kCxvJSihLYtbLF2nbMncVH08fybLWQ/viewform?edit2=2_ABaOnuf0L0rW8OIw3glA_wsPr0-lhfaShawf0c-Jcrw25FroyEzDY5rPUER7zeRzqwpEyTM</t>
  </si>
  <si>
    <t>POOJA AHUJA</t>
  </si>
  <si>
    <t>https://docs.google.com/forms/d/e/1FAIpQLSeQ0wUAy9WJrwwZ_8x6kCxvJSihLYtbLF2nbMncVH08fybLWQ/viewform?edit2=2_ABaOnuckgtnD-VgYqpCnQybt_BYJbeww1rkGlOZEj_Mzf4TemDzfu-72QoLAHiCjjEqm6pI</t>
  </si>
  <si>
    <t>shally</t>
  </si>
  <si>
    <t>Solitaire, 3ct  emerald pc  , 3 ct round pc</t>
  </si>
  <si>
    <t>https://docs.google.com/forms/d/e/1FAIpQLSeQ0wUAy9WJrwwZ_8x6kCxvJSihLYtbLF2nbMncVH08fybLWQ/viewform?edit2=2_ABaOnuetHwfp51FNcY5bauCdY8jmnQQ_fL7dLrs4-5_Zmpxs9Js68_cx0UKGIjvGrwG8ph4</t>
  </si>
  <si>
    <t>somna ji patel nagar</t>
  </si>
  <si>
    <t xml:space="preserve">bvlgari , cartier pieces, van cleef, ring earring bracelet, pendant, </t>
  </si>
  <si>
    <t>https://docs.google.com/forms/d/e/1FAIpQLSeQ0wUAy9WJrwwZ_8x6kCxvJSihLYtbLF2nbMncVH08fybLWQ/viewform?edit2=2_ABaOnue6P3HzuW_qy-69W5YuDB5mAzoGGajQPWETuQ9byya23h_WctHaoRCy3C9s_ZqwXX8</t>
  </si>
  <si>
    <t>aankush ji</t>
  </si>
  <si>
    <t>+61451099181</t>
  </si>
  <si>
    <t>https://docs.google.com/forms/d/e/1FAIpQLSeQ0wUAy9WJrwwZ_8x6kCxvJSihLYtbLF2nbMncVH08fybLWQ/viewform?edit2=2_ABaOnucB7bdDlvXUmLAy33MQ-ubi6lAWp1SeAzfdYphHmRYcoWNFWvj0PrasfCQ5mqmOOyw</t>
  </si>
  <si>
    <t>vishnu bajaj</t>
  </si>
  <si>
    <t>https://docs.google.com/forms/d/e/1FAIpQLSeQ0wUAy9WJrwwZ_8x6kCxvJSihLYtbLF2nbMncVH08fybLWQ/viewform?edit2=2_ABaOnucnxWKZc7dwGYHa16xuj0EXHn0fTVEDpkYd2vMdVu3BJRltFl877yBHMaLFmjjd4_M</t>
  </si>
  <si>
    <t>magician  Rajkumar</t>
  </si>
  <si>
    <t>silver gifting items</t>
  </si>
  <si>
    <t>https://docs.google.com/forms/d/e/1FAIpQLSeQ0wUAy9WJrwwZ_8x6kCxvJSihLYtbLF2nbMncVH08fybLWQ/viewform?edit2=2_ABaOnuegy0sidiHD_10WxCHaODl6hRGz18ajjVQIYNj9M6sIubwfcHQDMQM9sRMSyUq3UwU</t>
  </si>
  <si>
    <t>ritu mam</t>
  </si>
  <si>
    <t>all polki items</t>
  </si>
  <si>
    <t>https://docs.google.com/forms/d/e/1FAIpQLSeQ0wUAy9WJrwwZ_8x6kCxvJSihLYtbLF2nbMncVH08fybLWQ/viewform?edit2=2_ABaOnudLozB1QNYfc8j9BZPVT9yRNJ_hG1CbF6fQIO4eqgF4jsDf1QA42VACknvWV9VZCRE</t>
  </si>
  <si>
    <t>saurav sir customer</t>
  </si>
  <si>
    <t>diamond buttons</t>
  </si>
  <si>
    <t>https://docs.google.com/forms/d/e/1FAIpQLSeQ0wUAy9WJrwwZ_8x6kCxvJSihLYtbLF2nbMncVH08fybLWQ/viewform?edit2=2_ABaOnueqUq5md3sAiQ0xAPtWiIRrmJgKXJS-b9YFbFjCgJujpe3v3zbX2MWuVF8nC2XvGUE</t>
  </si>
  <si>
    <t>100grm gold coin</t>
  </si>
  <si>
    <t>https://docs.google.com/forms/d/e/1FAIpQLSeQ0wUAy9WJrwwZ_8x6kCxvJSihLYtbLF2nbMncVH08fybLWQ/viewform?edit2=2_ABaOnuf-hLUxbSxlK0MtX2Vy0HzUbrO8-E4F80FOZutPm-5cOVQeDTz94gJEeiGniDjP0Kw</t>
  </si>
  <si>
    <t>sumedha ji</t>
  </si>
  <si>
    <t>https://docs.google.com/forms/d/e/1FAIpQLSeQ0wUAy9WJrwwZ_8x6kCxvJSihLYtbLF2nbMncVH08fybLWQ/viewform?edit2=2_ABaOnuc_3CnCnZsy4Tk4rnHZegV0lM5gvXjP9KVutyIrHObD4V0t2aatxxCfl4x1lrkglBA</t>
  </si>
  <si>
    <t>bhushan ji</t>
  </si>
  <si>
    <t>one kg silver jot</t>
  </si>
  <si>
    <t>https://docs.google.com/forms/d/e/1FAIpQLSeQ0wUAy9WJrwwZ_8x6kCxvJSihLYtbLF2nbMncVH08fybLWQ/viewform?edit2=2_ABaOnuftTFf0mWfB6prN_jKGRBQUGDhJTquXp1yWBtsvQwV39fYQHQLawwCAf04DvXnP-fU</t>
  </si>
  <si>
    <t>ANKUR JI</t>
  </si>
  <si>
    <t>SILVER COIN 50 GRM AND 100 GRM</t>
  </si>
  <si>
    <t>https://docs.google.com/forms/d/e/1FAIpQLSeQ0wUAy9WJrwwZ_8x6kCxvJSihLYtbLF2nbMncVH08fybLWQ/viewform?edit2=2_ABaOnufUmjbKsVpbpyKjNtk6-odV5c6eTa7bRgarHl1RVt4oj8WHUsQGXYMKpb8pCRjUy3Y</t>
  </si>
  <si>
    <t>NIKHIL JI</t>
  </si>
  <si>
    <t>https://drive.google.com/open?id=1ukQriKMeMKmkEcMrogfb8n7pXs58ZKrk</t>
  </si>
  <si>
    <t>https://docs.google.com/forms/d/e/1FAIpQLSeQ0wUAy9WJrwwZ_8x6kCxvJSihLYtbLF2nbMncVH08fybLWQ/viewform?edit2=2_ABaOnufxQwT8ERo4Nu7Q2pwBPgMD25dxoUj3JchYuZB2tphSmY0shTAp_28veNjHdEQvmtM</t>
  </si>
  <si>
    <t>ankit bansal</t>
  </si>
  <si>
    <t>https://docs.google.com/forms/d/e/1FAIpQLSeQ0wUAy9WJrwwZ_8x6kCxvJSihLYtbLF2nbMncVH08fybLWQ/viewform?edit2=2_ABaOnudvqiDdolXqYoNOOp1PVlOgnq_xfw14lxqJJM64xcc9BRmVUT6lK3T5z2nWbVClmjA</t>
  </si>
  <si>
    <t>snowey di</t>
  </si>
  <si>
    <t>baby nazariya</t>
  </si>
  <si>
    <t>https://drive.google.com/open?id=16cXxImh4iNWpw7en-KSlALYCPGybzKcS</t>
  </si>
  <si>
    <t>https://docs.google.com/forms/d/e/1FAIpQLSeQ0wUAy9WJrwwZ_8x6kCxvJSihLYtbLF2nbMncVH08fybLWQ/viewform?edit2=2_ABaOnudGLQL477KMYhMHdAPriSScOyK87UH7Y-y-B_QVPHLEYbXyUwYEjWTbRDuxuEuIhc4</t>
  </si>
  <si>
    <t>vipul ji</t>
  </si>
  <si>
    <t>Dancing gold bangle. 30 gms  Diamond pendent set. In range .1.50  pressure setting with Outer  Rose gold and rodium sets in gold 25 to 30 gms siver gents bracelets.salman khan style .Italian chains hasli in silver .</t>
  </si>
  <si>
    <t>https://docs.google.com/forms/d/e/1FAIpQLSeQ0wUAy9WJrwwZ_8x6kCxvJSihLYtbLF2nbMncVH08fybLWQ/viewform?edit2=2_ABaOnucefvwFaCt1GZMzEGOFFXAPGA2mMNQZ4mYHVBaiF5-3rY5jr3lCiulx9PGqiSJuuic</t>
  </si>
  <si>
    <t>komal ji</t>
  </si>
  <si>
    <t>https://docs.google.com/forms/d/e/1FAIpQLSeQ0wUAy9WJrwwZ_8x6kCxvJSihLYtbLF2nbMncVH08fybLWQ/viewform?edit2=2_ABaOnudzr16yeVZ6RIqo0yhl0tOj_tQuZPlKWrt8zztrmdG2Ph5UpoThMy85jRMzeUhHMuc</t>
  </si>
  <si>
    <t>punkesh ji</t>
  </si>
  <si>
    <t>shivji topas</t>
  </si>
  <si>
    <t>https://drive.google.com/open?id=1v3ofBunqCoF0T-wH2dQDGW34o6yrjekB</t>
  </si>
  <si>
    <t>https://docs.google.com/forms/d/e/1FAIpQLSeQ0wUAy9WJrwwZ_8x6kCxvJSihLYtbLF2nbMncVH08fybLWQ/viewform?edit2=2_ABaOnueqC12gDkSXRW4B-FJtkFejp684nwdiixb6XSlKnIhbJU8L4TF3i_GdB5c5dlIOy3Q</t>
  </si>
  <si>
    <t>vishnu bajaj shashi bhaiya surat</t>
  </si>
  <si>
    <t>https://docs.google.com/forms/d/e/1FAIpQLSeQ0wUAy9WJrwwZ_8x6kCxvJSihLYtbLF2nbMncVH08fybLWQ/viewform?edit2=2_ABaOnucq_UgA6Lpzba6NGVsiK2rEvCEZN35-gmfHDLa6yO1uvLGPnWGTp293BIpkHFcQkH4</t>
  </si>
  <si>
    <t>varahmir ji</t>
  </si>
  <si>
    <t>https://docs.google.com/forms/d/e/1FAIpQLSeQ0wUAy9WJrwwZ_8x6kCxvJSihLYtbLF2nbMncVH08fybLWQ/viewform?edit2=2_ABaOnucVTUFWV8Bb0A6DaXGqhYMS1sacp0vtiOBPT4jLkvhegE0UJ_UGbKrplv9Y6U0wYIk</t>
  </si>
  <si>
    <t>manisha ji</t>
  </si>
  <si>
    <t>silver jewellery</t>
  </si>
  <si>
    <t>https://drive.google.com/open?id=1VhCV2cXz7SYl7Kaj7D-bG8Z4-yj8uLlb</t>
  </si>
  <si>
    <t>https://docs.google.com/forms/d/e/1FAIpQLSeQ0wUAy9WJrwwZ_8x6kCxvJSihLYtbLF2nbMncVH08fybLWQ/viewform?edit2=2_ABaOnucYG9aXPmZ34N0cZdxNlLfOuTgnbLLFwXq5EvN1bvG4IVuIZxB2lHIBCy7XeupQEbQ</t>
  </si>
  <si>
    <t>silver deepak....</t>
  </si>
  <si>
    <t>https://drive.google.com/open?id=1axs8dzIC6y4aoW8YQQ2cYsInD4NQbxUy</t>
  </si>
  <si>
    <t>https://docs.google.com/forms/d/e/1FAIpQLSeQ0wUAy9WJrwwZ_8x6kCxvJSihLYtbLF2nbMncVH08fybLWQ/viewform?edit2=2_ABaOnufvc7L37GTusBq8sSfq525KLr90W8zQmPzBSDVkv0_Omef1JjircvwOIIAe88WbaKA</t>
  </si>
  <si>
    <t>https://drive.google.com/open?id=11uv_y7hd-ALVWdz7vHTj3YW6Et0RfWwb</t>
  </si>
  <si>
    <t>https://docs.google.com/forms/d/e/1FAIpQLSeQ0wUAy9WJrwwZ_8x6kCxvJSihLYtbLF2nbMncVH08fybLWQ/viewform?edit2=2_ABaOnucfLWsbgVQ9nhRl1oscEw_WOPLnPxpw3pI2M1haERuIZQ5M2fYFfOE4cNTdupkR7ZU</t>
  </si>
  <si>
    <t>manisha amr</t>
  </si>
  <si>
    <t>gold nazariya bracelet</t>
  </si>
  <si>
    <t>https://drive.google.com/open?id=17Hx2n3TH8GmBkaeZpVt1ThG3EyxoahcD</t>
  </si>
  <si>
    <t>https://docs.google.com/forms/d/e/1FAIpQLSeQ0wUAy9WJrwwZ_8x6kCxvJSihLYtbLF2nbMncVH08fybLWQ/viewform?edit2=2_ABaOnufjxaHHHEt0DI9xaW0zrg2W5IqhUQv1430Wfsu9iigIfK9w3m3vluz3yMuxTUSSVTQ</t>
  </si>
  <si>
    <t>batra ji</t>
  </si>
  <si>
    <t>https://drive.google.com/open?id=1wrxAYIpA118qhV1hOjX7gb8h3KovOWva</t>
  </si>
  <si>
    <t>https://docs.google.com/forms/d/e/1FAIpQLSeQ0wUAy9WJrwwZ_8x6kCxvJSihLYtbLF2nbMncVH08fybLWQ/viewform?edit2=2_ABaOnueefVEWsprUPwz1qYJbRZSAZKBw0vePBEAYAnLLtuLtNwb9Uh2ehdCL3QOJ4vf4Ty8</t>
  </si>
  <si>
    <t>vikram jm</t>
  </si>
  <si>
    <t>https://drive.google.com/open?id=1sapz3FwzldNkqvcFtP0kw4qrFU03nzMf</t>
  </si>
  <si>
    <t>https://docs.google.com/forms/d/e/1FAIpQLSeQ0wUAy9WJrwwZ_8x6kCxvJSihLYtbLF2nbMncVH08fybLWQ/viewform?edit2=2_ABaOnueyZ0o_5IaUPPr7uemNf628K4XlEG9OHTGB6TZykwWvqICrO7UxHN0BB5dxzbc5KN8</t>
  </si>
  <si>
    <t>titli ji</t>
  </si>
  <si>
    <t>polki set , bangle,</t>
  </si>
  <si>
    <t>https://drive.google.com/open?id=19VgHrak0OqwsSmtLcw205weWXReEQ677</t>
  </si>
  <si>
    <t>https://docs.google.com/forms/d/e/1FAIpQLSeQ0wUAy9WJrwwZ_8x6kCxvJSihLYtbLF2nbMncVH08fybLWQ/viewform?edit2=2_ABaOnuev3RwfI_vR6nOCWtiAC4-aB5N51UqX2QVmL0zA8BM1_Do_8zzDXD5Lhc-cEL7VBf8</t>
  </si>
  <si>
    <t>meera ji</t>
  </si>
  <si>
    <t>opal and rubby 10ct</t>
  </si>
  <si>
    <t>https://docs.google.com/forms/d/e/1FAIpQLSeQ0wUAy9WJrwwZ_8x6kCxvJSihLYtbLF2nbMncVH08fybLWQ/viewform?edit2=2_ABaOnuejo0nXzFFwfLmtl4vV-387INqWMcj4B6mwI1jIcFFIEg2IUbiewi2Fgb-tzeVnhnk</t>
  </si>
  <si>
    <t>beena  rawal  ji</t>
  </si>
  <si>
    <t>krishna sinhasan in silver</t>
  </si>
  <si>
    <t>https://docs.google.com/forms/d/e/1FAIpQLSeQ0wUAy9WJrwwZ_8x6kCxvJSihLYtbLF2nbMncVH08fybLWQ/viewform?edit2=2_ABaOnuetX6xXUPYLhBLTij0PYBg0T6DgXgyFEvcNLfSIOpyl3dsOIs8KYzzc5Un0ImU7erg</t>
  </si>
  <si>
    <t>deepti</t>
  </si>
  <si>
    <t>https://drive.google.com/open?id=1AzUlkLsbkBqpqO0yfWVxVsImTHyHvBaQ</t>
  </si>
  <si>
    <t>https://docs.google.com/forms/d/e/1FAIpQLSeQ0wUAy9WJrwwZ_8x6kCxvJSihLYtbLF2nbMncVH08fybLWQ/viewform?edit2=2_ABaOnudlg5052TsF100rshiRCb5FQ34PLHOV0FuWJ8N7vLLWakR72YIRxJqU3Q0EVbYM13c</t>
  </si>
  <si>
    <t>rupanki ji</t>
  </si>
  <si>
    <t>https://docs.google.com/forms/d/e/1FAIpQLSeQ0wUAy9WJrwwZ_8x6kCxvJSihLYtbLF2nbMncVH08fybLWQ/viewform?edit2=2_ABaOnufSxYbDwhzDTRhccM-6L-RhRutOrhmJofHRWPeMGJ_ZGE_1VIYK1jJg3VpVDM3C-s4</t>
  </si>
  <si>
    <t>pooja gupta</t>
  </si>
  <si>
    <t>https://drive.google.com/open?id=1KM2EU_64pvxhAGFjZps3bO05ady6FE-M</t>
  </si>
  <si>
    <t>https://docs.google.com/forms/d/e/1FAIpQLSeQ0wUAy9WJrwwZ_8x6kCxvJSihLYtbLF2nbMncVH08fybLWQ/viewform?edit2=2_ABaOnudI0ftimpzCQ9D_WhzneJus0H6Tn7MdPQEA-UVH9bs8Y4lhT7dUNc0qcILzXSygTPw</t>
  </si>
  <si>
    <t>all jewellery</t>
  </si>
  <si>
    <t>https://docs.google.com/forms/d/e/1FAIpQLSeQ0wUAy9WJrwwZ_8x6kCxvJSihLYtbLF2nbMncVH08fybLWQ/viewform?edit2=2_ABaOnuf2wpyozHrHUrKCIymVU_t3fMsdS31Hb6xXLk7_QqKia5f0EMZrLrGMG5IFztgSCKM</t>
  </si>
  <si>
    <t>manik ji</t>
  </si>
  <si>
    <t>50 grm gold</t>
  </si>
  <si>
    <t>https://docs.google.com/forms/d/e/1FAIpQLSeQ0wUAy9WJrwwZ_8x6kCxvJSihLYtbLF2nbMncVH08fybLWQ/viewform?edit2=2_ABaOnuemzonrpaIcyoRjEdnp6BiBqwPC88_aPn7-kt9EqagCI5lkkIayCeTAZxoKs3SGP3Q</t>
  </si>
  <si>
    <t>salu ji</t>
  </si>
  <si>
    <t>https://docs.google.com/forms/d/e/1FAIpQLSeQ0wUAy9WJrwwZ_8x6kCxvJSihLYtbLF2nbMncVH08fybLWQ/viewform?edit2=2_ABaOnucMNDakoZ27zPNMbNOB_1ff0Qk6_BZkgmMoeZomsWiOiMaKdbBhhj2M2Ld6bcLSi0w</t>
  </si>
  <si>
    <t>ashish ji ( rita ji son )</t>
  </si>
  <si>
    <t>https://docs.google.com/forms/d/e/1FAIpQLSeQ0wUAy9WJrwwZ_8x6kCxvJSihLYtbLF2nbMncVH08fybLWQ/viewform?edit2=2_ABaOnudZc9XMH_haKk86qg_gCRGfCBVf18Do6v_GNKd6-GqYLrnXBnx2evpFQDJ0EdKWKl4</t>
  </si>
  <si>
    <t>ANITA JI AIRFORCE</t>
  </si>
  <si>
    <t>SINGLE LINE BANGLE WITH RUBY IN CVD ESTIMATE</t>
  </si>
  <si>
    <t>https://docs.google.com/forms/d/e/1FAIpQLSeQ0wUAy9WJrwwZ_8x6kCxvJSihLYtbLF2nbMncVH08fybLWQ/viewform?edit2=2_ABaOnufhaUP6aZXBhlBSj_ZeSr-cgaNUtYVdg0Z8f02lZ4NwEOXDnTBTyhOsoM0k2JOuQnI</t>
  </si>
  <si>
    <t>ASHISH JI</t>
  </si>
  <si>
    <t xml:space="preserve">63300 4 COINS MMTC 5GM </t>
  </si>
  <si>
    <t>https://docs.google.com/forms/d/e/1FAIpQLSeQ0wUAy9WJrwwZ_8x6kCxvJSihLYtbLF2nbMncVH08fybLWQ/viewform?edit2=2_ABaOnuezQzIcT6g7umk2AMoRYweG-7AdA_IrQgphMBwWs2QOFTnJfQaU2H4YpRCERvReaK4</t>
  </si>
  <si>
    <t>PRATHA JI</t>
  </si>
  <si>
    <t>https://docs.google.com/forms/d/e/1FAIpQLSeQ0wUAy9WJrwwZ_8x6kCxvJSihLYtbLF2nbMncVH08fybLWQ/viewform?edit2=2_ABaOnufQmguXD2f0yHVq03dqVWwe3WPP_V--TDgjX5Hxl0-AnUwvApwVAYLcLfQg6JtTjwI</t>
  </si>
  <si>
    <t>namita ji</t>
  </si>
  <si>
    <t>Chain, Pendant, Ladies Bracelet / Kada</t>
  </si>
  <si>
    <t>https://docs.google.com/forms/d/e/1FAIpQLSeQ0wUAy9WJrwwZ_8x6kCxvJSihLYtbLF2nbMncVH08fybLWQ/viewform?edit2=2_ABaOnucvbItYym8YSxK1LNQSaGsfdMnGuJe9EjlSYRJZqczPhy3lPPWjF9vxRuB4E63NUag</t>
  </si>
  <si>
    <t>shashi bhaiya</t>
  </si>
  <si>
    <t>https://docs.google.com/forms/d/e/1FAIpQLSeQ0wUAy9WJrwwZ_8x6kCxvJSihLYtbLF2nbMncVH08fybLWQ/viewform?edit2=2_ABaOnuf5n5i3YvQyTMpuJShcPqJj9L3E62M7EyqEdrJy4bYz5E_GryAwqs8XrMbAhn9VffQ</t>
  </si>
  <si>
    <t>ashish chaudhary</t>
  </si>
  <si>
    <t>5 grm 2 coin rate - 63650</t>
  </si>
  <si>
    <t>https://docs.google.com/forms/d/e/1FAIpQLSeQ0wUAy9WJrwwZ_8x6kCxvJSihLYtbLF2nbMncVH08fybLWQ/viewform?edit2=2_ABaOnud5a-iwTweDG47oq1phgdm3JFwYdQ2vRBcNn8o2Pvnrp3NV8ZonGMuYREWW-V7hj1Y</t>
  </si>
  <si>
    <t>nitin bhojwani</t>
  </si>
  <si>
    <t>Solitaire Ring, ginni 22k 10 pc</t>
  </si>
  <si>
    <t>https://docs.google.com/forms/d/e/1FAIpQLSeQ0wUAy9WJrwwZ_8x6kCxvJSihLYtbLF2nbMncVH08fybLWQ/viewform?edit2=2_ABaOnufIlekXP__jnSB49s2EKYwWlWxRVI9YpJc5oBdrmTNrtOl81J0wb8WKbH-OtVJg_Qk</t>
  </si>
  <si>
    <t>bela ji</t>
  </si>
  <si>
    <t xml:space="preserve">50mg ,100mg coin photo send </t>
  </si>
  <si>
    <t>https://docs.google.com/forms/d/e/1FAIpQLSeQ0wUAy9WJrwwZ_8x6kCxvJSihLYtbLF2nbMncVH08fybLWQ/viewform?edit2=2_ABaOnucsRvaoaKM6JTihnVnRt8FpkEFjrBmW9NOyZH_XalK4I6FdneKIbAXJhRuPY0m2GK0</t>
  </si>
  <si>
    <t xml:space="preserve">rahul ji </t>
  </si>
  <si>
    <t>100mg ( 110pc mahaveer ji coin)</t>
  </si>
  <si>
    <t>https://docs.google.com/forms/d/e/1FAIpQLSeQ0wUAy9WJrwwZ_8x6kCxvJSihLYtbLF2nbMncVH08fybLWQ/viewform?edit2=2_ABaOnucsvBX5qj2iX7bUJX5hV1kD4MGzcRzQzBL-0D7V65857hy8qP7DjE0uJgSr11r4Qqo</t>
  </si>
  <si>
    <t>amita thapar</t>
  </si>
  <si>
    <t>https://docs.google.com/forms/d/e/1FAIpQLSeQ0wUAy9WJrwwZ_8x6kCxvJSihLYtbLF2nbMncVH08fybLWQ/viewform?edit2=2_ABaOnudy3SRSELff6OHQUl0VNVIi_LtcpOFd2TVwReKL8n6LYkeJqi7NXYDMB6Bc4-23p_A</t>
  </si>
  <si>
    <t>Earring / Tops, Mang Tikka / Nath</t>
  </si>
  <si>
    <t>https://drive.google.com/open?id=1hVWJ9SDpE__e7lexHxzxVP4XB-Dj8VAj</t>
  </si>
  <si>
    <t>https://docs.google.com/forms/d/e/1FAIpQLSeQ0wUAy9WJrwwZ_8x6kCxvJSihLYtbLF2nbMncVH08fybLWQ/viewform?edit2=2_ABaOnudjw_JOzs7Yy17tAcLBl3kindDEX99Dz1BXXZneoxbmfRlzM4PmUizyv2luCoJfL1k</t>
  </si>
  <si>
    <t>p k kalra ji</t>
  </si>
  <si>
    <t>silver thali 700g 12inch</t>
  </si>
  <si>
    <t>https://docs.google.com/forms/d/e/1FAIpQLSeQ0wUAy9WJrwwZ_8x6kCxvJSihLYtbLF2nbMncVH08fybLWQ/viewform?edit2=2_ABaOnudJE9XIgViZCtDM4-hCs3WqLq44W12se7IfNUue9eogx0xg9j9l3VQZmwjlm63KfxQ</t>
  </si>
  <si>
    <t>https://docs.google.com/forms/d/e/1FAIpQLSeQ0wUAy9WJrwwZ_8x6kCxvJSihLYtbLF2nbMncVH08fybLWQ/viewform?edit2=2_ABaOnudvNAvmDJPZ1nQ143kGvFy1nSScZMgXA5bvPPn7eNE42pkOe02AKx8b-L8ZVMbBsOw</t>
  </si>
  <si>
    <t>HARSHITA CLO POOJA</t>
  </si>
  <si>
    <t xml:space="preserve">MANGLASUTRA  GOLD AND DIAMOND </t>
  </si>
  <si>
    <t>https://docs.google.com/forms/d/e/1FAIpQLSeQ0wUAy9WJrwwZ_8x6kCxvJSihLYtbLF2nbMncVH08fybLWQ/viewform?edit2=2_ABaOnuexPQOCLHpMcYgO7wbRG_-rhpSfdNcsCH-eIAYWUwyNNsPhhE72FG5wIrRbq2NjYow</t>
  </si>
  <si>
    <t>BABY PENDANT AND BALI</t>
  </si>
  <si>
    <t>https://docs.google.com/forms/d/e/1FAIpQLSeQ0wUAy9WJrwwZ_8x6kCxvJSihLYtbLF2nbMncVH08fybLWQ/viewform?edit2=2_ABaOnudYUl1UpZGAo8OQvC5KMuXdioHMg_GJoV5cDL2AOndOhRfLkrclSSPiZL9BsKAyYbM</t>
  </si>
  <si>
    <t>ALISONS MUSHEB JI</t>
  </si>
  <si>
    <t>1 KG SILVER</t>
  </si>
  <si>
    <t>https://docs.google.com/forms/d/e/1FAIpQLSeQ0wUAy9WJrwwZ_8x6kCxvJSihLYtbLF2nbMncVH08fybLWQ/viewform?edit2=2_ABaOnue3dp5BpVvU4CdIkGFNyA6o9VYCrqBiqY3_DL3nuPScYK5f2JsgQxDTytzgtYnIqUU</t>
  </si>
  <si>
    <t>HARPREET JI</t>
  </si>
  <si>
    <t>4,5 kg silver</t>
  </si>
  <si>
    <t>https://docs.google.com/forms/d/e/1FAIpQLSeQ0wUAy9WJrwwZ_8x6kCxvJSihLYtbLF2nbMncVH08fybLWQ/viewform?edit2=2_ABaOnuegyd47esIWr3963sk0f1TQFVvEavAwrD104HKb39hki2VOAH3olcIZ4TkPccFR2Pg</t>
  </si>
  <si>
    <t>50 grm 15 coin mmtc</t>
  </si>
  <si>
    <t>https://docs.google.com/forms/d/e/1FAIpQLSeQ0wUAy9WJrwwZ_8x6kCxvJSihLYtbLF2nbMncVH08fybLWQ/viewform?edit2=2_ABaOnud7ddXTVBlU9EDiZuU5MEUiEdmz-3II9I26Nj-dpJuozkXSzEw7VkAnaMQwKLs3kUA</t>
  </si>
  <si>
    <t>seenu ji</t>
  </si>
  <si>
    <t>silver</t>
  </si>
  <si>
    <t>https://docs.google.com/forms/d/e/1FAIpQLSeQ0wUAy9WJrwwZ_8x6kCxvJSihLYtbLF2nbMncVH08fybLWQ/viewform?edit2=2_ABaOnufMCoIGcJ0L2oQW5JKRHeBLlrySlqai7-XM8_fE8HtIrPHOsONJCCB0JIdxMnqrlCg</t>
  </si>
  <si>
    <t>upasna ji</t>
  </si>
  <si>
    <t xml:space="preserve">30 kg silver( cus rate-161400) manan ji 160 </t>
  </si>
  <si>
    <t>https://docs.google.com/forms/d/e/1FAIpQLSeQ0wUAy9WJrwwZ_8x6kCxvJSihLYtbLF2nbMncVH08fybLWQ/viewform?edit2=2_ABaOnueWedcs4JgM30d4M9q1p3V3NXQiURXh7ia9n0ZAvdIiwNjZLmk3e6ylV7StMPf8_pA</t>
  </si>
  <si>
    <t>somna ji</t>
  </si>
  <si>
    <t>1 kg silver</t>
  </si>
  <si>
    <t>https://docs.google.com/forms/d/e/1FAIpQLSeQ0wUAy9WJrwwZ_8x6kCxvJSihLYtbLF2nbMncVH08fybLWQ/viewform?edit2=2_ABaOnufJEF61Ic34vULaG1uz4PJsCQ9eI2ltk3gvT8RwQd3Z6G5G84JEpbFcVNzWPfuotcY</t>
  </si>
  <si>
    <t>chetan ji</t>
  </si>
  <si>
    <t>silver coin</t>
  </si>
  <si>
    <t>https://docs.google.com/forms/d/e/1FAIpQLSeQ0wUAy9WJrwwZ_8x6kCxvJSihLYtbLF2nbMncVH08fybLWQ/viewform?edit2=2_ABaOnud0mXBLyrE7gKqoRr-6fzgXpFKiD58seRqKv8FQzx9UHevNPW12sAC62obSPm2uclo</t>
  </si>
  <si>
    <t>vishnu sir</t>
  </si>
  <si>
    <t>50mg coin</t>
  </si>
  <si>
    <t>https://docs.google.com/forms/d/e/1FAIpQLSeQ0wUAy9WJrwwZ_8x6kCxvJSihLYtbLF2nbMncVH08fybLWQ/viewform?edit2=2_ABaOnufjd54tTOzQgZYoU_cPNEy4CayNfwdbyC4TpfQpTC2-DWxpw9gsQ_FRn7xuI8XBeHM</t>
  </si>
  <si>
    <t>10gm gold coin 2pc ( 2666000)</t>
  </si>
  <si>
    <t>https://docs.google.com/forms/d/e/1FAIpQLSeQ0wUAy9WJrwwZ_8x6kCxvJSihLYtbLF2nbMncVH08fybLWQ/viewform?edit2=2_ABaOnueH83LBVxOBeToeUSGSvC_FhrhrGgxdCr5AYFPalcy_0NPgrFA70WbeAaSTWG1iN-U</t>
  </si>
  <si>
    <t xml:space="preserve">RAKESH JI </t>
  </si>
  <si>
    <t>https://docs.google.com/forms/d/e/1FAIpQLSeQ0wUAy9WJrwwZ_8x6kCxvJSihLYtbLF2nbMncVH08fybLWQ/viewform?edit2=2_ABaOnufFZR29ajVtmbSLCgQSz8GgKpnu6v4SSYdmao00T32iM2w53FI-DErI0qbiP6toq6E</t>
  </si>
  <si>
    <t>jaspreet ji</t>
  </si>
  <si>
    <t>https://docs.google.com/forms/d/e/1FAIpQLSeQ0wUAy9WJrwwZ_8x6kCxvJSihLYtbLF2nbMncVH08fybLWQ/viewform?edit2=2_ABaOnuftkuCH-tegs5sqmj7N_3mmV_i1EmqstFyjtKdzKDBYGsOKjWE3CuJh7caMda4wZ_s</t>
  </si>
  <si>
    <t>abha ji</t>
  </si>
  <si>
    <t>+1(630)544-0302</t>
  </si>
  <si>
    <t>2 pc coin</t>
  </si>
  <si>
    <t>https://docs.google.com/forms/d/e/1FAIpQLSeQ0wUAy9WJrwwZ_8x6kCxvJSihLYtbLF2nbMncVH08fybLWQ/viewform?edit2=2_ABaOnucD_HdQpKC9J7tIPO2NWdkkOuY6sByNjE3JWHkTpHLR44KFXYG3ngiQHyh4asskwNM</t>
  </si>
  <si>
    <t>https://drive.google.com/open?id=1tOZQ-wRGwdZnlbgRpQg1wGKxruGArinK</t>
  </si>
  <si>
    <t>https://docs.google.com/forms/d/e/1FAIpQLSeQ0wUAy9WJrwwZ_8x6kCxvJSihLYtbLF2nbMncVH08fybLWQ/viewform?edit2=2_ABaOnueWxeuomKXEc3KBPl4Fa4POKP9f0oLjhKOC977OKC9PRWT021vPptjbgMyhryl_Vzw</t>
  </si>
  <si>
    <t>sara</t>
  </si>
  <si>
    <t>pearl necklace</t>
  </si>
  <si>
    <t>https://drive.google.com/open?id=1tIrP5fIftZtuEeWTJmuIvig0Xufy8WCd</t>
  </si>
  <si>
    <t>https://docs.google.com/forms/d/e/1FAIpQLSeQ0wUAy9WJrwwZ_8x6kCxvJSihLYtbLF2nbMncVH08fybLWQ/viewform?edit2=2_ABaOnuep5k1jJMI34V9uN5vGeZCMDhDHgE9bC43Pys45FIbd0js5W7ZeRMOrWa9oXosVG5s</t>
  </si>
  <si>
    <t>sachin ji</t>
  </si>
  <si>
    <t>gold rate</t>
  </si>
  <si>
    <t>https://drive.google.com/open?id=1ktCAVZiI_SHE26CtSMG9_g9zPFQnQWi3</t>
  </si>
  <si>
    <t>https://docs.google.com/forms/d/e/1FAIpQLSeQ0wUAy9WJrwwZ_8x6kCxvJSihLYtbLF2nbMncVH08fybLWQ/viewform?edit2=2_ABaOnufo-YicOwwDaSnFhM1ZPshCgtaO0jznI2ZGv0z57Wmko9BbjW9KehW75hPZvTIrUuc</t>
  </si>
  <si>
    <t>ranbir kaur</t>
  </si>
  <si>
    <t>nosepin</t>
  </si>
  <si>
    <t>https://docs.google.com/forms/d/e/1FAIpQLSeQ0wUAy9WJrwwZ_8x6kCxvJSihLYtbLF2nbMncVH08fybLWQ/viewform?edit2=2_ABaOnuelXAaNCr1ggUzcw5CFZlqvqK8qZhUhYzt8nSrl2YYK__NNvunUVQqPYPgtJDQ5Roc</t>
  </si>
  <si>
    <t>https://docs.google.com/forms/d/e/1FAIpQLSeQ0wUAy9WJrwwZ_8x6kCxvJSihLYtbLF2nbMncVH08fybLWQ/viewform?edit2=2_ABaOnufiNUVIpiOAmjbHDAeooyxoBCO2OrUhsWteN3cV3wohp67SEjy_Fca5yTDxiF_KH0U</t>
  </si>
  <si>
    <t>vivek gupta</t>
  </si>
  <si>
    <t>2 pc -5 gm , 2 pc - 1, 1pc- 2 gm</t>
  </si>
  <si>
    <t>https://docs.google.com/forms/d/e/1FAIpQLSeQ0wUAy9WJrwwZ_8x6kCxvJSihLYtbLF2nbMncVH08fybLWQ/viewform?edit2=2_ABaOnueDTkp55L21cqTtscyRJCKwmL4wINlQ6KBZoNaj9OgBP1sjMqceRbTjbLnQc3SUKAc</t>
  </si>
  <si>
    <t>hemant ji</t>
  </si>
  <si>
    <t>100gm and 50gm - 40 coin</t>
  </si>
  <si>
    <t>https://docs.google.com/forms/d/e/1FAIpQLSeQ0wUAy9WJrwwZ_8x6kCxvJSihLYtbLF2nbMncVH08fybLWQ/viewform?edit2=2_ABaOnueoq1OXKB7LVI7D838Xok9c33voPCJ39hwuIyxd0SZSm2334O_uELOWGZFscM2WwoM</t>
  </si>
  <si>
    <t>vandana ji</t>
  </si>
  <si>
    <t>Chain, gold chain 15 to 20 gm</t>
  </si>
  <si>
    <t>https://docs.google.com/forms/d/e/1FAIpQLSeQ0wUAy9WJrwwZ_8x6kCxvJSihLYtbLF2nbMncVH08fybLWQ/viewform?edit2=2_ABaOnud7IWrcFc_ovfZ240AzInvM83Z1SHLx74lOx3X9KDzGFAUSqw7jHCtBPsigPdVkB9E</t>
  </si>
  <si>
    <t>mrs. mehta faridabad</t>
  </si>
  <si>
    <t>silver kalichari design</t>
  </si>
  <si>
    <t>https://docs.google.com/forms/d/e/1FAIpQLSeQ0wUAy9WJrwwZ_8x6kCxvJSihLYtbLF2nbMncVH08fybLWQ/viewform?edit2=2_ABaOnucMkhTHmpgz8Kl0rAI_oTObH1cn8GKel2ohYKSmqQrit7-susAxRf6ip5BIqGJMmBw</t>
  </si>
  <si>
    <t>https://drive.google.com/open?id=14I2Bi8pXcbI-0ob0_ppfqN9I_3RUSkHy</t>
  </si>
  <si>
    <t>https://docs.google.com/forms/d/e/1FAIpQLSeQ0wUAy9WJrwwZ_8x6kCxvJSihLYtbLF2nbMncVH08fybLWQ/viewform?edit2=2_ABaOnucfGGIeqfogkIy0A6A0EQL3-wgqrff9acw9p-Mj9O_QkgaMHEKIhGXCZluqzmibvmE</t>
  </si>
  <si>
    <t>raathi ji</t>
  </si>
  <si>
    <t>12 mukhi rudraksha ji</t>
  </si>
  <si>
    <t>https://docs.google.com/forms/d/e/1FAIpQLSeQ0wUAy9WJrwwZ_8x6kCxvJSihLYtbLF2nbMncVH08fybLWQ/viewform?edit2=2_ABaOnufuqvqYWmza5ZQyCtApCDgxyYAOE3eLYzMn_SjZQ1clsJhhCMz3DsKW7bOB1RcARdc</t>
  </si>
  <si>
    <t xml:space="preserve">NEETU JI </t>
  </si>
  <si>
    <t>SILVER GLASS</t>
  </si>
  <si>
    <t>https://docs.google.com/forms/d/e/1FAIpQLSeQ0wUAy9WJrwwZ_8x6kCxvJSihLYtbLF2nbMncVH08fybLWQ/viewform?edit2=2_ABaOnucTGzpLQRMIbscPCwo1HFb0TgBvJYigje8UkDlNRxHeuqjW5qwjjtYWH1zdYgfWGcc</t>
  </si>
  <si>
    <t xml:space="preserve">DHARMESHJI </t>
  </si>
  <si>
    <t>2GM MMTC COIN</t>
  </si>
  <si>
    <t>https://docs.google.com/forms/d/e/1FAIpQLSeQ0wUAy9WJrwwZ_8x6kCxvJSihLYtbLF2nbMncVH08fybLWQ/viewform?edit2=2_ABaOnueCqx3BuldFst-BPwPnTCJ295SRvZfg7qeWrylE0vt_QQxmz6e4ve7bPZeXbMom_pg</t>
  </si>
  <si>
    <t>ANKUR GUPTA</t>
  </si>
  <si>
    <t>27400 ( 2GM MMTC COIN)</t>
  </si>
  <si>
    <t>https://docs.google.com/forms/d/e/1FAIpQLSeQ0wUAy9WJrwwZ_8x6kCxvJSihLYtbLF2nbMncVH08fybLWQ/viewform?edit2=2_ABaOnueOhXyJa-urY41estKnbGcsfUb-tf6TKcatlFoD5r6FhRLu74fzwEAyBnnhAg-b82E</t>
  </si>
  <si>
    <t>NIDHA JI</t>
  </si>
  <si>
    <t>Ladies Bracelet / Kada, Ladies Ring</t>
  </si>
  <si>
    <t>https://docs.google.com/forms/d/e/1FAIpQLSeQ0wUAy9WJrwwZ_8x6kCxvJSihLYtbLF2nbMncVH08fybLWQ/viewform?edit2=2_ABaOnueu2MHUOjuQ8u3xmmYkAAAMAOh8misIeFCUTVhcFIzYyiYxCS5RuOD1fp61KdziErk</t>
  </si>
  <si>
    <t>tarun khosla ji</t>
  </si>
  <si>
    <t>chandi ki iet 70g , chandi ka OM and swastik small in size</t>
  </si>
  <si>
    <t>https://docs.google.com/forms/d/e/1FAIpQLSeQ0wUAy9WJrwwZ_8x6kCxvJSihLYtbLF2nbMncVH08fybLWQ/viewform?edit2=2_ABaOnufQpgqqrJurIgpybMKaMmURadSejzfxfbEMgMawJee99hulzVP8VesJ1_viToFjKXI</t>
  </si>
  <si>
    <t xml:space="preserve">ear chains </t>
  </si>
  <si>
    <t>https://drive.google.com/open?id=17JUDAaVHf0JB9mrc6GapCjql52wlbs9I</t>
  </si>
  <si>
    <t>https://docs.google.com/forms/d/e/1FAIpQLSeQ0wUAy9WJrwwZ_8x6kCxvJSihLYtbLF2nbMncVH08fybLWQ/viewform?edit2=2_ABaOnud9cQe8ObG1-VJ910b6tn7xIqytKagg1srFluoVUdAW93wjftCIPc7n4gAKpN5jKtE</t>
  </si>
  <si>
    <t>vrinda jm</t>
  </si>
  <si>
    <t>opal 8.25 ratti</t>
  </si>
  <si>
    <t>https://docs.google.com/forms/d/e/1FAIpQLSeQ0wUAy9WJrwwZ_8x6kCxvJSihLYtbLF2nbMncVH08fybLWQ/viewform?edit2=2_ABaOnud71KcQ_XUO87cRkYgiBJJVCj6tA8MkIpGuvHQKF7n02ukeHQrN76wojJ0hjimCCyc</t>
  </si>
  <si>
    <t xml:space="preserve">sunil jain </t>
  </si>
  <si>
    <t>+61411153323</t>
  </si>
  <si>
    <t>silver gift items 30 to 50k</t>
  </si>
  <si>
    <t>https://docs.google.com/forms/d/e/1FAIpQLSeQ0wUAy9WJrwwZ_8x6kCxvJSihLYtbLF2nbMncVH08fybLWQ/viewform?edit2=2_ABaOnuczHFxCtsj3AWBAeOlMw6qk8U6zJAJDya8RYCr7OF12FZj3VbPfdYj1D14OZ1TvtiA</t>
  </si>
  <si>
    <t>divya ji</t>
  </si>
  <si>
    <t>https://docs.google.com/forms/d/e/1FAIpQLSeQ0wUAy9WJrwwZ_8x6kCxvJSihLYtbLF2nbMncVH08fybLWQ/viewform?edit2=2_ABaOnueiIIecfTLlqT2dnp3Seo3Fg2oVGqLa_ZQL8pZ3iiBtn5U3_mBaHJtBt0jG-UUB4Ck</t>
  </si>
  <si>
    <t>goldy ji</t>
  </si>
  <si>
    <t xml:space="preserve">8 gs MMTC coin </t>
  </si>
  <si>
    <t>https://docs.google.com/forms/d/e/1FAIpQLSeQ0wUAy9WJrwwZ_8x6kCxvJSihLYtbLF2nbMncVH08fybLWQ/viewform?edit2=2_ABaOnudajx4Pnc9dJSX3LeHcygB4UhMh-bIvKK0C9Z2OKrBWivc3rnso5Y5Z7fgxvZqWuvw</t>
  </si>
  <si>
    <t>gold and diamond ms</t>
  </si>
  <si>
    <t>https://docs.google.com/forms/d/e/1FAIpQLSeQ0wUAy9WJrwwZ_8x6kCxvJSihLYtbLF2nbMncVH08fybLWQ/viewform?edit2=2_ABaOnufm7PX_OaSVUxlBc7A9ReSMjaJba_WdAUoxKKqbm6RGw21R4RS6Q7phhZlB-BswY3k</t>
  </si>
  <si>
    <t>arpita ji</t>
  </si>
  <si>
    <t>https://docs.google.com/forms/d/e/1FAIpQLSeQ0wUAy9WJrwwZ_8x6kCxvJSihLYtbLF2nbMncVH08fybLWQ/viewform?edit2=2_ABaOnucUGwHlVmd2Qx_2tXQcUtyctqOyvlLKabqg9GIUJNLF68s6wGrP193-4KkH0BlaQzA</t>
  </si>
  <si>
    <t>https://docs.google.com/forms/d/e/1FAIpQLSeQ0wUAy9WJrwwZ_8x6kCxvJSihLYtbLF2nbMncVH08fybLWQ/viewform?edit2=2_ABaOnufx-4mLVek959Quz2SsnaWV2Xo5EzNfZ6k-0Cr-hyPIjE6CdFmwnxTb2enR-AyDq-A</t>
  </si>
  <si>
    <t>80 pc gift items under 2000 anniversary gift</t>
  </si>
  <si>
    <t>https://docs.google.com/forms/d/e/1FAIpQLSeQ0wUAy9WJrwwZ_8x6kCxvJSihLYtbLF2nbMncVH08fybLWQ/viewform?edit2=2_ABaOnue1mKS_s9JUleriR8164K0k4C1Vtf2YnVtpNaGkF7cppu56u-3lQJcm9yLJe8NEWfs</t>
  </si>
  <si>
    <t>shashi ji</t>
  </si>
  <si>
    <t>lab grown chain</t>
  </si>
  <si>
    <t>https://docs.google.com/forms/d/e/1FAIpQLSeQ0wUAy9WJrwwZ_8x6kCxvJSihLYtbLF2nbMncVH08fybLWQ/viewform?edit2=2_ABaOnueJuuEoWQqltfLvvZRYFx3zR3MbgboAuedhOvZWb_KTcl7y-_Is4Y3QlMH2oiG8vwY</t>
  </si>
  <si>
    <t>asha mam noida</t>
  </si>
  <si>
    <t xml:space="preserve">20 grm jhumki </t>
  </si>
  <si>
    <t>https://docs.google.com/forms/d/e/1FAIpQLSeQ0wUAy9WJrwwZ_8x6kCxvJSihLYtbLF2nbMncVH08fybLWQ/viewform?edit2=2_ABaOnuf8eBoJtBTswnR62qW7LExOtHQix4jRsb6Qnz2XEveEdi5pxSy9za9C0Te231GpXD4</t>
  </si>
  <si>
    <t>one ct each</t>
  </si>
  <si>
    <t>https://docs.google.com/forms/d/e/1FAIpQLSeQ0wUAy9WJrwwZ_8x6kCxvJSihLYtbLF2nbMncVH08fybLWQ/viewform?edit2=2_ABaOnud0k95zAdvZ1VD3DkB_1SQwMS4g_4qH505uAJvJfZ8W8HSaK_1IdMkThZtivVdxo-o</t>
  </si>
  <si>
    <t>asha mam</t>
  </si>
  <si>
    <t>gift items</t>
  </si>
  <si>
    <t>https://docs.google.com/forms/d/e/1FAIpQLSeQ0wUAy9WJrwwZ_8x6kCxvJSihLYtbLF2nbMncVH08fybLWQ/viewform?edit2=2_ABaOnucdheiS_42jK0-UlOeoEavEWZ4mZ91UW28Rr4prnapJyzcyaMFHyD8kG1QFjxk_j8I</t>
  </si>
  <si>
    <t>mona ( mrs demla)</t>
  </si>
  <si>
    <t>1.5ct</t>
  </si>
  <si>
    <t>https://docs.google.com/forms/d/e/1FAIpQLSeQ0wUAy9WJrwwZ_8x6kCxvJSihLYtbLF2nbMncVH08fybLWQ/viewform?edit2=2_ABaOnufsFT8yAtZw8uO2xA4Iv5-Y-R28kPfI-O9n7kGHJ7nj46wqTqWpnPk7inNoiWWekqg</t>
  </si>
  <si>
    <t>ahuja ji</t>
  </si>
  <si>
    <t xml:space="preserve">100 grm platinum bar </t>
  </si>
  <si>
    <t>https://docs.google.com/forms/d/e/1FAIpQLSeQ0wUAy9WJrwwZ_8x6kCxvJSihLYtbLF2nbMncVH08fybLWQ/viewform?edit2=2_ABaOnuc9S8lT_GzlM85StgsWBuP7oqCG1hLKAkshmmsp5mhZ4ozTKui6zGQjJ4o27gfcueI</t>
  </si>
  <si>
    <t>shikha ji</t>
  </si>
  <si>
    <t>09811224790</t>
  </si>
  <si>
    <t>Earring / Tops, daily wear saman</t>
  </si>
  <si>
    <t>https://docs.google.com/forms/d/e/1FAIpQLSeQ0wUAy9WJrwwZ_8x6kCxvJSihLYtbLF2nbMncVH08fybLWQ/viewform?edit2=2_ABaOnue5pCgf-OWSV3bMCLNl1KpFYYEu6YMzwQmSre_P3fnASNRET87mPX9IT7WohrJ3lIk</t>
  </si>
  <si>
    <t>naveen gupta ji</t>
  </si>
  <si>
    <t>silver coin 100gm ( 5pc) 250 grm silver coin</t>
  </si>
  <si>
    <t>https://docs.google.com/forms/d/e/1FAIpQLSeQ0wUAy9WJrwwZ_8x6kCxvJSihLYtbLF2nbMncVH08fybLWQ/viewform?edit2=2_ABaOnufqiXKYqcgA9WC6ZPBt4uqPVBofVeEsVC0lGy0FHuUpyhVLQD7kYSsNh37_CtP4Y24</t>
  </si>
  <si>
    <t>customer</t>
  </si>
  <si>
    <t>https://docs.google.com/forms/d/e/1FAIpQLSeQ0wUAy9WJrwwZ_8x6kCxvJSihLYtbLF2nbMncVH08fybLWQ/viewform?edit2=2_ABaOnudCPoWgDWqvZCseo82R2Fj29aZcJ_SwM3soFJD6QQr5JoMdprMi2_fr0eu16TbDrMA</t>
  </si>
  <si>
    <t>pallavi ji</t>
  </si>
  <si>
    <t>https://drive.google.com/open?id=1X154aj76aKcudIe1ppU7_3pXur0J1oXd</t>
  </si>
  <si>
    <t>https://docs.google.com/forms/d/e/1FAIpQLSeQ0wUAy9WJrwwZ_8x6kCxvJSihLYtbLF2nbMncVH08fybLWQ/viewform?edit2=2_ABaOnudHgrrYIgsgdS_BdCuOvyjSrXKmkB8rBEGbueEx7rFdn1Rr-AHstQi35sF5LARGA2I</t>
  </si>
  <si>
    <t>sara mam</t>
  </si>
  <si>
    <t>https://drive.google.com/open?id=1VORNPQAji1qZh5u8EFH70kpF9Ltjoazj</t>
  </si>
  <si>
    <t>https://docs.google.com/forms/d/e/1FAIpQLSeQ0wUAy9WJrwwZ_8x6kCxvJSihLYtbLF2nbMncVH08fybLWQ/viewform?edit2=2_ABaOnueOFbGkTWHGunIp2JYUBEdMcBbT5awKxi_O-otMdvU2_-j9kTkVdiRNARlliX51TEs</t>
  </si>
  <si>
    <t>SARA MAM</t>
  </si>
  <si>
    <t>https://drive.google.com/open?id=1Jzh_HYdLAQHA3iYw6xdwURhq0besvcqk</t>
  </si>
  <si>
    <t>https://docs.google.com/forms/d/e/1FAIpQLSeQ0wUAy9WJrwwZ_8x6kCxvJSihLYtbLF2nbMncVH08fybLWQ/viewform?edit2=2_ABaOnuciSfgZANbpXLxwl-BgdN7xcOBXnYOxpiweqK8KRtva0Lwnpu3vaNVuScpvW74_ASo</t>
  </si>
  <si>
    <t xml:space="preserve">Sanjay ji </t>
  </si>
  <si>
    <t xml:space="preserve">Silver chain with rudraksh </t>
  </si>
  <si>
    <t>https://docs.google.com/forms/d/e/1FAIpQLSeQ0wUAy9WJrwwZ_8x6kCxvJSihLYtbLF2nbMncVH08fybLWQ/viewform?edit2=2_ABaOnufM0BCO5-IdYe0rIxUaXyUzmUJgk4GhvoH24_OB5BtgzxASJzutJY_YdQcCzHy6CUw</t>
  </si>
  <si>
    <t xml:space="preserve">Bb sindhi </t>
  </si>
  <si>
    <t>Old gold ki value</t>
  </si>
  <si>
    <t>https://docs.google.com/forms/d/e/1FAIpQLSeQ0wUAy9WJrwwZ_8x6kCxvJSihLYtbLF2nbMncVH08fybLWQ/viewform?edit2=2_ABaOnudXgoh4AnH1XWVdkaQpn0h5rBMjRE0wabBzXLTfXSNck-5ly5-rge_OPGTiq8YQsd4</t>
  </si>
  <si>
    <t>Joshna</t>
  </si>
  <si>
    <t>https://docs.google.com/forms/d/e/1FAIpQLSeQ0wUAy9WJrwwZ_8x6kCxvJSihLYtbLF2nbMncVH08fybLWQ/viewform?edit2=2_ABaOnudfy0UoO3k-KT_e0jemMmofhL5PjtoPOaTQdvwN8BW2ILqPFDsJFLW43O2fPOcK44I</t>
  </si>
  <si>
    <t xml:space="preserve">shaista mam </t>
  </si>
  <si>
    <t>https://drive.google.com/open?id=13K7vwj7X-F9bTajDclQIDhWgpoo9B1Dh</t>
  </si>
  <si>
    <t>https://docs.google.com/forms/d/e/1FAIpQLSeQ0wUAy9WJrwwZ_8x6kCxvJSihLYtbLF2nbMncVH08fybLWQ/viewform?edit2=2_ABaOnueBTMxGgcaRlMaOu-3cUZtq3jYXBSRKS8kuY6JFzamFSDEPCWL9uedC5HAmUQlVgio</t>
  </si>
  <si>
    <t>shashikant ji</t>
  </si>
  <si>
    <t xml:space="preserve">90 -90 pointer pair </t>
  </si>
  <si>
    <t>https://docs.google.com/forms/d/e/1FAIpQLSeQ0wUAy9WJrwwZ_8x6kCxvJSihLYtbLF2nbMncVH08fybLWQ/viewform?edit2=2_ABaOnudqGRmFECH9WAn6ojx_q2G4wVo1dC9iOV1hHK_Iu0PFi4D_HZwnHeIEnOh__10ZRms</t>
  </si>
  <si>
    <t>6 ct pair (vvs1 vs1) , 3.00 solitaire f colour</t>
  </si>
  <si>
    <t>https://docs.google.com/forms/d/e/1FAIpQLSeQ0wUAy9WJrwwZ_8x6kCxvJSihLYtbLF2nbMncVH08fybLWQ/viewform?edit2=2_ABaOnuddcKnTFjVO9nso86Z1Kdy6MuCt5FDYzEj8fSHGDUo3ETmBZsy4zO3k5cb8_zJY1Ms</t>
  </si>
  <si>
    <t>ajay yadav</t>
  </si>
  <si>
    <t>https://docs.google.com/forms/d/e/1FAIpQLSeQ0wUAy9WJrwwZ_8x6kCxvJSihLYtbLF2nbMncVH08fybLWQ/viewform?edit2=2_ABaOnufUFqtS8QmGKp3iNdrdXihRpaHCdjaZ-TraFDVP-Ao-bu13W5SKQzvx8BeSFiEpu58</t>
  </si>
  <si>
    <t>string diamond</t>
  </si>
  <si>
    <t>https://docs.google.com/forms/d/e/1FAIpQLSeQ0wUAy9WJrwwZ_8x6kCxvJSihLYtbLF2nbMncVH08fybLWQ/viewform?edit2=2_ABaOnueyeitRljxJIWzpBvDNtmxqAkMaI3DtPgR-DJAhwWqEkWAJbdHCqHRJ7D2ym4bQUEI</t>
  </si>
  <si>
    <t>Tabassum</t>
  </si>
  <si>
    <t>https://docs.google.com/forms/d/e/1FAIpQLSeQ0wUAy9WJrwwZ_8x6kCxvJSihLYtbLF2nbMncVH08fybLWQ/viewform?edit2=2_ABaOnudFbfQyDyIbWLJGJs4hboMA9x_-aUmAJVV9eUCdpU4qLJCFgKKk79QzbffMHO2uqAM</t>
  </si>
  <si>
    <t>Seema ji</t>
  </si>
  <si>
    <t>https://docs.google.com/forms/d/e/1FAIpQLSeQ0wUAy9WJrwwZ_8x6kCxvJSihLYtbLF2nbMncVH08fybLWQ/viewform?edit2=2_ABaOnudoUUr3HeD0EXCvbfrpbhhS14uj230Fws0-jugk0Y0gZRunOFR0VlxEtReL_cxQKP4</t>
  </si>
  <si>
    <t xml:space="preserve">Anju jain </t>
  </si>
  <si>
    <t>https://docs.google.com/forms/d/e/1FAIpQLSeQ0wUAy9WJrwwZ_8x6kCxvJSihLYtbLF2nbMncVH08fybLWQ/viewform?edit2=2_ABaOnufkrIJnTdgSUiBLg0p0jshOeIM8l3zq-iGim8hlKfWK1ya1xFZ2HRgdxYbjS4nOOFM</t>
  </si>
  <si>
    <t>Ritu k17</t>
  </si>
  <si>
    <t>https://docs.google.com/forms/d/e/1FAIpQLSeQ0wUAy9WJrwwZ_8x6kCxvJSihLYtbLF2nbMncVH08fybLWQ/viewform?edit2=2_ABaOnudlbpPYu-i2LrkB97vEPn2U19BtgqlDk2RHO1yMAgwblXvbGjBVS-8brkP2xL58aoA</t>
  </si>
  <si>
    <t xml:space="preserve">Nk avsthi </t>
  </si>
  <si>
    <t>Gold bar</t>
  </si>
  <si>
    <t>https://docs.google.com/forms/d/e/1FAIpQLSeQ0wUAy9WJrwwZ_8x6kCxvJSihLYtbLF2nbMncVH08fybLWQ/viewform?edit2=2_ABaOnucMkM0Wx7qr8K0l3okO7RkJBbhot1iIZZtAKdWxws9aewlJjId5HpXy-ySbLlRv8_s</t>
  </si>
  <si>
    <t>Mahua</t>
  </si>
  <si>
    <t>Ankita</t>
  </si>
  <si>
    <t>https://docs.google.com/forms/d/e/1FAIpQLSeQ0wUAy9WJrwwZ_8x6kCxvJSihLYtbLF2nbMncVH08fybLWQ/viewform?edit2=2_ABaOnufcZ4ksmy7DG_ySfaX5HY6A6hWEAaCg5SpcN7DJ_oC32mjrsS96TKLHczD-3J0diXE</t>
  </si>
  <si>
    <t xml:space="preserve">Roshni </t>
  </si>
  <si>
    <t>Sucheta</t>
  </si>
  <si>
    <t>https://docs.google.com/forms/d/e/1FAIpQLSeQ0wUAy9WJrwwZ_8x6kCxvJSihLYtbLF2nbMncVH08fybLWQ/viewform?edit2=2_ABaOnud8u3co1DblkWlfGamIf3BX8TUZ5CMW73nXckWWmlQoBbU5enwUHhXOkULZDdGaeow</t>
  </si>
  <si>
    <t xml:space="preserve">Neelam rathi </t>
  </si>
  <si>
    <t xml:space="preserve">Anklets </t>
  </si>
  <si>
    <t>https://docs.google.com/forms/d/e/1FAIpQLSeQ0wUAy9WJrwwZ_8x6kCxvJSihLYtbLF2nbMncVH08fybLWQ/viewform?edit2=2_ABaOnuew5aDbqHrh5bdn9bzsxP27uIz_634cfAOQZtITreXziEhpCFPhC91C4B43R3NWVtE</t>
  </si>
  <si>
    <t xml:space="preserve">Rishab </t>
  </si>
  <si>
    <t>https://docs.google.com/forms/d/e/1FAIpQLSeQ0wUAy9WJrwwZ_8x6kCxvJSihLYtbLF2nbMncVH08fybLWQ/viewform?edit2=2_ABaOnuejErIuhitpgNk9bol0eTwQGuBYO0uvVi5OdhY2t55AlpNSqsFok6_OTmzsxmokNew</t>
  </si>
  <si>
    <t>Rajendra</t>
  </si>
  <si>
    <t>https://docs.google.com/forms/d/e/1FAIpQLSeQ0wUAy9WJrwwZ_8x6kCxvJSihLYtbLF2nbMncVH08fybLWQ/viewform?edit2=2_ABaOnufFHi2WBd3x7HCNm1_01PolagE9kjpXVHsbkkGF0tQB4XK27E86VJ9Yyn3UVIoWSZ4</t>
  </si>
  <si>
    <t>Majal</t>
  </si>
  <si>
    <t>https://docs.google.com/forms/d/e/1FAIpQLSeQ0wUAy9WJrwwZ_8x6kCxvJSihLYtbLF2nbMncVH08fybLWQ/viewform?edit2=2_ABaOnufohRcTHRPHBdDo30Sw9e1fOwMlvlyUiaNcGGQE-MRb0SC9-RsVNB9fzn5CRMnUZ80</t>
  </si>
  <si>
    <t>neha ji</t>
  </si>
  <si>
    <t>https://docs.google.com/forms/d/e/1FAIpQLSeQ0wUAy9WJrwwZ_8x6kCxvJSihLYtbLF2nbMncVH08fybLWQ/viewform?edit2=2_ABaOnuffK3VPdGq_E_X76SLOgyVqn0fpXON02NvaC0e-Z2vKyUIejirWEq8sLqqZGdp5WAU</t>
  </si>
  <si>
    <t xml:space="preserve">Rashmi </t>
  </si>
  <si>
    <t>https://docs.google.com/forms/d/e/1FAIpQLSeQ0wUAy9WJrwwZ_8x6kCxvJSihLYtbLF2nbMncVH08fybLWQ/viewform?edit2=2_ABaOnufyq5Z5JoDPPGk83wpN_rjIbEIbxHYFfYEbM0ZSdXFxBUxCM47H9ME2TbzrZK3jxBU</t>
  </si>
  <si>
    <t>Prabnit</t>
  </si>
  <si>
    <t>https://docs.google.com/forms/d/e/1FAIpQLSeQ0wUAy9WJrwwZ_8x6kCxvJSihLYtbLF2nbMncVH08fybLWQ/viewform?edit2=2_ABaOnueTImGsJ1L2996AlFbzpfiQtRw96C6legj24-Aw4lBm7l3jcKotBYWrO9koibmCJNU</t>
  </si>
  <si>
    <t xml:space="preserve">Anju </t>
  </si>
  <si>
    <t>https://docs.google.com/forms/d/e/1FAIpQLSeQ0wUAy9WJrwwZ_8x6kCxvJSihLYtbLF2nbMncVH08fybLWQ/viewform?edit2=2_ABaOnucECuqYvwutfbfxDU5MN9zs_4b4r0zCxH54zPMvn9NI4GHXwTeYMfz0e2pPboOIZ1I</t>
  </si>
  <si>
    <t xml:space="preserve">Neelam </t>
  </si>
  <si>
    <t>Silver kauwa</t>
  </si>
  <si>
    <t>https://docs.google.com/forms/d/e/1FAIpQLSeQ0wUAy9WJrwwZ_8x6kCxvJSihLYtbLF2nbMncVH08fybLWQ/viewform?edit2=2_ABaOnudE6NlN_DgSh8AbYBAL0dBIVEDazh8PZ5QzCvbSbgqQS2Vpu7Z-vQpmQQ3AgS3Dehg</t>
  </si>
  <si>
    <t>Prabhneet</t>
  </si>
  <si>
    <t>https://docs.google.com/forms/d/e/1FAIpQLSeQ0wUAy9WJrwwZ_8x6kCxvJSihLYtbLF2nbMncVH08fybLWQ/viewform?edit2=2_ABaOnudLN1ea9KxfMIE8a9QMHdezp5TuC8G7MRWmBDIgqsD2QshPcWiKKa-cqIyBSqDfN54</t>
  </si>
  <si>
    <t xml:space="preserve">Sudesh </t>
  </si>
  <si>
    <t>https://docs.google.com/forms/d/e/1FAIpQLSeQ0wUAy9WJrwwZ_8x6kCxvJSihLYtbLF2nbMncVH08fybLWQ/viewform?edit2=2_ABaOnue1xvLK7vrpJABRbc3hZsKIpLjBLaT-uhpfUj0He4YE7jNoEpfMshvsvGR3tOyhqBg</t>
  </si>
  <si>
    <t xml:space="preserve">Manish Malhotra </t>
  </si>
  <si>
    <t>https://docs.google.com/forms/d/e/1FAIpQLSeQ0wUAy9WJrwwZ_8x6kCxvJSihLYtbLF2nbMncVH08fybLWQ/viewform?edit2=2_ABaOnufrGyRHp3J50zYs5MiX3R9wHLP41YdXzwx59BlTHoH6QZIGp3Ui_MhJSUbB6yLFmck</t>
  </si>
  <si>
    <t>Kallu</t>
  </si>
  <si>
    <t>https://docs.google.com/forms/d/e/1FAIpQLSeQ0wUAy9WJrwwZ_8x6kCxvJSihLYtbLF2nbMncVH08fybLWQ/viewform?edit2=2_ABaOnueTwUwiL8orcD6Z88DAb5nPTbw3clSEP0rD3f4t4N6-2Z3gP7eD1XdgsyjHJ0dCA28</t>
  </si>
  <si>
    <t>Shiv mittal</t>
  </si>
  <si>
    <t>https://docs.google.com/forms/d/e/1FAIpQLSeQ0wUAy9WJrwwZ_8x6kCxvJSihLYtbLF2nbMncVH08fybLWQ/viewform?edit2=2_ABaOnuehPXdUO9UK-a5P40-sZvsZeDoazGi0V3D1HpV5Xfz4bgkZlBpU_zFW3fVHAlSZQLQ</t>
  </si>
  <si>
    <t>Mahua biswas</t>
  </si>
  <si>
    <t>https://docs.google.com/forms/d/e/1FAIpQLSeQ0wUAy9WJrwwZ_8x6kCxvJSihLYtbLF2nbMncVH08fybLWQ/viewform?edit2=2_ABaOnuesnt-Gkr7fMNeOrLMXXFDXChfcTMnXv-FgpInRN2K32te5dMoo9GWDRZkcWED-ZAY</t>
  </si>
  <si>
    <t>Avinash</t>
  </si>
  <si>
    <t>https://docs.google.com/forms/d/e/1FAIpQLSeQ0wUAy9WJrwwZ_8x6kCxvJSihLYtbLF2nbMncVH08fybLWQ/viewform?edit2=2_ABaOnuf0CZd2lVRoWaOrJ7eSwPRUpVGXQ2G1dbKIMf-ZYW32s7Y9b7DfIu37YWyKKhcJs64</t>
  </si>
  <si>
    <t xml:space="preserve">Shivani </t>
  </si>
  <si>
    <t>https://docs.google.com/forms/d/e/1FAIpQLSeQ0wUAy9WJrwwZ_8x6kCxvJSihLYtbLF2nbMncVH08fybLWQ/viewform?edit2=2_ABaOnudeNdJOt3wgcRKNPyTzlzefM1BVzPVQrHNxOKRfPTkES_KAasQH2qfKBeTojg5wpkM</t>
  </si>
  <si>
    <t xml:space="preserve">Avinash </t>
  </si>
  <si>
    <t>https://docs.google.com/forms/d/e/1FAIpQLSeQ0wUAy9WJrwwZ_8x6kCxvJSihLYtbLF2nbMncVH08fybLWQ/viewform?edit2=2_ABaOnufX7Ob2ByVVVlYKrJD1H-fPAImp7TInplzpD4efbuTTB-SDOM2YAlCV_vQDeoof6G0</t>
  </si>
  <si>
    <t>https://docs.google.com/forms/d/e/1FAIpQLSeQ0wUAy9WJrwwZ_8x6kCxvJSihLYtbLF2nbMncVH08fybLWQ/viewform?edit2=2_ABaOnuco2JJQgqZZYoAAOeiMHacd6xxe99enEwyZvDtc0_QwlDCJSDHyV-Vj8NI-xS-dqKs</t>
  </si>
  <si>
    <t xml:space="preserve">Shusant </t>
  </si>
  <si>
    <t>https://docs.google.com/forms/d/e/1FAIpQLSeQ0wUAy9WJrwwZ_8x6kCxvJSihLYtbLF2nbMncVH08fybLWQ/viewform?edit2=2_ABaOnucPFAPiQnoYdacQnFYKAZd-JIvXn0lf64QtmotMBXmIOPuSFoo2oCqaJ6i-95Hsj4g</t>
  </si>
  <si>
    <t>Shusant</t>
  </si>
  <si>
    <t>https://docs.google.com/forms/d/e/1FAIpQLSeQ0wUAy9WJrwwZ_8x6kCxvJSihLYtbLF2nbMncVH08fybLWQ/viewform?edit2=2_ABaOnuegcNIbJODy1p5R1lu6HYpGtfEoyyWCNU_vesLM22O2PX478W3R_jStzmc53gY2pYE</t>
  </si>
  <si>
    <t xml:space="preserve">Rajesh </t>
  </si>
  <si>
    <t>https://docs.google.com/forms/d/e/1FAIpQLSeQ0wUAy9WJrwwZ_8x6kCxvJSihLYtbLF2nbMncVH08fybLWQ/viewform?edit2=2_ABaOnufGe8sWpZyrwd6c1XHOevTkPkIReOZ5piIm-Wub8zB3bXZ-guyQOMZqkV4vS98levs</t>
  </si>
  <si>
    <t xml:space="preserve">Nikita </t>
  </si>
  <si>
    <t>https://docs.google.com/forms/d/e/1FAIpQLSeQ0wUAy9WJrwwZ_8x6kCxvJSihLYtbLF2nbMncVH08fybLWQ/viewform?edit2=2_ABaOnudpCTkTFd_EuR_Q5Ltai6_XfN72rFPyYWz7lN5--rXbRmusIJVwhPpQHqTYqmii2sg</t>
  </si>
  <si>
    <t xml:space="preserve">Radhe rajput </t>
  </si>
  <si>
    <t>https://docs.google.com/forms/d/e/1FAIpQLSeQ0wUAy9WJrwwZ_8x6kCxvJSihLYtbLF2nbMncVH08fybLWQ/viewform?edit2=2_ABaOnue3EZTN-w82jr1xaHiiuY9Np-stfoRl5sWruwU1sKjUy7ReIz_xUFMHGBAZATacMHI</t>
  </si>
  <si>
    <t>V.s yadav</t>
  </si>
  <si>
    <t>Chain, Earring / Tops, Necklace Set, Bangle</t>
  </si>
  <si>
    <t>https://docs.google.com/forms/d/e/1FAIpQLSeQ0wUAy9WJrwwZ_8x6kCxvJSihLYtbLF2nbMncVH08fybLWQ/viewform?edit2=2_ABaOnufWN5v6sXIVJ94_MZOOXl51r4E2G48OCDcKc9kPVDgHByTU--1vvoGOJxss7OrX5Fs</t>
  </si>
  <si>
    <t xml:space="preserve">customer </t>
  </si>
  <si>
    <t>https://drive.google.com/open?id=1YZQJuZWm_bjuw4SFGJxl3epfWE5exegV</t>
  </si>
  <si>
    <t>https://docs.google.com/forms/d/e/1FAIpQLSeQ0wUAy9WJrwwZ_8x6kCxvJSihLYtbLF2nbMncVH08fybLWQ/viewform?edit2=2_ABaOnuco-1gfYuMVo29bI8O0Rs_AlxbOf72U60ABetXvTiyVG_asSvBUtFbPDs1zJUEhf4k</t>
  </si>
  <si>
    <t>PRADEEP AGGRAWAL</t>
  </si>
  <si>
    <t>https://drive.google.com/open?id=1KQUceHGd75LgyfkfZNZGY1Qh9tDQ_Y-Y</t>
  </si>
  <si>
    <t>https://docs.google.com/forms/d/e/1FAIpQLSeQ0wUAy9WJrwwZ_8x6kCxvJSihLYtbLF2nbMncVH08fybLWQ/viewform?edit2=2_ABaOnud3vq0h4gLDkA6JM2I5OzsSunmdGTdVvfT7NSAFS9Dripat2pX9_66d42lldqWeBfE</t>
  </si>
  <si>
    <t>MAHIMA JI</t>
  </si>
  <si>
    <t>https://drive.google.com/open?id=1ImppjljO8L4M2xT78-pztJu-Qidf-FDK</t>
  </si>
  <si>
    <t>https://docs.google.com/forms/d/e/1FAIpQLSeQ0wUAy9WJrwwZ_8x6kCxvJSihLYtbLF2nbMncVH08fybLWQ/viewform?edit2=2_ABaOnuc0BvCAYCzuR4EFGscjtkS9snyu246E3BbYopNzoq50_ReSAX3Toi2bIIxNoBGGHs4</t>
  </si>
  <si>
    <t>SAJAL AGGARAWAL JAMMU</t>
  </si>
  <si>
    <t>https://docs.google.com/forms/d/e/1FAIpQLSeQ0wUAy9WJrwwZ_8x6kCxvJSihLYtbLF2nbMncVH08fybLWQ/viewform?edit2=2_ABaOnufLGbkeTDEpgjYt5liGzu5OG2cr9-Dt9vQFe5cS8GMdVC4bG0Ansg1_-noVw3x02yI</t>
  </si>
  <si>
    <t>SOMNA JI</t>
  </si>
  <si>
    <t>CARTIER ,RINGS PENDANT</t>
  </si>
  <si>
    <t>https://docs.google.com/forms/d/e/1FAIpQLSeQ0wUAy9WJrwwZ_8x6kCxvJSihLYtbLF2nbMncVH08fybLWQ/viewform?edit2=2_ABaOnueAX5M1AdFbAKel3QKMH8QAWOc32dcwpxXbGuzhLQu_mWV7C-yzHuTdmlIp6IMFU-M</t>
  </si>
  <si>
    <t>Ratna gupta</t>
  </si>
  <si>
    <t>Chain, Earring / Tops, Ladies Ring</t>
  </si>
  <si>
    <t>Pooja chandani</t>
  </si>
  <si>
    <t>https://docs.google.com/forms/d/e/1FAIpQLSeQ0wUAy9WJrwwZ_8x6kCxvJSihLYtbLF2nbMncVH08fybLWQ/viewform?edit2=2_ABaOnufqYGyhLMjxj3chl70YPYevvIpGJ8ufMfX29dbX_TzLNPGZTDgPkbrL1yqjvBXTaK4</t>
  </si>
  <si>
    <t>Yogesh</t>
  </si>
  <si>
    <t>https://docs.google.com/forms/d/e/1FAIpQLSeQ0wUAy9WJrwwZ_8x6kCxvJSihLYtbLF2nbMncVH08fybLWQ/viewform?edit2=2_ABaOnudHGfczFX2-qV2flaYaZSI-2i5_YH8rmiCRWtVxKfYD8jM6XwOAbjdqlmFaTkPPdVs</t>
  </si>
  <si>
    <t>Sanjeev ji</t>
  </si>
  <si>
    <t>https://docs.google.com/forms/d/e/1FAIpQLSeQ0wUAy9WJrwwZ_8x6kCxvJSihLYtbLF2nbMncVH08fybLWQ/viewform?edit2=2_ABaOnudbNgPfFwzmTmZ54xvS13Sm_LbcUvYqTtEPHxRc2r32br5YamC50ONgc0_8QSdHbLI</t>
  </si>
  <si>
    <t xml:space="preserve">Shubham </t>
  </si>
  <si>
    <t xml:space="preserve">Gold biscuit </t>
  </si>
  <si>
    <t>https://docs.google.com/forms/d/e/1FAIpQLSeQ0wUAy9WJrwwZ_8x6kCxvJSihLYtbLF2nbMncVH08fybLWQ/viewform?edit2=2_ABaOnud3Y6f5PKZ5w3reFFg5ttU2BDeh9SYfx8r0acqPIFV1-wM3eQPWom3UFSgen90RvVA</t>
  </si>
  <si>
    <t>https://docs.google.com/forms/d/e/1FAIpQLSeQ0wUAy9WJrwwZ_8x6kCxvJSihLYtbLF2nbMncVH08fybLWQ/viewform?edit2=2_ABaOnudLoafH_8Zlj2U0VnlHl73NrnXLkiHL1g0QNp2CZZ-9yiMurvMQknloRDaowjCR9Wk</t>
  </si>
  <si>
    <t xml:space="preserve">Manish </t>
  </si>
  <si>
    <t>Set</t>
  </si>
  <si>
    <t>https://docs.google.com/forms/d/e/1FAIpQLSeQ0wUAy9WJrwwZ_8x6kCxvJSihLYtbLF2nbMncVH08fybLWQ/viewform?edit2=2_ABaOnueJ9Xpg7dOqjFwBNjets16vjmSBp-7qqAyWFo-ECgXyhGHksVZDKnqe7DTnNitxq78</t>
  </si>
  <si>
    <t>Rekha</t>
  </si>
  <si>
    <t>https://docs.google.com/forms/d/e/1FAIpQLSeQ0wUAy9WJrwwZ_8x6kCxvJSihLYtbLF2nbMncVH08fybLWQ/viewform?edit2=2_ABaOnudzn4GmkP6EYecfZaL87f65NacSA1iLckiL-0fjKPEjrPUg2hDO-CMn9OWxBQzG39Y</t>
  </si>
  <si>
    <t xml:space="preserve">Diksha </t>
  </si>
  <si>
    <t>https://docs.google.com/forms/d/e/1FAIpQLSeQ0wUAy9WJrwwZ_8x6kCxvJSihLYtbLF2nbMncVH08fybLWQ/viewform?edit2=2_ABaOnucK9VxmXiZUPFV1PHtMc2XiZpobQv6pioBBILiaiteG-EFy0AomUFpEiekOPGgc5aA</t>
  </si>
  <si>
    <t xml:space="preserve">Neha </t>
  </si>
  <si>
    <t>https://docs.google.com/forms/d/e/1FAIpQLSeQ0wUAy9WJrwwZ_8x6kCxvJSihLYtbLF2nbMncVH08fybLWQ/viewform?edit2=2_ABaOnucD1D9vpzADlCswZfY7EgFllL3NXvyJHgkYuR2sILzp8TAgURAoUcvdiJan_CLHPmY</t>
  </si>
  <si>
    <t>Fatima</t>
  </si>
  <si>
    <t>Gold coin</t>
  </si>
  <si>
    <t>https://docs.google.com/forms/d/e/1FAIpQLSeQ0wUAy9WJrwwZ_8x6kCxvJSihLYtbLF2nbMncVH08fybLWQ/viewform?edit2=2_ABaOnue5DwcCyyFNyHAlCals8fkCabiBlE02bvFf9SsdCYOzdIC5Sm04oeTKXLQBPuVOYgs</t>
  </si>
  <si>
    <t>Sanjay gour</t>
  </si>
  <si>
    <t>https://docs.google.com/forms/d/e/1FAIpQLSeQ0wUAy9WJrwwZ_8x6kCxvJSihLYtbLF2nbMncVH08fybLWQ/viewform?edit2=2_ABaOnueUcDIXsaF5_H98aakfe4UGl196yx79jkOA6_RcMMEQGvwPBXUTqqdOfVdCqe3lRKk</t>
  </si>
  <si>
    <t>Shekhar gupta</t>
  </si>
  <si>
    <t>https://docs.google.com/forms/d/e/1FAIpQLSeQ0wUAy9WJrwwZ_8x6kCxvJSihLYtbLF2nbMncVH08fybLWQ/viewform?edit2=2_ABaOnufi0LOFs5brrxGUPqW0oiKX3kvRf6sw8qK3R39nwHkp3TOw8uCBtW3phpQIiqNcFcg</t>
  </si>
  <si>
    <t>Kashudavi</t>
  </si>
  <si>
    <t>https://docs.google.com/forms/d/e/1FAIpQLSeQ0wUAy9WJrwwZ_8x6kCxvJSihLYtbLF2nbMncVH08fybLWQ/viewform?edit2=2_ABaOnudMsFktHmbV4463-PdJVC6I9lXui2l_MTLmb3ydZZwOwYvcj4f3zcWFDItbSYh9t5Q</t>
  </si>
  <si>
    <t xml:space="preserve">Ratna gupta </t>
  </si>
  <si>
    <t>https://docs.google.com/forms/d/e/1FAIpQLSeQ0wUAy9WJrwwZ_8x6kCxvJSihLYtbLF2nbMncVH08fybLWQ/viewform?edit2=2_ABaOnudqVEZHc2AyUdBNWUKVoeWUKXwClgsZSXggIeETC24CJHhJeTd3MeFjMp_A9gC9-TE</t>
  </si>
  <si>
    <t xml:space="preserve">Sanjeev gour </t>
  </si>
  <si>
    <t>https://docs.google.com/forms/d/e/1FAIpQLSeQ0wUAy9WJrwwZ_8x6kCxvJSihLYtbLF2nbMncVH08fybLWQ/viewform?edit2=2_ABaOnufXObR1-oHorOGXOQLG19bGBa4lmI8INHFZtXUSWOuZv0CidtNTx_aCGmo54wGjJU8</t>
  </si>
  <si>
    <t>Poonam sharma</t>
  </si>
  <si>
    <t xml:space="preserve">Repair </t>
  </si>
  <si>
    <t>https://docs.google.com/forms/d/e/1FAIpQLSeQ0wUAy9WJrwwZ_8x6kCxvJSihLYtbLF2nbMncVH08fybLWQ/viewform?edit2=2_ABaOnuf_w4XcKciQXAyvWmBan_EJMt3qnbDRsN3EMzsqZ5oEbydzohfylw7Q1oI_bjU5V0E</t>
  </si>
  <si>
    <t>Kunal gadhi</t>
  </si>
  <si>
    <t>https://docs.google.com/forms/d/e/1FAIpQLSeQ0wUAy9WJrwwZ_8x6kCxvJSihLYtbLF2nbMncVH08fybLWQ/viewform?edit2=2_ABaOnuddEHHE-ivwPARbTiILcdWK0oiOk8e5ZZ3AOFOK27NFApZp7BeDr2gm9fftw6foG_o</t>
  </si>
  <si>
    <t xml:space="preserve">Neeraj </t>
  </si>
  <si>
    <t xml:space="preserve">Mmtc gold coin </t>
  </si>
  <si>
    <t>https://docs.google.com/forms/d/e/1FAIpQLSeQ0wUAy9WJrwwZ_8x6kCxvJSihLYtbLF2nbMncVH08fybLWQ/viewform?edit2=2_ABaOnudcMGz4YQJSK7DZ9I9XksKTScUJdK5SY6-FXpJQtLWbDVoUneVPrNw8bZCWgivr9Tw</t>
  </si>
  <si>
    <t xml:space="preserve">Payal </t>
  </si>
  <si>
    <t>https://docs.google.com/forms/d/e/1FAIpQLSeQ0wUAy9WJrwwZ_8x6kCxvJSihLYtbLF2nbMncVH08fybLWQ/viewform?edit2=2_ABaOnuc1QOOBcR-YKXHg5BrcCKsEzMlouawvbboSFjCwAzteYJLd7IJbmxvcEVSxrqoqLW0</t>
  </si>
  <si>
    <t>Indu mugga</t>
  </si>
  <si>
    <t>Pendant, Pendant Set, Ladies Ring, Gents Ring</t>
  </si>
  <si>
    <t>https://docs.google.com/forms/d/e/1FAIpQLSeQ0wUAy9WJrwwZ_8x6kCxvJSihLYtbLF2nbMncVH08fybLWQ/viewform?edit2=2_ABaOnufpKc-jIHWHiX6YfVJ2tzIeNbHaqojPQHvwq4mZcX5RT2qYRKdbauE8kgFlWs6mwK8</t>
  </si>
  <si>
    <t>Gulnar</t>
  </si>
  <si>
    <t>Received order</t>
  </si>
  <si>
    <t>https://docs.google.com/forms/d/e/1FAIpQLSeQ0wUAy9WJrwwZ_8x6kCxvJSihLYtbLF2nbMncVH08fybLWQ/viewform?edit2=2_ABaOnudhB8f5mIXCf8b2chZLCuh-4ksdU-3r13ApNOALs9MgIQEsuvX92Y-64s60Ph34GV4</t>
  </si>
  <si>
    <t>Shobhana</t>
  </si>
  <si>
    <t>https://docs.google.com/forms/d/e/1FAIpQLSeQ0wUAy9WJrwwZ_8x6kCxvJSihLYtbLF2nbMncVH08fybLWQ/viewform?edit2=2_ABaOnufq7WOdjOj0_CYaJSAgNs0Mt2hyYr5H4Yi14Vq4hPtZOz7EVHENXjMH8x1owB6Zl0I</t>
  </si>
  <si>
    <t xml:space="preserve">Gulnar  </t>
  </si>
  <si>
    <t>Receiving order</t>
  </si>
  <si>
    <t>https://docs.google.com/forms/d/e/1FAIpQLSeQ0wUAy9WJrwwZ_8x6kCxvJSihLYtbLF2nbMncVH08fybLWQ/viewform?edit2=2_ABaOnuevhJr4ja3s69PE_OvQZh6DO4COpqoBtU07g1njPfxmZ6Fri80P2P5lQ4nfjuWe4jE</t>
  </si>
  <si>
    <t xml:space="preserve">Indu muga </t>
  </si>
  <si>
    <t>Chain, Earring / Tops, Necklace Set, Pendant, Ladies Ring, Gents Ring</t>
  </si>
  <si>
    <t>https://docs.google.com/forms/d/e/1FAIpQLSeQ0wUAy9WJrwwZ_8x6kCxvJSihLYtbLF2nbMncVH08fybLWQ/viewform?edit2=2_ABaOnucfJcZ_TBULJyKK2lciC7rm5aGSGUMGhqyMhex2u-eTSOmXet-vtKFQZ6kZy-4oAak</t>
  </si>
  <si>
    <t xml:space="preserve">Payal toe rings </t>
  </si>
  <si>
    <t>https://docs.google.com/forms/d/e/1FAIpQLSeQ0wUAy9WJrwwZ_8x6kCxvJSihLYtbLF2nbMncVH08fybLWQ/viewform?edit2=2_ABaOnufQE-4uXmPEhPHkusIZGmRPIRfuOZh4d9r4sUonAJ72Caw6V_BpA8sM4bq7I8cx_-8</t>
  </si>
  <si>
    <t xml:space="preserve">Malhotra </t>
  </si>
  <si>
    <t>https://docs.google.com/forms/d/e/1FAIpQLSeQ0wUAy9WJrwwZ_8x6kCxvJSihLYtbLF2nbMncVH08fybLWQ/viewform?edit2=2_ABaOnudX8gEYdhsAfIuIaHbmzOWZaZIBNxmKLj8G0iwMrvEbfOIBdNS9hg2JWlHQQ0RQvfo</t>
  </si>
  <si>
    <t xml:space="preserve">Bhawan </t>
  </si>
  <si>
    <t>https://docs.google.com/forms/d/e/1FAIpQLSeQ0wUAy9WJrwwZ_8x6kCxvJSihLYtbLF2nbMncVH08fybLWQ/viewform?edit2=2_ABaOnucu9x7jSPW9ilriV4jKZ1C3gN3qjUJg8G7YVqRa4jUTaVtViRBGAJm3S3BZwh44wLQ</t>
  </si>
  <si>
    <t>Tanvi</t>
  </si>
  <si>
    <t>https://docs.google.com/forms/d/e/1FAIpQLSeQ0wUAy9WJrwwZ_8x6kCxvJSihLYtbLF2nbMncVH08fybLWQ/viewform?edit2=2_ABaOnuclT-vCabYcNumVSSnPQ6zgg2hsnU4mIQ6RQ3g7Dt7yRy-TCsa3_uJrDzcu_hs6aYI</t>
  </si>
  <si>
    <t xml:space="preserve">Pratik </t>
  </si>
  <si>
    <t>https://docs.google.com/forms/d/e/1FAIpQLSeQ0wUAy9WJrwwZ_8x6kCxvJSihLYtbLF2nbMncVH08fybLWQ/viewform?edit2=2_ABaOnufch636C1yuRb0_m8GFQC0svelfFZ56fcFIoOt7wQXzDP5RFqIrcFzIbzIFP4PMGiw</t>
  </si>
  <si>
    <t>Ashima</t>
  </si>
  <si>
    <t>https://docs.google.com/forms/d/e/1FAIpQLSeQ0wUAy9WJrwwZ_8x6kCxvJSihLYtbLF2nbMncVH08fybLWQ/viewform?edit2=2_ABaOnueXG6amR3yEQhCcDAYaqjdl3bfv598SPj9B4aQ0ibKbJetWGAwtHK9CKWL1k_A2yJ4</t>
  </si>
  <si>
    <t>Sonam</t>
  </si>
  <si>
    <t>9354446076à</t>
  </si>
  <si>
    <t>https://docs.google.com/forms/d/e/1FAIpQLSeQ0wUAy9WJrwwZ_8x6kCxvJSihLYtbLF2nbMncVH08fybLWQ/viewform?edit2=2_ABaOnudkUw-oihEf67hsjQ9h4Z9s6oueQxzTyjCbxW4FzpTTiCLb5zyISm5DbnfnXJzf89g</t>
  </si>
  <si>
    <t xml:space="preserve">Rahul </t>
  </si>
  <si>
    <t>https://docs.google.com/forms/d/e/1FAIpQLSeQ0wUAy9WJrwwZ_8x6kCxvJSihLYtbLF2nbMncVH08fybLWQ/viewform?edit2=2_ABaOnuc2y-zb2E4CNlbnyn0oTFx70wKRTEHgulWHfs4L8_DsSGB36SfpAz6iXrGcOdO5KPc</t>
  </si>
  <si>
    <t xml:space="preserve">Praveen </t>
  </si>
  <si>
    <t>Gift</t>
  </si>
  <si>
    <t>https://docs.google.com/forms/d/e/1FAIpQLSeQ0wUAy9WJrwwZ_8x6kCxvJSihLYtbLF2nbMncVH08fybLWQ/viewform?edit2=2_ABaOnufv6BKo0bgg6ueTXb5XXagiL66dXnN1asvx8Zms7XfBcnxYgposeJR0tnSlgYMvEq4</t>
  </si>
  <si>
    <t xml:space="preserve">Nand Kishore </t>
  </si>
  <si>
    <t>https://docs.google.com/forms/d/e/1FAIpQLSeQ0wUAy9WJrwwZ_8x6kCxvJSihLYtbLF2nbMncVH08fybLWQ/viewform?edit2=2_ABaOnuctiPKlPg761RBDAYQse2dHSnFV9oGpFutNpRfpCBJIZogqDYQ3hWlhWlVpj-n2Yek</t>
  </si>
  <si>
    <t xml:space="preserve">Sandeep </t>
  </si>
  <si>
    <t>https://docs.google.com/forms/d/e/1FAIpQLSeQ0wUAy9WJrwwZ_8x6kCxvJSihLYtbLF2nbMncVH08fybLWQ/viewform?edit2=2_ABaOnuegudvC46WJO2lQsuds4mcgNNpQYrU-Yp0Wu3iQgIGCTBUx1AEYT70Cqb0chsfaMUc</t>
  </si>
  <si>
    <t>https://docs.google.com/forms/d/e/1FAIpQLSeQ0wUAy9WJrwwZ_8x6kCxvJSihLYtbLF2nbMncVH08fybLWQ/viewform?edit2=2_ABaOnucTsVuPUAoMLjcS7YsAPv604lyCm1Y_em2Ij7ZT5ONyZXUZsokYzEncfF7IbgAWGs0</t>
  </si>
  <si>
    <t>https://docs.google.com/forms/d/e/1FAIpQLSeQ0wUAy9WJrwwZ_8x6kCxvJSihLYtbLF2nbMncVH08fybLWQ/viewform?edit2=2_ABaOnufllKFpcZqgClhGrPrch0DnR7pSF9MVXXPFx2TClZ1d8IqTAqZslALZfQ5pl3coRX0</t>
  </si>
  <si>
    <t>Parveen</t>
  </si>
  <si>
    <t>https://docs.google.com/forms/d/e/1FAIpQLSeQ0wUAy9WJrwwZ_8x6kCxvJSihLYtbLF2nbMncVH08fybLWQ/viewform?edit2=2_ABaOnufbJWxJtCHF64rArQ3DNk8FbZjThGvV-NZbGf-ZF7WjOs1HgY4maBVOu9iU4n8jFTI</t>
  </si>
  <si>
    <t xml:space="preserve">Nand kishor </t>
  </si>
  <si>
    <t>https://docs.google.com/forms/d/e/1FAIpQLSeQ0wUAy9WJrwwZ_8x6kCxvJSihLYtbLF2nbMncVH08fybLWQ/viewform?edit2=2_ABaOnuenou4rolUYlpgzKfmdiYeVh8mp2nAsFLVXM49bIjjpcB7hnOH_i1BFFLrj3b-daWc</t>
  </si>
  <si>
    <t>Sandeep</t>
  </si>
  <si>
    <t>https://docs.google.com/forms/d/e/1FAIpQLSeQ0wUAy9WJrwwZ_8x6kCxvJSihLYtbLF2nbMncVH08fybLWQ/viewform?edit2=2_ABaOnue4sLAbjrCVtOKv9nGeqIFkJUbZYg3vdWjm_mZmjnzURilztcNiC5UFwg_Q6jjqc9U</t>
  </si>
  <si>
    <t>Naveen</t>
  </si>
  <si>
    <t xml:space="preserve">Abha khuurana </t>
  </si>
  <si>
    <t>Gold</t>
  </si>
  <si>
    <t>https://docs.google.com/forms/d/e/1FAIpQLSeQ0wUAy9WJrwwZ_8x6kCxvJSihLYtbLF2nbMncVH08fybLWQ/viewform?edit2=2_ABaOnufmgpi3vWbFQ74yMkNaEIZJzqNXz-r9iTez9ah3aCESm29S-nCvJ4q7tMwsif3Nqnc</t>
  </si>
  <si>
    <t xml:space="preserve">Received order </t>
  </si>
  <si>
    <t>https://docs.google.com/forms/d/e/1FAIpQLSeQ0wUAy9WJrwwZ_8x6kCxvJSihLYtbLF2nbMncVH08fybLWQ/viewform?edit2=2_ABaOnuc2ruhR_wffO8oV6q_TPjuQevDVC6i4Zk_s1tQclaHeQBi-4vUb96c5oRVK4TeqgQ8</t>
  </si>
  <si>
    <t>Akash</t>
  </si>
  <si>
    <t xml:space="preserve">Mmtc coin </t>
  </si>
  <si>
    <t>https://docs.google.com/forms/d/e/1FAIpQLSeQ0wUAy9WJrwwZ_8x6kCxvJSihLYtbLF2nbMncVH08fybLWQ/viewform?edit2=2_ABaOnud4HdE6FYY_-T4Ixi2v0hIZIyXMkHcoznhyM3z4VrgneyDzmKvdsrEE-PdDC7LPmxo</t>
  </si>
  <si>
    <t xml:space="preserve">Mannu gupta </t>
  </si>
  <si>
    <t>Necklace Set, Ladies Bracelet / Kada</t>
  </si>
  <si>
    <t>https://docs.google.com/forms/d/e/1FAIpQLSeQ0wUAy9WJrwwZ_8x6kCxvJSihLYtbLF2nbMncVH08fybLWQ/viewform?edit2=2_ABaOnuc3J6PfOLnIi5y_0ASKpc3k0-jSCulUBMOQS8_HIzem6U398xTIv324x3fcDw3gIFI</t>
  </si>
  <si>
    <t>Naman</t>
  </si>
  <si>
    <t>https://docs.google.com/forms/d/e/1FAIpQLSeQ0wUAy9WJrwwZ_8x6kCxvJSihLYtbLF2nbMncVH08fybLWQ/viewform?edit2=2_ABaOnueHzD3bFAE8zScGMW3A1AgXmg8pUi1kW9w_JVpypjxE9fs5tZDqtPEsGiA1Q6LMBcE</t>
  </si>
  <si>
    <t>Himani</t>
  </si>
  <si>
    <t>https://docs.google.com/forms/d/e/1FAIpQLSeQ0wUAy9WJrwwZ_8x6kCxvJSihLYtbLF2nbMncVH08fybLWQ/viewform?edit2=2_ABaOnucM74qxNsRW3I4GPGIpQefNTxvTiulAy_Py8MXiYYZhQOjD7MVMMI7oCTqRJ7C_Yb8</t>
  </si>
  <si>
    <t xml:space="preserve">Mamta sharma </t>
  </si>
  <si>
    <t>https://docs.google.com/forms/d/e/1FAIpQLSeQ0wUAy9WJrwwZ_8x6kCxvJSihLYtbLF2nbMncVH08fybLWQ/viewform?edit2=2_ABaOnuchVrMW7g6duF6mBDNiX4ztY7HmmfiibQE0zLNwNLZK7zScNOxkX07jPaeNoBGxWqA</t>
  </si>
  <si>
    <t xml:space="preserve">Ahmed </t>
  </si>
  <si>
    <t>https://docs.google.com/forms/d/e/1FAIpQLSeQ0wUAy9WJrwwZ_8x6kCxvJSihLYtbLF2nbMncVH08fybLWQ/viewform?edit2=2_ABaOnudIbewX7cGHrRMsBgkUFXOdfV2eFtYPTB-IF4lsh3pzLC6cTveXIx8CZBQEh4-fVfE</t>
  </si>
  <si>
    <t xml:space="preserve">Suman kalra </t>
  </si>
  <si>
    <t>https://docs.google.com/forms/d/e/1FAIpQLSeQ0wUAy9WJrwwZ_8x6kCxvJSihLYtbLF2nbMncVH08fybLWQ/viewform?edit2=2_ABaOnudZNboo7jfZshRnKsU_ralE8eCiYNgk_uOW8LEe6obP_1Fvf8AIR639fiTPKkSD3gs</t>
  </si>
  <si>
    <t>Bhupender singh</t>
  </si>
  <si>
    <t>https://docs.google.com/forms/d/e/1FAIpQLSeQ0wUAy9WJrwwZ_8x6kCxvJSihLYtbLF2nbMncVH08fybLWQ/viewform?edit2=2_ABaOnue0D2-3OcyOBMySBDmcgV5uKFzN9Q94qV6LalYEzTlSuIDeTY4eAuw_TKMr8iKxPHM</t>
  </si>
  <si>
    <t>https://docs.google.com/forms/d/e/1FAIpQLSeQ0wUAy9WJrwwZ_8x6kCxvJSihLYtbLF2nbMncVH08fybLWQ/viewform?edit2=2_ABaOnuffhEt2YUPmap99O9Wm_UuckHMaYSBa_270IyCx6Xp-y7E-ppXnzEZE8GFwiUUUBOw</t>
  </si>
  <si>
    <t>mohit gupta</t>
  </si>
  <si>
    <t xml:space="preserve">HVVS1,HVVS2 PC </t>
  </si>
  <si>
    <t>https://docs.google.com/forms/d/e/1FAIpQLSeQ0wUAy9WJrwwZ_8x6kCxvJSihLYtbLF2nbMncVH08fybLWQ/viewform?edit2=2_ABaOnufXGeH_zz-KPMdwdDewua_fbEfv0Sew7fy72SBBA3CWZ9bLNu7cXedzxJrAjLalk1Q</t>
  </si>
  <si>
    <t>AMITA THAPPAR</t>
  </si>
  <si>
    <t>GINNI TOPS</t>
  </si>
  <si>
    <t>https://docs.google.com/forms/d/e/1FAIpQLSeQ0wUAy9WJrwwZ_8x6kCxvJSihLYtbLF2nbMncVH08fybLWQ/viewform?edit2=2_ABaOnuefJbLJN2Etq6f6BzG_ih5KJ1-kdNmrhXSne1BO3NQmZAFVFT42THfm4UPBVNEk3Xw</t>
  </si>
  <si>
    <t>RAMESH JI</t>
  </si>
  <si>
    <t>https://docs.google.com/forms/d/e/1FAIpQLSeQ0wUAy9WJrwwZ_8x6kCxvJSihLYtbLF2nbMncVH08fybLWQ/viewform?edit2=2_ABaOnuekyu7RS75asOb6iccJsGlEfxX_hsBTibBYNNCrbx_e8asQuTzKH9r3Sq2Jhtntts8</t>
  </si>
  <si>
    <t>https://docs.google.com/forms/d/e/1FAIpQLSeQ0wUAy9WJrwwZ_8x6kCxvJSihLYtbLF2nbMncVH08fybLWQ/viewform?edit2=2_ABaOnucaKXsR_9RXwzu713RX5TF10A1tIh5XRMXRq_KnQRrQFAqOFKk3Nl9czqfKbN5Tov0</t>
  </si>
  <si>
    <t>PARDEEP AGGRAWAL</t>
  </si>
  <si>
    <t>https://docs.google.com/forms/d/e/1FAIpQLSeQ0wUAy9WJrwwZ_8x6kCxvJSihLYtbLF2nbMncVH08fybLWQ/viewform?edit2=2_ABaOnudb5kpJsR9qlkUBgWG384I2A6WnsHF5OLgeuuFD1eift54xAUIuvK5QxCz0l9k6Jlw</t>
  </si>
  <si>
    <t>GINNI RING</t>
  </si>
  <si>
    <t>https://docs.google.com/forms/d/e/1FAIpQLSeQ0wUAy9WJrwwZ_8x6kCxvJSihLYtbLF2nbMncVH08fybLWQ/viewform?edit2=2_ABaOnueyeKFTdhz8g1pfzM3xK4dAPQL0Q98Kzw8JK6A8BrcstsLpboOxH1bdXCFbuH3waaY</t>
  </si>
  <si>
    <t>GOLDY JI</t>
  </si>
  <si>
    <t>https://docs.google.com/forms/d/e/1FAIpQLSeQ0wUAy9WJrwwZ_8x6kCxvJSihLYtbLF2nbMncVH08fybLWQ/viewform?edit2=2_ABaOnucc89QxW5xXZvp9ffz34La2HtCGy5ETZOlN9M04uo_8FP5YNb1_WrRVOjwluKbyhYQ</t>
  </si>
  <si>
    <t>ankur sis ritu ji</t>
  </si>
  <si>
    <t>hand mangalsutras</t>
  </si>
  <si>
    <t>https://docs.google.com/forms/d/e/1FAIpQLSeQ0wUAy9WJrwwZ_8x6kCxvJSihLYtbLF2nbMncVH08fybLWQ/viewform?edit2=2_ABaOnucsEAmzfTZEx9LjCN2wtxY97U9oRwvlSttIXYJrfObjKvb8WTp5tHiBvPkKcyWHYkY</t>
  </si>
  <si>
    <t>doctor ritu mallick</t>
  </si>
  <si>
    <t>diamond broch</t>
  </si>
  <si>
    <t>https://drive.google.com/open?id=1uBM83zzNurtb9lFeVUUUfFHeEKl2qH_J</t>
  </si>
  <si>
    <t>https://docs.google.com/forms/d/e/1FAIpQLSeQ0wUAy9WJrwwZ_8x6kCxvJSihLYtbLF2nbMncVH08fybLWQ/viewform?edit2=2_ABaOnuc0a0hU_Uzu8PHXglObs2ijbbrf172eaQRGU4qh2QYUYYpZcl4HKgTbA2V-r3UJAL4</t>
  </si>
  <si>
    <t>seema gupta</t>
  </si>
  <si>
    <t>22k broch</t>
  </si>
  <si>
    <t>https://drive.google.com/open?id=19fvoGXNsnUtQfwD_j9HzECn7be7IsOQA</t>
  </si>
  <si>
    <t>https://docs.google.com/forms/d/e/1FAIpQLSeQ0wUAy9WJrwwZ_8x6kCxvJSihLYtbLF2nbMncVH08fybLWQ/viewform?edit2=2_ABaOnueNcm6WqFQRvcEGWO2HGmoLlosQBaxJXSbjabCGMQMo-m8g3C2DpcubjhbtXjDjMdU</t>
  </si>
  <si>
    <t xml:space="preserve">Pramod </t>
  </si>
  <si>
    <t>Mmtc coin</t>
  </si>
  <si>
    <t>Sucheta jew</t>
  </si>
  <si>
    <t>https://docs.google.com/forms/d/e/1FAIpQLSeQ0wUAy9WJrwwZ_8x6kCxvJSihLYtbLF2nbMncVH08fybLWQ/viewform?edit2=2_ABaOnufl9G66t8J2lrcusKojgP_-K5E8bJ7B8LFVFMLurMPw0qO9gF3us2cxyHBDRKHjfug</t>
  </si>
  <si>
    <t xml:space="preserve">Sp sharma </t>
  </si>
  <si>
    <t xml:space="preserve">Booking  gold  amount </t>
  </si>
  <si>
    <t>https://docs.google.com/forms/d/e/1FAIpQLSeQ0wUAy9WJrwwZ_8x6kCxvJSihLYtbLF2nbMncVH08fybLWQ/viewform?edit2=2_ABaOnufYCpeXY6RFuZC0isgTKq0zg6HuwoooEMJU5qs2xQRX98dJVtRZA0W-WIfyAgmP07U</t>
  </si>
  <si>
    <t>https://docs.google.com/forms/d/e/1FAIpQLSeQ0wUAy9WJrwwZ_8x6kCxvJSihLYtbLF2nbMncVH08fybLWQ/viewform?edit2=2_ABaOnudPNP8lPg9PVTnY5de2QM1r2A0axoRocsK_TJ3EgLJErdI0eqUY1QCMimWGDLwoY9Q</t>
  </si>
  <si>
    <t xml:space="preserve">Ranu aggarwal </t>
  </si>
  <si>
    <t>Polki, Silver</t>
  </si>
  <si>
    <t>Earring / Tops, Nosepin, Necklace</t>
  </si>
  <si>
    <t>https://docs.google.com/forms/d/e/1FAIpQLSeQ0wUAy9WJrwwZ_8x6kCxvJSihLYtbLF2nbMncVH08fybLWQ/viewform?edit2=2_ABaOnuf1zTJmcJH9TPeTqnJGcMbqgCCmz15C37qEcAOclSvWlJMdisZQ1TIpqfoxug2LDjw</t>
  </si>
  <si>
    <t>Amit ji</t>
  </si>
  <si>
    <t>https://docs.google.com/forms/d/e/1FAIpQLSeQ0wUAy9WJrwwZ_8x6kCxvJSihLYtbLF2nbMncVH08fybLWQ/viewform?edit2=2_ABaOnufxDZLQeCmXmQwmP0hvboglkiK6N9yz8-c6NJYYtvE-toWV_mjjLghukhrN9XvMFkg</t>
  </si>
  <si>
    <t xml:space="preserve">Francisco </t>
  </si>
  <si>
    <t>https://docs.google.com/forms/d/e/1FAIpQLSeQ0wUAy9WJrwwZ_8x6kCxvJSihLYtbLF2nbMncVH08fybLWQ/viewform?edit2=2_ABaOnudz6xdh2Y2oa3LVFKl_ER4iSvZFZ8NbAOHXn2efmgBb6nodrgBRRd_RyKWIxMpVrFo</t>
  </si>
  <si>
    <t>Advika gupta</t>
  </si>
  <si>
    <t>https://docs.google.com/forms/d/e/1FAIpQLSeQ0wUAy9WJrwwZ_8x6kCxvJSihLYtbLF2nbMncVH08fybLWQ/viewform?edit2=2_ABaOnucJHtF7Vq1EgV1d8EMHqDzjicF6JQ2qVAx4TRpBDWqELjLAzw-pw19OO-XNPWOpbUo</t>
  </si>
  <si>
    <t>Bhawana ji</t>
  </si>
  <si>
    <t>https://docs.google.com/forms/d/e/1FAIpQLSeQ0wUAy9WJrwwZ_8x6kCxvJSihLYtbLF2nbMncVH08fybLWQ/viewform?edit2=2_ABaOnueGwOqDbsdNNjEVGQ1UPh5sGdNY_5tZqdK2w_G0ThF_4WEl0-CAut_fL5WycrX_7Go</t>
  </si>
  <si>
    <t xml:space="preserve">Manu Malik </t>
  </si>
  <si>
    <t>Earring / Tops, Ladies Ring</t>
  </si>
  <si>
    <t>https://docs.google.com/forms/d/e/1FAIpQLSeQ0wUAy9WJrwwZ_8x6kCxvJSihLYtbLF2nbMncVH08fybLWQ/viewform?edit2=2_ABaOnufTDIIHLADn-TKrhC2iHnzQJwNOqk58j9SwgMbAPjBih5DfPrwEdtohB3MFZOMj5gI</t>
  </si>
  <si>
    <t>Shilpa ji</t>
  </si>
  <si>
    <t>https://docs.google.com/forms/d/e/1FAIpQLSeQ0wUAy9WJrwwZ_8x6kCxvJSihLYtbLF2nbMncVH08fybLWQ/viewform?edit2=2_ABaOnuc4KmbHHyWoeOF0gG4dJpcFvhRv2isuOFF-iQFr_lkTGcu2T_qsBGOJl1NV8AjP0VQ</t>
  </si>
  <si>
    <t>https://docs.google.com/forms/d/e/1FAIpQLSeQ0wUAy9WJrwwZ_8x6kCxvJSihLYtbLF2nbMncVH08fybLWQ/viewform?edit2=2_ABaOnufLoCx4r0maYm6JUMdGeBF3RPFQE1fFKfYb6ampDCxG1mHy1fmZ-H_1BCa2uwhJi_w</t>
  </si>
  <si>
    <t>Rishab ji</t>
  </si>
  <si>
    <t>https://docs.google.com/forms/d/e/1FAIpQLSeQ0wUAy9WJrwwZ_8x6kCxvJSihLYtbLF2nbMncVH08fybLWQ/viewform?edit2=2_ABaOnudr8pjMjFkRR3Ccl7nVERQivZyixhyB4QC1G_TFsPhWttAI9yuW_g6JObj_yGqah1Q</t>
  </si>
  <si>
    <t>https://docs.google.com/forms/d/e/1FAIpQLSeQ0wUAy9WJrwwZ_8x6kCxvJSihLYtbLF2nbMncVH08fybLWQ/viewform?edit2=2_ABaOnufFRn2TvmP1y_EI9wlJw2OMM-hbLKihDQWhJvCGyh6Rn4gF66V2sFCRK5UPITXxXNM</t>
  </si>
  <si>
    <t>Sushant ji</t>
  </si>
  <si>
    <t>Bar</t>
  </si>
  <si>
    <t>https://docs.google.com/forms/d/e/1FAIpQLSeQ0wUAy9WJrwwZ_8x6kCxvJSihLYtbLF2nbMncVH08fybLWQ/viewform?edit2=2_ABaOnudhGSf33kzYofo8wU6aA4pWtx6oWYudOzj4IGtKe0ToxqzXMLSRazwfx9GsC3daVNc</t>
  </si>
  <si>
    <t>Manoj ji</t>
  </si>
  <si>
    <t>https://docs.google.com/forms/d/e/1FAIpQLSeQ0wUAy9WJrwwZ_8x6kCxvJSihLYtbLF2nbMncVH08fybLWQ/viewform?edit2=2_ABaOnuciaLAsZdFWJ2SznUJ1LxUMnMIfXP9BxyFMhtrcW159cA2L4ypl-oRPWPZimo8l02U</t>
  </si>
  <si>
    <t>Vimal joshi</t>
  </si>
  <si>
    <t>https://docs.google.com/forms/d/e/1FAIpQLSeQ0wUAy9WJrwwZ_8x6kCxvJSihLYtbLF2nbMncVH08fybLWQ/viewform?edit2=2_ABaOnufXodOei-pzyEQMLe038D6uzzF8DIY2lMZyLf5j2Me-mgTTt7jq8SRorv565lLEolM</t>
  </si>
  <si>
    <t>anita mam airforce</t>
  </si>
  <si>
    <t>https://docs.google.com/forms/d/e/1FAIpQLSeQ0wUAy9WJrwwZ_8x6kCxvJSihLYtbLF2nbMncVH08fybLWQ/viewform?edit2=2_ABaOnueVdcleuTU_O_Pk7QUZTCL2FRYIXku0CeaR9HkVrDzpNbX-p87Hi3SJhmnmVF_Bajc</t>
  </si>
  <si>
    <t>kunal ji</t>
  </si>
  <si>
    <t>silver polki ring</t>
  </si>
  <si>
    <t>https://docs.google.com/forms/d/e/1FAIpQLSeQ0wUAy9WJrwwZ_8x6kCxvJSihLYtbLF2nbMncVH08fybLWQ/viewform?edit2=2_ABaOnufxUC925t2EY3O9N02o1ZXBgwWcg10xeBkBh2rbgmHoIO9VPiTOKjVo3gU5tTB2QW8</t>
  </si>
  <si>
    <t>akp goldi jain</t>
  </si>
  <si>
    <t>coin 8grm 22k ( 3pc)</t>
  </si>
  <si>
    <t>https://docs.google.com/forms/d/e/1FAIpQLSeQ0wUAy9WJrwwZ_8x6kCxvJSihLYtbLF2nbMncVH08fybLWQ/viewform?edit2=2_ABaOnuemBdhIx8McQ054EwqfouleEZhwoBswW1MPJNMYA8Xl_FwTRGkQqkEKSPr4_2Ss3V8</t>
  </si>
  <si>
    <t>https://docs.google.com/forms/d/e/1FAIpQLSeQ0wUAy9WJrwwZ_8x6kCxvJSihLYtbLF2nbMncVH08fybLWQ/viewform?edit2=2_ABaOnuc4xNHByz5SOgKHQgIaNp0H4sbrSequaT-xqK4GEEcl-Xt4KazCxB013CfSXUF4PGY</t>
  </si>
  <si>
    <t xml:space="preserve">Priyanka </t>
  </si>
  <si>
    <t>https://docs.google.com/forms/d/e/1FAIpQLSeQ0wUAy9WJrwwZ_8x6kCxvJSihLYtbLF2nbMncVH08fybLWQ/viewform?edit2=2_ABaOnufr--5dS6WHHQqmnYYEsv98-aWtZtRdpRLt3-A2wR4opMAEbBkXUkW-6MHyuPzTvVs</t>
  </si>
  <si>
    <t>Kunal gandhi</t>
  </si>
  <si>
    <t>https://docs.google.com/forms/d/e/1FAIpQLSeQ0wUAy9WJrwwZ_8x6kCxvJSihLYtbLF2nbMncVH08fybLWQ/viewform?edit2=2_ABaOnuey0-FzPlHCb1KmPY3J6V6Y9DSheZPI2a8L6NHQXUpR5MR2Dauq2MjT4PCwJAjSpt4</t>
  </si>
  <si>
    <t>Raju gupta</t>
  </si>
  <si>
    <t>https://docs.google.com/forms/d/e/1FAIpQLSeQ0wUAy9WJrwwZ_8x6kCxvJSihLYtbLF2nbMncVH08fybLWQ/viewform?edit2=2_ABaOnucL9Cu9A0Zt5A_00TmNor23tfudUSuRLhiv8LEnL8tGAEEUfsrLqxWE8BKRehV34sE</t>
  </si>
  <si>
    <t>Tarun</t>
  </si>
  <si>
    <t>https://docs.google.com/forms/d/e/1FAIpQLSeQ0wUAy9WJrwwZ_8x6kCxvJSihLYtbLF2nbMncVH08fybLWQ/viewform?edit2=2_ABaOnueDbrerBOApv2CLoK0AlDmUYoS1cCz3-B4mXAtOBbw3LWDTkY6BQ43hDfL8IAXG11k</t>
  </si>
  <si>
    <t>Nashurindin</t>
  </si>
  <si>
    <t>https://docs.google.com/forms/d/e/1FAIpQLSeQ0wUAy9WJrwwZ_8x6kCxvJSihLYtbLF2nbMncVH08fybLWQ/viewform?edit2=2_ABaOnud92vZ8s5k3cwsYPtFGdplnYxYsoclogXSSlOzcvXT_RtrkudhNStdK0ttOa23BxPQ</t>
  </si>
  <si>
    <t>Anjali ji</t>
  </si>
  <si>
    <t>https://docs.google.com/forms/d/e/1FAIpQLSeQ0wUAy9WJrwwZ_8x6kCxvJSihLYtbLF2nbMncVH08fybLWQ/viewform?edit2=2_ABaOnude8yURvaJWt20bHPtUrvSvJKkXntbRN2XBhpJQsNeFncSeLjv_bbo4NhmxtNXD77U</t>
  </si>
  <si>
    <t>Msnisha</t>
  </si>
  <si>
    <t>https://docs.google.com/forms/d/e/1FAIpQLSeQ0wUAy9WJrwwZ_8x6kCxvJSihLYtbLF2nbMncVH08fybLWQ/viewform?edit2=2_ABaOnufGaJsZmuAQuzpOkGU2B_CQ8zCjbTFP85EagikHjc2BfJTN5gABrxOqCkzjoWW9qE0</t>
  </si>
  <si>
    <t>Priyanka ji</t>
  </si>
  <si>
    <t>https://docs.google.com/forms/d/e/1FAIpQLSeQ0wUAy9WJrwwZ_8x6kCxvJSihLYtbLF2nbMncVH08fybLWQ/viewform?edit2=2_ABaOnuedFDTE3eunDCR4WJmEWLN_2Jy7jn8xO7pLNeN-8I4cY9BevgHyqQmYlA2tYtp-N8c</t>
  </si>
  <si>
    <t>Namisha ji</t>
  </si>
  <si>
    <t>Diamond Jewellery, Kitty</t>
  </si>
  <si>
    <t>https://docs.google.com/forms/d/e/1FAIpQLSeQ0wUAy9WJrwwZ_8x6kCxvJSihLYtbLF2nbMncVH08fybLWQ/viewform?edit2=2_ABaOnucExkz4FIgnOKl_L9Te9Tao4M3bCqVR_8SuQbHzEkIQmxIS-l6fLLWdlalLELi1vOQ</t>
  </si>
  <si>
    <t xml:space="preserve">Jadev mandal </t>
  </si>
  <si>
    <t>https://docs.google.com/forms/d/e/1FAIpQLSeQ0wUAy9WJrwwZ_8x6kCxvJSihLYtbLF2nbMncVH08fybLWQ/viewform?edit2=2_ABaOnud0dNFOvZ2k-0ZhSzYcYAcK1INf5nLpRklCELcWqBq0UxEJYg0eJSOesmViAH0Nw0A</t>
  </si>
  <si>
    <t>Shobha</t>
  </si>
  <si>
    <t>https://docs.google.com/forms/d/e/1FAIpQLSeQ0wUAy9WJrwwZ_8x6kCxvJSihLYtbLF2nbMncVH08fybLWQ/viewform?edit2=2_ABaOnuedlZFScbDepWGFuV2tuGyIyPRiVUVjeus6OIXglP6RBpir9iX-pNN3FYDGEb9Mo1c</t>
  </si>
  <si>
    <t>Srishti</t>
  </si>
  <si>
    <t>Earring / Tops, Necklace</t>
  </si>
  <si>
    <t>https://docs.google.com/forms/d/e/1FAIpQLSeQ0wUAy9WJrwwZ_8x6kCxvJSihLYtbLF2nbMncVH08fybLWQ/viewform?edit2=2_ABaOnuesW4BIsGnr-MvAzLyQqnYkrl2syLyJYiqWFf3F6HfyH16nQhEcaaCakDJkewRbhSE</t>
  </si>
  <si>
    <t>Aditi dhawan</t>
  </si>
  <si>
    <t>Gold mmtc coin</t>
  </si>
  <si>
    <t>https://docs.google.com/forms/d/e/1FAIpQLSeQ0wUAy9WJrwwZ_8x6kCxvJSihLYtbLF2nbMncVH08fybLWQ/viewform?edit2=2_ABaOnudTnvVt7lFiru9pRH6XyBSRLnOs_R6YL5JFzPqm3mRQTIVypjSuXen4JVDEXa9arDQ</t>
  </si>
  <si>
    <t>Parul jain</t>
  </si>
  <si>
    <t>https://docs.google.com/forms/d/e/1FAIpQLSeQ0wUAy9WJrwwZ_8x6kCxvJSihLYtbLF2nbMncVH08fybLWQ/viewform?edit2=2_ABaOnueeD_ZE8prctj112fLfaUxW8W-hun0mxkeMuD2va45GGrzGbW9S0dbrbcBhxJQlxEU</t>
  </si>
  <si>
    <t>https://drive.google.com/open?id=1zTqURyDl0jQR4m56LCBvg9gzXRhRNyLO</t>
  </si>
  <si>
    <t>https://docs.google.com/forms/d/e/1FAIpQLSeQ0wUAy9WJrwwZ_8x6kCxvJSihLYtbLF2nbMncVH08fybLWQ/viewform?edit2=2_ABaOnudC08G3bq1WKBu47gRDljyaMnQZYLV4Zt5rwuKuB9d4Qj3jNHxJ757xkz3KrXLUyJA</t>
  </si>
  <si>
    <t>sweta ji</t>
  </si>
  <si>
    <t>https://drive.google.com/open?id=1rz11uJiYqaSnDGYivMyvmCRIeboaLzkZ</t>
  </si>
  <si>
    <t>https://docs.google.com/forms/d/e/1FAIpQLSeQ0wUAy9WJrwwZ_8x6kCxvJSihLYtbLF2nbMncVH08fybLWQ/viewform?edit2=2_ABaOnucnCe0KXPPCcRQzZvGqoQu2LWYdGEcmzLiJc7uq6l2GO_xtpg8Y8JRrTH1bGYoAzZI</t>
  </si>
  <si>
    <t>Neelam ji</t>
  </si>
  <si>
    <t>https://docs.google.com/forms/d/e/1FAIpQLSeQ0wUAy9WJrwwZ_8x6kCxvJSihLYtbLF2nbMncVH08fybLWQ/viewform?edit2=2_ABaOnucbZqFmBU4UYuVtCy0FRDEkkNG46x7TlO-KqPUM34nUep8CGqLgdK2NvVvr5uHtNjA</t>
  </si>
  <si>
    <t>Rashmj sharma</t>
  </si>
  <si>
    <t xml:space="preserve">Payal toe ring </t>
  </si>
  <si>
    <t>https://docs.google.com/forms/d/e/1FAIpQLSeQ0wUAy9WJrwwZ_8x6kCxvJSihLYtbLF2nbMncVH08fybLWQ/viewform?edit2=2_ABaOnudzMFMnIvmTbHeopPcWrWzp3jScvYaxx9-SYQUYoR0hnSxvRl-a2_sUkfQXX-nMSFM</t>
  </si>
  <si>
    <t xml:space="preserve">Kapila </t>
  </si>
  <si>
    <t>https://docs.google.com/forms/d/e/1FAIpQLSeQ0wUAy9WJrwwZ_8x6kCxvJSihLYtbLF2nbMncVH08fybLWQ/viewform?edit2=2_ABaOnueYKdyXJED5lyS1QCTnMUW_KbSuPDMGlSqZIzp25Rkbd-YjEhKLG4BpkSXV7TEM05o</t>
  </si>
  <si>
    <t>Anshul ji</t>
  </si>
  <si>
    <t>https://docs.google.com/forms/d/e/1FAIpQLSeQ0wUAy9WJrwwZ_8x6kCxvJSihLYtbLF2nbMncVH08fybLWQ/viewform?edit2=2_ABaOnucgfKnFvgFDIhA7tFucoao-3E_bOB0XSKlLZVHrjfLKZIfdy29bjkuzf_m9oEh0x-A</t>
  </si>
  <si>
    <t xml:space="preserve">Sashi </t>
  </si>
  <si>
    <t>https://docs.google.com/forms/d/e/1FAIpQLSeQ0wUAy9WJrwwZ_8x6kCxvJSihLYtbLF2nbMncVH08fybLWQ/viewform?edit2=2_ABaOnucHfK2TPUPo8Ra5_LStALBaRcdc14fhuTTZaLcG697xq7xJ1sexMw-YwniyoBK7DPY</t>
  </si>
  <si>
    <t>Anisa ji</t>
  </si>
  <si>
    <t>https://docs.google.com/forms/d/e/1FAIpQLSeQ0wUAy9WJrwwZ_8x6kCxvJSihLYtbLF2nbMncVH08fybLWQ/viewform?edit2=2_ABaOnudmX_lnfGBSbY5N45Luan_xBi87z_Ba0Yjo4Y-RLIc_kqqSPSC2Hkeg3aWyCVSoEvA</t>
  </si>
  <si>
    <t>Srishti ji</t>
  </si>
  <si>
    <t>https://docs.google.com/forms/d/e/1FAIpQLSeQ0wUAy9WJrwwZ_8x6kCxvJSihLYtbLF2nbMncVH08fybLWQ/viewform?edit2=2_ABaOnueEOHcZkJcPDdG0ttj2_Bl6WqDsnwS5e0uqTRhX8Rc7771AWHISVYQGGBKNuz4MBmE</t>
  </si>
  <si>
    <t>platinum ring</t>
  </si>
  <si>
    <t>https://drive.google.com/open?id=1d99ZtTcKJkaDEP4bmlOjIF6m3wvruYEK</t>
  </si>
  <si>
    <t>https://docs.google.com/forms/d/e/1FAIpQLSeQ0wUAy9WJrwwZ_8x6kCxvJSihLYtbLF2nbMncVH08fybLWQ/viewform?edit2=2_ABaOnuerEAEa4fL9TwSmliFBnNyHZePx13s40uSZKqWPFxaC3L-ki43auI4Hpy8KE6-n_IA</t>
  </si>
  <si>
    <t>sanjeev sir customer</t>
  </si>
  <si>
    <t>https://drive.google.com/open?id=1P4cnFyYStskgP89hfBv313QdnPa1Vnz_</t>
  </si>
  <si>
    <t>https://docs.google.com/forms/d/e/1FAIpQLSeQ0wUAy9WJrwwZ_8x6kCxvJSihLYtbLF2nbMncVH08fybLWQ/viewform?edit2=2_ABaOnuccFZqdSzj9H0iOO2B-BIYt8nYkLBch9i4BUhFdVZmjBWNTycIjFt5wAn94BJAbsW0</t>
  </si>
  <si>
    <t>https://docs.google.com/forms/d/e/1FAIpQLSeQ0wUAy9WJrwwZ_8x6kCxvJSihLYtbLF2nbMncVH08fybLWQ/viewform?edit2=2_ABaOnuczqbKRkwAJlecUPc-3tsoHc-lRVzGC3dcn6g62fPKfXMTDwyfw3isEI3GGWNZ-ASw</t>
  </si>
  <si>
    <t>Ajay ji</t>
  </si>
  <si>
    <t>https://docs.google.com/forms/d/e/1FAIpQLSeQ0wUAy9WJrwwZ_8x6kCxvJSihLYtbLF2nbMncVH08fybLWQ/viewform?edit2=2_ABaOnucWEcESfAEPmTKzKQjjpvDRAh3ORdAaNT_qFs0qnnnqoMqWhq1aUJ-n9kikZzvV_Ms</t>
  </si>
  <si>
    <t>Priyanjal Mishra</t>
  </si>
  <si>
    <t>https://docs.google.com/forms/d/e/1FAIpQLSeQ0wUAy9WJrwwZ_8x6kCxvJSihLYtbLF2nbMncVH08fybLWQ/viewform?edit2=2_ABaOnufkgmGo24b5vf1AeqcSd4x9VyfZoaKpPZ7QI6MLYpwW1A65Nfel3yyNQTgtB6vRKpE</t>
  </si>
  <si>
    <t>Harshit ji</t>
  </si>
  <si>
    <t>https://docs.google.com/forms/d/e/1FAIpQLSeQ0wUAy9WJrwwZ_8x6kCxvJSihLYtbLF2nbMncVH08fybLWQ/viewform?edit2=2_ABaOnueHW3vsGkt4FCmDz-qU69D3IZCIQ7nAX4JNZGZ6WBOIZ4Tz9SPqAX7NVHJqfH-BKxI</t>
  </si>
  <si>
    <t>Madhu priya</t>
  </si>
  <si>
    <t>https://docs.google.com/forms/d/e/1FAIpQLSeQ0wUAy9WJrwwZ_8x6kCxvJSihLYtbLF2nbMncVH08fybLWQ/viewform?edit2=2_ABaOnuflxehjfEanvB70i3MJAQSY1hCZf2K53c0_13LBFHD8b1RuiZRlN13XIdi3x1ms_uQ</t>
  </si>
  <si>
    <t>Shweta gupta</t>
  </si>
  <si>
    <t>Earring / Tops, 9</t>
  </si>
  <si>
    <t>https://docs.google.com/forms/d/e/1FAIpQLSeQ0wUAy9WJrwwZ_8x6kCxvJSihLYtbLF2nbMncVH08fybLWQ/viewform?edit2=2_ABaOnufuWw7UBEEzlasRYf2biIzotMBd_rLcTE0srso2yEEMlcacuc4X26kNjFVIKGmNtWU</t>
  </si>
  <si>
    <t>Himanshu ji</t>
  </si>
  <si>
    <t>https://drive.google.com/open?id=1t6AoZX2q3zIt-J-IZGGllMkUsrCws3Xg, https://drive.google.com/open?id=1Z-yOXjWeNypUF49bXfKKzv14IZYXdOYG, https://drive.google.com/open?id=1CYIstariMNSpmjTcK9fGBfbr4N5tRvW1, https://drive.google.com/open?id=1ufeFVaNRgdKXM-FGwc0L6TBD1bz0yRh2</t>
  </si>
  <si>
    <t xml:space="preserve">Repair earrings </t>
  </si>
  <si>
    <t>https://docs.google.com/forms/d/e/1FAIpQLSeQ0wUAy9WJrwwZ_8x6kCxvJSihLYtbLF2nbMncVH08fybLWQ/viewform?edit2=2_ABaOnufZ6IfueSCafxfcmFJhBRCNe2wJN87P9ON4pgXYV1yYaHQ6ODtXvZQ6reTDww_sULM</t>
  </si>
  <si>
    <t xml:space="preserve">Shweta gupta </t>
  </si>
  <si>
    <t xml:space="preserve">Earring / Tops, Silver gift elephant </t>
  </si>
  <si>
    <t>https://drive.google.com/open?id=1yIGtXp67kZs_122jeJ8slDdYg6cOrGxK, https://drive.google.com/open?id=1mx3kD01LymM7-Q5ao0wJjyv-8lkJwazm</t>
  </si>
  <si>
    <t>Silver gift elephant - 1250/- | stone tree - 2550/- | diamond -77000/-</t>
  </si>
  <si>
    <t>https://docs.google.com/forms/d/e/1FAIpQLSeQ0wUAy9WJrwwZ_8x6kCxvJSihLYtbLF2nbMncVH08fybLWQ/viewform?edit2=2_ABaOnufRbQKodgZWP_nktIkDJqkoP5i2mQ4lvE7I6JA7BLFPYbku8SVyaiDros4yV2v96XA</t>
  </si>
  <si>
    <t xml:space="preserve">Seema mehta </t>
  </si>
  <si>
    <t>https://drive.google.com/open?id=1Ln7jP_HKHjanCjhgSLzoOjyY-cA1i_N8</t>
  </si>
  <si>
    <t xml:space="preserve">Diamond ring repair </t>
  </si>
  <si>
    <t>https://docs.google.com/forms/d/e/1FAIpQLSeQ0wUAy9WJrwwZ_8x6kCxvJSihLYtbLF2nbMncVH08fybLWQ/viewform?edit2=2_ABaOnufzV-Lx9mG2n8kJ2JFYT-_UPGfJTkeI9x0mPLDLkEH1aPdoipNMMgo-DrQEYJZNFKQ</t>
  </si>
  <si>
    <t>Suman ji</t>
  </si>
  <si>
    <t>Gold bangles repair 700/-</t>
  </si>
  <si>
    <t>https://docs.google.com/forms/d/e/1FAIpQLSeQ0wUAy9WJrwwZ_8x6kCxvJSihLYtbLF2nbMncVH08fybLWQ/viewform?edit2=2_ABaOnucFSSvjcGhhKLkpYtQJ2rV-T9Ckhuh_BuEAya92h9TmqDATXL2wPZ9CWVl7GxKN5gA</t>
  </si>
  <si>
    <t xml:space="preserve">Sheetal arora </t>
  </si>
  <si>
    <t xml:space="preserve">Repair received </t>
  </si>
  <si>
    <t>https://docs.google.com/forms/d/e/1FAIpQLSeQ0wUAy9WJrwwZ_8x6kCxvJSihLYtbLF2nbMncVH08fybLWQ/viewform?edit2=2_ABaOnudVJbBIypkB6lkWfFt73kI9VT_HgxDZ-JuNEbSsh2mz12h9LSjBUrjGWjHk27ShXXs</t>
  </si>
  <si>
    <t>Dr. Sanjeev Arora</t>
  </si>
  <si>
    <t xml:space="preserve">Coins gift </t>
  </si>
  <si>
    <t>Ghagun coins 100 mg 7 coins | 50 mg 5 coins | 200 mg 2coins total amount 28,350</t>
  </si>
  <si>
    <t>https://docs.google.com/forms/d/e/1FAIpQLSeQ0wUAy9WJrwwZ_8x6kCxvJSihLYtbLF2nbMncVH08fybLWQ/viewform?edit2=2_ABaOnucwzgCgFkTZ7H11TAy9FKbtifbRqdV0fKpsv5Bl0R5KCu5Fjla2PkBe8fxom3pq-_w</t>
  </si>
  <si>
    <t xml:space="preserve">Amit ji </t>
  </si>
  <si>
    <t xml:space="preserve">1 gram  gold ring 4 %making charges </t>
  </si>
  <si>
    <t xml:space="preserve">4%making chargs par chiye th no sale </t>
  </si>
  <si>
    <t>https://docs.google.com/forms/d/e/1FAIpQLSeQ0wUAy9WJrwwZ_8x6kCxvJSihLYtbLF2nbMncVH08fybLWQ/viewform?edit2=2_ABaOnud1T7ceoAfsw-WiP89Gde6Ub8LhUu9krsWzz-Q7zEN6s4NEpL2x_5dXOl4ZcLyyllg</t>
  </si>
  <si>
    <t xml:space="preserve">Mmtc coins </t>
  </si>
  <si>
    <t xml:space="preserve">486900 /- mmtc 3coins 10 grams </t>
  </si>
  <si>
    <t>https://docs.google.com/forms/d/e/1FAIpQLSeQ0wUAy9WJrwwZ_8x6kCxvJSihLYtbLF2nbMncVH08fybLWQ/viewform?edit2=2_ABaOnueRtiKgNEvI-xoACfJxovNOzAfTqsfbYrLsrj3bb6dej5FvchQGDoghKvHdlYqcpPQ</t>
  </si>
  <si>
    <t>Shama Kapoor</t>
  </si>
  <si>
    <t>shamakapoor1975@gmail.com</t>
  </si>
  <si>
    <t>Ritesh Saini</t>
  </si>
  <si>
    <t>sainiritesh099@gmail.com</t>
  </si>
  <si>
    <t>Bharat kochhar</t>
  </si>
  <si>
    <t>bharatkochhar777@gmail.com</t>
  </si>
  <si>
    <t>Cuboid Jeans Co</t>
  </si>
  <si>
    <t>cuboidjeansco@gmail.com</t>
  </si>
  <si>
    <t>Kiru Bisht</t>
  </si>
  <si>
    <t>kiranbisht109@yahoo.com</t>
  </si>
  <si>
    <t>Vijay Bansal</t>
  </si>
  <si>
    <t>vijaykumarbansal30@gmail.com</t>
  </si>
  <si>
    <t>Sushma Dhar</t>
  </si>
  <si>
    <t>drsushmadhar@yahoo.com</t>
  </si>
  <si>
    <t>Indu Chaudhary</t>
  </si>
  <si>
    <t>indukumari3@gmail.com</t>
  </si>
  <si>
    <t>Lovely Santosh Sk</t>
  </si>
  <si>
    <t>santoshbosak18@gmail.com</t>
  </si>
  <si>
    <t>Bina Pathak</t>
  </si>
  <si>
    <t>bina.pathak2019@gmail.com</t>
  </si>
  <si>
    <t>Jeeti Bhinder</t>
  </si>
  <si>
    <t>676712@gmail.com</t>
  </si>
  <si>
    <t>Vung Biaklun</t>
  </si>
  <si>
    <t>luwang334@gmail.com</t>
  </si>
  <si>
    <t>Gurdyal Kaur</t>
  </si>
  <si>
    <t>hakamhakamsingh123321@gmail.com</t>
  </si>
  <si>
    <t>Divya Ravinder Rana</t>
  </si>
  <si>
    <t>kanodiadivya7@gmail.com</t>
  </si>
  <si>
    <t>Sunita Gupta</t>
  </si>
  <si>
    <t>sunitagupta111067@gmail.com</t>
  </si>
  <si>
    <t>Simran upadhyay</t>
  </si>
  <si>
    <t>daizyupadhyay09@gmail.com</t>
  </si>
  <si>
    <t>Rita Chandra</t>
  </si>
  <si>
    <t>ritakumari8@gmail.com</t>
  </si>
  <si>
    <t>jyoti</t>
  </si>
  <si>
    <t>Jyoti.thareja60@gmail.com</t>
  </si>
  <si>
    <t>Anita Sahni</t>
  </si>
  <si>
    <t>sahnianita218@gmail.com</t>
  </si>
  <si>
    <t>PREETI SINGH</t>
  </si>
  <si>
    <t>preetisingh534@gmail.com</t>
  </si>
  <si>
    <t>Sachin Aggarwal</t>
  </si>
  <si>
    <t>sachinaggarwal435@gmail.com</t>
  </si>
  <si>
    <t>Meenu Gera</t>
  </si>
  <si>
    <t>gerameenu08@gmail.com</t>
  </si>
  <si>
    <t>Usha miglani</t>
  </si>
  <si>
    <t>ushamiglani2301@gmail.com</t>
  </si>
  <si>
    <t>Farheen Khan</t>
  </si>
  <si>
    <t>khanfarheen061@gmail.com</t>
  </si>
  <si>
    <t>pathan sahab</t>
  </si>
  <si>
    <t>armankhan6438@gmail.com</t>
  </si>
  <si>
    <t>NAVAL</t>
  </si>
  <si>
    <t>navalgadi9@gmail.com</t>
  </si>
  <si>
    <t>Rama Tuli</t>
  </si>
  <si>
    <t>rama.tuli55@gmail.com</t>
  </si>
  <si>
    <t>Aakki Sharma</t>
  </si>
  <si>
    <t>aakkiji99@gmail.com</t>
  </si>
  <si>
    <t>Ram Saini</t>
  </si>
  <si>
    <t>sram06051@gmail.com</t>
  </si>
  <si>
    <t>ritika</t>
  </si>
  <si>
    <t>tigarments@gmail.com</t>
  </si>
  <si>
    <t>Muhammad Aasim Sheikh</t>
  </si>
  <si>
    <t>Mohdasim7866@gmail.com</t>
  </si>
  <si>
    <t>Surender Kumar</t>
  </si>
  <si>
    <t>sbhardwaaj7@gmail.com</t>
  </si>
  <si>
    <t>Sahil Mirza</t>
  </si>
  <si>
    <t>sahil.sahilharoon@gmail.com</t>
  </si>
  <si>
    <t>Nishu Gupta</t>
  </si>
  <si>
    <t>Guptanishu7@gmail.com</t>
  </si>
  <si>
    <t>Reena Khanna</t>
  </si>
  <si>
    <t>reenakhanna11@yahoo.in</t>
  </si>
  <si>
    <t>Mridula Agarwal</t>
  </si>
  <si>
    <t>mirdula105@gmail.com</t>
  </si>
  <si>
    <t>Sanjay Goyal</t>
  </si>
  <si>
    <t>sanjaygoyal599@gmail.com</t>
  </si>
  <si>
    <t>Leena Kataria Nagpal</t>
  </si>
  <si>
    <t>katariapooja631995@gmail.com</t>
  </si>
  <si>
    <t>Anju Chaudhary</t>
  </si>
  <si>
    <t>anju.chaudhary07@gmail.com</t>
  </si>
  <si>
    <t>Hemant Kapoor</t>
  </si>
  <si>
    <t>hemantkapoor35@gmail.com</t>
  </si>
  <si>
    <t>ᴀᴊᴏᴏɴɪ'ꜱ ᴄʀᴇᴀᴛɪᴠᴇ ʟɪɴᴇ</t>
  </si>
  <si>
    <t>ajooniscreativelinee@gmail.com</t>
  </si>
  <si>
    <t>Skiiny Gulati</t>
  </si>
  <si>
    <t>skinyguddu@gmail.com</t>
  </si>
  <si>
    <t>Sahib Singh</t>
  </si>
  <si>
    <t>darlingsweety424@gmail.com</t>
  </si>
  <si>
    <t>Gauraev Mittal</t>
  </si>
  <si>
    <t>dpconstco786@gmail.com</t>
  </si>
  <si>
    <t>Wedding jewellery</t>
  </si>
  <si>
    <t>what</t>
  </si>
  <si>
    <t>Enquire &amp; Coordinate with client</t>
  </si>
  <si>
    <t xml:space="preserve">Estimate </t>
  </si>
  <si>
    <t>Follow up</t>
  </si>
  <si>
    <t>Contact for any order update</t>
  </si>
  <si>
    <t>Price Negotiation</t>
  </si>
  <si>
    <t>Closure Finale</t>
  </si>
  <si>
    <t>Reason for Pending</t>
  </si>
  <si>
    <t>Who</t>
  </si>
  <si>
    <t>pallavi</t>
  </si>
  <si>
    <t>sales person - first shivani</t>
  </si>
  <si>
    <t>shivani</t>
  </si>
  <si>
    <t xml:space="preserve"> </t>
  </si>
  <si>
    <t>How</t>
  </si>
  <si>
    <t>When</t>
  </si>
  <si>
    <t>Planned</t>
  </si>
  <si>
    <t>Actual</t>
  </si>
  <si>
    <t>Status</t>
  </si>
  <si>
    <t>Time Delay</t>
  </si>
  <si>
    <t>Remarks</t>
  </si>
  <si>
    <t>Share Design with Client</t>
  </si>
  <si>
    <t>Vendor 1</t>
  </si>
  <si>
    <t>Vendor 2</t>
  </si>
  <si>
    <t>done</t>
  </si>
  <si>
    <t>Done</t>
  </si>
  <si>
    <t>yes</t>
  </si>
  <si>
    <t>no</t>
  </si>
  <si>
    <t>Hold</t>
  </si>
  <si>
    <t/>
  </si>
  <si>
    <t>No Response</t>
  </si>
  <si>
    <t>no response</t>
  </si>
  <si>
    <t>DONE</t>
  </si>
  <si>
    <t>hold</t>
  </si>
  <si>
    <t>shop</t>
  </si>
  <si>
    <t xml:space="preserve">confirm karenge kunal ji </t>
  </si>
  <si>
    <t>Navaratri</t>
  </si>
  <si>
    <t>shop visit</t>
  </si>
  <si>
    <t>tuesday text</t>
  </si>
  <si>
    <t>cancel</t>
  </si>
  <si>
    <t>tomornie vist</t>
  </si>
  <si>
    <t>Next week visit</t>
  </si>
  <si>
    <t>hold / online sasta mil rha h</t>
  </si>
  <si>
    <t>hold for customer</t>
  </si>
  <si>
    <t>sanjeev sir bat karenge</t>
  </si>
  <si>
    <t>wensday</t>
  </si>
  <si>
    <t>oder banne gya hai</t>
  </si>
  <si>
    <t>not response</t>
  </si>
  <si>
    <t xml:space="preserve">working m hai </t>
  </si>
  <si>
    <t>call back me</t>
  </si>
  <si>
    <t>cancle</t>
  </si>
  <si>
    <t>oder banne gya hua hai</t>
  </si>
  <si>
    <t>tuesday call back</t>
  </si>
  <si>
    <t>visit shop</t>
  </si>
  <si>
    <t>customer conf karenge</t>
  </si>
  <si>
    <t xml:space="preserve">15 ko sir ko reminder krana hai </t>
  </si>
  <si>
    <t>seema mam hold</t>
  </si>
  <si>
    <t xml:space="preserve">msg kiya hai </t>
  </si>
  <si>
    <t>next month</t>
  </si>
  <si>
    <t>hold 2 months</t>
  </si>
  <si>
    <t xml:space="preserve">abhi final nh hua hai </t>
  </si>
  <si>
    <t>design share</t>
  </si>
  <si>
    <t>customer hold</t>
  </si>
  <si>
    <t>YES</t>
  </si>
  <si>
    <t>NO REPLY</t>
  </si>
  <si>
    <t>next week visit shop</t>
  </si>
  <si>
    <t>order is coming</t>
  </si>
  <si>
    <t>next week shop visit</t>
  </si>
  <si>
    <t>shope</t>
  </si>
  <si>
    <t xml:space="preserve">30-12 visit shope </t>
  </si>
  <si>
    <t>2jan2023 visit shope</t>
  </si>
  <si>
    <t>Step</t>
  </si>
  <si>
    <t>SALE PERSON</t>
  </si>
  <si>
    <t>Lead Count</t>
  </si>
  <si>
    <t xml:space="preserve">Name </t>
  </si>
  <si>
    <t>PLANNED</t>
  </si>
  <si>
    <t>STEP</t>
  </si>
  <si>
    <t>WHO</t>
  </si>
  <si>
    <t>Step Code</t>
  </si>
  <si>
    <t>Planned/Actual Range</t>
  </si>
  <si>
    <t>Unique Key Range</t>
  </si>
  <si>
    <t>Query</t>
  </si>
  <si>
    <t>&lt;---You can type the dates of the holidays here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</si>
</sst>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d/m/yyyy"/>
    <numFmt numFmtId="166" formatCode="hh:mm"/>
    <numFmt numFmtId="167" formatCode="dd/MM/yyyy HH:mm:ss"/>
    <numFmt numFmtId="168" formatCode="dd/mm/yyyy"/>
  </numFmts>
  <fonts count="15">
    <font>
      <sz val="10.0"/>
      <color rgb="FF000000"/>
      <name val="Arial"/>
      <scheme val="minor"/>
    </font>
    <font>
      <b/>
      <color theme="1"/>
      <name val="Arial"/>
      <scheme val="minor"/>
    </font>
    <font>
      <color theme="1"/>
      <name val="Arial"/>
      <scheme val="minor"/>
    </font>
    <font>
      <u/>
      <color rgb="FF0000FF"/>
    </font>
    <font>
      <sz val="11.0"/>
      <color rgb="FF000000"/>
      <name val="Calibri"/>
    </font>
    <font>
      <sz val="11.0"/>
      <color theme="1"/>
      <name val="Calibri"/>
    </font>
    <font>
      <color theme="1"/>
      <name val="Verdana"/>
    </font>
    <font>
      <b/>
      <sz val="11.0"/>
      <color theme="1"/>
      <name val="Arial"/>
    </font>
    <font/>
    <font>
      <b/>
      <color theme="1"/>
      <name val="Arial"/>
    </font>
    <font>
      <b/>
      <sz val="9.0"/>
      <color theme="1"/>
      <name val="Arial"/>
    </font>
    <font>
      <b/>
      <sz val="11.0"/>
      <color theme="1"/>
      <name val="Arial"/>
      <scheme val="minor"/>
    </font>
    <font>
      <sz val="11.0"/>
      <color theme="1"/>
      <name val="Arial"/>
      <scheme val="minor"/>
    </font>
    <font>
      <color theme="1"/>
      <name val="Arial"/>
    </font>
    <font>
      <sz val="9.0"/>
      <color rgb="FF000000"/>
      <name val="&quot;Google Sans Mono&quot;"/>
    </font>
  </fonts>
  <fills count="8">
    <fill>
      <patternFill patternType="none"/>
    </fill>
    <fill>
      <patternFill patternType="lightGray"/>
    </fill>
    <fill>
      <patternFill patternType="solid">
        <fgColor rgb="FFFFFF00"/>
        <bgColor rgb="FFFFFF00"/>
      </patternFill>
    </fill>
    <fill>
      <patternFill patternType="solid">
        <fgColor theme="1"/>
        <bgColor theme="1"/>
      </patternFill>
    </fill>
    <fill>
      <patternFill patternType="solid">
        <fgColor rgb="FFF1C232"/>
        <bgColor rgb="FFF1C232"/>
      </patternFill>
    </fill>
    <fill>
      <patternFill patternType="solid">
        <fgColor rgb="FFFFFFFF"/>
        <bgColor rgb="FFFFFFFF"/>
      </patternFill>
    </fill>
    <fill>
      <patternFill patternType="solid">
        <fgColor theme="0"/>
        <bgColor theme="0"/>
      </patternFill>
    </fill>
    <fill>
      <patternFill patternType="solid">
        <fgColor rgb="FFA4C2F4"/>
        <bgColor rgb="FFA4C2F4"/>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2" numFmtId="14" xfId="0" applyAlignment="1" applyFont="1" applyNumberFormat="1">
      <alignment readingOrder="0"/>
    </xf>
    <xf borderId="0" fillId="0" fontId="2" numFmtId="0" xfId="0" applyAlignment="1" applyFont="1">
      <alignment readingOrder="0"/>
    </xf>
    <xf borderId="0" fillId="0" fontId="2" numFmtId="0" xfId="0" applyFont="1"/>
    <xf borderId="0" fillId="0" fontId="2" numFmtId="0" xfId="0" applyFont="1"/>
    <xf borderId="0" fillId="0" fontId="2" numFmtId="0" xfId="0" applyAlignment="1" applyFont="1">
      <alignment readingOrder="0"/>
    </xf>
    <xf borderId="0" fillId="0" fontId="2" numFmtId="164" xfId="0" applyAlignment="1" applyFont="1" applyNumberFormat="1">
      <alignment readingOrder="0"/>
    </xf>
    <xf borderId="0" fillId="0" fontId="3" numFmtId="0" xfId="0" applyAlignment="1" applyFont="1">
      <alignment readingOrder="0"/>
    </xf>
    <xf borderId="0" fillId="0" fontId="2" numFmtId="0" xfId="0" applyAlignment="1" applyFont="1">
      <alignment readingOrder="0"/>
    </xf>
    <xf quotePrefix="1" borderId="0" fillId="0" fontId="2" numFmtId="0" xfId="0" applyAlignment="1" applyFont="1">
      <alignment readingOrder="0"/>
    </xf>
    <xf borderId="0" fillId="0" fontId="2" numFmtId="165" xfId="0" applyAlignment="1" applyFont="1" applyNumberFormat="1">
      <alignment readingOrder="0"/>
    </xf>
    <xf borderId="0" fillId="2" fontId="4" numFmtId="0" xfId="0" applyAlignment="1" applyFill="1" applyFont="1">
      <alignment readingOrder="0" shrinkToFit="0" vertical="bottom" wrapText="0"/>
    </xf>
    <xf borderId="0" fillId="0" fontId="4" numFmtId="0" xfId="0" applyAlignment="1" applyFont="1">
      <alignment readingOrder="0" shrinkToFit="0" vertical="bottom" wrapText="0"/>
    </xf>
    <xf borderId="0" fillId="0" fontId="5" numFmtId="0" xfId="0" applyAlignment="1" applyFont="1">
      <alignment readingOrder="0" vertical="bottom"/>
    </xf>
    <xf borderId="0" fillId="2" fontId="6" numFmtId="0" xfId="0" applyAlignment="1" applyFont="1">
      <alignment horizontal="left" readingOrder="0" shrinkToFit="0" vertical="bottom" wrapText="0"/>
    </xf>
    <xf borderId="0" fillId="0" fontId="6" numFmtId="0" xfId="0" applyAlignment="1" applyFont="1">
      <alignment horizontal="left" shrinkToFit="0" vertical="bottom" wrapText="0"/>
    </xf>
    <xf borderId="0" fillId="0" fontId="6" numFmtId="0" xfId="0" applyAlignment="1" applyFont="1">
      <alignment horizontal="left" readingOrder="0" shrinkToFit="0" vertical="bottom" wrapText="0"/>
    </xf>
    <xf borderId="0" fillId="0" fontId="6" numFmtId="0" xfId="0" applyAlignment="1" applyFont="1">
      <alignment horizontal="left" shrinkToFit="0" vertical="bottom" wrapText="0"/>
    </xf>
    <xf borderId="0" fillId="0" fontId="2" numFmtId="164" xfId="0" applyFont="1" applyNumberFormat="1"/>
    <xf borderId="0" fillId="3" fontId="2" numFmtId="0" xfId="0" applyFill="1" applyFont="1"/>
    <xf borderId="0" fillId="0" fontId="7" numFmtId="0" xfId="0" applyAlignment="1" applyFont="1">
      <alignment readingOrder="0" vertical="bottom"/>
    </xf>
    <xf borderId="1" fillId="0" fontId="7" numFmtId="0" xfId="0" applyAlignment="1" applyBorder="1" applyFont="1">
      <alignment readingOrder="0" vertical="bottom"/>
    </xf>
    <xf borderId="2" fillId="0" fontId="8" numFmtId="0" xfId="0" applyBorder="1" applyFont="1"/>
    <xf borderId="3" fillId="0" fontId="8" numFmtId="0" xfId="0" applyBorder="1" applyFont="1"/>
    <xf borderId="1" fillId="0" fontId="7" numFmtId="0" xfId="0" applyAlignment="1" applyBorder="1" applyFont="1">
      <alignment readingOrder="0" shrinkToFit="0" wrapText="1"/>
    </xf>
    <xf borderId="1" fillId="0" fontId="7" numFmtId="0" xfId="0" applyAlignment="1" applyBorder="1" applyFont="1">
      <alignment horizontal="center" readingOrder="0" shrinkToFit="0" wrapText="1"/>
    </xf>
    <xf borderId="1" fillId="0" fontId="7" numFmtId="0" xfId="0" applyAlignment="1" applyBorder="1" applyFont="1">
      <alignment shrinkToFit="0" wrapText="1"/>
    </xf>
    <xf borderId="4" fillId="0" fontId="7" numFmtId="0" xfId="0" applyAlignment="1" applyBorder="1" applyFont="1">
      <alignment readingOrder="0" shrinkToFit="0" wrapText="1"/>
    </xf>
    <xf borderId="4" fillId="0" fontId="7" numFmtId="0" xfId="0" applyAlignment="1" applyBorder="1" applyFont="1">
      <alignment shrinkToFit="0" wrapText="1"/>
    </xf>
    <xf borderId="4" fillId="0" fontId="7" numFmtId="0" xfId="0" applyAlignment="1" applyBorder="1" applyFont="1">
      <alignment horizontal="center" shrinkToFit="0" vertical="center" wrapText="1"/>
    </xf>
    <xf borderId="0" fillId="0" fontId="7" numFmtId="0" xfId="0" applyAlignment="1" applyFont="1">
      <alignment vertical="bottom"/>
    </xf>
    <xf borderId="0" fillId="0" fontId="7" numFmtId="0" xfId="0" applyAlignment="1" applyFont="1">
      <alignment vertical="bottom"/>
    </xf>
    <xf borderId="1" fillId="3" fontId="7" numFmtId="0" xfId="0" applyAlignment="1" applyBorder="1" applyFont="1">
      <alignment readingOrder="0" vertical="bottom"/>
    </xf>
    <xf borderId="4" fillId="0" fontId="7" numFmtId="0" xfId="0" applyAlignment="1" applyBorder="1" applyFont="1">
      <alignment readingOrder="0" vertical="bottom"/>
    </xf>
    <xf borderId="4" fillId="0" fontId="7" numFmtId="0" xfId="0" applyBorder="1" applyFont="1"/>
    <xf borderId="1" fillId="0" fontId="7" numFmtId="0" xfId="0" applyAlignment="1" applyBorder="1" applyFont="1">
      <alignment vertical="bottom"/>
    </xf>
    <xf borderId="1" fillId="3" fontId="7" numFmtId="0" xfId="0" applyAlignment="1" applyBorder="1" applyFont="1">
      <alignment vertical="bottom"/>
    </xf>
    <xf borderId="4" fillId="0" fontId="7" numFmtId="0" xfId="0" applyAlignment="1" applyBorder="1" applyFont="1">
      <alignment vertical="bottom"/>
    </xf>
    <xf borderId="1" fillId="3" fontId="7" numFmtId="166" xfId="0" applyAlignment="1" applyBorder="1" applyFont="1" applyNumberFormat="1">
      <alignment horizontal="left" readingOrder="0" shrinkToFit="0" vertical="center" wrapText="1"/>
    </xf>
    <xf borderId="1" fillId="3" fontId="7" numFmtId="20" xfId="0" applyAlignment="1" applyBorder="1" applyFont="1" applyNumberFormat="1">
      <alignment readingOrder="0"/>
    </xf>
    <xf borderId="1" fillId="0" fontId="7" numFmtId="0" xfId="0" applyAlignment="1" applyBorder="1" applyFont="1">
      <alignment readingOrder="0"/>
    </xf>
    <xf borderId="1" fillId="0" fontId="7" numFmtId="20" xfId="0" applyBorder="1" applyFont="1" applyNumberFormat="1"/>
    <xf borderId="1" fillId="0" fontId="7" numFmtId="20" xfId="0" applyAlignment="1" applyBorder="1" applyFont="1" applyNumberFormat="1">
      <alignment readingOrder="0"/>
    </xf>
    <xf borderId="1" fillId="0" fontId="7" numFmtId="0" xfId="0" applyAlignment="1" applyBorder="1" applyFont="1">
      <alignment horizontal="right" readingOrder="0" vertical="bottom"/>
    </xf>
    <xf borderId="4" fillId="0" fontId="7" numFmtId="0" xfId="0" applyAlignment="1" applyBorder="1" applyFont="1">
      <alignment horizontal="right" readingOrder="0" vertical="bottom"/>
    </xf>
    <xf borderId="0" fillId="4" fontId="9" numFmtId="0" xfId="0" applyAlignment="1" applyFill="1" applyFont="1">
      <alignment vertical="bottom"/>
    </xf>
    <xf borderId="0" fillId="4" fontId="10" numFmtId="0" xfId="0" applyAlignment="1" applyFont="1">
      <alignment horizontal="left" shrinkToFit="0" vertical="center" wrapText="1"/>
    </xf>
    <xf borderId="4" fillId="4" fontId="10" numFmtId="0" xfId="0" applyAlignment="1" applyBorder="1" applyFont="1">
      <alignment horizontal="left" shrinkToFit="0" vertical="center" wrapText="1"/>
    </xf>
    <xf borderId="4" fillId="4" fontId="9" numFmtId="0" xfId="0" applyAlignment="1" applyBorder="1" applyFont="1">
      <alignment horizontal="left" shrinkToFit="0" vertical="center" wrapText="1"/>
    </xf>
    <xf borderId="4" fillId="4" fontId="7" numFmtId="0" xfId="0" applyAlignment="1" applyBorder="1" applyFont="1">
      <alignment horizontal="left" shrinkToFit="0" vertical="bottom" wrapText="1"/>
    </xf>
    <xf borderId="4" fillId="4" fontId="7" numFmtId="0" xfId="0" applyAlignment="1" applyBorder="1" applyFont="1">
      <alignment horizontal="left" readingOrder="0" shrinkToFit="0" vertical="bottom" wrapText="1"/>
    </xf>
    <xf borderId="0" fillId="4" fontId="11" numFmtId="0" xfId="0" applyAlignment="1" applyFont="1">
      <alignment readingOrder="0"/>
    </xf>
    <xf borderId="4" fillId="4" fontId="9" numFmtId="0" xfId="0" applyAlignment="1" applyBorder="1" applyFont="1">
      <alignment readingOrder="0" vertical="bottom"/>
    </xf>
    <xf borderId="0" fillId="5" fontId="9" numFmtId="0" xfId="0" applyAlignment="1" applyFill="1" applyFont="1">
      <alignment vertical="bottom"/>
    </xf>
    <xf borderId="4" fillId="0" fontId="2" numFmtId="164" xfId="0" applyBorder="1" applyFont="1" applyNumberFormat="1"/>
    <xf borderId="4" fillId="0" fontId="2" numFmtId="0" xfId="0" applyBorder="1" applyFont="1"/>
    <xf borderId="4" fillId="0" fontId="2" numFmtId="0" xfId="0" applyAlignment="1" applyBorder="1" applyFont="1">
      <alignment shrinkToFit="0" vertical="center" wrapText="0"/>
    </xf>
    <xf borderId="4" fillId="3" fontId="12" numFmtId="167" xfId="0" applyBorder="1" applyFont="1" applyNumberFormat="1"/>
    <xf borderId="4" fillId="3" fontId="2" numFmtId="167" xfId="0" applyBorder="1" applyFont="1" applyNumberFormat="1"/>
    <xf borderId="4" fillId="3" fontId="2" numFmtId="0" xfId="0" applyBorder="1" applyFont="1"/>
    <xf borderId="4" fillId="3" fontId="2" numFmtId="46" xfId="0" applyBorder="1" applyFont="1" applyNumberFormat="1"/>
    <xf borderId="4" fillId="3" fontId="2" numFmtId="0" xfId="0" applyAlignment="1" applyBorder="1" applyFont="1">
      <alignment readingOrder="0"/>
    </xf>
    <xf borderId="4" fillId="0" fontId="12" numFmtId="167" xfId="0" applyBorder="1" applyFont="1" applyNumberFormat="1"/>
    <xf borderId="4" fillId="0" fontId="2" numFmtId="167" xfId="0" applyBorder="1" applyFont="1" applyNumberFormat="1"/>
    <xf borderId="4" fillId="0" fontId="2" numFmtId="0" xfId="0" applyAlignment="1" applyBorder="1" applyFont="1">
      <alignment readingOrder="0"/>
    </xf>
    <xf borderId="4" fillId="0" fontId="2" numFmtId="46" xfId="0" applyBorder="1" applyFont="1" applyNumberFormat="1"/>
    <xf borderId="4" fillId="0" fontId="12" numFmtId="0" xfId="0" applyAlignment="1" applyBorder="1" applyFont="1">
      <alignment readingOrder="0"/>
    </xf>
    <xf borderId="4" fillId="0" fontId="2" numFmtId="46" xfId="0" applyAlignment="1" applyBorder="1" applyFont="1" applyNumberFormat="1">
      <alignment horizontal="right"/>
    </xf>
    <xf borderId="0" fillId="0" fontId="2" numFmtId="0" xfId="0" applyFont="1"/>
    <xf borderId="0" fillId="0" fontId="13" numFmtId="0" xfId="0" applyAlignment="1" applyFont="1">
      <alignment vertical="bottom"/>
    </xf>
    <xf borderId="4" fillId="6" fontId="2" numFmtId="0" xfId="0" applyAlignment="1" applyBorder="1" applyFill="1" applyFont="1">
      <alignment readingOrder="0"/>
    </xf>
    <xf borderId="4" fillId="0" fontId="13" numFmtId="0" xfId="0" applyAlignment="1" applyBorder="1" applyFont="1">
      <alignment readingOrder="0" vertical="bottom"/>
    </xf>
    <xf borderId="0" fillId="0" fontId="13" numFmtId="164" xfId="0" applyAlignment="1" applyFont="1" applyNumberFormat="1">
      <alignment vertical="bottom"/>
    </xf>
    <xf borderId="4" fillId="0" fontId="13" numFmtId="0" xfId="0" applyAlignment="1" applyBorder="1" applyFont="1">
      <alignment vertical="bottom"/>
    </xf>
    <xf borderId="4" fillId="0" fontId="13" numFmtId="0" xfId="0" applyAlignment="1" applyBorder="1" applyFont="1">
      <alignment shrinkToFit="0" vertical="center" wrapText="0"/>
    </xf>
    <xf borderId="4" fillId="0" fontId="13" numFmtId="164" xfId="0" applyAlignment="1" applyBorder="1" applyFont="1" applyNumberFormat="1">
      <alignment vertical="bottom"/>
    </xf>
    <xf borderId="4" fillId="0" fontId="2" numFmtId="0" xfId="0" applyAlignment="1" applyBorder="1" applyFont="1">
      <alignment readingOrder="0" shrinkToFit="0" vertical="center" wrapText="0"/>
    </xf>
    <xf borderId="4" fillId="6" fontId="2" numFmtId="164" xfId="0" applyBorder="1" applyFont="1" applyNumberFormat="1"/>
    <xf borderId="4" fillId="6" fontId="2" numFmtId="0" xfId="0" applyBorder="1" applyFont="1"/>
    <xf borderId="4" fillId="6" fontId="2" numFmtId="0" xfId="0" applyAlignment="1" applyBorder="1" applyFont="1">
      <alignment shrinkToFit="0" vertical="center" wrapText="0"/>
    </xf>
    <xf borderId="4" fillId="3" fontId="12" numFmtId="167" xfId="0" applyAlignment="1" applyBorder="1" applyFont="1" applyNumberFormat="1">
      <alignment horizontal="right"/>
    </xf>
    <xf borderId="4" fillId="0" fontId="2" numFmtId="0" xfId="0" applyAlignment="1" applyBorder="1" applyFont="1">
      <alignment shrinkToFit="0" vertical="center" wrapText="1"/>
    </xf>
    <xf borderId="0" fillId="0" fontId="2" numFmtId="167" xfId="0" applyAlignment="1" applyFont="1" applyNumberFormat="1">
      <alignment readingOrder="0"/>
    </xf>
    <xf borderId="0" fillId="0" fontId="2" numFmtId="49" xfId="0" applyAlignment="1" applyFont="1" applyNumberFormat="1">
      <alignment readingOrder="0"/>
    </xf>
    <xf borderId="0" fillId="0" fontId="2" numFmtId="167" xfId="0" applyFont="1" applyNumberFormat="1"/>
    <xf borderId="0" fillId="0" fontId="2" numFmtId="49" xfId="0" applyFont="1" applyNumberFormat="1"/>
    <xf borderId="0" fillId="7" fontId="10" numFmtId="0" xfId="0" applyAlignment="1" applyFill="1" applyFont="1">
      <alignment horizontal="left" shrinkToFit="0" vertical="center" wrapText="1"/>
    </xf>
    <xf borderId="4" fillId="7" fontId="10" numFmtId="0" xfId="0" applyAlignment="1" applyBorder="1" applyFont="1">
      <alignment horizontal="left" shrinkToFit="0" vertical="center" wrapText="1"/>
    </xf>
    <xf borderId="4" fillId="7" fontId="9" numFmtId="0" xfId="0" applyAlignment="1" applyBorder="1" applyFont="1">
      <alignment horizontal="left" shrinkToFit="0" vertical="center" wrapText="1"/>
    </xf>
    <xf borderId="4" fillId="7" fontId="7" numFmtId="167" xfId="0" applyAlignment="1" applyBorder="1" applyFont="1" applyNumberFormat="1">
      <alignment horizontal="left" shrinkToFit="0" vertical="bottom" wrapText="1"/>
    </xf>
    <xf borderId="4" fillId="7" fontId="7" numFmtId="0" xfId="0" applyAlignment="1" applyBorder="1" applyFont="1">
      <alignment horizontal="left" readingOrder="0" shrinkToFit="0" vertical="bottom" wrapText="1"/>
    </xf>
    <xf borderId="4" fillId="7" fontId="7" numFmtId="0" xfId="0" applyAlignment="1" applyBorder="1" applyFont="1">
      <alignment horizontal="left" shrinkToFit="0" vertical="bottom" wrapText="1"/>
    </xf>
    <xf borderId="0" fillId="7" fontId="11" numFmtId="0" xfId="0" applyAlignment="1" applyFont="1">
      <alignment readingOrder="0"/>
    </xf>
    <xf borderId="0" fillId="5" fontId="14" numFmtId="0" xfId="0" applyFont="1"/>
    <xf borderId="0" fillId="0" fontId="2" numFmtId="167" xfId="0" applyFont="1" applyNumberFormat="1"/>
    <xf borderId="0" fillId="0" fontId="2" numFmtId="167" xfId="0" applyAlignment="1" applyFont="1" applyNumberFormat="1">
      <alignment shrinkToFit="0" wrapText="0"/>
    </xf>
    <xf borderId="0" fillId="7" fontId="9" numFmtId="167" xfId="0" applyAlignment="1" applyFont="1" applyNumberFormat="1">
      <alignment vertical="bottom"/>
    </xf>
    <xf borderId="0" fillId="7" fontId="9" numFmtId="167" xfId="0" applyAlignment="1" applyFont="1" applyNumberFormat="1">
      <alignment readingOrder="0" vertical="bottom"/>
    </xf>
    <xf borderId="0" fillId="7" fontId="10" numFmtId="167" xfId="0" applyAlignment="1" applyFont="1" applyNumberFormat="1">
      <alignment horizontal="left" readingOrder="0" shrinkToFit="0" vertical="center" wrapText="1"/>
    </xf>
    <xf borderId="4" fillId="7" fontId="10" numFmtId="0" xfId="0" applyAlignment="1" applyBorder="1" applyFont="1">
      <alignment horizontal="left" readingOrder="0" shrinkToFit="0" vertical="center" wrapText="1"/>
    </xf>
    <xf borderId="4" fillId="0" fontId="2" numFmtId="168" xfId="0" applyAlignment="1" applyBorder="1" applyFont="1" applyNumberFormat="1">
      <alignment readingOrder="0"/>
    </xf>
  </cellXfs>
  <cellStyles count="1">
    <cellStyle xfId="0" name="Normal" builtinId="0"/>
  </cellStyles>
  <dxfs count="3">
    <dxf>
      <font/>
      <fill>
        <patternFill patternType="solid">
          <fgColor rgb="FFF4C7C3"/>
          <bgColor rgb="FFF4C7C3"/>
        </patternFill>
      </fill>
      <border/>
    </dxf>
    <dxf>
      <font/>
      <fill>
        <patternFill patternType="solid">
          <fgColor rgb="FFFCE8B2"/>
          <bgColor rgb="FFFCE8B2"/>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933450</xdr:colOff>
      <xdr:row>2</xdr:row>
      <xdr:rowOff>171450</xdr:rowOff>
    </xdr:from>
    <xdr:ext cx="1952625" cy="819150"/>
    <xdr:sp>
      <xdr:nvSpPr>
        <xdr:cNvPr id="3" name="Shape 3"/>
        <xdr:cNvSpPr/>
      </xdr:nvSpPr>
      <xdr:spPr>
        <a:xfrm>
          <a:off x="1906075" y="1015300"/>
          <a:ext cx="1839000" cy="785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Click Here</a:t>
          </a:r>
          <a:endParaRPr b="1"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docs.google.com/forms/d/e/1FAIpQLSeQ0wUAy9WJrwwZ_8x6kCxvJSihLYtbLF2nbMncVH08fybLWQ/viewform?edit2=2_ABaOnufgWzeGp9Gk-CqS4lIGQfsuXAi-7Lm_SaXpgCKS1I__KJ6PIsrtDcYeJscFb8tmGNU" TargetMode="External"/><Relationship Id="rId194" Type="http://schemas.openxmlformats.org/officeDocument/2006/relationships/hyperlink" Target="https://docs.google.com/forms/d/e/1FAIpQLSeQ0wUAy9WJrwwZ_8x6kCxvJSihLYtbLF2nbMncVH08fybLWQ/viewform?edit2=2_ABaOnueCcR2_gTYbanUAWKBmbO1PlComUsLyiDQAhXxvdoAhNYypMs5qwTzsGCTO5SojP5M" TargetMode="External"/><Relationship Id="rId193" Type="http://schemas.openxmlformats.org/officeDocument/2006/relationships/hyperlink" Target="https://docs.google.com/forms/d/e/1FAIpQLSeQ0wUAy9WJrwwZ_8x6kCxvJSihLYtbLF2nbMncVH08fybLWQ/viewform?edit2=2_ABaOnueMDp_6fYXBCGp7UwPyxl-ZyyPJa38qne1pOvNQHWWGbOJqqvrB32WkY35BEDEPezQ" TargetMode="External"/><Relationship Id="rId192" Type="http://schemas.openxmlformats.org/officeDocument/2006/relationships/hyperlink" Target="https://docs.google.com/forms/d/e/1FAIpQLSeQ0wUAy9WJrwwZ_8x6kCxvJSihLYtbLF2nbMncVH08fybLWQ/viewform?edit2=2_ABaOnuf_HJtVU7Pbzh29Zlndnz-fnVZUKkdvySQhWOzcfoqv5BDTK9nxV-ScrKr2H9D_K8A" TargetMode="External"/><Relationship Id="rId191" Type="http://schemas.openxmlformats.org/officeDocument/2006/relationships/hyperlink" Target="https://docs.google.com/forms/d/e/1FAIpQLSeQ0wUAy9WJrwwZ_8x6kCxvJSihLYtbLF2nbMncVH08fybLWQ/viewform?edit2=2_ABaOnueT8AQrAPKkOXKIou0Ljy_cyOwwnfRoXg6UUcU_yuTOXPDA5O-eb5ZxL-wIVgQa--w" TargetMode="External"/><Relationship Id="rId187" Type="http://schemas.openxmlformats.org/officeDocument/2006/relationships/hyperlink" Target="https://docs.google.com/forms/d/e/1FAIpQLSeQ0wUAy9WJrwwZ_8x6kCxvJSihLYtbLF2nbMncVH08fybLWQ/viewform?edit2=2_ABaOnucOfATbQBLlhijUMFmDsfitGtWqvHZN-yzdNVpEUsPysmdxFz5lY7xPY8-vUqrKV2c" TargetMode="External"/><Relationship Id="rId186" Type="http://schemas.openxmlformats.org/officeDocument/2006/relationships/hyperlink" Target="https://docs.google.com/forms/d/e/1FAIpQLSeQ0wUAy9WJrwwZ_8x6kCxvJSihLYtbLF2nbMncVH08fybLWQ/viewform?edit2=2_ABaOnudrpChFgjSPGylDAKfJxglVuFREbzwhilpqUZWWpFbKf4Mldj3wHNtFU5OV11z1NEQ" TargetMode="External"/><Relationship Id="rId185" Type="http://schemas.openxmlformats.org/officeDocument/2006/relationships/hyperlink" Target="https://docs.google.com/forms/d/e/1FAIpQLSeQ0wUAy9WJrwwZ_8x6kCxvJSihLYtbLF2nbMncVH08fybLWQ/viewform?edit2=2_ABaOnudiM9nr3z_r171_I7q94AQqlybDvHR-HaVBBF8yyMWZkTqX5SASzQF-WImLmWNhEqc" TargetMode="External"/><Relationship Id="rId184" Type="http://schemas.openxmlformats.org/officeDocument/2006/relationships/hyperlink" Target="https://docs.google.com/forms/d/e/1FAIpQLSeQ0wUAy9WJrwwZ_8x6kCxvJSihLYtbLF2nbMncVH08fybLWQ/viewform?edit2=2_ABaOnue_MMUxVAVf84KpHqkxLLonL5xXOffnBuBtBPVeqpxDejsXYpRvbYeSIn8ktT6ZwRU" TargetMode="External"/><Relationship Id="rId189" Type="http://schemas.openxmlformats.org/officeDocument/2006/relationships/hyperlink" Target="https://docs.google.com/forms/d/e/1FAIpQLSeQ0wUAy9WJrwwZ_8x6kCxvJSihLYtbLF2nbMncVH08fybLWQ/viewform?edit2=2_ABaOnucnYiA1OV4C4C_4Hb4W8GRXWOwElinUyIZTd11IM1HaGbqErGGJyUbnmpYyklfMNMg" TargetMode="External"/><Relationship Id="rId188" Type="http://schemas.openxmlformats.org/officeDocument/2006/relationships/hyperlink" Target="https://docs.google.com/forms/d/e/1FAIpQLSeQ0wUAy9WJrwwZ_8x6kCxvJSihLYtbLF2nbMncVH08fybLWQ/viewform?edit2=2_ABaOnuc120N4pHsySMEW5lYaXrdbntkl1pai4SGzGOPJk7JGs2XUH4QA5RiwsBI3OGkGwac" TargetMode="External"/><Relationship Id="rId183" Type="http://schemas.openxmlformats.org/officeDocument/2006/relationships/hyperlink" Target="https://docs.google.com/forms/d/e/1FAIpQLSeQ0wUAy9WJrwwZ_8x6kCxvJSihLYtbLF2nbMncVH08fybLWQ/viewform?edit2=2_ABaOnucqVtl4zUDh0tJMPCSLV6RLyrm1JgRjDqXkM8PXHJq5hcgE84yQVd84qv2OOcMc2jQ" TargetMode="External"/><Relationship Id="rId182" Type="http://schemas.openxmlformats.org/officeDocument/2006/relationships/hyperlink" Target="https://docs.google.com/forms/d/e/1FAIpQLSeQ0wUAy9WJrwwZ_8x6kCxvJSihLYtbLF2nbMncVH08fybLWQ/viewform?edit2=2_ABaOnufNYO0qo3tR1eeQhGFZ2k7rO62Xeaj4BNFuJtluMJCJGxelGboGOTzetC9rf9hbX3U" TargetMode="External"/><Relationship Id="rId181" Type="http://schemas.openxmlformats.org/officeDocument/2006/relationships/hyperlink" Target="https://docs.google.com/forms/d/e/1FAIpQLSeQ0wUAy9WJrwwZ_8x6kCxvJSihLYtbLF2nbMncVH08fybLWQ/viewform?edit2=2_ABaOnudp-l9YAxRz_Yn1DK8IKQcB5qqSGGHK3ezN5PC8Ff-Z-IkwJ7Av6GnhzalIdu5W__g" TargetMode="External"/><Relationship Id="rId180" Type="http://schemas.openxmlformats.org/officeDocument/2006/relationships/hyperlink" Target="https://docs.google.com/forms/d/e/1FAIpQLSeQ0wUAy9WJrwwZ_8x6kCxvJSihLYtbLF2nbMncVH08fybLWQ/viewform?edit2=2_ABaOnuclFc15YA5nATqiNKij17YlJxKH7y_89fUIcx4l0j-iblxEWaFwNYR4BhykdAcXsL4" TargetMode="External"/><Relationship Id="rId176" Type="http://schemas.openxmlformats.org/officeDocument/2006/relationships/hyperlink" Target="https://docs.google.com/forms/d/e/1FAIpQLSeQ0wUAy9WJrwwZ_8x6kCxvJSihLYtbLF2nbMncVH08fybLWQ/viewform?edit2=2_ABaOnudpwaB_kny2CYTlR_fYtyRoZJ8CtfrEkKNu1tWPTUr4cSJ2efCVEG7hvdnfrPr0hRw" TargetMode="External"/><Relationship Id="rId175" Type="http://schemas.openxmlformats.org/officeDocument/2006/relationships/hyperlink" Target="https://docs.google.com/forms/d/e/1FAIpQLSeQ0wUAy9WJrwwZ_8x6kCxvJSihLYtbLF2nbMncVH08fybLWQ/viewform?edit2=2_ABaOnudWxyJFpS5GFdF6OPnwfE_DyZ-MQA64meCm9yQ8S03rRGriePmL-G773MO--Mbp8eU" TargetMode="External"/><Relationship Id="rId174" Type="http://schemas.openxmlformats.org/officeDocument/2006/relationships/hyperlink" Target="https://docs.google.com/forms/d/e/1FAIpQLSeQ0wUAy9WJrwwZ_8x6kCxvJSihLYtbLF2nbMncVH08fybLWQ/viewform?edit2=2_ABaOnufzx9DlOA2eaLm4f3F-5JPW3Oxa8K2wDefm_eGATLBxpTRdnQDBBdxIIVr8MzkiyvY" TargetMode="External"/><Relationship Id="rId173" Type="http://schemas.openxmlformats.org/officeDocument/2006/relationships/hyperlink" Target="https://docs.google.com/forms/d/e/1FAIpQLSeQ0wUAy9WJrwwZ_8x6kCxvJSihLYtbLF2nbMncVH08fybLWQ/viewform?edit2=2_ABaOnucLimBFsPH5JdnEFUhH3TPYPf6MAdbupjWzy4OprRoyrgLtNS7yeEfI3JQPQnrpJxA" TargetMode="External"/><Relationship Id="rId179" Type="http://schemas.openxmlformats.org/officeDocument/2006/relationships/hyperlink" Target="https://docs.google.com/forms/d/e/1FAIpQLSeQ0wUAy9WJrwwZ_8x6kCxvJSihLYtbLF2nbMncVH08fybLWQ/viewform?edit2=2_ABaOnucfa3_6L7vGwMYb8MA_v5AbY47MfgsyvfBlI3j9F2G2NY7isurKueRiiDlkZUZurl8" TargetMode="External"/><Relationship Id="rId178" Type="http://schemas.openxmlformats.org/officeDocument/2006/relationships/hyperlink" Target="https://docs.google.com/forms/d/e/1FAIpQLSeQ0wUAy9WJrwwZ_8x6kCxvJSihLYtbLF2nbMncVH08fybLWQ/viewform?edit2=2_ABaOnuf4K9IQUxscp3lgAagSkUYhOJsAWEP1fgwLwYzdDe1euM5mrusTGPZhnGX2Rw0o-tQ" TargetMode="External"/><Relationship Id="rId177" Type="http://schemas.openxmlformats.org/officeDocument/2006/relationships/hyperlink" Target="https://docs.google.com/forms/d/e/1FAIpQLSeQ0wUAy9WJrwwZ_8x6kCxvJSihLYtbLF2nbMncVH08fybLWQ/viewform?edit2=2_ABaOnudBwg-EdR1rVQz2EbSfV_K6R0oaKiUryY2YK24iynl4bwlR3HFKgEz8uf0oY2REg78" TargetMode="External"/><Relationship Id="rId198" Type="http://schemas.openxmlformats.org/officeDocument/2006/relationships/hyperlink" Target="https://docs.google.com/forms/d/e/1FAIpQLSeQ0wUAy9WJrwwZ_8x6kCxvJSihLYtbLF2nbMncVH08fybLWQ/viewform?edit2=2_ABaOnufNut66MTSlk-TcieDjMQTyFFuRG3tqUbMUKHvcepw5dBkuJ96lBqaLdgxoouPXKL0" TargetMode="External"/><Relationship Id="rId197" Type="http://schemas.openxmlformats.org/officeDocument/2006/relationships/hyperlink" Target="https://docs.google.com/forms/d/e/1FAIpQLSeQ0wUAy9WJrwwZ_8x6kCxvJSihLYtbLF2nbMncVH08fybLWQ/viewform?edit2=2_ABaOnuc4vDjrG5xIHayWXXJKnkg4kzc1S_x3722JChUO24G_18dfEUeCQOtTHpFVZDCuCJI" TargetMode="External"/><Relationship Id="rId196" Type="http://schemas.openxmlformats.org/officeDocument/2006/relationships/hyperlink" Target="https://docs.google.com/forms/d/e/1FAIpQLSeQ0wUAy9WJrwwZ_8x6kCxvJSihLYtbLF2nbMncVH08fybLWQ/viewform?edit2=2_ABaOnuchDGCTwbul0DknTph5fF7C028TCBh3UMu1Z70_WGmX0IurYv9UgcUG3y5NwoMyN8M" TargetMode="External"/><Relationship Id="rId195" Type="http://schemas.openxmlformats.org/officeDocument/2006/relationships/hyperlink" Target="https://docs.google.com/forms/d/e/1FAIpQLSeQ0wUAy9WJrwwZ_8x6kCxvJSihLYtbLF2nbMncVH08fybLWQ/viewform?edit2=2_ABaOnudxohUfxUZ6fJI8GzIfQB9OyTOTDL7XkHVpJguFowe0LSy2QFsdDbPQ1370ZZS_DgI" TargetMode="External"/><Relationship Id="rId199" Type="http://schemas.openxmlformats.org/officeDocument/2006/relationships/hyperlink" Target="https://drive.google.com/open?id=1f-CTGJCPGjgoUiyzw3z0KmHJi3czi8OZ" TargetMode="External"/><Relationship Id="rId150" Type="http://schemas.openxmlformats.org/officeDocument/2006/relationships/hyperlink" Target="https://docs.google.com/forms/d/e/1FAIpQLSeQ0wUAy9WJrwwZ_8x6kCxvJSihLYtbLF2nbMncVH08fybLWQ/viewform?edit2=2_ABaOnufvHELdC2KukImrlOUN3SMv-XY7Iv1wjcRCMfCV0zf7khfRJ8Jg73Fi2zZKRcP3bgc" TargetMode="External"/><Relationship Id="rId392" Type="http://schemas.openxmlformats.org/officeDocument/2006/relationships/hyperlink" Target="https://docs.google.com/forms/d/e/1FAIpQLSeQ0wUAy9WJrwwZ_8x6kCxvJSihLYtbLF2nbMncVH08fybLWQ/viewform?edit2=2_ABaOnufv287642YoclwTHsU1En6BJJA4ZFFo5iuPbTA-zjNdc55BhEIvO9Mep2rIJNyzjFY" TargetMode="External"/><Relationship Id="rId391" Type="http://schemas.openxmlformats.org/officeDocument/2006/relationships/hyperlink" Target="https://docs.google.com/forms/d/e/1FAIpQLSeQ0wUAy9WJrwwZ_8x6kCxvJSihLYtbLF2nbMncVH08fybLWQ/viewform?edit2=2_ABaOnucp1_jnLdCLM6KZ-fz9jsds2aAdv42foO0w87vR6gUF4jlU9jXHWWDKFjYxCXMLO3M" TargetMode="External"/><Relationship Id="rId390" Type="http://schemas.openxmlformats.org/officeDocument/2006/relationships/hyperlink" Target="https://docs.google.com/forms/d/e/1FAIpQLSeQ0wUAy9WJrwwZ_8x6kCxvJSihLYtbLF2nbMncVH08fybLWQ/viewform?edit2=2_ABaOnuf9gNsBBUO-CK4b97uMbjp5A8LS9l6Va7BQGGe4FYXybX03dEFbgsVrEOn1NIIdjV4" TargetMode="External"/><Relationship Id="rId1" Type="http://schemas.openxmlformats.org/officeDocument/2006/relationships/comments" Target="../comments1.xml"/><Relationship Id="rId2" Type="http://schemas.openxmlformats.org/officeDocument/2006/relationships/hyperlink" Target="https://docs.google.com/forms/d/e/1FAIpQLSeQ0wUAy9WJrwwZ_8x6kCxvJSihLYtbLF2nbMncVH08fybLWQ/viewform?edit2=2_ABaOnucOBtuzIBq648ZrMfcYHOkW9UiP3oPSq_Lj9KHly_tPcKrmgp2EdiB5cOtOKJ0hAaw" TargetMode="External"/><Relationship Id="rId3" Type="http://schemas.openxmlformats.org/officeDocument/2006/relationships/hyperlink" Target="https://docs.google.com/forms/d/e/1FAIpQLSeQ0wUAy9WJrwwZ_8x6kCxvJSihLYtbLF2nbMncVH08fybLWQ/viewform?edit2=2_ABaOnucjSholQ0zznOsx1FWO_yTZ6SDKtCeJJ5kjGajuBRYP2y8S8fehKqvKRlknV7fXnrY" TargetMode="External"/><Relationship Id="rId149" Type="http://schemas.openxmlformats.org/officeDocument/2006/relationships/hyperlink" Target="https://docs.google.com/forms/d/e/1FAIpQLSeQ0wUAy9WJrwwZ_8x6kCxvJSihLYtbLF2nbMncVH08fybLWQ/viewform?edit2=2_ABaOnuf6UbnJhnIP3UnDMVrm29t8ai6PWmSZ0i1c4U7oDyHU1Tm-2cspka9DN6UUR7wSUh8" TargetMode="External"/><Relationship Id="rId4" Type="http://schemas.openxmlformats.org/officeDocument/2006/relationships/hyperlink" Target="https://docs.google.com/forms/d/e/1FAIpQLSeQ0wUAy9WJrwwZ_8x6kCxvJSihLYtbLF2nbMncVH08fybLWQ/viewform?edit2=2_ABaOnudzstLQLbsbfevudiqxmMbvo4c8F070bC6Ec9-XWfWjuyfadq2gpm97VcnByzM_lWg" TargetMode="External"/><Relationship Id="rId148" Type="http://schemas.openxmlformats.org/officeDocument/2006/relationships/hyperlink" Target="https://docs.google.com/forms/d/e/1FAIpQLSeQ0wUAy9WJrwwZ_8x6kCxvJSihLYtbLF2nbMncVH08fybLWQ/viewform?edit2=2_ABaOnucs4-Czsivwhv8za7Ud3ZzKdllskGtY-bocRZH5Oka_Q-L52ocMdyaRzsjsRI8Dc00" TargetMode="External"/><Relationship Id="rId9" Type="http://schemas.openxmlformats.org/officeDocument/2006/relationships/hyperlink" Target="https://docs.google.com/forms/d/e/1FAIpQLSeQ0wUAy9WJrwwZ_8x6kCxvJSihLYtbLF2nbMncVH08fybLWQ/viewform?edit2=2_ABaOnud8T0R4en4Ba9JioWznv4aRt7hUzMQd9p6Lw2O9OW9GThL9t6GXSQiRVroTw_32_XI" TargetMode="External"/><Relationship Id="rId143" Type="http://schemas.openxmlformats.org/officeDocument/2006/relationships/hyperlink" Target="https://docs.google.com/forms/d/e/1FAIpQLSeQ0wUAy9WJrwwZ_8x6kCxvJSihLYtbLF2nbMncVH08fybLWQ/viewform?edit2=2_ABaOnudkMVyVt12F5x-zyK_LYsMC28Y4pQxAGwZtgfphP12y4wcXNByOkwqYFUz2z7GWyT8" TargetMode="External"/><Relationship Id="rId385" Type="http://schemas.openxmlformats.org/officeDocument/2006/relationships/hyperlink" Target="https://docs.google.com/forms/d/e/1FAIpQLSeQ0wUAy9WJrwwZ_8x6kCxvJSihLYtbLF2nbMncVH08fybLWQ/viewform?edit2=2_ABaOnuerGP2Y5mzfZPEo1CQhdPq9EMTkZ3wh4y9oAvwVffsbk3lYC_hbuHeAkJs7W0e2P6I" TargetMode="External"/><Relationship Id="rId142" Type="http://schemas.openxmlformats.org/officeDocument/2006/relationships/hyperlink" Target="https://docs.google.com/forms/d/e/1FAIpQLSeQ0wUAy9WJrwwZ_8x6kCxvJSihLYtbLF2nbMncVH08fybLWQ/viewform?edit2=2_ABaOnue-0x5GSG6eq_xyWBPJ81qnrjIDcJTPZVMu0t8r4x6ktstojpIZBjjzbqLzlJYIzD0" TargetMode="External"/><Relationship Id="rId384" Type="http://schemas.openxmlformats.org/officeDocument/2006/relationships/hyperlink" Target="https://docs.google.com/forms/d/e/1FAIpQLSeQ0wUAy9WJrwwZ_8x6kCxvJSihLYtbLF2nbMncVH08fybLWQ/viewform?edit2=2_ABaOnucdlOzW6AS0FHT001f_c-QBfv3I2G6qBiHZDBY6eDiL0IjcNm7F3If62Xg3okLlQoo" TargetMode="External"/><Relationship Id="rId141" Type="http://schemas.openxmlformats.org/officeDocument/2006/relationships/hyperlink" Target="https://docs.google.com/forms/d/e/1FAIpQLSeQ0wUAy9WJrwwZ_8x6kCxvJSihLYtbLF2nbMncVH08fybLWQ/viewform?edit2=2_ABaOnuf4o6eOsCvYkWAXRpUy6aHwZGQgOdC4PmyX06Ht4So5M5opjC04PC-D4O1ZiLh0EZ0" TargetMode="External"/><Relationship Id="rId383" Type="http://schemas.openxmlformats.org/officeDocument/2006/relationships/hyperlink" Target="https://docs.google.com/forms/d/e/1FAIpQLSeQ0wUAy9WJrwwZ_8x6kCxvJSihLYtbLF2nbMncVH08fybLWQ/viewform?edit2=2_ABaOnueKZaBCFNOlskuofdaZiITXFK_7d1xgIrik13oh048Hfof1xFtjzmAacO81abNx1iE" TargetMode="External"/><Relationship Id="rId140" Type="http://schemas.openxmlformats.org/officeDocument/2006/relationships/hyperlink" Target="https://docs.google.com/forms/d/e/1FAIpQLSeQ0wUAy9WJrwwZ_8x6kCxvJSihLYtbLF2nbMncVH08fybLWQ/viewform?edit2=2_ABaOnue22mCgTCFZdB6c2v-nzc--IKcb4el2_W6zy9u3qHselb8wXIMYPlYFFcG_g1i3Frg" TargetMode="External"/><Relationship Id="rId382" Type="http://schemas.openxmlformats.org/officeDocument/2006/relationships/hyperlink" Target="https://docs.google.com/forms/d/e/1FAIpQLSeQ0wUAy9WJrwwZ_8x6kCxvJSihLYtbLF2nbMncVH08fybLWQ/viewform?edit2=2_ABaOnucfCA2ZhseYcuTISkjBV_1cdmkmbx-mbJH-CZiLyc6z3lYPv3J__O-CYJVZKeiNlhc" TargetMode="External"/><Relationship Id="rId5" Type="http://schemas.openxmlformats.org/officeDocument/2006/relationships/hyperlink" Target="https://docs.google.com/forms/d/e/1FAIpQLSeQ0wUAy9WJrwwZ_8x6kCxvJSihLYtbLF2nbMncVH08fybLWQ/viewform?edit2=2_ABaOnuef_QZ5PJqCr0A29KrVkoIpdtcp6RFnaomNPQxqa9dhkZAJyO8lFtRmuMfh2Yru4fY" TargetMode="External"/><Relationship Id="rId147" Type="http://schemas.openxmlformats.org/officeDocument/2006/relationships/hyperlink" Target="https://docs.google.com/forms/d/e/1FAIpQLSeQ0wUAy9WJrwwZ_8x6kCxvJSihLYtbLF2nbMncVH08fybLWQ/viewform?edit2=2_ABaOnudJEXsPlR7JaXKBRtuXcOyBG3-ITrJkpZb0Z_qiUah13nXcdu4J_45L7pzKqIwHMzg" TargetMode="External"/><Relationship Id="rId389" Type="http://schemas.openxmlformats.org/officeDocument/2006/relationships/hyperlink" Target="https://docs.google.com/forms/d/e/1FAIpQLSeQ0wUAy9WJrwwZ_8x6kCxvJSihLYtbLF2nbMncVH08fybLWQ/viewform?edit2=2_ABaOnufy1c-7yMiHHyj8wfqkTVXECHJ2en4NQFgbJdNIaJQ5En3DwATIlnL50J1l2wjhl5Q" TargetMode="External"/><Relationship Id="rId6" Type="http://schemas.openxmlformats.org/officeDocument/2006/relationships/hyperlink" Target="https://docs.google.com/forms/d/e/1FAIpQLSeQ0wUAy9WJrwwZ_8x6kCxvJSihLYtbLF2nbMncVH08fybLWQ/viewform?edit2=2_ABaOnudv1eVSFQipyUBIKXWvcu6u4piRqVxPSAeLKoubF7n7aMVzCRm0IPuzhKWCHkLXvKA" TargetMode="External"/><Relationship Id="rId146" Type="http://schemas.openxmlformats.org/officeDocument/2006/relationships/hyperlink" Target="https://docs.google.com/forms/d/e/1FAIpQLSeQ0wUAy9WJrwwZ_8x6kCxvJSihLYtbLF2nbMncVH08fybLWQ/viewform?edit2=2_ABaOnuebkBJm_UWI1ofuU6NjTIbgq9oGSjYylkUubjPCxWQsyAt18uomP7w2YPQbZ2kNMX8" TargetMode="External"/><Relationship Id="rId388" Type="http://schemas.openxmlformats.org/officeDocument/2006/relationships/hyperlink" Target="https://docs.google.com/forms/d/e/1FAIpQLSeQ0wUAy9WJrwwZ_8x6kCxvJSihLYtbLF2nbMncVH08fybLWQ/viewform?edit2=2_ABaOnuc5l-iqfoBo5CnuhCeNwivpv59UFY2aFhxay71jngCHOsbRsTH1eEA6v058ZUqEGPE" TargetMode="External"/><Relationship Id="rId7" Type="http://schemas.openxmlformats.org/officeDocument/2006/relationships/hyperlink" Target="https://docs.google.com/forms/d/e/1FAIpQLSeQ0wUAy9WJrwwZ_8x6kCxvJSihLYtbLF2nbMncVH08fybLWQ/viewform?edit2=2_ABaOnudmPtp-Yo7RJhF-TX7kjoSvgyWU41wdPmDThSvksNUM6S-QQGMiBZOiP6FluTV5ZtM" TargetMode="External"/><Relationship Id="rId145" Type="http://schemas.openxmlformats.org/officeDocument/2006/relationships/hyperlink" Target="https://docs.google.com/forms/d/e/1FAIpQLSeQ0wUAy9WJrwwZ_8x6kCxvJSihLYtbLF2nbMncVH08fybLWQ/viewform?edit2=2_ABaOnuebEpCZqVcRCEvtGZxaJtVEpFF-qjzXHy292Adv2Meizp61kyoSaxr7BAxi70mEgYA" TargetMode="External"/><Relationship Id="rId387" Type="http://schemas.openxmlformats.org/officeDocument/2006/relationships/hyperlink" Target="https://docs.google.com/forms/d/e/1FAIpQLSeQ0wUAy9WJrwwZ_8x6kCxvJSihLYtbLF2nbMncVH08fybLWQ/viewform?edit2=2_ABaOnueQHF2QLNzr1IZWAmWyH0alg0CFwqCnScUJPfNIQb7DdRqBygbPbYCzqM05sHR_8Iw" TargetMode="External"/><Relationship Id="rId8" Type="http://schemas.openxmlformats.org/officeDocument/2006/relationships/hyperlink" Target="https://docs.google.com/forms/d/e/1FAIpQLSeQ0wUAy9WJrwwZ_8x6kCxvJSihLYtbLF2nbMncVH08fybLWQ/viewform?edit2=2_ABaOnudCq-EU8GSLgt4-aW5ke8lVNZrfPZ2MVjHS6gbu6xW3APTVvBbmTKhyuTVo2QBWzf4" TargetMode="External"/><Relationship Id="rId144" Type="http://schemas.openxmlformats.org/officeDocument/2006/relationships/hyperlink" Target="https://docs.google.com/forms/d/e/1FAIpQLSeQ0wUAy9WJrwwZ_8x6kCxvJSihLYtbLF2nbMncVH08fybLWQ/viewform?edit2=2_ABaOnufS2rV5S94b8-2NU5ENUKFU6xMzu78xmFObStILOw5WhNVmy-Bcsr9bluK8CzNZaxw" TargetMode="External"/><Relationship Id="rId386" Type="http://schemas.openxmlformats.org/officeDocument/2006/relationships/hyperlink" Target="https://docs.google.com/forms/d/e/1FAIpQLSeQ0wUAy9WJrwwZ_8x6kCxvJSihLYtbLF2nbMncVH08fybLWQ/viewform?edit2=2_ABaOnue4yTywGOJ_k0uEvNFTpr0WlVutX_vjzdvjqDcnsSoLWbj7t-moXfQhKRF4i0rbyCo" TargetMode="External"/><Relationship Id="rId381" Type="http://schemas.openxmlformats.org/officeDocument/2006/relationships/hyperlink" Target="https://docs.google.com/forms/d/e/1FAIpQLSeQ0wUAy9WJrwwZ_8x6kCxvJSihLYtbLF2nbMncVH08fybLWQ/viewform?edit2=2_ABaOnufZyxMcKCyUrwJa1ipHmpKvlQQHSptOEYJgQ5pPFTKMfCxTva6-5McpuAQnvPXyGc0" TargetMode="External"/><Relationship Id="rId380" Type="http://schemas.openxmlformats.org/officeDocument/2006/relationships/hyperlink" Target="https://docs.google.com/forms/d/e/1FAIpQLSeQ0wUAy9WJrwwZ_8x6kCxvJSihLYtbLF2nbMncVH08fybLWQ/viewform?edit2=2_ABaOnuf-13rkB_yiiNwdv2H4TEJu3xv0mAgPmjpYGhue1u54NP_ksz2KNsBsJZSDygKlAtQ" TargetMode="External"/><Relationship Id="rId139" Type="http://schemas.openxmlformats.org/officeDocument/2006/relationships/hyperlink" Target="https://docs.google.com/forms/d/e/1FAIpQLSeQ0wUAy9WJrwwZ_8x6kCxvJSihLYtbLF2nbMncVH08fybLWQ/viewform?edit2=2_ABaOnud12HWCTJygORKFZr2q_E1U0svqLtC0f1qjfR1-0MC3QmqOdOofjWOoh3_2H501uIk" TargetMode="External"/><Relationship Id="rId138" Type="http://schemas.openxmlformats.org/officeDocument/2006/relationships/hyperlink" Target="https://docs.google.com/forms/d/e/1FAIpQLSeQ0wUAy9WJrwwZ_8x6kCxvJSihLYtbLF2nbMncVH08fybLWQ/viewform?edit2=2_ABaOnud425VHiJpeD_MaGD7Jw8dAw0oFtgGYWoFnxRPDPATSWDHGkWVj8jufm831sANXYl4" TargetMode="External"/><Relationship Id="rId137" Type="http://schemas.openxmlformats.org/officeDocument/2006/relationships/hyperlink" Target="https://docs.google.com/forms/d/e/1FAIpQLSeQ0wUAy9WJrwwZ_8x6kCxvJSihLYtbLF2nbMncVH08fybLWQ/viewform?edit2=2_ABaOnudAzcWV8-1AdLzhkA1LiIFtrZL9n0fWNs8HITKnagngor1EufqHciLrazlNOR59IhQ" TargetMode="External"/><Relationship Id="rId379" Type="http://schemas.openxmlformats.org/officeDocument/2006/relationships/hyperlink" Target="https://docs.google.com/forms/d/e/1FAIpQLSeQ0wUAy9WJrwwZ_8x6kCxvJSihLYtbLF2nbMncVH08fybLWQ/viewform?edit2=2_ABaOnue3VF-1a8VSaNU8fSWLcCAAsX_VTIBFqvVLv6COk_pl8nPjGBKwdGjCzOxhPSWEhFE" TargetMode="External"/><Relationship Id="rId132" Type="http://schemas.openxmlformats.org/officeDocument/2006/relationships/hyperlink" Target="https://docs.google.com/forms/d/e/1FAIpQLSeQ0wUAy9WJrwwZ_8x6kCxvJSihLYtbLF2nbMncVH08fybLWQ/viewform?edit2=2_ABaOnueVDM3qobpBHN2_04avpXRs_lt70xTyPYenmxaay2u03e0R03e5Ld1hKSQNwHG0AIQ" TargetMode="External"/><Relationship Id="rId374" Type="http://schemas.openxmlformats.org/officeDocument/2006/relationships/hyperlink" Target="https://docs.google.com/forms/d/e/1FAIpQLSeQ0wUAy9WJrwwZ_8x6kCxvJSihLYtbLF2nbMncVH08fybLWQ/viewform?edit2=2_ABaOnueH4QcrA9UqtBcr49N-wqfYjxJjOQe8IkphXbOrYeZm6J9w_XbfsZeqzCWv5dcmGjc" TargetMode="External"/><Relationship Id="rId131" Type="http://schemas.openxmlformats.org/officeDocument/2006/relationships/hyperlink" Target="https://docs.google.com/forms/d/e/1FAIpQLSeQ0wUAy9WJrwwZ_8x6kCxvJSihLYtbLF2nbMncVH08fybLWQ/viewform?edit2=2_ABaOnufc958Id1KBJkq8FEMJORjTFpflFJb9-EuBACVdUs1wzq80sh1Eiof6PpG-3hOVzzo" TargetMode="External"/><Relationship Id="rId373" Type="http://schemas.openxmlformats.org/officeDocument/2006/relationships/hyperlink" Target="https://docs.google.com/forms/d/e/1FAIpQLSeQ0wUAy9WJrwwZ_8x6kCxvJSihLYtbLF2nbMncVH08fybLWQ/viewform?edit2=2_ABaOnucxpD35-cIW1GfsPeHP6eC95GH6Hrjlz24ForeECnmx2ISjhHJ8U31I55F0_FYyjrk" TargetMode="External"/><Relationship Id="rId130" Type="http://schemas.openxmlformats.org/officeDocument/2006/relationships/hyperlink" Target="https://docs.google.com/forms/d/e/1FAIpQLSeQ0wUAy9WJrwwZ_8x6kCxvJSihLYtbLF2nbMncVH08fybLWQ/viewform?edit2=2_ABaOnuc59vLUiWy9W2gIuy0DXPF7fJ446Ro38etXFzFkhbzcS7L4_tmtPxiXInp_zcsc71Q" TargetMode="External"/><Relationship Id="rId372" Type="http://schemas.openxmlformats.org/officeDocument/2006/relationships/hyperlink" Target="https://docs.google.com/forms/d/e/1FAIpQLSeQ0wUAy9WJrwwZ_8x6kCxvJSihLYtbLF2nbMncVH08fybLWQ/viewform?edit2=2_ABaOnuccC8EyxjQygJGVOqeWk8TILCWwk1sWbMxxu359h44kdE4EgzBdGA-GkBe5Buh44sA" TargetMode="External"/><Relationship Id="rId371" Type="http://schemas.openxmlformats.org/officeDocument/2006/relationships/hyperlink" Target="https://docs.google.com/forms/d/e/1FAIpQLSeQ0wUAy9WJrwwZ_8x6kCxvJSihLYtbLF2nbMncVH08fybLWQ/viewform?edit2=2_ABaOnueYM5NmDI6YoUZoDxc5I_pru10MhiINCeMIGu4rkdpr87PoxnFwuSjbDWdgf1yrKXo" TargetMode="External"/><Relationship Id="rId136" Type="http://schemas.openxmlformats.org/officeDocument/2006/relationships/hyperlink" Target="https://docs.google.com/forms/d/e/1FAIpQLSeQ0wUAy9WJrwwZ_8x6kCxvJSihLYtbLF2nbMncVH08fybLWQ/viewform?edit2=2_ABaOnueNirZK8EdOOoEAJsKMtpZB_Q2KZ-BvYQaDoMMNPqB9MlUviKg0DM8nMMeJPBvxGjg" TargetMode="External"/><Relationship Id="rId378" Type="http://schemas.openxmlformats.org/officeDocument/2006/relationships/hyperlink" Target="https://drive.google.com/open?id=1gceaUda_kuXYy8qbU19DNTJrlPNBEvve" TargetMode="External"/><Relationship Id="rId135" Type="http://schemas.openxmlformats.org/officeDocument/2006/relationships/hyperlink" Target="https://docs.google.com/forms/d/e/1FAIpQLSeQ0wUAy9WJrwwZ_8x6kCxvJSihLYtbLF2nbMncVH08fybLWQ/viewform?edit2=2_ABaOnudl1Lzsi_OcA9C5KuRbx0gdME4b5W0-3v7IM7xhkt9purTPIrOfm3YHVPR3tK8G18o" TargetMode="External"/><Relationship Id="rId377" Type="http://schemas.openxmlformats.org/officeDocument/2006/relationships/hyperlink" Target="https://docs.google.com/forms/d/e/1FAIpQLSeQ0wUAy9WJrwwZ_8x6kCxvJSihLYtbLF2nbMncVH08fybLWQ/viewform?edit2=2_ABaOnud8r3Y3MtecHFKWBQEywnzh4AoCnfKjr7iydxSY3512Vk3ilY6f0kFVLO21WTNIwpE" TargetMode="External"/><Relationship Id="rId134" Type="http://schemas.openxmlformats.org/officeDocument/2006/relationships/hyperlink" Target="https://docs.google.com/forms/d/e/1FAIpQLSeQ0wUAy9WJrwwZ_8x6kCxvJSihLYtbLF2nbMncVH08fybLWQ/viewform?edit2=2_ABaOnudajISv8apmWckrbw6vVXFctkKW-5VLLxODWV60IzfMVwt0DNEx5zjeMuOxKxYJ6w0" TargetMode="External"/><Relationship Id="rId376" Type="http://schemas.openxmlformats.org/officeDocument/2006/relationships/hyperlink" Target="https://docs.google.com/forms/d/e/1FAIpQLSeQ0wUAy9WJrwwZ_8x6kCxvJSihLYtbLF2nbMncVH08fybLWQ/viewform?edit2=2_ABaOnucdjJD6uyywdOlbmZa5-VDWUkqLTkiCGGwOQIvMMAEmXvXjd-QMXIaxdYSIkHlAzII" TargetMode="External"/><Relationship Id="rId133" Type="http://schemas.openxmlformats.org/officeDocument/2006/relationships/hyperlink" Target="https://docs.google.com/forms/d/e/1FAIpQLSeQ0wUAy9WJrwwZ_8x6kCxvJSihLYtbLF2nbMncVH08fybLWQ/viewform?edit2=2_ABaOnucJOpS2S432JokYCa-L103PNRc0F5_Azz0FYYLvBnLiI0ODDujsYjFTv2r9DUpLnl0" TargetMode="External"/><Relationship Id="rId375" Type="http://schemas.openxmlformats.org/officeDocument/2006/relationships/hyperlink" Target="https://docs.google.com/forms/d/e/1FAIpQLSeQ0wUAy9WJrwwZ_8x6kCxvJSihLYtbLF2nbMncVH08fybLWQ/viewform?edit2=2_ABaOnueSnwpGvYdHghZunm6JwgHDdD2VZ72i6fEmEt_EjwtIxSUVsaD5mggw3mKeQFidVFU" TargetMode="External"/><Relationship Id="rId172" Type="http://schemas.openxmlformats.org/officeDocument/2006/relationships/hyperlink" Target="https://docs.google.com/forms/d/e/1FAIpQLSeQ0wUAy9WJrwwZ_8x6kCxvJSihLYtbLF2nbMncVH08fybLWQ/viewform?edit2=2_ABaOnucabDor148zl2H1-mFap_33ZocyhZ5V8TzzCOg1rNG1YJEfpnTYbLvNGB5XJCh_RT8" TargetMode="External"/><Relationship Id="rId171" Type="http://schemas.openxmlformats.org/officeDocument/2006/relationships/hyperlink" Target="https://docs.google.com/forms/d/e/1FAIpQLSeQ0wUAy9WJrwwZ_8x6kCxvJSihLYtbLF2nbMncVH08fybLWQ/viewform?edit2=2_ABaOnudQujpj6FgLhYKtR9_hi7ZYs2XMoMY1KLU7BKDI1vinqonzgHV2CcNYVrNkqbOmu4g" TargetMode="External"/><Relationship Id="rId170" Type="http://schemas.openxmlformats.org/officeDocument/2006/relationships/hyperlink" Target="https://drive.google.com/open?id=1KCMxNGvOnF7UB8f-RaA05XPATeMrJ0ls" TargetMode="External"/><Relationship Id="rId165" Type="http://schemas.openxmlformats.org/officeDocument/2006/relationships/hyperlink" Target="https://docs.google.com/forms/d/e/1FAIpQLSeQ0wUAy9WJrwwZ_8x6kCxvJSihLYtbLF2nbMncVH08fybLWQ/viewform?edit2=2_ABaOnud2DKqedDyaLfHw7KJQ44cN8rxDP4cU7Rf7GIHbRJ9s52ywbPu6d0_mAet0znzIFaU" TargetMode="External"/><Relationship Id="rId164" Type="http://schemas.openxmlformats.org/officeDocument/2006/relationships/hyperlink" Target="https://docs.google.com/forms/d/e/1FAIpQLSeQ0wUAy9WJrwwZ_8x6kCxvJSihLYtbLF2nbMncVH08fybLWQ/viewform?edit2=2_ABaOnufXgrQZLBfe3j6O5esdwRa9XOysISatVWH8eqVzPWNU6AUMlNiscwXkKiMYcXcpzDE" TargetMode="External"/><Relationship Id="rId163" Type="http://schemas.openxmlformats.org/officeDocument/2006/relationships/hyperlink" Target="https://docs.google.com/forms/d/e/1FAIpQLSeQ0wUAy9WJrwwZ_8x6kCxvJSihLYtbLF2nbMncVH08fybLWQ/viewform?edit2=2_ABaOnue82kpLd2FNOom-7NMBKCOKape8Cws_RsM636W8APd8mJL8vGg0TKFGKoDf5NbY7bY" TargetMode="External"/><Relationship Id="rId162" Type="http://schemas.openxmlformats.org/officeDocument/2006/relationships/hyperlink" Target="https://drive.google.com/open?id=1QFRBiUtC9EmkiSOhV8QOpDcHv9DFGKWR" TargetMode="External"/><Relationship Id="rId169" Type="http://schemas.openxmlformats.org/officeDocument/2006/relationships/hyperlink" Target="https://docs.google.com/forms/d/e/1FAIpQLSeQ0wUAy9WJrwwZ_8x6kCxvJSihLYtbLF2nbMncVH08fybLWQ/viewform?edit2=2_ABaOnueoB9mavJk6n8xRDngvKUOfOnQsaaE9UyNmW91cItWqNr0HZVpih0KpO0S0XjPV1NU" TargetMode="External"/><Relationship Id="rId168" Type="http://schemas.openxmlformats.org/officeDocument/2006/relationships/hyperlink" Target="https://docs.google.com/forms/d/e/1FAIpQLSeQ0wUAy9WJrwwZ_8x6kCxvJSihLYtbLF2nbMncVH08fybLWQ/viewform?edit2=2_ABaOnudO8koVurOkv9sh1eFCGO74HtdbJOSllqqvI00z792t9TNaQVaE8CU80PUUG_Uv118" TargetMode="External"/><Relationship Id="rId167" Type="http://schemas.openxmlformats.org/officeDocument/2006/relationships/hyperlink" Target="https://docs.google.com/forms/d/e/1FAIpQLSeQ0wUAy9WJrwwZ_8x6kCxvJSihLYtbLF2nbMncVH08fybLWQ/viewform?edit2=2_ABaOnueWlPwFUlvqrILajwMIKKTe5hrZt5IGPS7HFxfNO3eSwObPCfpvgbzG8IAvQqMLsnk" TargetMode="External"/><Relationship Id="rId166" Type="http://schemas.openxmlformats.org/officeDocument/2006/relationships/hyperlink" Target="https://docs.google.com/forms/d/e/1FAIpQLSeQ0wUAy9WJrwwZ_8x6kCxvJSihLYtbLF2nbMncVH08fybLWQ/viewform?edit2=2_ABaOnuc8m80TAAKx0rry9TNdYa-RCbJboH-MS5lCvlJFOPaldQFiBe9tZH7GrzsFdwIYGL4" TargetMode="External"/><Relationship Id="rId161" Type="http://schemas.openxmlformats.org/officeDocument/2006/relationships/hyperlink" Target="https://docs.google.com/forms/d/e/1FAIpQLSeQ0wUAy9WJrwwZ_8x6kCxvJSihLYtbLF2nbMncVH08fybLWQ/viewform?edit2=2_ABaOnufZe0ly-TNWwPkNFJqaqLAFCN2hWszVDs4s5j4HC96fCF88UoDRrjKU5eF5pBawnxg" TargetMode="External"/><Relationship Id="rId160" Type="http://schemas.openxmlformats.org/officeDocument/2006/relationships/hyperlink" Target="https://docs.google.com/forms/d/e/1FAIpQLSeQ0wUAy9WJrwwZ_8x6kCxvJSihLYtbLF2nbMncVH08fybLWQ/viewform?edit2=2_ABaOnuc8U1OiPZAaU5QZLaQkb5ynP9lnwksk_Qd_R31iNFiYJNnfvj1g7-KymreTQOuYt9s" TargetMode="External"/><Relationship Id="rId159" Type="http://schemas.openxmlformats.org/officeDocument/2006/relationships/hyperlink" Target="https://docs.google.com/forms/d/e/1FAIpQLSeQ0wUAy9WJrwwZ_8x6kCxvJSihLYtbLF2nbMncVH08fybLWQ/viewform?edit2=2_ABaOnufT4Lhfnf5mI8XgfSzDaA5UF1aUnNhMeQgK0c3gPtC1G0kfdKCD-EEdqfwz-ATgqqg" TargetMode="External"/><Relationship Id="rId154" Type="http://schemas.openxmlformats.org/officeDocument/2006/relationships/hyperlink" Target="https://docs.google.com/forms/d/e/1FAIpQLSeQ0wUAy9WJrwwZ_8x6kCxvJSihLYtbLF2nbMncVH08fybLWQ/viewform?edit2=2_ABaOnuc_FxBVFg0SG2Dqjr_o_QE0RQITgd8zWOEHRpZ-QNl8eRIyE--CA7vr1BQtnNSVnoE" TargetMode="External"/><Relationship Id="rId396" Type="http://schemas.openxmlformats.org/officeDocument/2006/relationships/hyperlink" Target="https://docs.google.com/forms/d/e/1FAIpQLSeQ0wUAy9WJrwwZ_8x6kCxvJSihLYtbLF2nbMncVH08fybLWQ/viewform?edit2=2_ABaOnuevmNNXcREPk6F15mzmFLO5eaVcWedKOma_qA77uRxWhj3WM8v87g3uypSCJYUHsuc" TargetMode="External"/><Relationship Id="rId153" Type="http://schemas.openxmlformats.org/officeDocument/2006/relationships/hyperlink" Target="https://docs.google.com/forms/d/e/1FAIpQLSeQ0wUAy9WJrwwZ_8x6kCxvJSihLYtbLF2nbMncVH08fybLWQ/viewform?edit2=2_ABaOnuf6Pi6SWzxBVrwCSjXN8ifqXJwTt2_r3MXfOrYYTWf08UmCf2Gy6mowImH3KFqLmUg" TargetMode="External"/><Relationship Id="rId395" Type="http://schemas.openxmlformats.org/officeDocument/2006/relationships/hyperlink" Target="https://docs.google.com/forms/d/e/1FAIpQLSeQ0wUAy9WJrwwZ_8x6kCxvJSihLYtbLF2nbMncVH08fybLWQ/viewform?edit2=2_ABaOnudDaSMj3oY-5DXfLgjxkqYE1TdlmH9juNQ66FxPwWuh3U7TOgA5TLaNlrBguLLx5ec" TargetMode="External"/><Relationship Id="rId152" Type="http://schemas.openxmlformats.org/officeDocument/2006/relationships/hyperlink" Target="https://docs.google.com/forms/d/e/1FAIpQLSeQ0wUAy9WJrwwZ_8x6kCxvJSihLYtbLF2nbMncVH08fybLWQ/viewform?edit2=2_ABaOnud0DbtIPVWWcAi2yU8-6fZZ6mgdJMBY9kF0GrgbRlI5jtfDnvSEoH3JVuX53yltTcw" TargetMode="External"/><Relationship Id="rId394" Type="http://schemas.openxmlformats.org/officeDocument/2006/relationships/hyperlink" Target="https://docs.google.com/forms/d/e/1FAIpQLSeQ0wUAy9WJrwwZ_8x6kCxvJSihLYtbLF2nbMncVH08fybLWQ/viewform?edit2=2_ABaOnucSA8F-Pj-OwWm1O3uN3VKJxJqiDxEpqkgOjvDyfLb6bEHLR22DGS6V3aX0qx1n9Yk" TargetMode="External"/><Relationship Id="rId151" Type="http://schemas.openxmlformats.org/officeDocument/2006/relationships/hyperlink" Target="https://docs.google.com/forms/d/e/1FAIpQLSeQ0wUAy9WJrwwZ_8x6kCxvJSihLYtbLF2nbMncVH08fybLWQ/viewform?edit2=2_ABaOnudVPY0SmqUNIDJWsr3qalq_D-BTzoC8WWEQAglgvDkg_fiscSpLEPbhCDZap81sBRA" TargetMode="External"/><Relationship Id="rId393" Type="http://schemas.openxmlformats.org/officeDocument/2006/relationships/hyperlink" Target="https://docs.google.com/forms/d/e/1FAIpQLSeQ0wUAy9WJrwwZ_8x6kCxvJSihLYtbLF2nbMncVH08fybLWQ/viewform?edit2=2_ABaOnueNkuTFwJH5FRKUGaOnoxk-qXSecCMO77-BvmWG3HaIKouuUE2e2yz_9l1KQM1hsmg" TargetMode="External"/><Relationship Id="rId158" Type="http://schemas.openxmlformats.org/officeDocument/2006/relationships/hyperlink" Target="https://drive.google.com/open?id=1RkxEgdT8s_YeT0h3G3xLSzSHGcSgKwWn" TargetMode="External"/><Relationship Id="rId157" Type="http://schemas.openxmlformats.org/officeDocument/2006/relationships/hyperlink" Target="https://docs.google.com/forms/d/e/1FAIpQLSeQ0wUAy9WJrwwZ_8x6kCxvJSihLYtbLF2nbMncVH08fybLWQ/viewform?edit2=2_ABaOnucbUTI1ZxH3KdZ6wxlN7nUSyNXFVhyYWgrKaFdThAUWHiv8skzE-MR6co9XEykRx-I" TargetMode="External"/><Relationship Id="rId399" Type="http://schemas.openxmlformats.org/officeDocument/2006/relationships/hyperlink" Target="https://docs.google.com/forms/d/e/1FAIpQLSeQ0wUAy9WJrwwZ_8x6kCxvJSihLYtbLF2nbMncVH08fybLWQ/viewform?edit2=2_ABaOnueh9V8J80sw0HznsM-Yb7y3BeburyEzloqKX30weSVnEqqAHFZt04uFZy6KmhdiDAQ" TargetMode="External"/><Relationship Id="rId156" Type="http://schemas.openxmlformats.org/officeDocument/2006/relationships/hyperlink" Target="https://docs.google.com/forms/d/e/1FAIpQLSeQ0wUAy9WJrwwZ_8x6kCxvJSihLYtbLF2nbMncVH08fybLWQ/viewform?edit2=2_ABaOnufQOcjaemOr-YfMpFGSFH6kvw-ll--3vLe6zdqCrPkjZNLDLplRrb5-RV2R4Py7Y2M" TargetMode="External"/><Relationship Id="rId398" Type="http://schemas.openxmlformats.org/officeDocument/2006/relationships/hyperlink" Target="https://docs.google.com/forms/d/e/1FAIpQLSeQ0wUAy9WJrwwZ_8x6kCxvJSihLYtbLF2nbMncVH08fybLWQ/viewform?edit2=2_ABaOnueojrl_isueJyJojLXT5b0MjvEUMWzq6QGnJrUE66-r8I7iL3iljPEWsjErN3Li89U" TargetMode="External"/><Relationship Id="rId155" Type="http://schemas.openxmlformats.org/officeDocument/2006/relationships/hyperlink" Target="https://docs.google.com/forms/d/e/1FAIpQLSeQ0wUAy9WJrwwZ_8x6kCxvJSihLYtbLF2nbMncVH08fybLWQ/viewform?edit2=2_ABaOnudgxiKDaQ-9gE2qFRo7Gv65v_BuaDcEihWdAW6kKlfO_p_O2C_gQV9mZtMzqspmyxg" TargetMode="External"/><Relationship Id="rId397" Type="http://schemas.openxmlformats.org/officeDocument/2006/relationships/hyperlink" Target="https://docs.google.com/forms/d/e/1FAIpQLSeQ0wUAy9WJrwwZ_8x6kCxvJSihLYtbLF2nbMncVH08fybLWQ/viewform?edit2=2_ABaOnuebTx2SKzQ1dMyFgKwFyUYKGQwxYM7Juq9Hq_rHbaj_K-KMLUrCJ5XDrgf5aPPqO5o" TargetMode="External"/><Relationship Id="rId808" Type="http://schemas.openxmlformats.org/officeDocument/2006/relationships/hyperlink" Target="https://drive.google.com/open?id=14I2Bi8pXcbI-0ob0_ppfqN9I_3RUSkHy" TargetMode="External"/><Relationship Id="rId807" Type="http://schemas.openxmlformats.org/officeDocument/2006/relationships/hyperlink" Target="https://docs.google.com/forms/d/e/1FAIpQLSeQ0wUAy9WJrwwZ_8x6kCxvJSihLYtbLF2nbMncVH08fybLWQ/viewform?edit2=2_ABaOnucMkhTHmpgz8Kl0rAI_oTObH1cn8GKel2ohYKSmqQrit7-susAxRf6ip5BIqGJMmBw" TargetMode="External"/><Relationship Id="rId806" Type="http://schemas.openxmlformats.org/officeDocument/2006/relationships/hyperlink" Target="https://docs.google.com/forms/d/e/1FAIpQLSeQ0wUAy9WJrwwZ_8x6kCxvJSihLYtbLF2nbMncVH08fybLWQ/viewform?edit2=2_ABaOnud7IWrcFc_ovfZ240AzInvM83Z1SHLx74lOx3X9KDzGFAUSqw7jHCtBPsigPdVkB9E" TargetMode="External"/><Relationship Id="rId805" Type="http://schemas.openxmlformats.org/officeDocument/2006/relationships/hyperlink" Target="https://docs.google.com/forms/d/e/1FAIpQLSeQ0wUAy9WJrwwZ_8x6kCxvJSihLYtbLF2nbMncVH08fybLWQ/viewform?edit2=2_ABaOnueoq1OXKB7LVI7D838Xok9c33voPCJ39hwuIyxd0SZSm2334O_uELOWGZFscM2WwoM" TargetMode="External"/><Relationship Id="rId809" Type="http://schemas.openxmlformats.org/officeDocument/2006/relationships/hyperlink" Target="https://docs.google.com/forms/d/e/1FAIpQLSeQ0wUAy9WJrwwZ_8x6kCxvJSihLYtbLF2nbMncVH08fybLWQ/viewform?edit2=2_ABaOnucfGGIeqfogkIy0A6A0EQL3-wgqrff9acw9p-Mj9O_QkgaMHEKIhGXCZluqzmibvmE" TargetMode="External"/><Relationship Id="rId800" Type="http://schemas.openxmlformats.org/officeDocument/2006/relationships/hyperlink" Target="https://drive.google.com/open?id=1ktCAVZiI_SHE26CtSMG9_g9zPFQnQWi3" TargetMode="External"/><Relationship Id="rId804" Type="http://schemas.openxmlformats.org/officeDocument/2006/relationships/hyperlink" Target="https://docs.google.com/forms/d/e/1FAIpQLSeQ0wUAy9WJrwwZ_8x6kCxvJSihLYtbLF2nbMncVH08fybLWQ/viewform?edit2=2_ABaOnueDTkp55L21cqTtscyRJCKwmL4wINlQ6KBZoNaj9OgBP1sjMqceRbTjbLnQc3SUKAc" TargetMode="External"/><Relationship Id="rId803" Type="http://schemas.openxmlformats.org/officeDocument/2006/relationships/hyperlink" Target="https://docs.google.com/forms/d/e/1FAIpQLSeQ0wUAy9WJrwwZ_8x6kCxvJSihLYtbLF2nbMncVH08fybLWQ/viewform?edit2=2_ABaOnufiNUVIpiOAmjbHDAeooyxoBCO2OrUhsWteN3cV3wohp67SEjy_Fca5yTDxiF_KH0U" TargetMode="External"/><Relationship Id="rId802" Type="http://schemas.openxmlformats.org/officeDocument/2006/relationships/hyperlink" Target="https://docs.google.com/forms/d/e/1FAIpQLSeQ0wUAy9WJrwwZ_8x6kCxvJSihLYtbLF2nbMncVH08fybLWQ/viewform?edit2=2_ABaOnuelXAaNCr1ggUzcw5CFZlqvqK8qZhUhYzt8nSrl2YYK__NNvunUVQqPYPgtJDQ5Roc" TargetMode="External"/><Relationship Id="rId801" Type="http://schemas.openxmlformats.org/officeDocument/2006/relationships/hyperlink" Target="https://docs.google.com/forms/d/e/1FAIpQLSeQ0wUAy9WJrwwZ_8x6kCxvJSihLYtbLF2nbMncVH08fybLWQ/viewform?edit2=2_ABaOnufo-YicOwwDaSnFhM1ZPshCgtaO0jznI2ZGv0z57Wmko9BbjW9KehW75hPZvTIrUuc" TargetMode="External"/><Relationship Id="rId40" Type="http://schemas.openxmlformats.org/officeDocument/2006/relationships/hyperlink" Target="https://docs.google.com/forms/d/e/1FAIpQLSeQ0wUAy9WJrwwZ_8x6kCxvJSihLYtbLF2nbMncVH08fybLWQ/viewform?edit2=2_ABaOnucdwO_2WInpvPXQNqDyDTU2UV2av_Pz3BJlb-vXog78ecyx-dV1zmvOTmNSCcNyyDE" TargetMode="External"/><Relationship Id="rId42" Type="http://schemas.openxmlformats.org/officeDocument/2006/relationships/hyperlink" Target="https://docs.google.com/forms/d/e/1FAIpQLSeQ0wUAy9WJrwwZ_8x6kCxvJSihLYtbLF2nbMncVH08fybLWQ/viewform?edit2=2_ABaOnuenTjVpOC82zh7Z-_pZHMug-dYdJCDqUmw1bZcepUuHmw_tYVrsL7NlfpuEdwO06jc" TargetMode="External"/><Relationship Id="rId41" Type="http://schemas.openxmlformats.org/officeDocument/2006/relationships/hyperlink" Target="https://docs.google.com/forms/d/e/1FAIpQLSeQ0wUAy9WJrwwZ_8x6kCxvJSihLYtbLF2nbMncVH08fybLWQ/viewform?edit2=2_ABaOnucztBTwIn6dDTo6tfotFf36JavZmXcnamrLqzHsOjyHsvf831Gq2vVpi4obZTt_a7s" TargetMode="External"/><Relationship Id="rId44" Type="http://schemas.openxmlformats.org/officeDocument/2006/relationships/hyperlink" Target="https://docs.google.com/forms/d/e/1FAIpQLSeQ0wUAy9WJrwwZ_8x6kCxvJSihLYtbLF2nbMncVH08fybLWQ/viewform?edit2=2_ABaOnuekBr3x2DnkMbPkUH7oPv94IaWPbe0p1pNjayybS3fnRRL7dA3TrwWKoqOjnFZQozM" TargetMode="External"/><Relationship Id="rId43" Type="http://schemas.openxmlformats.org/officeDocument/2006/relationships/hyperlink" Target="https://docs.google.com/forms/d/e/1FAIpQLSeQ0wUAy9WJrwwZ_8x6kCxvJSihLYtbLF2nbMncVH08fybLWQ/viewform?edit2=2_ABaOnufwQxJKLONjUaOfkcNp4xda32ZjyPDTqruNLebfZ9sQcCl3oddVCDdt75pjSWIUKrE" TargetMode="External"/><Relationship Id="rId46" Type="http://schemas.openxmlformats.org/officeDocument/2006/relationships/hyperlink" Target="https://docs.google.com/forms/d/e/1FAIpQLSeQ0wUAy9WJrwwZ_8x6kCxvJSihLYtbLF2nbMncVH08fybLWQ/viewform?edit2=2_ABaOnud4N1vDaAU_nejdiYG5HQrTPUcvBki3J_Kqi2UNCTbAKzZFWaFpHFupcOYlzSZcBAI" TargetMode="External"/><Relationship Id="rId45" Type="http://schemas.openxmlformats.org/officeDocument/2006/relationships/hyperlink" Target="https://docs.google.com/forms/d/e/1FAIpQLSeQ0wUAy9WJrwwZ_8x6kCxvJSihLYtbLF2nbMncVH08fybLWQ/viewform?edit2=2_ABaOnuc5xirfqPFWvrU29ljPzyUmZua7FO715SULGwAZ2Wou5fgKnpP0NEZeUkujezlvAqM" TargetMode="External"/><Relationship Id="rId509" Type="http://schemas.openxmlformats.org/officeDocument/2006/relationships/hyperlink" Target="https://docs.google.com/forms/d/e/1FAIpQLSeQ0wUAy9WJrwwZ_8x6kCxvJSihLYtbLF2nbMncVH08fybLWQ/viewform?edit2=2_ABaOnucGzYtZEOjIGYnTUl6pZBFbFGhFLSydym15y28SinQxYZ9IL_GtXr1yGkD40u4W794" TargetMode="External"/><Relationship Id="rId508" Type="http://schemas.openxmlformats.org/officeDocument/2006/relationships/hyperlink" Target="https://docs.google.com/forms/d/e/1FAIpQLSeQ0wUAy9WJrwwZ_8x6kCxvJSihLYtbLF2nbMncVH08fybLWQ/viewform?edit2=2_ABaOnueJtOQbmv82Gf43naHXC5buz-jlggYz92VlAlHuPlW9O-a3kxp_EiuhR6aBTpj4RU8" TargetMode="External"/><Relationship Id="rId503" Type="http://schemas.openxmlformats.org/officeDocument/2006/relationships/hyperlink" Target="https://docs.google.com/forms/d/e/1FAIpQLSeQ0wUAy9WJrwwZ_8x6kCxvJSihLYtbLF2nbMncVH08fybLWQ/viewform?edit2=2_ABaOnuep7RmTK_cW9tlYHo7cHP_kMSrss-fOtNnE5IhovYVmTpGbTRS1QSTgFx-OMpEdxLs" TargetMode="External"/><Relationship Id="rId745" Type="http://schemas.openxmlformats.org/officeDocument/2006/relationships/hyperlink" Target="https://drive.google.com/open?id=1axs8dzIC6y4aoW8YQQ2cYsInD4NQbxUy" TargetMode="External"/><Relationship Id="rId987" Type="http://schemas.openxmlformats.org/officeDocument/2006/relationships/hyperlink" Target="https://drive.google.com/open?id=1zTqURyDl0jQR4m56LCBvg9gzXRhRNyLO" TargetMode="External"/><Relationship Id="rId502" Type="http://schemas.openxmlformats.org/officeDocument/2006/relationships/hyperlink" Target="https://docs.google.com/forms/d/e/1FAIpQLSeQ0wUAy9WJrwwZ_8x6kCxvJSihLYtbLF2nbMncVH08fybLWQ/viewform?edit2=2_ABaOnucNEeUIsekREkCeYSIb7lTBLmZiROMtazqvYz4Tnw8N6ve8bppTZHhSLPTXeYMuDhg" TargetMode="External"/><Relationship Id="rId744" Type="http://schemas.openxmlformats.org/officeDocument/2006/relationships/hyperlink" Target="https://docs.google.com/forms/d/e/1FAIpQLSeQ0wUAy9WJrwwZ_8x6kCxvJSihLYtbLF2nbMncVH08fybLWQ/viewform?edit2=2_ABaOnucYG9aXPmZ34N0cZdxNlLfOuTgnbLLFwXq5EvN1bvG4IVuIZxB2lHIBCy7XeupQEbQ" TargetMode="External"/><Relationship Id="rId986" Type="http://schemas.openxmlformats.org/officeDocument/2006/relationships/hyperlink" Target="https://docs.google.com/forms/d/e/1FAIpQLSeQ0wUAy9WJrwwZ_8x6kCxvJSihLYtbLF2nbMncVH08fybLWQ/viewform?edit2=2_ABaOnueeD_ZE8prctj112fLfaUxW8W-hun0mxkeMuD2va45GGrzGbW9S0dbrbcBhxJQlxEU" TargetMode="External"/><Relationship Id="rId501" Type="http://schemas.openxmlformats.org/officeDocument/2006/relationships/hyperlink" Target="https://docs.google.com/forms/d/e/1FAIpQLSeQ0wUAy9WJrwwZ_8x6kCxvJSihLYtbLF2nbMncVH08fybLWQ/viewform?edit2=2_ABaOnuew6qcafUDEB1-v9ctQzs5dNmPwqG0tBOdVSbQxEs1dDZ-I-xtkKLN_ONwMHb5FT6A" TargetMode="External"/><Relationship Id="rId743" Type="http://schemas.openxmlformats.org/officeDocument/2006/relationships/hyperlink" Target="https://drive.google.com/open?id=1VhCV2cXz7SYl7Kaj7D-bG8Z4-yj8uLlb" TargetMode="External"/><Relationship Id="rId985" Type="http://schemas.openxmlformats.org/officeDocument/2006/relationships/hyperlink" Target="https://docs.google.com/forms/d/e/1FAIpQLSeQ0wUAy9WJrwwZ_8x6kCxvJSihLYtbLF2nbMncVH08fybLWQ/viewform?edit2=2_ABaOnudTnvVt7lFiru9pRH6XyBSRLnOs_R6YL5JFzPqm3mRQTIVypjSuXen4JVDEXa9arDQ" TargetMode="External"/><Relationship Id="rId500" Type="http://schemas.openxmlformats.org/officeDocument/2006/relationships/hyperlink" Target="https://docs.google.com/forms/d/e/1FAIpQLSeQ0wUAy9WJrwwZ_8x6kCxvJSihLYtbLF2nbMncVH08fybLWQ/viewform?edit2=2_ABaOnud4vn4pGsgLF0C3cf10OGF_vlqai_FJw6X2QE2WoSPZtRLCFSZ6I4UADHa7Ka5p79c" TargetMode="External"/><Relationship Id="rId742" Type="http://schemas.openxmlformats.org/officeDocument/2006/relationships/hyperlink" Target="https://docs.google.com/forms/d/e/1FAIpQLSeQ0wUAy9WJrwwZ_8x6kCxvJSihLYtbLF2nbMncVH08fybLWQ/viewform?edit2=2_ABaOnucVTUFWV8Bb0A6DaXGqhYMS1sacp0vtiOBPT4jLkvhegE0UJ_UGbKrplv9Y6U0wYIk" TargetMode="External"/><Relationship Id="rId984" Type="http://schemas.openxmlformats.org/officeDocument/2006/relationships/hyperlink" Target="https://docs.google.com/forms/d/e/1FAIpQLSeQ0wUAy9WJrwwZ_8x6kCxvJSihLYtbLF2nbMncVH08fybLWQ/viewform?edit2=2_ABaOnuesW4BIsGnr-MvAzLyQqnYkrl2syLyJYiqWFf3F6HfyH16nQhEcaaCakDJkewRbhSE" TargetMode="External"/><Relationship Id="rId507" Type="http://schemas.openxmlformats.org/officeDocument/2006/relationships/hyperlink" Target="https://docs.google.com/forms/d/e/1FAIpQLSeQ0wUAy9WJrwwZ_8x6kCxvJSihLYtbLF2nbMncVH08fybLWQ/viewform?edit2=2_ABaOnud6xFQxQBVWrd7C9IPZ4qHeKCiAuE1sxQTzc82xCRCVblpJfDsyQmOxuhoQ_-UtTmw" TargetMode="External"/><Relationship Id="rId749" Type="http://schemas.openxmlformats.org/officeDocument/2006/relationships/hyperlink" Target="https://drive.google.com/open?id=17Hx2n3TH8GmBkaeZpVt1ThG3EyxoahcD" TargetMode="External"/><Relationship Id="rId506" Type="http://schemas.openxmlformats.org/officeDocument/2006/relationships/hyperlink" Target="https://docs.google.com/forms/d/e/1FAIpQLSeQ0wUAy9WJrwwZ_8x6kCxvJSihLYtbLF2nbMncVH08fybLWQ/viewform?edit2=2_ABaOnufY93e6i9lu_QSnJaMtueHc-IMw9tXO5epDk5Hj4kTLw3KK_xy7Cw6lUo8uPW5UKBs" TargetMode="External"/><Relationship Id="rId748" Type="http://schemas.openxmlformats.org/officeDocument/2006/relationships/hyperlink" Target="https://docs.google.com/forms/d/e/1FAIpQLSeQ0wUAy9WJrwwZ_8x6kCxvJSihLYtbLF2nbMncVH08fybLWQ/viewform?edit2=2_ABaOnucfLWsbgVQ9nhRl1oscEw_WOPLnPxpw3pI2M1haERuIZQ5M2fYFfOE4cNTdupkR7ZU" TargetMode="External"/><Relationship Id="rId505" Type="http://schemas.openxmlformats.org/officeDocument/2006/relationships/hyperlink" Target="https://docs.google.com/forms/d/e/1FAIpQLSeQ0wUAy9WJrwwZ_8x6kCxvJSihLYtbLF2nbMncVH08fybLWQ/viewform?edit2=2_ABaOnudWKMbUo6n30mKSI2iqWiw7YhYhfcix680fYWx3xF4aC6_tLgXj9goV8Epv4o3scTw" TargetMode="External"/><Relationship Id="rId747" Type="http://schemas.openxmlformats.org/officeDocument/2006/relationships/hyperlink" Target="https://drive.google.com/open?id=11uv_y7hd-ALVWdz7vHTj3YW6Et0RfWwb" TargetMode="External"/><Relationship Id="rId989" Type="http://schemas.openxmlformats.org/officeDocument/2006/relationships/hyperlink" Target="https://drive.google.com/open?id=1rz11uJiYqaSnDGYivMyvmCRIeboaLzkZ" TargetMode="External"/><Relationship Id="rId504" Type="http://schemas.openxmlformats.org/officeDocument/2006/relationships/hyperlink" Target="https://docs.google.com/forms/d/e/1FAIpQLSeQ0wUAy9WJrwwZ_8x6kCxvJSihLYtbLF2nbMncVH08fybLWQ/viewform?edit2=2_ABaOnucW9mOgNirOA0gf6msI4Zj8Ro1dK7E2qB4ImBMu_na1Kcg_lWsqIWfZ4cW2lNosHuY" TargetMode="External"/><Relationship Id="rId746" Type="http://schemas.openxmlformats.org/officeDocument/2006/relationships/hyperlink" Target="https://docs.google.com/forms/d/e/1FAIpQLSeQ0wUAy9WJrwwZ_8x6kCxvJSihLYtbLF2nbMncVH08fybLWQ/viewform?edit2=2_ABaOnufvc7L37GTusBq8sSfq525KLr90W8zQmPzBSDVkv0_Omef1JjircvwOIIAe88WbaKA" TargetMode="External"/><Relationship Id="rId988" Type="http://schemas.openxmlformats.org/officeDocument/2006/relationships/hyperlink" Target="https://docs.google.com/forms/d/e/1FAIpQLSeQ0wUAy9WJrwwZ_8x6kCxvJSihLYtbLF2nbMncVH08fybLWQ/viewform?edit2=2_ABaOnudC08G3bq1WKBu47gRDljyaMnQZYLV4Zt5rwuKuB9d4Qj3jNHxJ757xkz3KrXLUyJA" TargetMode="External"/><Relationship Id="rId48" Type="http://schemas.openxmlformats.org/officeDocument/2006/relationships/hyperlink" Target="https://docs.google.com/forms/d/e/1FAIpQLSeQ0wUAy9WJrwwZ_8x6kCxvJSihLYtbLF2nbMncVH08fybLWQ/viewform?edit2=2_ABaOnueHAq57_Vr8j_nsxWqPxXZgsqW0E_nHdcxrExw5EFDR5w8R-hR2wmuvOEuLE_LeN40" TargetMode="External"/><Relationship Id="rId47" Type="http://schemas.openxmlformats.org/officeDocument/2006/relationships/hyperlink" Target="https://docs.google.com/forms/d/e/1FAIpQLSeQ0wUAy9WJrwwZ_8x6kCxvJSihLYtbLF2nbMncVH08fybLWQ/viewform?edit2=2_ABaOnue2HXNXeRg2tvKeKs8UkfaJWR7TmEOCf3qFsLDUc6aJudYSfVSI_Rfu3OAvujIBuRY" TargetMode="External"/><Relationship Id="rId49" Type="http://schemas.openxmlformats.org/officeDocument/2006/relationships/hyperlink" Target="https://docs.google.com/forms/d/e/1FAIpQLSeQ0wUAy9WJrwwZ_8x6kCxvJSihLYtbLF2nbMncVH08fybLWQ/viewform?edit2=2_ABaOnuewRcH5_Sq0vFDU1LrP-F24hqTqjiE_9PSKfy9Oug_mGlDaU-RIcwUV0VU-ohCeKg8" TargetMode="External"/><Relationship Id="rId741" Type="http://schemas.openxmlformats.org/officeDocument/2006/relationships/hyperlink" Target="https://docs.google.com/forms/d/e/1FAIpQLSeQ0wUAy9WJrwwZ_8x6kCxvJSihLYtbLF2nbMncVH08fybLWQ/viewform?edit2=2_ABaOnucq_UgA6Lpzba6NGVsiK2rEvCEZN35-gmfHDLa6yO1uvLGPnWGTp293BIpkHFcQkH4" TargetMode="External"/><Relationship Id="rId983" Type="http://schemas.openxmlformats.org/officeDocument/2006/relationships/hyperlink" Target="https://docs.google.com/forms/d/e/1FAIpQLSeQ0wUAy9WJrwwZ_8x6kCxvJSihLYtbLF2nbMncVH08fybLWQ/viewform?edit2=2_ABaOnuedlZFScbDepWGFuV2tuGyIyPRiVUVjeus6OIXglP6RBpir9iX-pNN3FYDGEb9Mo1c" TargetMode="External"/><Relationship Id="rId740" Type="http://schemas.openxmlformats.org/officeDocument/2006/relationships/hyperlink" Target="https://docs.google.com/forms/d/e/1FAIpQLSeQ0wUAy9WJrwwZ_8x6kCxvJSihLYtbLF2nbMncVH08fybLWQ/viewform?edit2=2_ABaOnueqC12gDkSXRW4B-FJtkFejp684nwdiixb6XSlKnIhbJU8L4TF3i_GdB5c5dlIOy3Q" TargetMode="External"/><Relationship Id="rId982" Type="http://schemas.openxmlformats.org/officeDocument/2006/relationships/hyperlink" Target="https://docs.google.com/forms/d/e/1FAIpQLSeQ0wUAy9WJrwwZ_8x6kCxvJSihLYtbLF2nbMncVH08fybLWQ/viewform?edit2=2_ABaOnud0dNFOvZ2k-0ZhSzYcYAcK1INf5nLpRklCELcWqBq0UxEJYg0eJSOesmViAH0Nw0A" TargetMode="External"/><Relationship Id="rId981" Type="http://schemas.openxmlformats.org/officeDocument/2006/relationships/hyperlink" Target="https://docs.google.com/forms/d/e/1FAIpQLSeQ0wUAy9WJrwwZ_8x6kCxvJSihLYtbLF2nbMncVH08fybLWQ/viewform?edit2=2_ABaOnucExkz4FIgnOKl_L9Te9Tao4M3bCqVR_8SuQbHzEkIQmxIS-l6fLLWdlalLELi1vOQ" TargetMode="External"/><Relationship Id="rId980" Type="http://schemas.openxmlformats.org/officeDocument/2006/relationships/hyperlink" Target="https://docs.google.com/forms/d/e/1FAIpQLSeQ0wUAy9WJrwwZ_8x6kCxvJSihLYtbLF2nbMncVH08fybLWQ/viewform?edit2=2_ABaOnuedFDTE3eunDCR4WJmEWLN_2Jy7jn8xO7pLNeN-8I4cY9BevgHyqQmYlA2tYtp-N8c" TargetMode="External"/><Relationship Id="rId31" Type="http://schemas.openxmlformats.org/officeDocument/2006/relationships/hyperlink" Target="https://docs.google.com/forms/d/e/1FAIpQLSeQ0wUAy9WJrwwZ_8x6kCxvJSihLYtbLF2nbMncVH08fybLWQ/viewform?edit2=2_ABaOnueNYsSlY2wMog1-GG65HFhU5AMIwkg5Hp4TC-v9PmSt1zQlOVPqOSNXp2Mf_sMQQvs" TargetMode="External"/><Relationship Id="rId30" Type="http://schemas.openxmlformats.org/officeDocument/2006/relationships/hyperlink" Target="https://docs.google.com/forms/d/e/1FAIpQLSeQ0wUAy9WJrwwZ_8x6kCxvJSihLYtbLF2nbMncVH08fybLWQ/viewform?edit2=2_ABaOnucnIl29Yt-KjOVJx1Zm8F4FQelnGgAaQmiA7aFQwOQXJoXyQKYSi614TFclx-3DQNU" TargetMode="External"/><Relationship Id="rId33" Type="http://schemas.openxmlformats.org/officeDocument/2006/relationships/hyperlink" Target="https://docs.google.com/forms/d/e/1FAIpQLSeQ0wUAy9WJrwwZ_8x6kCxvJSihLYtbLF2nbMncVH08fybLWQ/viewform?edit2=2_ABaOnufdiLKHlsa4JX-pIMDN1cUruT4CFzoXu6IcRkTEAwgErnCkdJVWHCpQVglgdwnWdqk" TargetMode="External"/><Relationship Id="rId32" Type="http://schemas.openxmlformats.org/officeDocument/2006/relationships/hyperlink" Target="https://docs.google.com/forms/d/e/1FAIpQLSeQ0wUAy9WJrwwZ_8x6kCxvJSihLYtbLF2nbMncVH08fybLWQ/viewform?edit2=2_ABaOnucI-EYKA4fkV_WpDA26gRHrI7jMBrinenkiDutZRc7MMU86r6-PynxqsR-IgKmKJrM" TargetMode="External"/><Relationship Id="rId35" Type="http://schemas.openxmlformats.org/officeDocument/2006/relationships/hyperlink" Target="https://docs.google.com/forms/d/e/1FAIpQLSeQ0wUAy9WJrwwZ_8x6kCxvJSihLYtbLF2nbMncVH08fybLWQ/viewform?edit2=2_ABaOnuesfEGKeT2XLhNiIoCYgDbDHzygpNLvIKW1W8OEO-vpRD7L5gNUw7GuhDUiLSLYWUU" TargetMode="External"/><Relationship Id="rId34" Type="http://schemas.openxmlformats.org/officeDocument/2006/relationships/hyperlink" Target="https://docs.google.com/forms/d/e/1FAIpQLSeQ0wUAy9WJrwwZ_8x6kCxvJSihLYtbLF2nbMncVH08fybLWQ/viewform?edit2=2_ABaOnueEqk26LvFXb6hmACEYOGriy4YIWhJ3FO5zKzaWHv_izLdISNo-vWo9vi198828nbY" TargetMode="External"/><Relationship Id="rId739" Type="http://schemas.openxmlformats.org/officeDocument/2006/relationships/hyperlink" Target="https://drive.google.com/open?id=1v3ofBunqCoF0T-wH2dQDGW34o6yrjekB" TargetMode="External"/><Relationship Id="rId734" Type="http://schemas.openxmlformats.org/officeDocument/2006/relationships/hyperlink" Target="https://docs.google.com/forms/d/e/1FAIpQLSeQ0wUAy9WJrwwZ_8x6kCxvJSihLYtbLF2nbMncVH08fybLWQ/viewform?edit2=2_ABaOnudvqiDdolXqYoNOOp1PVlOgnq_xfw14lxqJJM64xcc9BRmVUT6lK3T5z2nWbVClmjA" TargetMode="External"/><Relationship Id="rId976" Type="http://schemas.openxmlformats.org/officeDocument/2006/relationships/hyperlink" Target="https://docs.google.com/forms/d/e/1FAIpQLSeQ0wUAy9WJrwwZ_8x6kCxvJSihLYtbLF2nbMncVH08fybLWQ/viewform?edit2=2_ABaOnueDbrerBOApv2CLoK0AlDmUYoS1cCz3-B4mXAtOBbw3LWDTkY6BQ43hDfL8IAXG11k" TargetMode="External"/><Relationship Id="rId733" Type="http://schemas.openxmlformats.org/officeDocument/2006/relationships/hyperlink" Target="https://docs.google.com/forms/d/e/1FAIpQLSeQ0wUAy9WJrwwZ_8x6kCxvJSihLYtbLF2nbMncVH08fybLWQ/viewform?edit2=2_ABaOnufxQwT8ERo4Nu7Q2pwBPgMD25dxoUj3JchYuZB2tphSmY0shTAp_28veNjHdEQvmtM" TargetMode="External"/><Relationship Id="rId975" Type="http://schemas.openxmlformats.org/officeDocument/2006/relationships/hyperlink" Target="https://docs.google.com/forms/d/e/1FAIpQLSeQ0wUAy9WJrwwZ_8x6kCxvJSihLYtbLF2nbMncVH08fybLWQ/viewform?edit2=2_ABaOnucL9Cu9A0Zt5A_00TmNor23tfudUSuRLhiv8LEnL8tGAEEUfsrLqxWE8BKRehV34sE" TargetMode="External"/><Relationship Id="rId732" Type="http://schemas.openxmlformats.org/officeDocument/2006/relationships/hyperlink" Target="https://drive.google.com/open?id=1ukQriKMeMKmkEcMrogfb8n7pXs58ZKrk" TargetMode="External"/><Relationship Id="rId974" Type="http://schemas.openxmlformats.org/officeDocument/2006/relationships/hyperlink" Target="https://docs.google.com/forms/d/e/1FAIpQLSeQ0wUAy9WJrwwZ_8x6kCxvJSihLYtbLF2nbMncVH08fybLWQ/viewform?edit2=2_ABaOnuey0-FzPlHCb1KmPY3J6V6Y9DSheZPI2a8L6NHQXUpR5MR2Dauq2MjT4PCwJAjSpt4" TargetMode="External"/><Relationship Id="rId731" Type="http://schemas.openxmlformats.org/officeDocument/2006/relationships/hyperlink" Target="https://docs.google.com/forms/d/e/1FAIpQLSeQ0wUAy9WJrwwZ_8x6kCxvJSihLYtbLF2nbMncVH08fybLWQ/viewform?edit2=2_ABaOnufUmjbKsVpbpyKjNtk6-odV5c6eTa7bRgarHl1RVt4oj8WHUsQGXYMKpb8pCRjUy3Y" TargetMode="External"/><Relationship Id="rId973" Type="http://schemas.openxmlformats.org/officeDocument/2006/relationships/hyperlink" Target="https://docs.google.com/forms/d/e/1FAIpQLSeQ0wUAy9WJrwwZ_8x6kCxvJSihLYtbLF2nbMncVH08fybLWQ/viewform?edit2=2_ABaOnufr--5dS6WHHQqmnYYEsv98-aWtZtRdpRLt3-A2wR4opMAEbBkXUkW-6MHyuPzTvVs" TargetMode="External"/><Relationship Id="rId738" Type="http://schemas.openxmlformats.org/officeDocument/2006/relationships/hyperlink" Target="https://docs.google.com/forms/d/e/1FAIpQLSeQ0wUAy9WJrwwZ_8x6kCxvJSihLYtbLF2nbMncVH08fybLWQ/viewform?edit2=2_ABaOnudzr16yeVZ6RIqo0yhl0tOj_tQuZPlKWrt8zztrmdG2Ph5UpoThMy85jRMzeUhHMuc" TargetMode="External"/><Relationship Id="rId737" Type="http://schemas.openxmlformats.org/officeDocument/2006/relationships/hyperlink" Target="https://docs.google.com/forms/d/e/1FAIpQLSeQ0wUAy9WJrwwZ_8x6kCxvJSihLYtbLF2nbMncVH08fybLWQ/viewform?edit2=2_ABaOnucefvwFaCt1GZMzEGOFFXAPGA2mMNQZ4mYHVBaiF5-3rY5jr3lCiulx9PGqiSJuuic" TargetMode="External"/><Relationship Id="rId979" Type="http://schemas.openxmlformats.org/officeDocument/2006/relationships/hyperlink" Target="https://docs.google.com/forms/d/e/1FAIpQLSeQ0wUAy9WJrwwZ_8x6kCxvJSihLYtbLF2nbMncVH08fybLWQ/viewform?edit2=2_ABaOnufGaJsZmuAQuzpOkGU2B_CQ8zCjbTFP85EagikHjc2BfJTN5gABrxOqCkzjoWW9qE0" TargetMode="External"/><Relationship Id="rId736" Type="http://schemas.openxmlformats.org/officeDocument/2006/relationships/hyperlink" Target="https://docs.google.com/forms/d/e/1FAIpQLSeQ0wUAy9WJrwwZ_8x6kCxvJSihLYtbLF2nbMncVH08fybLWQ/viewform?edit2=2_ABaOnudGLQL477KMYhMHdAPriSScOyK87UH7Y-y-B_QVPHLEYbXyUwYEjWTbRDuxuEuIhc4" TargetMode="External"/><Relationship Id="rId978" Type="http://schemas.openxmlformats.org/officeDocument/2006/relationships/hyperlink" Target="https://docs.google.com/forms/d/e/1FAIpQLSeQ0wUAy9WJrwwZ_8x6kCxvJSihLYtbLF2nbMncVH08fybLWQ/viewform?edit2=2_ABaOnude8yURvaJWt20bHPtUrvSvJKkXntbRN2XBhpJQsNeFncSeLjv_bbo4NhmxtNXD77U" TargetMode="External"/><Relationship Id="rId735" Type="http://schemas.openxmlformats.org/officeDocument/2006/relationships/hyperlink" Target="https://drive.google.com/open?id=16cXxImh4iNWpw7en-KSlALYCPGybzKcS" TargetMode="External"/><Relationship Id="rId977" Type="http://schemas.openxmlformats.org/officeDocument/2006/relationships/hyperlink" Target="https://docs.google.com/forms/d/e/1FAIpQLSeQ0wUAy9WJrwwZ_8x6kCxvJSihLYtbLF2nbMncVH08fybLWQ/viewform?edit2=2_ABaOnud92vZ8s5k3cwsYPtFGdplnYxYsoclogXSSlOzcvXT_RtrkudhNStdK0ttOa23BxPQ" TargetMode="External"/><Relationship Id="rId37" Type="http://schemas.openxmlformats.org/officeDocument/2006/relationships/hyperlink" Target="https://docs.google.com/forms/d/e/1FAIpQLSeQ0wUAy9WJrwwZ_8x6kCxvJSihLYtbLF2nbMncVH08fybLWQ/viewform?edit2=2_ABaOnucrVgOYsiSTSx3QKmTsfSlXb-fIGGM7gWltOnyoYZ332XD_ozejrBIyFnYpU5AsQx8" TargetMode="External"/><Relationship Id="rId36" Type="http://schemas.openxmlformats.org/officeDocument/2006/relationships/hyperlink" Target="https://docs.google.com/forms/d/e/1FAIpQLSeQ0wUAy9WJrwwZ_8x6kCxvJSihLYtbLF2nbMncVH08fybLWQ/viewform?edit2=2_ABaOnudDN-904Ec89OvdxY3kSI87iEcQB98sK4nGQ7MNv6WyVpxl2QNhilDeWHRG8hbwcHw" TargetMode="External"/><Relationship Id="rId39" Type="http://schemas.openxmlformats.org/officeDocument/2006/relationships/hyperlink" Target="https://docs.google.com/forms/d/e/1FAIpQLSeQ0wUAy9WJrwwZ_8x6kCxvJSihLYtbLF2nbMncVH08fybLWQ/viewform?edit2=2_ABaOnufp7FhY8NkWnbkd_YNcp4jE4izzEWlRMgkST4rUtdsYEQTJU1-rL2KQ9DOLct82E9k" TargetMode="External"/><Relationship Id="rId38" Type="http://schemas.openxmlformats.org/officeDocument/2006/relationships/hyperlink" Target="https://docs.google.com/forms/d/e/1FAIpQLSeQ0wUAy9WJrwwZ_8x6kCxvJSihLYtbLF2nbMncVH08fybLWQ/viewform?edit2=2_ABaOnudkRctbvTuUNJzXs0QGFXMQiWq1TLuloQig-dzlKWx73qcvb_R37rW4HH4jHHdeOYk" TargetMode="External"/><Relationship Id="rId730" Type="http://schemas.openxmlformats.org/officeDocument/2006/relationships/hyperlink" Target="https://docs.google.com/forms/d/e/1FAIpQLSeQ0wUAy9WJrwwZ_8x6kCxvJSihLYtbLF2nbMncVH08fybLWQ/viewform?edit2=2_ABaOnuftTFf0mWfB6prN_jKGRBQUGDhJTquXp1yWBtsvQwV39fYQHQLawwCAf04DvXnP-fU" TargetMode="External"/><Relationship Id="rId972" Type="http://schemas.openxmlformats.org/officeDocument/2006/relationships/hyperlink" Target="https://docs.google.com/forms/d/e/1FAIpQLSeQ0wUAy9WJrwwZ_8x6kCxvJSihLYtbLF2nbMncVH08fybLWQ/viewform?edit2=2_ABaOnuc4xNHByz5SOgKHQgIaNp0H4sbrSequaT-xqK4GEEcl-Xt4KazCxB013CfSXUF4PGY" TargetMode="External"/><Relationship Id="rId971" Type="http://schemas.openxmlformats.org/officeDocument/2006/relationships/hyperlink" Target="https://docs.google.com/forms/d/e/1FAIpQLSeQ0wUAy9WJrwwZ_8x6kCxvJSihLYtbLF2nbMncVH08fybLWQ/viewform?edit2=2_ABaOnuemBdhIx8McQ054EwqfouleEZhwoBswW1MPJNMYA8Xl_FwTRGkQqkEKSPr4_2Ss3V8" TargetMode="External"/><Relationship Id="rId970" Type="http://schemas.openxmlformats.org/officeDocument/2006/relationships/hyperlink" Target="https://docs.google.com/forms/d/e/1FAIpQLSeQ0wUAy9WJrwwZ_8x6kCxvJSihLYtbLF2nbMncVH08fybLWQ/viewform?edit2=2_ABaOnufxUC925t2EY3O9N02o1ZXBgwWcg10xeBkBh2rbgmHoIO9VPiTOKjVo3gU5tTB2QW8" TargetMode="External"/><Relationship Id="rId20" Type="http://schemas.openxmlformats.org/officeDocument/2006/relationships/hyperlink" Target="https://docs.google.com/forms/d/e/1FAIpQLSeQ0wUAy9WJrwwZ_8x6kCxvJSihLYtbLF2nbMncVH08fybLWQ/viewform?edit2=2_ABaOnudShLJWg3dSuNxIAUAfVQg5mpuRyvp9QszOlmROUYtVrt0Z7XeejNh423tF1nY3m00" TargetMode="External"/><Relationship Id="rId22" Type="http://schemas.openxmlformats.org/officeDocument/2006/relationships/hyperlink" Target="https://docs.google.com/forms/d/e/1FAIpQLSeQ0wUAy9WJrwwZ_8x6kCxvJSihLYtbLF2nbMncVH08fybLWQ/viewform?edit2=2_ABaOnudMErVkFq2TMTblXUutgWwRnbW51W7MmcFAuNsGDJggHzUzeZ9Q5ozmoHSxWQPghU0" TargetMode="External"/><Relationship Id="rId21" Type="http://schemas.openxmlformats.org/officeDocument/2006/relationships/hyperlink" Target="https://docs.google.com/forms/d/e/1FAIpQLSeQ0wUAy9WJrwwZ_8x6kCxvJSihLYtbLF2nbMncVH08fybLWQ/viewform?edit2=2_ABaOnueCDtj4VPxWl6VFbbL8jupX5CTCAq3hp2blVV3i0lZqeXRld_dACJd0YwZ0O_XHgf4" TargetMode="External"/><Relationship Id="rId24" Type="http://schemas.openxmlformats.org/officeDocument/2006/relationships/hyperlink" Target="https://docs.google.com/forms/d/e/1FAIpQLSeQ0wUAy9WJrwwZ_8x6kCxvJSihLYtbLF2nbMncVH08fybLWQ/viewform?edit2=2_ABaOnueWqpAzFDX08CmCtPz3UajMCKOmKXkhTjvwT3fcj2mSr9Y7m4qgbEbKX8BAbngJjP0" TargetMode="External"/><Relationship Id="rId23" Type="http://schemas.openxmlformats.org/officeDocument/2006/relationships/hyperlink" Target="https://docs.google.com/forms/d/e/1FAIpQLSeQ0wUAy9WJrwwZ_8x6kCxvJSihLYtbLF2nbMncVH08fybLWQ/viewform?edit2=2_ABaOnuc7VksDuY6bH1GiOtJuafk91fHnTLZbNeDer1y5iZE0qMwvKGgQ4FszCpiNUnpVoHU" TargetMode="External"/><Relationship Id="rId525" Type="http://schemas.openxmlformats.org/officeDocument/2006/relationships/hyperlink" Target="https://docs.google.com/forms/d/e/1FAIpQLSeQ0wUAy9WJrwwZ_8x6kCxvJSihLYtbLF2nbMncVH08fybLWQ/viewform?edit2=2_ABaOnucZQtEtytqDDYswq4mMZ9sfJ-wJ75Oyzbtokdp8MZWOnlBkF5hZDRQ3i0ODvUjlOUc" TargetMode="External"/><Relationship Id="rId767" Type="http://schemas.openxmlformats.org/officeDocument/2006/relationships/hyperlink" Target="https://docs.google.com/forms/d/e/1FAIpQLSeQ0wUAy9WJrwwZ_8x6kCxvJSihLYtbLF2nbMncVH08fybLWQ/viewform?edit2=2_ABaOnudZc9XMH_haKk86qg_gCRGfCBVf18Do6v_GNKd6-GqYLrnXBnx2evpFQDJ0EdKWKl4" TargetMode="External"/><Relationship Id="rId524" Type="http://schemas.openxmlformats.org/officeDocument/2006/relationships/hyperlink" Target="https://docs.google.com/forms/d/e/1FAIpQLSeQ0wUAy9WJrwwZ_8x6kCxvJSihLYtbLF2nbMncVH08fybLWQ/viewform?edit2=2_ABaOnucPGQwHSSnRBd_bRrNneORmuoTfonNG_G842y9U7I5K-AMtzLn991ibAfcGxgIdT-w" TargetMode="External"/><Relationship Id="rId766" Type="http://schemas.openxmlformats.org/officeDocument/2006/relationships/hyperlink" Target="https://docs.google.com/forms/d/e/1FAIpQLSeQ0wUAy9WJrwwZ_8x6kCxvJSihLYtbLF2nbMncVH08fybLWQ/viewform?edit2=2_ABaOnucMNDakoZ27zPNMbNOB_1ff0Qk6_BZkgmMoeZomsWiOiMaKdbBhhj2M2Ld6bcLSi0w" TargetMode="External"/><Relationship Id="rId523" Type="http://schemas.openxmlformats.org/officeDocument/2006/relationships/hyperlink" Target="https://docs.google.com/forms/d/e/1FAIpQLSeQ0wUAy9WJrwwZ_8x6kCxvJSihLYtbLF2nbMncVH08fybLWQ/viewform?edit2=2_ABaOnufoW_dOTBrq5Gwwy8CAjFN1pcQMgc5dY8ZqZ-ti7Ys5OIh9uf5GUlNp8wtJmKsF83Y" TargetMode="External"/><Relationship Id="rId765" Type="http://schemas.openxmlformats.org/officeDocument/2006/relationships/hyperlink" Target="https://docs.google.com/forms/d/e/1FAIpQLSeQ0wUAy9WJrwwZ_8x6kCxvJSihLYtbLF2nbMncVH08fybLWQ/viewform?edit2=2_ABaOnuemzonrpaIcyoRjEdnp6BiBqwPC88_aPn7-kt9EqagCI5lkkIayCeTAZxoKs3SGP3Q" TargetMode="External"/><Relationship Id="rId522" Type="http://schemas.openxmlformats.org/officeDocument/2006/relationships/hyperlink" Target="https://docs.google.com/forms/d/e/1FAIpQLSeQ0wUAy9WJrwwZ_8x6kCxvJSihLYtbLF2nbMncVH08fybLWQ/viewform?edit2=2_ABaOnue9JuL2pA4ckkeHjf8LDSTNzmHzHJAwZyboALeM7m4xYpJA_2tIPeEw07rkyZUpNfE" TargetMode="External"/><Relationship Id="rId764" Type="http://schemas.openxmlformats.org/officeDocument/2006/relationships/hyperlink" Target="https://docs.google.com/forms/d/e/1FAIpQLSeQ0wUAy9WJrwwZ_8x6kCxvJSihLYtbLF2nbMncVH08fybLWQ/viewform?edit2=2_ABaOnuf2wpyozHrHUrKCIymVU_t3fMsdS31Hb6xXLk7_QqKia5f0EMZrLrGMG5IFztgSCKM" TargetMode="External"/><Relationship Id="rId529" Type="http://schemas.openxmlformats.org/officeDocument/2006/relationships/hyperlink" Target="https://docs.google.com/forms/d/e/1FAIpQLSeQ0wUAy9WJrwwZ_8x6kCxvJSihLYtbLF2nbMncVH08fybLWQ/viewform?edit2=2_ABaOnueNr87jUOdPQYJmb-IDP1Ad3i6kvclHlVEzu-T6s69Zrjd_Sn9FuXhc5mhePj3oXkc" TargetMode="External"/><Relationship Id="rId528" Type="http://schemas.openxmlformats.org/officeDocument/2006/relationships/hyperlink" Target="https://docs.google.com/forms/d/e/1FAIpQLSeQ0wUAy9WJrwwZ_8x6kCxvJSihLYtbLF2nbMncVH08fybLWQ/viewform?edit2=2_ABaOnufSKd0Q-WyJx358Kel4qFYlbhiivZg9AfusdYtcxACj5e9ZE-OJkCmYV4uQ16BWg1U" TargetMode="External"/><Relationship Id="rId527" Type="http://schemas.openxmlformats.org/officeDocument/2006/relationships/hyperlink" Target="https://docs.google.com/forms/d/e/1FAIpQLSeQ0wUAy9WJrwwZ_8x6kCxvJSihLYtbLF2nbMncVH08fybLWQ/viewform?edit2=2_ABaOnufXGlcwtDfoQQFwRyoIr8hLRo-uVP2K2A3hKT1blDHj-RKWFKDBOw4twd7Yocs9i4w" TargetMode="External"/><Relationship Id="rId769" Type="http://schemas.openxmlformats.org/officeDocument/2006/relationships/hyperlink" Target="https://docs.google.com/forms/d/e/1FAIpQLSeQ0wUAy9WJrwwZ_8x6kCxvJSihLYtbLF2nbMncVH08fybLWQ/viewform?edit2=2_ABaOnuezQzIcT6g7umk2AMoRYweG-7AdA_IrQgphMBwWs2QOFTnJfQaU2H4YpRCERvReaK4" TargetMode="External"/><Relationship Id="rId526" Type="http://schemas.openxmlformats.org/officeDocument/2006/relationships/hyperlink" Target="https://docs.google.com/forms/d/e/1FAIpQLSeQ0wUAy9WJrwwZ_8x6kCxvJSihLYtbLF2nbMncVH08fybLWQ/viewform?edit2=2_ABaOnud_IsDnxsCrNGXwrQH4Y_CuXfM9bWjQgOb0nl6guKrWcRR3ggkEIt1MhONni-Ouy6c" TargetMode="External"/><Relationship Id="rId768" Type="http://schemas.openxmlformats.org/officeDocument/2006/relationships/hyperlink" Target="https://docs.google.com/forms/d/e/1FAIpQLSeQ0wUAy9WJrwwZ_8x6kCxvJSihLYtbLF2nbMncVH08fybLWQ/viewform?edit2=2_ABaOnufhaUP6aZXBhlBSj_ZeSr-cgaNUtYVdg0Z8f02lZ4NwEOXDnTBTyhOsoM0k2JOuQnI" TargetMode="External"/><Relationship Id="rId26" Type="http://schemas.openxmlformats.org/officeDocument/2006/relationships/hyperlink" Target="https://docs.google.com/forms/d/e/1FAIpQLSeQ0wUAy9WJrwwZ_8x6kCxvJSihLYtbLF2nbMncVH08fybLWQ/viewform?edit2=2_ABaOnudEjLWPj55sqw4qj9MSo0oSnsDAfSbr1FcOeLcek3NuRs97QRYY6fbUBT7Jx-e-MGk" TargetMode="External"/><Relationship Id="rId25" Type="http://schemas.openxmlformats.org/officeDocument/2006/relationships/hyperlink" Target="https://docs.google.com/forms/d/e/1FAIpQLSeQ0wUAy9WJrwwZ_8x6kCxvJSihLYtbLF2nbMncVH08fybLWQ/viewform?edit2=2_ABaOnudqXjPiMidtiEFJ2dxQmsyOqCe9dLKDPDG-8gAPGNrtdRDmHbhY2kuwMmAfQma295Y" TargetMode="External"/><Relationship Id="rId28" Type="http://schemas.openxmlformats.org/officeDocument/2006/relationships/hyperlink" Target="https://docs.google.com/forms/d/e/1FAIpQLSeQ0wUAy9WJrwwZ_8x6kCxvJSihLYtbLF2nbMncVH08fybLWQ/viewform?edit2=2_ABaOnudr1wd2Oy_UwcNNtmZR39C_gvOynHV247G7KDhHidbM4KpshSiXAvZ5YV4AH7tRKD0" TargetMode="External"/><Relationship Id="rId27" Type="http://schemas.openxmlformats.org/officeDocument/2006/relationships/hyperlink" Target="https://docs.google.com/forms/d/e/1FAIpQLSeQ0wUAy9WJrwwZ_8x6kCxvJSihLYtbLF2nbMncVH08fybLWQ/viewform?edit2=2_ABaOnucoHthyvcR-P3HYtzl92jA-jLbUZQqHK-ItmgYLgblqCxKraEibhLfhj-a-YylMIyA" TargetMode="External"/><Relationship Id="rId521" Type="http://schemas.openxmlformats.org/officeDocument/2006/relationships/hyperlink" Target="https://docs.google.com/forms/d/e/1FAIpQLSeQ0wUAy9WJrwwZ_8x6kCxvJSihLYtbLF2nbMncVH08fybLWQ/viewform?edit2=2_ABaOnucpKEoTd_u2JfVHKw73o8oWPFEqbCAK0TUDb_VEPgeccxlrNB0KDjanWonTBNf8lsk" TargetMode="External"/><Relationship Id="rId763" Type="http://schemas.openxmlformats.org/officeDocument/2006/relationships/hyperlink" Target="https://docs.google.com/forms/d/e/1FAIpQLSeQ0wUAy9WJrwwZ_8x6kCxvJSihLYtbLF2nbMncVH08fybLWQ/viewform?edit2=2_ABaOnudI0ftimpzCQ9D_WhzneJus0H6Tn7MdPQEA-UVH9bs8Y4lhT7dUNc0qcILzXSygTPw" TargetMode="External"/><Relationship Id="rId29" Type="http://schemas.openxmlformats.org/officeDocument/2006/relationships/hyperlink" Target="https://docs.google.com/forms/d/e/1FAIpQLSeQ0wUAy9WJrwwZ_8x6kCxvJSihLYtbLF2nbMncVH08fybLWQ/viewform?edit2=2_ABaOnucxMsYOIH4YXb0eCm2m7AsZ9eKd41wIuk-Q2xGOzjR5TxCBvtsErQgr1cRJGe1k2yQ" TargetMode="External"/><Relationship Id="rId520" Type="http://schemas.openxmlformats.org/officeDocument/2006/relationships/hyperlink" Target="https://docs.google.com/forms/d/e/1FAIpQLSeQ0wUAy9WJrwwZ_8x6kCxvJSihLYtbLF2nbMncVH08fybLWQ/viewform?edit2=2_ABaOnueKM9N_iS8nXlFdjkdn3Wo5pOoRMNh0URXd2ffSLdWlbCeiEFgjcFZiMiVLUDtvefA" TargetMode="External"/><Relationship Id="rId762" Type="http://schemas.openxmlformats.org/officeDocument/2006/relationships/hyperlink" Target="https://drive.google.com/open?id=1KM2EU_64pvxhAGFjZps3bO05ady6FE-M" TargetMode="External"/><Relationship Id="rId761" Type="http://schemas.openxmlformats.org/officeDocument/2006/relationships/hyperlink" Target="https://docs.google.com/forms/d/e/1FAIpQLSeQ0wUAy9WJrwwZ_8x6kCxvJSihLYtbLF2nbMncVH08fybLWQ/viewform?edit2=2_ABaOnufSxYbDwhzDTRhccM-6L-RhRutOrhmJofHRWPeMGJ_ZGE_1VIYK1jJg3VpVDM3C-s4" TargetMode="External"/><Relationship Id="rId760" Type="http://schemas.openxmlformats.org/officeDocument/2006/relationships/hyperlink" Target="https://docs.google.com/forms/d/e/1FAIpQLSeQ0wUAy9WJrwwZ_8x6kCxvJSihLYtbLF2nbMncVH08fybLWQ/viewform?edit2=2_ABaOnudlg5052TsF100rshiRCb5FQ34PLHOV0FuWJ8N7vLLWakR72YIRxJqU3Q0EVbYM13c" TargetMode="External"/><Relationship Id="rId11" Type="http://schemas.openxmlformats.org/officeDocument/2006/relationships/hyperlink" Target="https://docs.google.com/forms/d/e/1FAIpQLSeQ0wUAy9WJrwwZ_8x6kCxvJSihLYtbLF2nbMncVH08fybLWQ/viewform?edit2=2_ABaOnudO6Z8VUv-EFN6OXH8DD9GWjlu0VN93Iw7DGizr7gZGrUnvFNT3Lo8BFOY1y1sCJC8" TargetMode="External"/><Relationship Id="rId10" Type="http://schemas.openxmlformats.org/officeDocument/2006/relationships/hyperlink" Target="https://docs.google.com/forms/d/e/1FAIpQLSeQ0wUAy9WJrwwZ_8x6kCxvJSihLYtbLF2nbMncVH08fybLWQ/viewform?edit2=2_ABaOnufqNoSp79APZEidMKtRkuQ_OswUqDzptB_SiQZp02M3nUvbCPK3gCouTdmfqqy4S2g" TargetMode="External"/><Relationship Id="rId13" Type="http://schemas.openxmlformats.org/officeDocument/2006/relationships/hyperlink" Target="https://docs.google.com/forms/d/e/1FAIpQLSeQ0wUAy9WJrwwZ_8x6kCxvJSihLYtbLF2nbMncVH08fybLWQ/viewform?edit2=2_ABaOnuc9erjsOwfkNDVTn8bOLGNIgcEAXBqlUi8-OIOD2_WGMpX_rWK3Bl6iKh_Hp6OSpNQ" TargetMode="External"/><Relationship Id="rId12" Type="http://schemas.openxmlformats.org/officeDocument/2006/relationships/hyperlink" Target="https://docs.google.com/forms/d/e/1FAIpQLSeQ0wUAy9WJrwwZ_8x6kCxvJSihLYtbLF2nbMncVH08fybLWQ/viewform?edit2=2_ABaOnufka6HO4xJFRWoKBT5oupkTDgJ0_tAP3liJJxf-1Q3aBJxx6CPMar2sL_sOu7sKMZ4" TargetMode="External"/><Relationship Id="rId519" Type="http://schemas.openxmlformats.org/officeDocument/2006/relationships/hyperlink" Target="https://docs.google.com/forms/d/e/1FAIpQLSeQ0wUAy9WJrwwZ_8x6kCxvJSihLYtbLF2nbMncVH08fybLWQ/viewform?edit2=2_ABaOnueQ3k_zIBeH0buWXQpzRMrPdSBODbOQKj17EDST8DYOfXvJBqtKlUxWkblcVuu0hhY" TargetMode="External"/><Relationship Id="rId514" Type="http://schemas.openxmlformats.org/officeDocument/2006/relationships/hyperlink" Target="https://docs.google.com/forms/d/e/1FAIpQLSeQ0wUAy9WJrwwZ_8x6kCxvJSihLYtbLF2nbMncVH08fybLWQ/viewform?edit2=2_ABaOnueRcQv29R_QDiD48bwSp7XtxuBpWx-pdPN0CmocsuR7JBV0Y7RBEwhQAXGnvt-8XYw" TargetMode="External"/><Relationship Id="rId756" Type="http://schemas.openxmlformats.org/officeDocument/2006/relationships/hyperlink" Target="https://docs.google.com/forms/d/e/1FAIpQLSeQ0wUAy9WJrwwZ_8x6kCxvJSihLYtbLF2nbMncVH08fybLWQ/viewform?edit2=2_ABaOnuev3RwfI_vR6nOCWtiAC4-aB5N51UqX2QVmL0zA8BM1_Do_8zzDXD5Lhc-cEL7VBf8" TargetMode="External"/><Relationship Id="rId998" Type="http://schemas.openxmlformats.org/officeDocument/2006/relationships/hyperlink" Target="https://drive.google.com/open?id=1d99ZtTcKJkaDEP4bmlOjIF6m3wvruYEK" TargetMode="External"/><Relationship Id="rId513" Type="http://schemas.openxmlformats.org/officeDocument/2006/relationships/hyperlink" Target="https://docs.google.com/forms/d/e/1FAIpQLSeQ0wUAy9WJrwwZ_8x6kCxvJSihLYtbLF2nbMncVH08fybLWQ/viewform?edit2=2_ABaOnudD_bvqRiH1cqfeA4Ru5hN90Nrn9bf3Oz8w87J7Wx2eDPrSNSjTGAPuPXVkkwx9gus" TargetMode="External"/><Relationship Id="rId755" Type="http://schemas.openxmlformats.org/officeDocument/2006/relationships/hyperlink" Target="https://drive.google.com/open?id=19VgHrak0OqwsSmtLcw205weWXReEQ677" TargetMode="External"/><Relationship Id="rId997" Type="http://schemas.openxmlformats.org/officeDocument/2006/relationships/hyperlink" Target="https://docs.google.com/forms/d/e/1FAIpQLSeQ0wUAy9WJrwwZ_8x6kCxvJSihLYtbLF2nbMncVH08fybLWQ/viewform?edit2=2_ABaOnueEOHcZkJcPDdG0ttj2_Bl6WqDsnwS5e0uqTRhX8Rc7771AWHISVYQGGBKNuz4MBmE" TargetMode="External"/><Relationship Id="rId512" Type="http://schemas.openxmlformats.org/officeDocument/2006/relationships/hyperlink" Target="https://docs.google.com/forms/d/e/1FAIpQLSeQ0wUAy9WJrwwZ_8x6kCxvJSihLYtbLF2nbMncVH08fybLWQ/viewform?edit2=2_ABaOnudlBngir7pt8-X1-c0BWHIDEWMNxjj2a_9FGWIF-zDg-KKSsyDp5uPQ1K_DAujKjnw" TargetMode="External"/><Relationship Id="rId754" Type="http://schemas.openxmlformats.org/officeDocument/2006/relationships/hyperlink" Target="https://docs.google.com/forms/d/e/1FAIpQLSeQ0wUAy9WJrwwZ_8x6kCxvJSihLYtbLF2nbMncVH08fybLWQ/viewform?edit2=2_ABaOnueyZ0o_5IaUPPr7uemNf628K4XlEG9OHTGB6TZykwWvqICrO7UxHN0BB5dxzbc5KN8" TargetMode="External"/><Relationship Id="rId996" Type="http://schemas.openxmlformats.org/officeDocument/2006/relationships/hyperlink" Target="https://docs.google.com/forms/d/e/1FAIpQLSeQ0wUAy9WJrwwZ_8x6kCxvJSihLYtbLF2nbMncVH08fybLWQ/viewform?edit2=2_ABaOnudmX_lnfGBSbY5N45Luan_xBi87z_Ba0Yjo4Y-RLIc_kqqSPSC2Hkeg3aWyCVSoEvA" TargetMode="External"/><Relationship Id="rId511" Type="http://schemas.openxmlformats.org/officeDocument/2006/relationships/hyperlink" Target="https://docs.google.com/forms/d/e/1FAIpQLSeQ0wUAy9WJrwwZ_8x6kCxvJSihLYtbLF2nbMncVH08fybLWQ/viewform?edit2=2_ABaOnudAoiIZp31UXNJOkUi8DBzbps0pH18YF_M7EbgES3x13BLXBNjhO3dCQ_GK4U8-LGg" TargetMode="External"/><Relationship Id="rId753" Type="http://schemas.openxmlformats.org/officeDocument/2006/relationships/hyperlink" Target="https://drive.google.com/open?id=1sapz3FwzldNkqvcFtP0kw4qrFU03nzMf" TargetMode="External"/><Relationship Id="rId995" Type="http://schemas.openxmlformats.org/officeDocument/2006/relationships/hyperlink" Target="https://docs.google.com/forms/d/e/1FAIpQLSeQ0wUAy9WJrwwZ_8x6kCxvJSihLYtbLF2nbMncVH08fybLWQ/viewform?edit2=2_ABaOnucHfK2TPUPo8Ra5_LStALBaRcdc14fhuTTZaLcG697xq7xJ1sexMw-YwniyoBK7DPY" TargetMode="External"/><Relationship Id="rId518" Type="http://schemas.openxmlformats.org/officeDocument/2006/relationships/hyperlink" Target="https://docs.google.com/forms/d/e/1FAIpQLSeQ0wUAy9WJrwwZ_8x6kCxvJSihLYtbLF2nbMncVH08fybLWQ/viewform?edit2=2_ABaOnudmjEcW3NiHRtVhtbeiEcMlVSFXrl44CUYb3Ngvj7KLGdfZAN_IQ71qFuDnXG3seZ8" TargetMode="External"/><Relationship Id="rId517" Type="http://schemas.openxmlformats.org/officeDocument/2006/relationships/hyperlink" Target="https://docs.google.com/forms/d/e/1FAIpQLSeQ0wUAy9WJrwwZ_8x6kCxvJSihLYtbLF2nbMncVH08fybLWQ/viewform?edit2=2_ABaOnud9fAu_Fd-BVXT6EdP30uu_ke3WjY7HsiT15ZqRu93K6J-x7msKQYo6QTfzHyoiaTs" TargetMode="External"/><Relationship Id="rId759" Type="http://schemas.openxmlformats.org/officeDocument/2006/relationships/hyperlink" Target="https://drive.google.com/open?id=1AzUlkLsbkBqpqO0yfWVxVsImTHyHvBaQ" TargetMode="External"/><Relationship Id="rId516" Type="http://schemas.openxmlformats.org/officeDocument/2006/relationships/hyperlink" Target="https://docs.google.com/forms/d/e/1FAIpQLSeQ0wUAy9WJrwwZ_8x6kCxvJSihLYtbLF2nbMncVH08fybLWQ/viewform?edit2=2_ABaOnueLtF_5POo3u2lYfyL8U_cuJ5WjC78nSPvNd4eZhDdpWyQcpoKJ58VdJVTf1X_Vlzg" TargetMode="External"/><Relationship Id="rId758" Type="http://schemas.openxmlformats.org/officeDocument/2006/relationships/hyperlink" Target="https://docs.google.com/forms/d/e/1FAIpQLSeQ0wUAy9WJrwwZ_8x6kCxvJSihLYtbLF2nbMncVH08fybLWQ/viewform?edit2=2_ABaOnuetX6xXUPYLhBLTij0PYBg0T6DgXgyFEvcNLfSIOpyl3dsOIs8KYzzc5Un0ImU7erg" TargetMode="External"/><Relationship Id="rId515" Type="http://schemas.openxmlformats.org/officeDocument/2006/relationships/hyperlink" Target="https://docs.google.com/forms/d/e/1FAIpQLSeQ0wUAy9WJrwwZ_8x6kCxvJSihLYtbLF2nbMncVH08fybLWQ/viewform?edit2=2_ABaOnueqdiyYWuQ8ECObMz00e2q1K1HNkOlIiuVgCAcsq1c1O-LGs_bqUAxW9uGw2hKweNk" TargetMode="External"/><Relationship Id="rId757" Type="http://schemas.openxmlformats.org/officeDocument/2006/relationships/hyperlink" Target="https://docs.google.com/forms/d/e/1FAIpQLSeQ0wUAy9WJrwwZ_8x6kCxvJSihLYtbLF2nbMncVH08fybLWQ/viewform?edit2=2_ABaOnuejo0nXzFFwfLmtl4vV-387INqWMcj4B6mwI1jIcFFIEg2IUbiewi2Fgb-tzeVnhnk" TargetMode="External"/><Relationship Id="rId999" Type="http://schemas.openxmlformats.org/officeDocument/2006/relationships/hyperlink" Target="https://docs.google.com/forms/d/e/1FAIpQLSeQ0wUAy9WJrwwZ_8x6kCxvJSihLYtbLF2nbMncVH08fybLWQ/viewform?edit2=2_ABaOnuerEAEa4fL9TwSmliFBnNyHZePx13s40uSZKqWPFxaC3L-ki43auI4Hpy8KE6-n_IA" TargetMode="External"/><Relationship Id="rId15" Type="http://schemas.openxmlformats.org/officeDocument/2006/relationships/hyperlink" Target="https://docs.google.com/forms/d/e/1FAIpQLSeQ0wUAy9WJrwwZ_8x6kCxvJSihLYtbLF2nbMncVH08fybLWQ/viewform?edit2=2_ABaOnufU10HXks4gtKyjw2PBrrIZ7bPmtUydfCqliHEmErlsazHoHwp9wwSAXEjdDzzgKt0" TargetMode="External"/><Relationship Id="rId990" Type="http://schemas.openxmlformats.org/officeDocument/2006/relationships/hyperlink" Target="https://docs.google.com/forms/d/e/1FAIpQLSeQ0wUAy9WJrwwZ_8x6kCxvJSihLYtbLF2nbMncVH08fybLWQ/viewform?edit2=2_ABaOnucnCe0KXPPCcRQzZvGqoQu2LWYdGEcmzLiJc7uq6l2GO_xtpg8Y8JRrTH1bGYoAzZI" TargetMode="External"/><Relationship Id="rId14" Type="http://schemas.openxmlformats.org/officeDocument/2006/relationships/hyperlink" Target="https://docs.google.com/forms/d/e/1FAIpQLSeQ0wUAy9WJrwwZ_8x6kCxvJSihLYtbLF2nbMncVH08fybLWQ/viewform?edit2=2_ABaOnue8XevbleIOLV6Zvd2G37FlNxMZJOVw5Q8ZveOXrl-aDLrqeulbaZs0ZmX_O5OIZGA" TargetMode="External"/><Relationship Id="rId17" Type="http://schemas.openxmlformats.org/officeDocument/2006/relationships/hyperlink" Target="https://docs.google.com/forms/d/e/1FAIpQLSeQ0wUAy9WJrwwZ_8x6kCxvJSihLYtbLF2nbMncVH08fybLWQ/viewform?edit2=2_ABaOnudtBKuQlAKSKmcGaH3jWqaYVTx86soVcJ-EDjo7hh0oWjmZe8C_usSNef6DiKAxzU4" TargetMode="External"/><Relationship Id="rId16" Type="http://schemas.openxmlformats.org/officeDocument/2006/relationships/hyperlink" Target="https://docs.google.com/forms/d/e/1FAIpQLSeQ0wUAy9WJrwwZ_8x6kCxvJSihLYtbLF2nbMncVH08fybLWQ/viewform?edit2=2_ABaOnufFH8SnKCuhonbjl2dCGvrCncAaPrAMZz7Cwjz2fpfcF0S4PLFCFSMPjINr9CpOZEA" TargetMode="External"/><Relationship Id="rId19" Type="http://schemas.openxmlformats.org/officeDocument/2006/relationships/hyperlink" Target="https://docs.google.com/forms/d/e/1FAIpQLSeQ0wUAy9WJrwwZ_8x6kCxvJSihLYtbLF2nbMncVH08fybLWQ/viewform?edit2=2_ABaOnuc82M0MnGYwWslEVOfcdsN9fr5i2iHOy1Vg5BSzzzZNOBVM6mo5NWyovhjnf581ZaM" TargetMode="External"/><Relationship Id="rId510" Type="http://schemas.openxmlformats.org/officeDocument/2006/relationships/hyperlink" Target="https://docs.google.com/forms/d/e/1FAIpQLSeQ0wUAy9WJrwwZ_8x6kCxvJSihLYtbLF2nbMncVH08fybLWQ/viewform?edit2=2_ABaOnuds7YZ5zgxrMlz72RWgDln4czztXe6LvijLbIs7u2BuxRNQYt2XSFKkWfrM4t9eAHM" TargetMode="External"/><Relationship Id="rId752" Type="http://schemas.openxmlformats.org/officeDocument/2006/relationships/hyperlink" Target="https://docs.google.com/forms/d/e/1FAIpQLSeQ0wUAy9WJrwwZ_8x6kCxvJSihLYtbLF2nbMncVH08fybLWQ/viewform?edit2=2_ABaOnueefVEWsprUPwz1qYJbRZSAZKBw0vePBEAYAnLLtuLtNwb9Uh2ehdCL3QOJ4vf4Ty8" TargetMode="External"/><Relationship Id="rId994" Type="http://schemas.openxmlformats.org/officeDocument/2006/relationships/hyperlink" Target="https://docs.google.com/forms/d/e/1FAIpQLSeQ0wUAy9WJrwwZ_8x6kCxvJSihLYtbLF2nbMncVH08fybLWQ/viewform?edit2=2_ABaOnucgfKnFvgFDIhA7tFucoao-3E_bOB0XSKlLZVHrjfLKZIfdy29bjkuzf_m9oEh0x-A" TargetMode="External"/><Relationship Id="rId18" Type="http://schemas.openxmlformats.org/officeDocument/2006/relationships/hyperlink" Target="https://docs.google.com/forms/d/e/1FAIpQLSeQ0wUAy9WJrwwZ_8x6kCxvJSihLYtbLF2nbMncVH08fybLWQ/viewform?edit2=2_ABaOnuc8H0F6VxAESAEYvHMp1DIAZ4L3BkNgLHEemRz_GT__2UHav6-PTcU8LU7zETkhmDE" TargetMode="External"/><Relationship Id="rId751" Type="http://schemas.openxmlformats.org/officeDocument/2006/relationships/hyperlink" Target="https://drive.google.com/open?id=1wrxAYIpA118qhV1hOjX7gb8h3KovOWva" TargetMode="External"/><Relationship Id="rId993" Type="http://schemas.openxmlformats.org/officeDocument/2006/relationships/hyperlink" Target="https://docs.google.com/forms/d/e/1FAIpQLSeQ0wUAy9WJrwwZ_8x6kCxvJSihLYtbLF2nbMncVH08fybLWQ/viewform?edit2=2_ABaOnueYKdyXJED5lyS1QCTnMUW_KbSuPDMGlSqZIzp25Rkbd-YjEhKLG4BpkSXV7TEM05o" TargetMode="External"/><Relationship Id="rId750" Type="http://schemas.openxmlformats.org/officeDocument/2006/relationships/hyperlink" Target="https://docs.google.com/forms/d/e/1FAIpQLSeQ0wUAy9WJrwwZ_8x6kCxvJSihLYtbLF2nbMncVH08fybLWQ/viewform?edit2=2_ABaOnufjxaHHHEt0DI9xaW0zrg2W5IqhUQv1430Wfsu9iigIfK9w3m3vluz3yMuxTUSSVTQ" TargetMode="External"/><Relationship Id="rId992" Type="http://schemas.openxmlformats.org/officeDocument/2006/relationships/hyperlink" Target="https://docs.google.com/forms/d/e/1FAIpQLSeQ0wUAy9WJrwwZ_8x6kCxvJSihLYtbLF2nbMncVH08fybLWQ/viewform?edit2=2_ABaOnudzMFMnIvmTbHeopPcWrWzp3jScvYaxx9-SYQUYoR0hnSxvRl-a2_sUkfQXX-nMSFM" TargetMode="External"/><Relationship Id="rId991" Type="http://schemas.openxmlformats.org/officeDocument/2006/relationships/hyperlink" Target="https://docs.google.com/forms/d/e/1FAIpQLSeQ0wUAy9WJrwwZ_8x6kCxvJSihLYtbLF2nbMncVH08fybLWQ/viewform?edit2=2_ABaOnucbZqFmBU4UYuVtCy0FRDEkkNG46x7TlO-KqPUM34nUep8CGqLgdK2NvVvr5uHtNjA" TargetMode="External"/><Relationship Id="rId84" Type="http://schemas.openxmlformats.org/officeDocument/2006/relationships/hyperlink" Target="https://docs.google.com/forms/d/e/1FAIpQLSeQ0wUAy9WJrwwZ_8x6kCxvJSihLYtbLF2nbMncVH08fybLWQ/viewform?edit2=2_ABaOnudh7grK8QBFjlgk32PAxaUOkNBwRtrssLGVOGPz40tcandwBZ5ZP59Z5MgsDoUmOug" TargetMode="External"/><Relationship Id="rId83" Type="http://schemas.openxmlformats.org/officeDocument/2006/relationships/hyperlink" Target="https://docs.google.com/forms/d/e/1FAIpQLSeQ0wUAy9WJrwwZ_8x6kCxvJSihLYtbLF2nbMncVH08fybLWQ/viewform?edit2=2_ABaOnudPb2x2deTKMc-uzTBwrcvrRMSpFXwAYMYOdXUSOsyBXMyTb9WorhDYnaDR4uherwU" TargetMode="External"/><Relationship Id="rId86" Type="http://schemas.openxmlformats.org/officeDocument/2006/relationships/hyperlink" Target="https://docs.google.com/forms/d/e/1FAIpQLSeQ0wUAy9WJrwwZ_8x6kCxvJSihLYtbLF2nbMncVH08fybLWQ/viewform?edit2=2_ABaOnufxPy1fjLeYOUQS918bPPO57WgXghTLvfYwywDztJpM_hkWdDzkEOMwQ0RNEpGBrpg" TargetMode="External"/><Relationship Id="rId85" Type="http://schemas.openxmlformats.org/officeDocument/2006/relationships/hyperlink" Target="https://docs.google.com/forms/d/e/1FAIpQLSeQ0wUAy9WJrwwZ_8x6kCxvJSihLYtbLF2nbMncVH08fybLWQ/viewform?edit2=2_ABaOnue1XStlNbJaUEeBFMyBMSBfLgSyMBOgOuin7GwkNV461oJ93q_DmJC02Pdn_xbvWEc" TargetMode="External"/><Relationship Id="rId88" Type="http://schemas.openxmlformats.org/officeDocument/2006/relationships/hyperlink" Target="https://docs.google.com/forms/d/e/1FAIpQLSeQ0wUAy9WJrwwZ_8x6kCxvJSihLYtbLF2nbMncVH08fybLWQ/viewform?edit2=2_ABaOnue-o1TymOrHfDlDajZVIs7Bt3xNuCXP_bz-11665QWvyTmDSpypmZ9ai3g3n9crzwA" TargetMode="External"/><Relationship Id="rId87" Type="http://schemas.openxmlformats.org/officeDocument/2006/relationships/hyperlink" Target="https://docs.google.com/forms/d/e/1FAIpQLSeQ0wUAy9WJrwwZ_8x6kCxvJSihLYtbLF2nbMncVH08fybLWQ/viewform?edit2=2_ABaOnuc5grXEy1aMljF-kTXOIlMDGPKarktEo0T3SIRIISBTorRbfIK4hC3BZZo9sdtV-Ss" TargetMode="External"/><Relationship Id="rId89" Type="http://schemas.openxmlformats.org/officeDocument/2006/relationships/hyperlink" Target="https://docs.google.com/forms/d/e/1FAIpQLSeQ0wUAy9WJrwwZ_8x6kCxvJSihLYtbLF2nbMncVH08fybLWQ/viewform?edit2=2_ABaOnudJ_0a0L6flN6aGFR0bB3VACoKBjgHkT2lTt3Tq3touboAZfbDKIF6MJJVb2Oz5qcY" TargetMode="External"/><Relationship Id="rId709" Type="http://schemas.openxmlformats.org/officeDocument/2006/relationships/hyperlink" Target="https://docs.google.com/forms/d/e/1FAIpQLSeQ0wUAy9WJrwwZ_8x6kCxvJSihLYtbLF2nbMncVH08fybLWQ/viewform?edit2=2_ABaOnueDC_iA7c77_F6UvJGqrXcihrY0-zfG8dzkzVoUoGW1vPNp-W4ZeW5zu77jrmA6KIM" TargetMode="External"/><Relationship Id="rId708" Type="http://schemas.openxmlformats.org/officeDocument/2006/relationships/hyperlink" Target="https://docs.google.com/forms/d/e/1FAIpQLSeQ0wUAy9WJrwwZ_8x6kCxvJSihLYtbLF2nbMncVH08fybLWQ/viewform?edit2=2_ABaOnucQPogrwDW1SjKppSZETBCwGY62zIlAfCvWDzYfwj22JzsQOo6CV-VRxrNw3fav4iM" TargetMode="External"/><Relationship Id="rId707" Type="http://schemas.openxmlformats.org/officeDocument/2006/relationships/hyperlink" Target="https://docs.google.com/forms/d/e/1FAIpQLSeQ0wUAy9WJrwwZ_8x6kCxvJSihLYtbLF2nbMncVH08fybLWQ/viewform?edit2=2_ABaOnuftO-nuOKfn8zhUaKagQCQ7iee7s7PBzcEJF2PQ3BQ4w1J2yd7zLuO8N0N4hAH-Nu8" TargetMode="External"/><Relationship Id="rId949" Type="http://schemas.openxmlformats.org/officeDocument/2006/relationships/hyperlink" Target="https://drive.google.com/open?id=1uBM83zzNurtb9lFeVUUUfFHeEKl2qH_J" TargetMode="External"/><Relationship Id="rId706" Type="http://schemas.openxmlformats.org/officeDocument/2006/relationships/hyperlink" Target="https://docs.google.com/forms/d/e/1FAIpQLSeQ0wUAy9WJrwwZ_8x6kCxvJSihLYtbLF2nbMncVH08fybLWQ/viewform?edit2=2_ABaOnuftM7R2E4aZ6YouBnJ6EERd33IXNU5Co2pFkomUaEw6DZI2aFh43sx-Ao31KVJ8XSg" TargetMode="External"/><Relationship Id="rId948" Type="http://schemas.openxmlformats.org/officeDocument/2006/relationships/hyperlink" Target="https://docs.google.com/forms/d/e/1FAIpQLSeQ0wUAy9WJrwwZ_8x6kCxvJSihLYtbLF2nbMncVH08fybLWQ/viewform?edit2=2_ABaOnucsEAmzfTZEx9LjCN2wtxY97U9oRwvlSttIXYJrfObjKvb8WTp5tHiBvPkKcyWHYkY" TargetMode="External"/><Relationship Id="rId80" Type="http://schemas.openxmlformats.org/officeDocument/2006/relationships/hyperlink" Target="https://docs.google.com/forms/d/e/1FAIpQLSeQ0wUAy9WJrwwZ_8x6kCxvJSihLYtbLF2nbMncVH08fybLWQ/viewform?edit2=2_ABaOnucdZ3896fdERO0PufpVs-P-H2sPa9CMac0AxSBgmQj3CdNyWwqFOW613Kf0SHS-VLM" TargetMode="External"/><Relationship Id="rId82" Type="http://schemas.openxmlformats.org/officeDocument/2006/relationships/hyperlink" Target="https://docs.google.com/forms/d/e/1FAIpQLSeQ0wUAy9WJrwwZ_8x6kCxvJSihLYtbLF2nbMncVH08fybLWQ/viewform?edit2=2_ABaOnufvO6pp_Ca2DJZ9en1OEYYUVe_sdXotbIL9drtBj-78xGLHTIPWtOSmfi9SQhvY8EY" TargetMode="External"/><Relationship Id="rId81" Type="http://schemas.openxmlformats.org/officeDocument/2006/relationships/hyperlink" Target="https://docs.google.com/forms/d/e/1FAIpQLSeQ0wUAy9WJrwwZ_8x6kCxvJSihLYtbLF2nbMncVH08fybLWQ/viewform?edit2=2_ABaOnucJM5cURV3e6sBpZ0_-XJq3pepSYucFCX9YR7KAmVvJAcwfae8HbVOv2xruJ_GbcI8" TargetMode="External"/><Relationship Id="rId701" Type="http://schemas.openxmlformats.org/officeDocument/2006/relationships/hyperlink" Target="https://docs.google.com/forms/d/e/1FAIpQLSeQ0wUAy9WJrwwZ_8x6kCxvJSihLYtbLF2nbMncVH08fybLWQ/viewform?edit2=2_ABaOnueegFZQ8t40twQHnRYtk3NSpufzw8oxEbGrEC7IikKD938gnZaSs405SlaIJxPoYqI" TargetMode="External"/><Relationship Id="rId943" Type="http://schemas.openxmlformats.org/officeDocument/2006/relationships/hyperlink" Target="https://docs.google.com/forms/d/e/1FAIpQLSeQ0wUAy9WJrwwZ_8x6kCxvJSihLYtbLF2nbMncVH08fybLWQ/viewform?edit2=2_ABaOnuekyu7RS75asOb6iccJsGlEfxX_hsBTibBYNNCrbx_e8asQuTzKH9r3Sq2Jhtntts8" TargetMode="External"/><Relationship Id="rId700" Type="http://schemas.openxmlformats.org/officeDocument/2006/relationships/hyperlink" Target="https://docs.google.com/forms/d/e/1FAIpQLSeQ0wUAy9WJrwwZ_8x6kCxvJSihLYtbLF2nbMncVH08fybLWQ/viewform?edit2=2_ABaOnueZ6hmcnzUxrWQCS3CMQf6skkexuOK7TP1KNjVRt4fjTIEaQ9YLEo6ikoPiV2fBUhE" TargetMode="External"/><Relationship Id="rId942" Type="http://schemas.openxmlformats.org/officeDocument/2006/relationships/hyperlink" Target="https://docs.google.com/forms/d/e/1FAIpQLSeQ0wUAy9WJrwwZ_8x6kCxvJSihLYtbLF2nbMncVH08fybLWQ/viewform?edit2=2_ABaOnuefJbLJN2Etq6f6BzG_ih5KJ1-kdNmrhXSne1BO3NQmZAFVFT42THfm4UPBVNEk3Xw" TargetMode="External"/><Relationship Id="rId941" Type="http://schemas.openxmlformats.org/officeDocument/2006/relationships/hyperlink" Target="https://docs.google.com/forms/d/e/1FAIpQLSeQ0wUAy9WJrwwZ_8x6kCxvJSihLYtbLF2nbMncVH08fybLWQ/viewform?edit2=2_ABaOnufXGeH_zz-KPMdwdDewua_fbEfv0Sew7fy72SBBA3CWZ9bLNu7cXedzxJrAjLalk1Q" TargetMode="External"/><Relationship Id="rId940" Type="http://schemas.openxmlformats.org/officeDocument/2006/relationships/hyperlink" Target="https://docs.google.com/forms/d/e/1FAIpQLSeQ0wUAy9WJrwwZ_8x6kCxvJSihLYtbLF2nbMncVH08fybLWQ/viewform?edit2=2_ABaOnuffhEt2YUPmap99O9Wm_UuckHMaYSBa_270IyCx6Xp-y7E-ppXnzEZE8GFwiUUUBOw" TargetMode="External"/><Relationship Id="rId705" Type="http://schemas.openxmlformats.org/officeDocument/2006/relationships/hyperlink" Target="https://docs.google.com/forms/d/e/1FAIpQLSeQ0wUAy9WJrwwZ_8x6kCxvJSihLYtbLF2nbMncVH08fybLWQ/viewform?edit2=2_ABaOnud-1n5T1d7TznAO_I2zGn8nHr2Cy2_Q5iNjcT_zVOIEw_p1gjmW3h8Ts6GU0e17l50" TargetMode="External"/><Relationship Id="rId947" Type="http://schemas.openxmlformats.org/officeDocument/2006/relationships/hyperlink" Target="https://docs.google.com/forms/d/e/1FAIpQLSeQ0wUAy9WJrwwZ_8x6kCxvJSihLYtbLF2nbMncVH08fybLWQ/viewform?edit2=2_ABaOnucc89QxW5xXZvp9ffz34La2HtCGy5ETZOlN9M04uo_8FP5YNb1_WrRVOjwluKbyhYQ" TargetMode="External"/><Relationship Id="rId704" Type="http://schemas.openxmlformats.org/officeDocument/2006/relationships/hyperlink" Target="https://docs.google.com/forms/d/e/1FAIpQLSeQ0wUAy9WJrwwZ_8x6kCxvJSihLYtbLF2nbMncVH08fybLWQ/viewform?edit2=2_ABaOnudUUe50aCp3ct6VYGYvAHJ1YDOrRlhPNbqbFwZKTOPf6aTQlYyYxA0S6CZ3vXYH1L0" TargetMode="External"/><Relationship Id="rId946" Type="http://schemas.openxmlformats.org/officeDocument/2006/relationships/hyperlink" Target="https://docs.google.com/forms/d/e/1FAIpQLSeQ0wUAy9WJrwwZ_8x6kCxvJSihLYtbLF2nbMncVH08fybLWQ/viewform?edit2=2_ABaOnueyeKFTdhz8g1pfzM3xK4dAPQL0Q98Kzw8JK6A8BrcstsLpboOxH1bdXCFbuH3waaY" TargetMode="External"/><Relationship Id="rId703" Type="http://schemas.openxmlformats.org/officeDocument/2006/relationships/hyperlink" Target="https://docs.google.com/forms/d/e/1FAIpQLSeQ0wUAy9WJrwwZ_8x6kCxvJSihLYtbLF2nbMncVH08fybLWQ/viewform?edit2=2_ABaOnudtBCJozREf91W-wMZCq7nYoE0__MRw3fAe8SRcJ7bUPD1uA-LVuK7QYpJfGUN5uAU" TargetMode="External"/><Relationship Id="rId945" Type="http://schemas.openxmlformats.org/officeDocument/2006/relationships/hyperlink" Target="https://docs.google.com/forms/d/e/1FAIpQLSeQ0wUAy9WJrwwZ_8x6kCxvJSihLYtbLF2nbMncVH08fybLWQ/viewform?edit2=2_ABaOnudb5kpJsR9qlkUBgWG384I2A6WnsHF5OLgeuuFD1eift54xAUIuvK5QxCz0l9k6Jlw" TargetMode="External"/><Relationship Id="rId702" Type="http://schemas.openxmlformats.org/officeDocument/2006/relationships/hyperlink" Target="https://docs.google.com/forms/d/e/1FAIpQLSeQ0wUAy9WJrwwZ_8x6kCxvJSihLYtbLF2nbMncVH08fybLWQ/viewform?edit2=2_ABaOnueIviV16S7_t1_HwXKCtLaFRbxTB4st3YmTxzs-0drU7CcGjvj74CLdGSW1oEodXlY" TargetMode="External"/><Relationship Id="rId944" Type="http://schemas.openxmlformats.org/officeDocument/2006/relationships/hyperlink" Target="https://docs.google.com/forms/d/e/1FAIpQLSeQ0wUAy9WJrwwZ_8x6kCxvJSihLYtbLF2nbMncVH08fybLWQ/viewform?edit2=2_ABaOnucaKXsR_9RXwzu713RX5TF10A1tIh5XRMXRq_KnQRrQFAqOFKk3Nl9czqfKbN5Tov0" TargetMode="External"/><Relationship Id="rId73" Type="http://schemas.openxmlformats.org/officeDocument/2006/relationships/hyperlink" Target="https://docs.google.com/forms/d/e/1FAIpQLSeQ0wUAy9WJrwwZ_8x6kCxvJSihLYtbLF2nbMncVH08fybLWQ/viewform?edit2=2_ABaOnuc6Njlfl-h5tpmgSa-o6UeWLdDPkqu8U-sJfb3dJIP7GuGRALnHfdUg5MNHhr9_sXo" TargetMode="External"/><Relationship Id="rId72" Type="http://schemas.openxmlformats.org/officeDocument/2006/relationships/hyperlink" Target="https://docs.google.com/forms/d/e/1FAIpQLSeQ0wUAy9WJrwwZ_8x6kCxvJSihLYtbLF2nbMncVH08fybLWQ/viewform?edit2=2_ABaOnucRf4JPuU4mjP3zE9gpZPRNmC0wVUU2frxrwgHdt68xcOOzBJMs8npQeWE9A7vX_pU" TargetMode="External"/><Relationship Id="rId75" Type="http://schemas.openxmlformats.org/officeDocument/2006/relationships/hyperlink" Target="https://docs.google.com/forms/d/e/1FAIpQLSeQ0wUAy9WJrwwZ_8x6kCxvJSihLYtbLF2nbMncVH08fybLWQ/viewform?edit2=2_ABaOnuex7uxCm4emqiSmjAHbOqnNgzztr7qh8H9V2wrSTC84wHokPQnzIXh4X-pLyIwuZFA" TargetMode="External"/><Relationship Id="rId74" Type="http://schemas.openxmlformats.org/officeDocument/2006/relationships/hyperlink" Target="https://docs.google.com/forms/d/e/1FAIpQLSeQ0wUAy9WJrwwZ_8x6kCxvJSihLYtbLF2nbMncVH08fybLWQ/viewform?edit2=2_ABaOnueY-ZPHdq_39gaSxWTabv39DbvcT5Q2bNMTGGnpKmX0yZj-lgpWdC6Yy3eQy0SnYhE" TargetMode="External"/><Relationship Id="rId77" Type="http://schemas.openxmlformats.org/officeDocument/2006/relationships/hyperlink" Target="https://docs.google.com/forms/d/e/1FAIpQLSeQ0wUAy9WJrwwZ_8x6kCxvJSihLYtbLF2nbMncVH08fybLWQ/viewform?edit2=2_ABaOnucsNSS1Ktv01vO5qm7x9iLN_jz8ycl52x2yU-vjT9F26lU5Jb-OLs7YSp0_wenI-xs" TargetMode="External"/><Relationship Id="rId76" Type="http://schemas.openxmlformats.org/officeDocument/2006/relationships/hyperlink" Target="https://docs.google.com/forms/d/e/1FAIpQLSeQ0wUAy9WJrwwZ_8x6kCxvJSihLYtbLF2nbMncVH08fybLWQ/viewform?edit2=2_ABaOnudl4xnFgQfEn-Y3HKIH7D99D8u2anZsuXnUn0JrEFWTml6Mkt6Nh7H0gvOqPTmQvAQ" TargetMode="External"/><Relationship Id="rId79" Type="http://schemas.openxmlformats.org/officeDocument/2006/relationships/hyperlink" Target="https://docs.google.com/forms/d/e/1FAIpQLSeQ0wUAy9WJrwwZ_8x6kCxvJSihLYtbLF2nbMncVH08fybLWQ/viewform?edit2=2_ABaOnufY_ZiBqGsfqx9TU-TSRT9WhMyBOVxWsfFmpTJbFzA6JJuhAgo4P_QNtmfpavutR8M" TargetMode="External"/><Relationship Id="rId78" Type="http://schemas.openxmlformats.org/officeDocument/2006/relationships/hyperlink" Target="https://docs.google.com/forms/d/e/1FAIpQLSeQ0wUAy9WJrwwZ_8x6kCxvJSihLYtbLF2nbMncVH08fybLWQ/viewform?edit2=2_ABaOnucuDDlzFM7duzQUw5JO-u0jWCg5ku2n8gftuX8b_7mXpq6S7kEcd9Mc1v3pst68XSE" TargetMode="External"/><Relationship Id="rId939" Type="http://schemas.openxmlformats.org/officeDocument/2006/relationships/hyperlink" Target="https://docs.google.com/forms/d/e/1FAIpQLSeQ0wUAy9WJrwwZ_8x6kCxvJSihLYtbLF2nbMncVH08fybLWQ/viewform?edit2=2_ABaOnue0D2-3OcyOBMySBDmcgV5uKFzN9Q94qV6LalYEzTlSuIDeTY4eAuw_TKMr8iKxPHM" TargetMode="External"/><Relationship Id="rId938" Type="http://schemas.openxmlformats.org/officeDocument/2006/relationships/hyperlink" Target="https://docs.google.com/forms/d/e/1FAIpQLSeQ0wUAy9WJrwwZ_8x6kCxvJSihLYtbLF2nbMncVH08fybLWQ/viewform?edit2=2_ABaOnudZNboo7jfZshRnKsU_ralE8eCiYNgk_uOW8LEe6obP_1Fvf8AIR639fiTPKkSD3gs" TargetMode="External"/><Relationship Id="rId937" Type="http://schemas.openxmlformats.org/officeDocument/2006/relationships/hyperlink" Target="https://docs.google.com/forms/d/e/1FAIpQLSeQ0wUAy9WJrwwZ_8x6kCxvJSihLYtbLF2nbMncVH08fybLWQ/viewform?edit2=2_ABaOnudIbewX7cGHrRMsBgkUFXOdfV2eFtYPTB-IF4lsh3pzLC6cTveXIx8CZBQEh4-fVfE" TargetMode="External"/><Relationship Id="rId71" Type="http://schemas.openxmlformats.org/officeDocument/2006/relationships/hyperlink" Target="https://docs.google.com/forms/d/e/1FAIpQLSeQ0wUAy9WJrwwZ_8x6kCxvJSihLYtbLF2nbMncVH08fybLWQ/viewform?edit2=2_ABaOnud_TvJb5VKGIL8XOr26dxI9M63ZCTna0EN0V4GyRIs6sCQ-ae9dmzTBZqwQZ2Y2mHk" TargetMode="External"/><Relationship Id="rId70" Type="http://schemas.openxmlformats.org/officeDocument/2006/relationships/hyperlink" Target="https://docs.google.com/forms/d/e/1FAIpQLSeQ0wUAy9WJrwwZ_8x6kCxvJSihLYtbLF2nbMncVH08fybLWQ/viewform?edit2=2_ABaOnufqCmmg8tsnGLCcYKDdB8ugolwhWd3wacK0lW0NMVEZKqmgqmDhrg3H2nhiVn-8PkM" TargetMode="External"/><Relationship Id="rId932" Type="http://schemas.openxmlformats.org/officeDocument/2006/relationships/hyperlink" Target="https://docs.google.com/forms/d/e/1FAIpQLSeQ0wUAy9WJrwwZ_8x6kCxvJSihLYtbLF2nbMncVH08fybLWQ/viewform?edit2=2_ABaOnud4HdE6FYY_-T4Ixi2v0hIZIyXMkHcoznhyM3z4VrgneyDzmKvdsrEE-PdDC7LPmxo" TargetMode="External"/><Relationship Id="rId931" Type="http://schemas.openxmlformats.org/officeDocument/2006/relationships/hyperlink" Target="https://docs.google.com/forms/d/e/1FAIpQLSeQ0wUAy9WJrwwZ_8x6kCxvJSihLYtbLF2nbMncVH08fybLWQ/viewform?edit2=2_ABaOnuc2ruhR_wffO8oV6q_TPjuQevDVC6i4Zk_s1tQclaHeQBi-4vUb96c5oRVK4TeqgQ8" TargetMode="External"/><Relationship Id="rId930" Type="http://schemas.openxmlformats.org/officeDocument/2006/relationships/hyperlink" Target="https://docs.google.com/forms/d/e/1FAIpQLSeQ0wUAy9WJrwwZ_8x6kCxvJSihLYtbLF2nbMncVH08fybLWQ/viewform?edit2=2_ABaOnufmgpi3vWbFQ74yMkNaEIZJzqNXz-r9iTez9ah3aCESm29S-nCvJ4q7tMwsif3Nqnc" TargetMode="External"/><Relationship Id="rId936" Type="http://schemas.openxmlformats.org/officeDocument/2006/relationships/hyperlink" Target="https://docs.google.com/forms/d/e/1FAIpQLSeQ0wUAy9WJrwwZ_8x6kCxvJSihLYtbLF2nbMncVH08fybLWQ/viewform?edit2=2_ABaOnuchVrMW7g6duF6mBDNiX4ztY7HmmfiibQE0zLNwNLZK7zScNOxkX07jPaeNoBGxWqA" TargetMode="External"/><Relationship Id="rId935" Type="http://schemas.openxmlformats.org/officeDocument/2006/relationships/hyperlink" Target="https://docs.google.com/forms/d/e/1FAIpQLSeQ0wUAy9WJrwwZ_8x6kCxvJSihLYtbLF2nbMncVH08fybLWQ/viewform?edit2=2_ABaOnucM74qxNsRW3I4GPGIpQefNTxvTiulAy_Py8MXiYYZhQOjD7MVMMI7oCTqRJ7C_Yb8" TargetMode="External"/><Relationship Id="rId934" Type="http://schemas.openxmlformats.org/officeDocument/2006/relationships/hyperlink" Target="https://docs.google.com/forms/d/e/1FAIpQLSeQ0wUAy9WJrwwZ_8x6kCxvJSihLYtbLF2nbMncVH08fybLWQ/viewform?edit2=2_ABaOnueHzD3bFAE8zScGMW3A1AgXmg8pUi1kW9w_JVpypjxE9fs5tZDqtPEsGiA1Q6LMBcE" TargetMode="External"/><Relationship Id="rId933" Type="http://schemas.openxmlformats.org/officeDocument/2006/relationships/hyperlink" Target="https://docs.google.com/forms/d/e/1FAIpQLSeQ0wUAy9WJrwwZ_8x6kCxvJSihLYtbLF2nbMncVH08fybLWQ/viewform?edit2=2_ABaOnuc3J6PfOLnIi5y_0ASKpc3k0-jSCulUBMOQS8_HIzem6U398xTIv324x3fcDw3gIFI" TargetMode="External"/><Relationship Id="rId62" Type="http://schemas.openxmlformats.org/officeDocument/2006/relationships/hyperlink" Target="https://docs.google.com/forms/d/e/1FAIpQLSeQ0wUAy9WJrwwZ_8x6kCxvJSihLYtbLF2nbMncVH08fybLWQ/viewform?edit2=2_ABaOnuehPa8wZR4ifFfsalobqi5pRl7-iMFixGGrAtePUIhK7EDtDM_hwXIXlc8VG5MLVAw" TargetMode="External"/><Relationship Id="rId61" Type="http://schemas.openxmlformats.org/officeDocument/2006/relationships/hyperlink" Target="https://docs.google.com/forms/d/e/1FAIpQLSeQ0wUAy9WJrwwZ_8x6kCxvJSihLYtbLF2nbMncVH08fybLWQ/viewform?edit2=2_ABaOnufBy56bBzP1lEsgrQo3Lrwqriy11TntP8c8l3fqJTcC-ZKfvEVCtTlBEbjGEivnN28" TargetMode="External"/><Relationship Id="rId64" Type="http://schemas.openxmlformats.org/officeDocument/2006/relationships/hyperlink" Target="https://docs.google.com/forms/d/e/1FAIpQLSeQ0wUAy9WJrwwZ_8x6kCxvJSihLYtbLF2nbMncVH08fybLWQ/viewform?edit2=2_ABaOnucNVr43RZWnWkfLpp8oFMW7q8R6iqPpBxhNVFY6LC3_QiPRGekyDlEEEK_QJM3AT5Q" TargetMode="External"/><Relationship Id="rId63" Type="http://schemas.openxmlformats.org/officeDocument/2006/relationships/hyperlink" Target="https://docs.google.com/forms/d/e/1FAIpQLSeQ0wUAy9WJrwwZ_8x6kCxvJSihLYtbLF2nbMncVH08fybLWQ/viewform?edit2=2_ABaOnudr31xJtSPGrx3pcTCN2ESz50fp6y7IUcd3OmTgRCcJkVfDK16Hmatr4xYCjdIm9tM" TargetMode="External"/><Relationship Id="rId66" Type="http://schemas.openxmlformats.org/officeDocument/2006/relationships/hyperlink" Target="https://docs.google.com/forms/d/e/1FAIpQLSeQ0wUAy9WJrwwZ_8x6kCxvJSihLYtbLF2nbMncVH08fybLWQ/viewform?edit2=2_ABaOnuf4UNJvSsKaoekH2uosC8ek08WinWlYScQ21gsow7z6ettrdH0V8J29R6XQkp-YF68" TargetMode="External"/><Relationship Id="rId65" Type="http://schemas.openxmlformats.org/officeDocument/2006/relationships/hyperlink" Target="https://docs.google.com/forms/d/e/1FAIpQLSeQ0wUAy9WJrwwZ_8x6kCxvJSihLYtbLF2nbMncVH08fybLWQ/viewform?edit2=2_ABaOnucIVteNQbjd6_SeiGXtAjV5Hiq_o9Q2VqAitcOnwktg0isvOkOp_giUvi0N5zorZlw" TargetMode="External"/><Relationship Id="rId68" Type="http://schemas.openxmlformats.org/officeDocument/2006/relationships/hyperlink" Target="https://docs.google.com/forms/d/e/1FAIpQLSeQ0wUAy9WJrwwZ_8x6kCxvJSihLYtbLF2nbMncVH08fybLWQ/viewform?edit2=2_ABaOnudRlGtqLl4Y0n0Ak_-kpOvgL76wQdUbz8xqT_-iuT46Q-QfmTkB3C9EIYO2knL-qqo" TargetMode="External"/><Relationship Id="rId67" Type="http://schemas.openxmlformats.org/officeDocument/2006/relationships/hyperlink" Target="https://docs.google.com/forms/d/e/1FAIpQLSeQ0wUAy9WJrwwZ_8x6kCxvJSihLYtbLF2nbMncVH08fybLWQ/viewform?edit2=2_ABaOnuf67xZ1vi03t9dC9odu4-3jrUM8mdzNHrBiEIUtYwRWc0EhIu1m1szBMsYslAUev8o" TargetMode="External"/><Relationship Id="rId729" Type="http://schemas.openxmlformats.org/officeDocument/2006/relationships/hyperlink" Target="https://docs.google.com/forms/d/e/1FAIpQLSeQ0wUAy9WJrwwZ_8x6kCxvJSihLYtbLF2nbMncVH08fybLWQ/viewform?edit2=2_ABaOnuc_3CnCnZsy4Tk4rnHZegV0lM5gvXjP9KVutyIrHObD4V0t2aatxxCfl4x1lrkglBA" TargetMode="External"/><Relationship Id="rId728" Type="http://schemas.openxmlformats.org/officeDocument/2006/relationships/hyperlink" Target="https://docs.google.com/forms/d/e/1FAIpQLSeQ0wUAy9WJrwwZ_8x6kCxvJSihLYtbLF2nbMncVH08fybLWQ/viewform?edit2=2_ABaOnuf-hLUxbSxlK0MtX2Vy0HzUbrO8-E4F80FOZutPm-5cOVQeDTz94gJEeiGniDjP0Kw" TargetMode="External"/><Relationship Id="rId60" Type="http://schemas.openxmlformats.org/officeDocument/2006/relationships/hyperlink" Target="https://docs.google.com/forms/d/e/1FAIpQLSeQ0wUAy9WJrwwZ_8x6kCxvJSihLYtbLF2nbMncVH08fybLWQ/viewform?edit2=2_ABaOnudYFoPJiInv5VM3YTEbychqrusVSLpYAPh7zjXmjxvpTLAxkwoB7Tv9_nF7cmCG8zU" TargetMode="External"/><Relationship Id="rId723" Type="http://schemas.openxmlformats.org/officeDocument/2006/relationships/hyperlink" Target="https://docs.google.com/forms/d/e/1FAIpQLSeQ0wUAy9WJrwwZ_8x6kCxvJSihLYtbLF2nbMncVH08fybLWQ/viewform?edit2=2_ABaOnucB7bdDlvXUmLAy33MQ-ubi6lAWp1SeAzfdYphHmRYcoWNFWvj0PrasfCQ5mqmOOyw" TargetMode="External"/><Relationship Id="rId965" Type="http://schemas.openxmlformats.org/officeDocument/2006/relationships/hyperlink" Target="https://docs.google.com/forms/d/e/1FAIpQLSeQ0wUAy9WJrwwZ_8x6kCxvJSihLYtbLF2nbMncVH08fybLWQ/viewform?edit2=2_ABaOnufFRn2TvmP1y_EI9wlJw2OMM-hbLKihDQWhJvCGyh6Rn4gF66V2sFCRK5UPITXxXNM" TargetMode="External"/><Relationship Id="rId722" Type="http://schemas.openxmlformats.org/officeDocument/2006/relationships/hyperlink" Target="https://docs.google.com/forms/d/e/1FAIpQLSeQ0wUAy9WJrwwZ_8x6kCxvJSihLYtbLF2nbMncVH08fybLWQ/viewform?edit2=2_ABaOnue6P3HzuW_qy-69W5YuDB5mAzoGGajQPWETuQ9byya23h_WctHaoRCy3C9s_ZqwXX8" TargetMode="External"/><Relationship Id="rId964" Type="http://schemas.openxmlformats.org/officeDocument/2006/relationships/hyperlink" Target="https://docs.google.com/forms/d/e/1FAIpQLSeQ0wUAy9WJrwwZ_8x6kCxvJSihLYtbLF2nbMncVH08fybLWQ/viewform?edit2=2_ABaOnudr8pjMjFkRR3Ccl7nVERQivZyixhyB4QC1G_TFsPhWttAI9yuW_g6JObj_yGqah1Q" TargetMode="External"/><Relationship Id="rId721" Type="http://schemas.openxmlformats.org/officeDocument/2006/relationships/hyperlink" Target="https://docs.google.com/forms/d/e/1FAIpQLSeQ0wUAy9WJrwwZ_8x6kCxvJSihLYtbLF2nbMncVH08fybLWQ/viewform?edit2=2_ABaOnuetHwfp51FNcY5bauCdY8jmnQQ_fL7dLrs4-5_Zmpxs9Js68_cx0UKGIjvGrwG8ph4" TargetMode="External"/><Relationship Id="rId963" Type="http://schemas.openxmlformats.org/officeDocument/2006/relationships/hyperlink" Target="https://docs.google.com/forms/d/e/1FAIpQLSeQ0wUAy9WJrwwZ_8x6kCxvJSihLYtbLF2nbMncVH08fybLWQ/viewform?edit2=2_ABaOnufLoCx4r0maYm6JUMdGeBF3RPFQE1fFKfYb6ampDCxG1mHy1fmZ-H_1BCa2uwhJi_w" TargetMode="External"/><Relationship Id="rId720" Type="http://schemas.openxmlformats.org/officeDocument/2006/relationships/hyperlink" Target="https://docs.google.com/forms/d/e/1FAIpQLSeQ0wUAy9WJrwwZ_8x6kCxvJSihLYtbLF2nbMncVH08fybLWQ/viewform?edit2=2_ABaOnuckgtnD-VgYqpCnQybt_BYJbeww1rkGlOZEj_Mzf4TemDzfu-72QoLAHiCjjEqm6pI" TargetMode="External"/><Relationship Id="rId962" Type="http://schemas.openxmlformats.org/officeDocument/2006/relationships/hyperlink" Target="https://docs.google.com/forms/d/e/1FAIpQLSeQ0wUAy9WJrwwZ_8x6kCxvJSihLYtbLF2nbMncVH08fybLWQ/viewform?edit2=2_ABaOnuc4KmbHHyWoeOF0gG4dJpcFvhRv2isuOFF-iQFr_lkTGcu2T_qsBGOJl1NV8AjP0VQ" TargetMode="External"/><Relationship Id="rId727" Type="http://schemas.openxmlformats.org/officeDocument/2006/relationships/hyperlink" Target="https://docs.google.com/forms/d/e/1FAIpQLSeQ0wUAy9WJrwwZ_8x6kCxvJSihLYtbLF2nbMncVH08fybLWQ/viewform?edit2=2_ABaOnueqUq5md3sAiQ0xAPtWiIRrmJgKXJS-b9YFbFjCgJujpe3v3zbX2MWuVF8nC2XvGUE" TargetMode="External"/><Relationship Id="rId969" Type="http://schemas.openxmlformats.org/officeDocument/2006/relationships/hyperlink" Target="https://docs.google.com/forms/d/e/1FAIpQLSeQ0wUAy9WJrwwZ_8x6kCxvJSihLYtbLF2nbMncVH08fybLWQ/viewform?edit2=2_ABaOnueVdcleuTU_O_Pk7QUZTCL2FRYIXku0CeaR9HkVrDzpNbX-p87Hi3SJhmnmVF_Bajc" TargetMode="External"/><Relationship Id="rId726" Type="http://schemas.openxmlformats.org/officeDocument/2006/relationships/hyperlink" Target="https://docs.google.com/forms/d/e/1FAIpQLSeQ0wUAy9WJrwwZ_8x6kCxvJSihLYtbLF2nbMncVH08fybLWQ/viewform?edit2=2_ABaOnudLozB1QNYfc8j9BZPVT9yRNJ_hG1CbF6fQIO4eqgF4jsDf1QA42VACknvWV9VZCRE" TargetMode="External"/><Relationship Id="rId968" Type="http://schemas.openxmlformats.org/officeDocument/2006/relationships/hyperlink" Target="https://docs.google.com/forms/d/e/1FAIpQLSeQ0wUAy9WJrwwZ_8x6kCxvJSihLYtbLF2nbMncVH08fybLWQ/viewform?edit2=2_ABaOnufXodOei-pzyEQMLe038D6uzzF8DIY2lMZyLf5j2Me-mgTTt7jq8SRorv565lLEolM" TargetMode="External"/><Relationship Id="rId725" Type="http://schemas.openxmlformats.org/officeDocument/2006/relationships/hyperlink" Target="https://docs.google.com/forms/d/e/1FAIpQLSeQ0wUAy9WJrwwZ_8x6kCxvJSihLYtbLF2nbMncVH08fybLWQ/viewform?edit2=2_ABaOnuegy0sidiHD_10WxCHaODl6hRGz18ajjVQIYNj9M6sIubwfcHQDMQM9sRMSyUq3UwU" TargetMode="External"/><Relationship Id="rId967" Type="http://schemas.openxmlformats.org/officeDocument/2006/relationships/hyperlink" Target="https://docs.google.com/forms/d/e/1FAIpQLSeQ0wUAy9WJrwwZ_8x6kCxvJSihLYtbLF2nbMncVH08fybLWQ/viewform?edit2=2_ABaOnuciaLAsZdFWJ2SznUJ1LxUMnMIfXP9BxyFMhtrcW159cA2L4ypl-oRPWPZimo8l02U" TargetMode="External"/><Relationship Id="rId724" Type="http://schemas.openxmlformats.org/officeDocument/2006/relationships/hyperlink" Target="https://docs.google.com/forms/d/e/1FAIpQLSeQ0wUAy9WJrwwZ_8x6kCxvJSihLYtbLF2nbMncVH08fybLWQ/viewform?edit2=2_ABaOnucnxWKZc7dwGYHa16xuj0EXHn0fTVEDpkYd2vMdVu3BJRltFl877yBHMaLFmjjd4_M" TargetMode="External"/><Relationship Id="rId966" Type="http://schemas.openxmlformats.org/officeDocument/2006/relationships/hyperlink" Target="https://docs.google.com/forms/d/e/1FAIpQLSeQ0wUAy9WJrwwZ_8x6kCxvJSihLYtbLF2nbMncVH08fybLWQ/viewform?edit2=2_ABaOnudhGSf33kzYofo8wU6aA4pWtx6oWYudOzj4IGtKe0ToxqzXMLSRazwfx9GsC3daVNc" TargetMode="External"/><Relationship Id="rId69" Type="http://schemas.openxmlformats.org/officeDocument/2006/relationships/hyperlink" Target="https://docs.google.com/forms/d/e/1FAIpQLSeQ0wUAy9WJrwwZ_8x6kCxvJSihLYtbLF2nbMncVH08fybLWQ/viewform?edit2=2_ABaOnuem1uJIuYCggWgMtfSbXWS7PMp0wZDtubPdzeXdVQAF_crqzZaTdrm1Jv00b3hHFBo" TargetMode="External"/><Relationship Id="rId961" Type="http://schemas.openxmlformats.org/officeDocument/2006/relationships/hyperlink" Target="https://docs.google.com/forms/d/e/1FAIpQLSeQ0wUAy9WJrwwZ_8x6kCxvJSihLYtbLF2nbMncVH08fybLWQ/viewform?edit2=2_ABaOnufTDIIHLADn-TKrhC2iHnzQJwNOqk58j9SwgMbAPjBih5DfPrwEdtohB3MFZOMj5gI" TargetMode="External"/><Relationship Id="rId960" Type="http://schemas.openxmlformats.org/officeDocument/2006/relationships/hyperlink" Target="https://docs.google.com/forms/d/e/1FAIpQLSeQ0wUAy9WJrwwZ_8x6kCxvJSihLYtbLF2nbMncVH08fybLWQ/viewform?edit2=2_ABaOnueGwOqDbsdNNjEVGQ1UPh5sGdNY_5tZqdK2w_G0ThF_4WEl0-CAut_fL5WycrX_7Go" TargetMode="External"/><Relationship Id="rId51" Type="http://schemas.openxmlformats.org/officeDocument/2006/relationships/hyperlink" Target="https://docs.google.com/forms/d/e/1FAIpQLSeQ0wUAy9WJrwwZ_8x6kCxvJSihLYtbLF2nbMncVH08fybLWQ/viewform?edit2=2_ABaOnucJcmfqLAilAzXPphxXfO1hCtJb9WrmOscpOUMV7MQ4Ir9sOUrrDu8uKBKdRZDtF28" TargetMode="External"/><Relationship Id="rId50" Type="http://schemas.openxmlformats.org/officeDocument/2006/relationships/hyperlink" Target="https://docs.google.com/forms/d/e/1FAIpQLSeQ0wUAy9WJrwwZ_8x6kCxvJSihLYtbLF2nbMncVH08fybLWQ/viewform?edit2=2_ABaOnueGGLFx9V4Gx0DpENMt8Th21toqJ1YovxKQ18-OOGYYrKKxVVw82EiP5nmkg37fVUU" TargetMode="External"/><Relationship Id="rId53" Type="http://schemas.openxmlformats.org/officeDocument/2006/relationships/hyperlink" Target="https://docs.google.com/forms/d/e/1FAIpQLSeQ0wUAy9WJrwwZ_8x6kCxvJSihLYtbLF2nbMncVH08fybLWQ/viewform?edit2=2_ABaOnueXXQC-EIep8m2CTGpiJsibQDMYoVhHd73Ftwe3CYBC6o_sjone9xdZm9-3IPF_GX8" TargetMode="External"/><Relationship Id="rId52" Type="http://schemas.openxmlformats.org/officeDocument/2006/relationships/hyperlink" Target="https://docs.google.com/forms/d/e/1FAIpQLSeQ0wUAy9WJrwwZ_8x6kCxvJSihLYtbLF2nbMncVH08fybLWQ/viewform?edit2=2_ABaOnudwj9F9eTBuvoCaans65qHrOuXW7_b09YoMtm9WnUQjPRrYXKwply_aNo7ZsNbaPdc" TargetMode="External"/><Relationship Id="rId55" Type="http://schemas.openxmlformats.org/officeDocument/2006/relationships/hyperlink" Target="https://docs.google.com/forms/d/e/1FAIpQLSeQ0wUAy9WJrwwZ_8x6kCxvJSihLYtbLF2nbMncVH08fybLWQ/viewform?edit2=2_ABaOnueJH3gp5NrYkKl4qEpBn3jiw4qrafEORyapbXP1pUIDz7z33Z8Cg524A7TVVcEwwEA" TargetMode="External"/><Relationship Id="rId54" Type="http://schemas.openxmlformats.org/officeDocument/2006/relationships/hyperlink" Target="https://docs.google.com/forms/d/e/1FAIpQLSeQ0wUAy9WJrwwZ_8x6kCxvJSihLYtbLF2nbMncVH08fybLWQ/viewform?edit2=2_ABaOnueCDvbuQSZuWXxwL05GyyJmu0gB-5G9IAhAXJnmcH3YNDT6IusNm6tpVvRq5B-DO-0" TargetMode="External"/><Relationship Id="rId57" Type="http://schemas.openxmlformats.org/officeDocument/2006/relationships/hyperlink" Target="https://docs.google.com/forms/d/e/1FAIpQLSeQ0wUAy9WJrwwZ_8x6kCxvJSihLYtbLF2nbMncVH08fybLWQ/viewform?edit2=2_ABaOnufppoDW79Y2Ztnjio6gk7O-unhOkYhBTp9IJYBTVF3S1u0oa2W3XvS1ZOm32KQtngs" TargetMode="External"/><Relationship Id="rId56" Type="http://schemas.openxmlformats.org/officeDocument/2006/relationships/hyperlink" Target="https://docs.google.com/forms/d/e/1FAIpQLSeQ0wUAy9WJrwwZ_8x6kCxvJSihLYtbLF2nbMncVH08fybLWQ/viewform?edit2=2_ABaOnudixqiDMKbIIxSMNOx02of6mQQqJc3LzLxBayhE8sVWGrxllOgtgzW9oAwnzMhg6DA" TargetMode="External"/><Relationship Id="rId719" Type="http://schemas.openxmlformats.org/officeDocument/2006/relationships/hyperlink" Target="https://docs.google.com/forms/d/e/1FAIpQLSeQ0wUAy9WJrwwZ_8x6kCxvJSihLYtbLF2nbMncVH08fybLWQ/viewform?edit2=2_ABaOnuf0L0rW8OIw3glA_wsPr0-lhfaShawf0c-Jcrw25FroyEzDY5rPUER7zeRzqwpEyTM" TargetMode="External"/><Relationship Id="rId718" Type="http://schemas.openxmlformats.org/officeDocument/2006/relationships/hyperlink" Target="https://drive.google.com/open?id=1GaH7BD8X20XLJKqdA9Gp61wTxoqeCmdp" TargetMode="External"/><Relationship Id="rId717" Type="http://schemas.openxmlformats.org/officeDocument/2006/relationships/hyperlink" Target="https://docs.google.com/forms/d/e/1FAIpQLSeQ0wUAy9WJrwwZ_8x6kCxvJSihLYtbLF2nbMncVH08fybLWQ/viewform?edit2=2_ABaOnueiChEuDiAmOqfE7tdklmS949zGBKd30wZtS45DzpVylrYqN4rJEG8EzCn-erMT7do" TargetMode="External"/><Relationship Id="rId959" Type="http://schemas.openxmlformats.org/officeDocument/2006/relationships/hyperlink" Target="https://docs.google.com/forms/d/e/1FAIpQLSeQ0wUAy9WJrwwZ_8x6kCxvJSihLYtbLF2nbMncVH08fybLWQ/viewform?edit2=2_ABaOnucJHtF7Vq1EgV1d8EMHqDzjicF6JQ2qVAx4TRpBDWqELjLAzw-pw19OO-XNPWOpbUo" TargetMode="External"/><Relationship Id="rId712" Type="http://schemas.openxmlformats.org/officeDocument/2006/relationships/hyperlink" Target="https://docs.google.com/forms/d/e/1FAIpQLSeQ0wUAy9WJrwwZ_8x6kCxvJSihLYtbLF2nbMncVH08fybLWQ/viewform?edit2=2_ABaOnuesj4dSDQkhyF4xDRTCfWN3bJWzJeIjiqYD4KT3_rn-lGOJ6YuypTlp0CeJxnDyOO0" TargetMode="External"/><Relationship Id="rId954" Type="http://schemas.openxmlformats.org/officeDocument/2006/relationships/hyperlink" Target="https://docs.google.com/forms/d/e/1FAIpQLSeQ0wUAy9WJrwwZ_8x6kCxvJSihLYtbLF2nbMncVH08fybLWQ/viewform?edit2=2_ABaOnufYCpeXY6RFuZC0isgTKq0zg6HuwoooEMJU5qs2xQRX98dJVtRZA0W-WIfyAgmP07U" TargetMode="External"/><Relationship Id="rId711" Type="http://schemas.openxmlformats.org/officeDocument/2006/relationships/hyperlink" Target="https://drive.google.com/open?id=1KjJm8Qo5cexkR63foEcR2WWR3I__rf7Y" TargetMode="External"/><Relationship Id="rId953" Type="http://schemas.openxmlformats.org/officeDocument/2006/relationships/hyperlink" Target="https://docs.google.com/forms/d/e/1FAIpQLSeQ0wUAy9WJrwwZ_8x6kCxvJSihLYtbLF2nbMncVH08fybLWQ/viewform?edit2=2_ABaOnufl9G66t8J2lrcusKojgP_-K5E8bJ7B8LFVFMLurMPw0qO9gF3us2cxyHBDRKHjfug" TargetMode="External"/><Relationship Id="rId710" Type="http://schemas.openxmlformats.org/officeDocument/2006/relationships/hyperlink" Target="https://docs.google.com/forms/d/e/1FAIpQLSeQ0wUAy9WJrwwZ_8x6kCxvJSihLYtbLF2nbMncVH08fybLWQ/viewform?edit2=2_ABaOnuf3z8o4jTmaqfziMfu_zfdvJkZPNxgqcMGkbfFJdWX6O1_vnjJlg5EMbq6fHnkFJfg" TargetMode="External"/><Relationship Id="rId952" Type="http://schemas.openxmlformats.org/officeDocument/2006/relationships/hyperlink" Target="https://docs.google.com/forms/d/e/1FAIpQLSeQ0wUAy9WJrwwZ_8x6kCxvJSihLYtbLF2nbMncVH08fybLWQ/viewform?edit2=2_ABaOnueNcm6WqFQRvcEGWO2HGmoLlosQBaxJXSbjabCGMQMo-m8g3C2DpcubjhbtXjDjMdU" TargetMode="External"/><Relationship Id="rId951" Type="http://schemas.openxmlformats.org/officeDocument/2006/relationships/hyperlink" Target="https://drive.google.com/open?id=19fvoGXNsnUtQfwD_j9HzECn7be7IsOQA" TargetMode="External"/><Relationship Id="rId716" Type="http://schemas.openxmlformats.org/officeDocument/2006/relationships/hyperlink" Target="https://docs.google.com/forms/d/e/1FAIpQLSeQ0wUAy9WJrwwZ_8x6kCxvJSihLYtbLF2nbMncVH08fybLWQ/viewform?edit2=2_ABaOnudx9NPze_uMBh5woKcVCzCIXu__lrukQ_kFz6XuQXAIog3A4aDopEokaVuTNDpVo0Y" TargetMode="External"/><Relationship Id="rId958" Type="http://schemas.openxmlformats.org/officeDocument/2006/relationships/hyperlink" Target="https://docs.google.com/forms/d/e/1FAIpQLSeQ0wUAy9WJrwwZ_8x6kCxvJSihLYtbLF2nbMncVH08fybLWQ/viewform?edit2=2_ABaOnudz6xdh2Y2oa3LVFKl_ER4iSvZFZ8NbAOHXn2efmgBb6nodrgBRRd_RyKWIxMpVrFo" TargetMode="External"/><Relationship Id="rId715" Type="http://schemas.openxmlformats.org/officeDocument/2006/relationships/hyperlink" Target="https://docs.google.com/forms/d/e/1FAIpQLSeQ0wUAy9WJrwwZ_8x6kCxvJSihLYtbLF2nbMncVH08fybLWQ/viewform?edit2=2_ABaOnucf1gevr3QEQ9qKSr5F5TPK1LM51qSh3VkK9NMhG5M2AbqITuIkE9whI588d_czyNA" TargetMode="External"/><Relationship Id="rId957" Type="http://schemas.openxmlformats.org/officeDocument/2006/relationships/hyperlink" Target="https://docs.google.com/forms/d/e/1FAIpQLSeQ0wUAy9WJrwwZ_8x6kCxvJSihLYtbLF2nbMncVH08fybLWQ/viewform?edit2=2_ABaOnufxDZLQeCmXmQwmP0hvboglkiK6N9yz8-c6NJYYtvE-toWV_mjjLghukhrN9XvMFkg" TargetMode="External"/><Relationship Id="rId714" Type="http://schemas.openxmlformats.org/officeDocument/2006/relationships/hyperlink" Target="https://docs.google.com/forms/d/e/1FAIpQLSeQ0wUAy9WJrwwZ_8x6kCxvJSihLYtbLF2nbMncVH08fybLWQ/viewform?edit2=2_ABaOnucYeBFITiocuOY8J1zsilodPyCEunAuTFWCWucI4LQB4mhfuyQT23wSSHzn0DU0Vtk" TargetMode="External"/><Relationship Id="rId956" Type="http://schemas.openxmlformats.org/officeDocument/2006/relationships/hyperlink" Target="https://docs.google.com/forms/d/e/1FAIpQLSeQ0wUAy9WJrwwZ_8x6kCxvJSihLYtbLF2nbMncVH08fybLWQ/viewform?edit2=2_ABaOnuf1zTJmcJH9TPeTqnJGcMbqgCCmz15C37qEcAOclSvWlJMdisZQ1TIpqfoxug2LDjw" TargetMode="External"/><Relationship Id="rId713" Type="http://schemas.openxmlformats.org/officeDocument/2006/relationships/hyperlink" Target="https://docs.google.com/forms/d/e/1FAIpQLSeQ0wUAy9WJrwwZ_8x6kCxvJSihLYtbLF2nbMncVH08fybLWQ/viewform?edit2=2_ABaOnuc2BGYiierYy1UMvnCPCmvBNqoDdtYuwuEzGd4_5xruJZlDwFOwzX3d2fUfNhlm_7w" TargetMode="External"/><Relationship Id="rId955" Type="http://schemas.openxmlformats.org/officeDocument/2006/relationships/hyperlink" Target="https://docs.google.com/forms/d/e/1FAIpQLSeQ0wUAy9WJrwwZ_8x6kCxvJSihLYtbLF2nbMncVH08fybLWQ/viewform?edit2=2_ABaOnudPNP8lPg9PVTnY5de2QM1r2A0axoRocsK_TJ3EgLJErdI0eqUY1QCMimWGDLwoY9Q" TargetMode="External"/><Relationship Id="rId59" Type="http://schemas.openxmlformats.org/officeDocument/2006/relationships/hyperlink" Target="https://docs.google.com/forms/d/e/1FAIpQLSeQ0wUAy9WJrwwZ_8x6kCxvJSihLYtbLF2nbMncVH08fybLWQ/viewform?edit2=2_ABaOnuev3crQ1E6ptoqBEFO-Xfy1myMz00oXtL0pjdFokVqaBde93XpfPNeWNly6A1nR1Eg" TargetMode="External"/><Relationship Id="rId58" Type="http://schemas.openxmlformats.org/officeDocument/2006/relationships/hyperlink" Target="https://docs.google.com/forms/d/e/1FAIpQLSeQ0wUAy9WJrwwZ_8x6kCxvJSihLYtbLF2nbMncVH08fybLWQ/viewform?edit2=2_ABaOnucwdv8sDFeCZfo1jIfLsUMO3m32Thufgo7c66CnCuLhoEL1eYbUGCLo7Pqethlr5VQ" TargetMode="External"/><Relationship Id="rId950" Type="http://schemas.openxmlformats.org/officeDocument/2006/relationships/hyperlink" Target="https://docs.google.com/forms/d/e/1FAIpQLSeQ0wUAy9WJrwwZ_8x6kCxvJSihLYtbLF2nbMncVH08fybLWQ/viewform?edit2=2_ABaOnuc0a0hU_Uzu8PHXglObs2ijbbrf172eaQRGU4qh2QYUYYpZcl4HKgTbA2V-r3UJAL4" TargetMode="External"/><Relationship Id="rId590" Type="http://schemas.openxmlformats.org/officeDocument/2006/relationships/hyperlink" Target="https://docs.google.com/forms/d/e/1FAIpQLSeQ0wUAy9WJrwwZ_8x6kCxvJSihLYtbLF2nbMncVH08fybLWQ/viewform?edit2=2_ABaOnud23X11fd3Vy6s-K3sMGWut6StFq61nzKHBWjl8UIU1ImWtTHkrQIesfigH6_vH1DA" TargetMode="External"/><Relationship Id="rId107" Type="http://schemas.openxmlformats.org/officeDocument/2006/relationships/hyperlink" Target="https://docs.google.com/forms/d/e/1FAIpQLSeQ0wUAy9WJrwwZ_8x6kCxvJSihLYtbLF2nbMncVH08fybLWQ/viewform?edit2=2_ABaOnueYJcT_TcMcTFILeXAq9HTxTUFRjgvwlDPLLT0lIzbBFUfbeeUIWc5yNTq-vL84iRU" TargetMode="External"/><Relationship Id="rId349" Type="http://schemas.openxmlformats.org/officeDocument/2006/relationships/hyperlink" Target="https://docs.google.com/forms/d/e/1FAIpQLSeQ0wUAy9WJrwwZ_8x6kCxvJSihLYtbLF2nbMncVH08fybLWQ/viewform?edit2=2_ABaOnucvlWfTKz1GpKkjTpgFNh85ngp8NBRqUjTbC_DxlNCnZglm-jML69igQmqH7SB80tY" TargetMode="External"/><Relationship Id="rId106" Type="http://schemas.openxmlformats.org/officeDocument/2006/relationships/hyperlink" Target="https://docs.google.com/forms/d/e/1FAIpQLSeQ0wUAy9WJrwwZ_8x6kCxvJSihLYtbLF2nbMncVH08fybLWQ/viewform?edit2=2_ABaOnud4kaP1lrBB44H0genl21ajcntQoeg79-ceMSJucZvGOYzoBtwGahrdPaPP1izKTS0" TargetMode="External"/><Relationship Id="rId348" Type="http://schemas.openxmlformats.org/officeDocument/2006/relationships/hyperlink" Target="https://drive.google.com/open?id=1XByO6YljE70jT54pZnEY7pF2umM92Q4a" TargetMode="External"/><Relationship Id="rId105" Type="http://schemas.openxmlformats.org/officeDocument/2006/relationships/hyperlink" Target="https://docs.google.com/forms/d/e/1FAIpQLSeQ0wUAy9WJrwwZ_8x6kCxvJSihLYtbLF2nbMncVH08fybLWQ/viewform?edit2=2_ABaOnucCaPTbiRB6xd7SVFsTjynIspgBnDYvHBkd46vnfi99qJvS4zQNbRFdXxyPCha-qPc" TargetMode="External"/><Relationship Id="rId347" Type="http://schemas.openxmlformats.org/officeDocument/2006/relationships/hyperlink" Target="https://docs.google.com/forms/d/e/1FAIpQLSeQ0wUAy9WJrwwZ_8x6kCxvJSihLYtbLF2nbMncVH08fybLWQ/viewform?edit2=2_ABaOnuer_8UPgb6LotSuLyVbvNlNkT-U086wTwZVZ4E9LYBDx9_ldfve-ridYS4066wRpKg" TargetMode="External"/><Relationship Id="rId589" Type="http://schemas.openxmlformats.org/officeDocument/2006/relationships/hyperlink" Target="https://docs.google.com/forms/d/e/1FAIpQLSeQ0wUAy9WJrwwZ_8x6kCxvJSihLYtbLF2nbMncVH08fybLWQ/viewform?edit2=2_ABaOnudks2VRZO_D3ll6_6SfNYRG7ucPDPeTekX9GazVHTlmc1pHziVY9wV_yYRRn128IoM" TargetMode="External"/><Relationship Id="rId104" Type="http://schemas.openxmlformats.org/officeDocument/2006/relationships/hyperlink" Target="https://docs.google.com/forms/d/e/1FAIpQLSeQ0wUAy9WJrwwZ_8x6kCxvJSihLYtbLF2nbMncVH08fybLWQ/viewform?edit2=2_ABaOnuc6DfGG4XeKlxToGBitP54mV8Iq8I4yVErGehk0DPZVccw4pUhPWbj_p5MwY40zs8U" TargetMode="External"/><Relationship Id="rId346" Type="http://schemas.openxmlformats.org/officeDocument/2006/relationships/hyperlink" Target="https://docs.google.com/forms/d/e/1FAIpQLSeQ0wUAy9WJrwwZ_8x6kCxvJSihLYtbLF2nbMncVH08fybLWQ/viewform?edit2=2_ABaOnudqTQHJFAo3JD381JkAiMfQ_70tTgLGlpdOuVLSXkZ377ICKcYpDS0ZD-R5668Wjp4" TargetMode="External"/><Relationship Id="rId588" Type="http://schemas.openxmlformats.org/officeDocument/2006/relationships/hyperlink" Target="https://docs.google.com/forms/d/e/1FAIpQLSeQ0wUAy9WJrwwZ_8x6kCxvJSihLYtbLF2nbMncVH08fybLWQ/viewform?edit2=2_ABaOnuc_079U24Y_QrXtXOMnVkI75TRxffAHOf14Hbr3rSpldJrdDiDS5YzrcXKeLQGY_Io" TargetMode="External"/><Relationship Id="rId109" Type="http://schemas.openxmlformats.org/officeDocument/2006/relationships/hyperlink" Target="https://docs.google.com/forms/d/e/1FAIpQLSeQ0wUAy9WJrwwZ_8x6kCxvJSihLYtbLF2nbMncVH08fybLWQ/viewform?edit2=2_ABaOnucAgkow3_7LXadgQNKV6eLcW1LY8qCKQSxQoRv-hR692UU2NxmDzsuLgvV0Ed9CK2k" TargetMode="External"/><Relationship Id="rId108" Type="http://schemas.openxmlformats.org/officeDocument/2006/relationships/hyperlink" Target="https://docs.google.com/forms/d/e/1FAIpQLSeQ0wUAy9WJrwwZ_8x6kCxvJSihLYtbLF2nbMncVH08fybLWQ/viewform?edit2=2_ABaOnuc2jW-7-6MOsmp7G_ljm4c4eFJCpdBeE6rtgNHzvqTwjDmd6eRmeREyNf7R31nLwUs" TargetMode="External"/><Relationship Id="rId341" Type="http://schemas.openxmlformats.org/officeDocument/2006/relationships/hyperlink" Target="https://docs.google.com/forms/d/e/1FAIpQLSeQ0wUAy9WJrwwZ_8x6kCxvJSihLYtbLF2nbMncVH08fybLWQ/viewform?edit2=2_ABaOnufBgE61MmdlPQ25shxLSUeizoFIytbSFlIgTv96o0pPJRffqyfxNeNDwl-MSajSQVY" TargetMode="External"/><Relationship Id="rId583" Type="http://schemas.openxmlformats.org/officeDocument/2006/relationships/hyperlink" Target="https://drive.google.com/open?id=11komQDzACMlF_lUqKzqmkJV-nk8wwxKG" TargetMode="External"/><Relationship Id="rId340" Type="http://schemas.openxmlformats.org/officeDocument/2006/relationships/hyperlink" Target="https://docs.google.com/forms/d/e/1FAIpQLSeQ0wUAy9WJrwwZ_8x6kCxvJSihLYtbLF2nbMncVH08fybLWQ/viewform?edit2=2_ABaOnufjAXdBAJC2aCBj7cYHEwLK9vr5i1mehPtApcH74jaSdNZ24WyELPS8XuaKcuhGjts" TargetMode="External"/><Relationship Id="rId582" Type="http://schemas.openxmlformats.org/officeDocument/2006/relationships/hyperlink" Target="https://docs.google.com/forms/d/e/1FAIpQLSeQ0wUAy9WJrwwZ_8x6kCxvJSihLYtbLF2nbMncVH08fybLWQ/viewform?edit2=2_ABaOnudXGHgnLDOsqpPUl8rmkPLtYkHrGNBk27aJPyqfvZQLto9Yt0oqACaq8VtVBahTsK4" TargetMode="External"/><Relationship Id="rId581" Type="http://schemas.openxmlformats.org/officeDocument/2006/relationships/hyperlink" Target="https://docs.google.com/forms/d/e/1FAIpQLSeQ0wUAy9WJrwwZ_8x6kCxvJSihLYtbLF2nbMncVH08fybLWQ/viewform?edit2=2_ABaOnucaiOJOCqm1Bc-vYs6e_438gPKbwKe0OSzGz2mEhhHK49tsFaYS-7ta-Gth4lHKDV4" TargetMode="External"/><Relationship Id="rId580" Type="http://schemas.openxmlformats.org/officeDocument/2006/relationships/hyperlink" Target="https://docs.google.com/forms/d/e/1FAIpQLSeQ0wUAy9WJrwwZ_8x6kCxvJSihLYtbLF2nbMncVH08fybLWQ/viewform?edit2=2_ABaOnueKYqF4OBA2dxNbOZsf5ZXI_w-n1Uqd4_w18-eAojgmdX4cDpEw6Wa81OGgMT15hF8" TargetMode="External"/><Relationship Id="rId103" Type="http://schemas.openxmlformats.org/officeDocument/2006/relationships/hyperlink" Target="https://docs.google.com/forms/d/e/1FAIpQLSeQ0wUAy9WJrwwZ_8x6kCxvJSihLYtbLF2nbMncVH08fybLWQ/viewform?edit2=2_ABaOnudAe_gwK9Bi0C9b3wdPnnGPzrkHsikPNoJTcGcP6RLJswaqZ7Dh-rwOdrfGuPfu7cs" TargetMode="External"/><Relationship Id="rId345" Type="http://schemas.openxmlformats.org/officeDocument/2006/relationships/hyperlink" Target="https://docs.google.com/forms/d/e/1FAIpQLSeQ0wUAy9WJrwwZ_8x6kCxvJSihLYtbLF2nbMncVH08fybLWQ/viewform?edit2=2_ABaOnucxI4Cy4aRd_Vzi9UsicbECTdTrIx30scNhe3Gu7dJW9LP-2NEfUMgKFrLNFvIYiOA" TargetMode="External"/><Relationship Id="rId587" Type="http://schemas.openxmlformats.org/officeDocument/2006/relationships/hyperlink" Target="https://docs.google.com/forms/d/e/1FAIpQLSeQ0wUAy9WJrwwZ_8x6kCxvJSihLYtbLF2nbMncVH08fybLWQ/viewform?edit2=2_ABaOnufDlYND1mwcxqj8yF_uOBRcwUipo6C9PTi4XvDMEMhI4bzS3IXyIJ94qe9hotGvj_M" TargetMode="External"/><Relationship Id="rId102" Type="http://schemas.openxmlformats.org/officeDocument/2006/relationships/hyperlink" Target="https://docs.google.com/forms/d/e/1FAIpQLSeQ0wUAy9WJrwwZ_8x6kCxvJSihLYtbLF2nbMncVH08fybLWQ/viewform?edit2=2_ABaOnueEf49RyeO6uPGri5WWa_BbzbWFAtuLzO7BNqG2sJcPQX5xeF6jUgX1POrBhfJyz0w" TargetMode="External"/><Relationship Id="rId344" Type="http://schemas.openxmlformats.org/officeDocument/2006/relationships/hyperlink" Target="https://docs.google.com/forms/d/e/1FAIpQLSeQ0wUAy9WJrwwZ_8x6kCxvJSihLYtbLF2nbMncVH08fybLWQ/viewform?edit2=2_ABaOnudOUUdv-dhANyfi856tdhaEOB6CeG7A_DkVPt3riotRusfEpzwBsK4VeAdt2ISpAQ8" TargetMode="External"/><Relationship Id="rId586" Type="http://schemas.openxmlformats.org/officeDocument/2006/relationships/hyperlink" Target="https://docs.google.com/forms/d/e/1FAIpQLSeQ0wUAy9WJrwwZ_8x6kCxvJSihLYtbLF2nbMncVH08fybLWQ/viewform?edit2=2_ABaOnucuw-o4jzIuS5w0dCwcRSRlsSeJRIiB6GjjOySSOQ-Hzvud1KBnb_lnyp0ajUqQYbY" TargetMode="External"/><Relationship Id="rId101" Type="http://schemas.openxmlformats.org/officeDocument/2006/relationships/hyperlink" Target="https://docs.google.com/forms/d/e/1FAIpQLSeQ0wUAy9WJrwwZ_8x6kCxvJSihLYtbLF2nbMncVH08fybLWQ/viewform?edit2=2_ABaOnueVt7H7nQKaoCknGd3_wtqfFicTeISvNwOAUXue70IqFJNEhEtu37yOIYj3aAu_lMw" TargetMode="External"/><Relationship Id="rId343" Type="http://schemas.openxmlformats.org/officeDocument/2006/relationships/hyperlink" Target="https://docs.google.com/forms/d/e/1FAIpQLSeQ0wUAy9WJrwwZ_8x6kCxvJSihLYtbLF2nbMncVH08fybLWQ/viewform?edit2=2_ABaOnudpRAYJfyNXOUrSr0bqRarCt1QPbraHzoNwqdvaGPTjvPX_2SSuVtHC9qufc5cNwEU" TargetMode="External"/><Relationship Id="rId585" Type="http://schemas.openxmlformats.org/officeDocument/2006/relationships/hyperlink" Target="https://docs.google.com/forms/d/e/1FAIpQLSeQ0wUAy9WJrwwZ_8x6kCxvJSihLYtbLF2nbMncVH08fybLWQ/viewform?edit2=2_ABaOnufj79mGeEQnA0YneCAH75I6YGLLNuJ7Ykzp3P6bdTraJQ6lJnwrjFawaRpBzqh3DBk" TargetMode="External"/><Relationship Id="rId100" Type="http://schemas.openxmlformats.org/officeDocument/2006/relationships/hyperlink" Target="https://docs.google.com/forms/d/e/1FAIpQLSeQ0wUAy9WJrwwZ_8x6kCxvJSihLYtbLF2nbMncVH08fybLWQ/viewform?edit2=2_ABaOnuc3QAsHPzk3NBCdC3sUemacdJ7XK3PEsKrqn41QsKFc5ZSRFJ6YmuXGJmP4smTq2DQ" TargetMode="External"/><Relationship Id="rId342" Type="http://schemas.openxmlformats.org/officeDocument/2006/relationships/hyperlink" Target="https://docs.google.com/forms/d/e/1FAIpQLSeQ0wUAy9WJrwwZ_8x6kCxvJSihLYtbLF2nbMncVH08fybLWQ/viewform?edit2=2_ABaOnucsWVbLsNeD2V_z03Zk0wJl6pPRLcscdDwzzNuU8dXi4vhSizNqnBJaCtvmjDExwGY" TargetMode="External"/><Relationship Id="rId584" Type="http://schemas.openxmlformats.org/officeDocument/2006/relationships/hyperlink" Target="https://docs.google.com/forms/d/e/1FAIpQLSeQ0wUAy9WJrwwZ_8x6kCxvJSihLYtbLF2nbMncVH08fybLWQ/viewform?edit2=2_ABaOnueSpe1Wt2Qk-1fbY70qxvzc4cArNSRWYcuYs6WNHCzVspaGy1M2eX-mksCyAghCvYE" TargetMode="External"/><Relationship Id="rId338" Type="http://schemas.openxmlformats.org/officeDocument/2006/relationships/hyperlink" Target="https://docs.google.com/forms/d/e/1FAIpQLSeQ0wUAy9WJrwwZ_8x6kCxvJSihLYtbLF2nbMncVH08fybLWQ/viewform?edit2=2_ABaOnufkC4EApAXQx6tYsm3VBnuu5lCi_nvoeskKQ90dAOcLDTybnNLMixEnh_l-n6gC95M" TargetMode="External"/><Relationship Id="rId337" Type="http://schemas.openxmlformats.org/officeDocument/2006/relationships/hyperlink" Target="https://docs.google.com/forms/d/e/1FAIpQLSeQ0wUAy9WJrwwZ_8x6kCxvJSihLYtbLF2nbMncVH08fybLWQ/viewform?edit2=2_ABaOnueoqXDqr3Ms7w3anbClKh0Z8ViDDN4UWbeV56B2GbL8oV6x3IZ4V-CrxWkom9jziSk" TargetMode="External"/><Relationship Id="rId579" Type="http://schemas.openxmlformats.org/officeDocument/2006/relationships/hyperlink" Target="https://docs.google.com/forms/d/e/1FAIpQLSeQ0wUAy9WJrwwZ_8x6kCxvJSihLYtbLF2nbMncVH08fybLWQ/viewform?edit2=2_ABaOnudhOY7lmXDiuMjO7jk6848qC3xcJhR3e8nxj6xjqacsz7rSoXTNJqRbN4O42ssDFYs" TargetMode="External"/><Relationship Id="rId336" Type="http://schemas.openxmlformats.org/officeDocument/2006/relationships/hyperlink" Target="https://docs.google.com/forms/d/e/1FAIpQLSeQ0wUAy9WJrwwZ_8x6kCxvJSihLYtbLF2nbMncVH08fybLWQ/viewform?edit2=2_ABaOnueTstr8kl760kRNDk4wehl4HAc7EuyY3RTZ8mHWVLbXwY91V24h7NBdQgSs_X1qgxk" TargetMode="External"/><Relationship Id="rId578" Type="http://schemas.openxmlformats.org/officeDocument/2006/relationships/hyperlink" Target="https://docs.google.com/forms/d/e/1FAIpQLSeQ0wUAy9WJrwwZ_8x6kCxvJSihLYtbLF2nbMncVH08fybLWQ/viewform?edit2=2_ABaOnudGQjqoHF3Vpl9pKxpWDbTU3E-CijH8O41ob6ZS_LuMZF3k8U4xfsv1QYci_QXlsgI" TargetMode="External"/><Relationship Id="rId335" Type="http://schemas.openxmlformats.org/officeDocument/2006/relationships/hyperlink" Target="https://docs.google.com/forms/d/e/1FAIpQLSeQ0wUAy9WJrwwZ_8x6kCxvJSihLYtbLF2nbMncVH08fybLWQ/viewform?edit2=2_ABaOnud32dQBNQr1AlIbGFFHOPLhsLZuaZ7TwH3QUuEIryKvv11ITcMKkqthn1A5aZcLI4I" TargetMode="External"/><Relationship Id="rId577" Type="http://schemas.openxmlformats.org/officeDocument/2006/relationships/hyperlink" Target="https://docs.google.com/forms/d/e/1FAIpQLSeQ0wUAy9WJrwwZ_8x6kCxvJSihLYtbLF2nbMncVH08fybLWQ/viewform?edit2=2_ABaOnudZeEbUe5lMb3Y_Em-F1YMZQGMgwDlBU3-6kfyLPgW9rkvudkiD9ThOdrcXyiOc2MQ" TargetMode="External"/><Relationship Id="rId339" Type="http://schemas.openxmlformats.org/officeDocument/2006/relationships/hyperlink" Target="https://docs.google.com/forms/d/e/1FAIpQLSeQ0wUAy9WJrwwZ_8x6kCxvJSihLYtbLF2nbMncVH08fybLWQ/viewform?edit2=2_ABaOnufNTTykvViJB1eJod1rcSVMbhv1UxGSVhWI589JxUDIqXjD_9VJXUl_cQ761trdlMc" TargetMode="External"/><Relationship Id="rId330" Type="http://schemas.openxmlformats.org/officeDocument/2006/relationships/hyperlink" Target="https://docs.google.com/forms/d/e/1FAIpQLSeQ0wUAy9WJrwwZ_8x6kCxvJSihLYtbLF2nbMncVH08fybLWQ/viewform?edit2=2_ABaOnufQkT0tKS4lENberjnlAyfGpRIy46kHQVa-88lyb1DPNHXH4YhRCXiFnRvCWpwamUc" TargetMode="External"/><Relationship Id="rId572" Type="http://schemas.openxmlformats.org/officeDocument/2006/relationships/hyperlink" Target="https://docs.google.com/forms/d/e/1FAIpQLSeQ0wUAy9WJrwwZ_8x6kCxvJSihLYtbLF2nbMncVH08fybLWQ/viewform?edit2=2_ABaOnuf9I2s6jiBVhgZlmoE5aAYSpuCXlakEB-SPZ50j_yjXkIuQU4NJ68Qj1aPLos9E4RE" TargetMode="External"/><Relationship Id="rId571" Type="http://schemas.openxmlformats.org/officeDocument/2006/relationships/hyperlink" Target="https://docs.google.com/forms/d/e/1FAIpQLSeQ0wUAy9WJrwwZ_8x6kCxvJSihLYtbLF2nbMncVH08fybLWQ/viewform?edit2=2_ABaOnufTjYvSOMW2oeBNvkblwD9pbPJ-Tn8kg5FDIyW5JLJ278vFRUgG_kvSElc1r7BEASo" TargetMode="External"/><Relationship Id="rId570" Type="http://schemas.openxmlformats.org/officeDocument/2006/relationships/hyperlink" Target="https://docs.google.com/forms/d/e/1FAIpQLSeQ0wUAy9WJrwwZ_8x6kCxvJSihLYtbLF2nbMncVH08fybLWQ/viewform?edit2=2_ABaOnuePtV5dWczF9fLWylpAYsjz-OUPHpXrUH7ndlw4wmdoEiGD7CdSJrlzIesQiIwmO3c" TargetMode="External"/><Relationship Id="rId334" Type="http://schemas.openxmlformats.org/officeDocument/2006/relationships/hyperlink" Target="https://docs.google.com/forms/d/e/1FAIpQLSeQ0wUAy9WJrwwZ_8x6kCxvJSihLYtbLF2nbMncVH08fybLWQ/viewform?edit2=2_ABaOnucj8V-Kr93pGtBYf7Z24aOiLP7jhrfzRrK2Xb1mfjUA3_j5WRs-0t9rQFS0Xq306AA" TargetMode="External"/><Relationship Id="rId576" Type="http://schemas.openxmlformats.org/officeDocument/2006/relationships/hyperlink" Target="https://docs.google.com/forms/d/e/1FAIpQLSeQ0wUAy9WJrwwZ_8x6kCxvJSihLYtbLF2nbMncVH08fybLWQ/viewform?edit2=2_ABaOnuedt-EjWj7cD3-IDaBTm7OrR7-H9O9DZvwnGUS4D0SMdzpf4QasMH1e9bhXWsZmCDs" TargetMode="External"/><Relationship Id="rId333" Type="http://schemas.openxmlformats.org/officeDocument/2006/relationships/hyperlink" Target="https://docs.google.com/forms/d/e/1FAIpQLSeQ0wUAy9WJrwwZ_8x6kCxvJSihLYtbLF2nbMncVH08fybLWQ/viewform?edit2=2_ABaOnuepnx-YW3Ck2AZ6vrh_c6dgTM8BaIzo05oqPCGcT5Za__7o1LkpbaG7Jd_ewJ3S9j4" TargetMode="External"/><Relationship Id="rId575" Type="http://schemas.openxmlformats.org/officeDocument/2006/relationships/hyperlink" Target="https://docs.google.com/forms/d/e/1FAIpQLSeQ0wUAy9WJrwwZ_8x6kCxvJSihLYtbLF2nbMncVH08fybLWQ/viewform?edit2=2_ABaOnuda5IOmkfWttX6rbcQE9fSSNArN2sABih8vMZuSGmPitjPViwH7sXYojUCBfOcPdeE" TargetMode="External"/><Relationship Id="rId332" Type="http://schemas.openxmlformats.org/officeDocument/2006/relationships/hyperlink" Target="https://docs.google.com/forms/d/e/1FAIpQLSeQ0wUAy9WJrwwZ_8x6kCxvJSihLYtbLF2nbMncVH08fybLWQ/viewform?edit2=2_ABaOnudOOnELTxeBxNC5vyeKzEOoAo_NI1NcGXVsNUAKR9H_XXqbxuytUR4SCXFwvqenZ3A" TargetMode="External"/><Relationship Id="rId574" Type="http://schemas.openxmlformats.org/officeDocument/2006/relationships/hyperlink" Target="https://docs.google.com/forms/d/e/1FAIpQLSeQ0wUAy9WJrwwZ_8x6kCxvJSihLYtbLF2nbMncVH08fybLWQ/viewform?edit2=2_ABaOnuf9GIEi0tyVotQxCcjxxaJeChR6ZRFWRmbK7uKaY7oVm-oSM-7mgbYIKw_Vz1I9M0Q" TargetMode="External"/><Relationship Id="rId331" Type="http://schemas.openxmlformats.org/officeDocument/2006/relationships/hyperlink" Target="https://docs.google.com/forms/d/e/1FAIpQLSeQ0wUAy9WJrwwZ_8x6kCxvJSihLYtbLF2nbMncVH08fybLWQ/viewform?edit2=2_ABaOnuc3OmtVWUMjMeeOMmAFEU88zlInBAsaWJzufZNc48bJjB5rd5TIFoA6Ey9daiAgV18" TargetMode="External"/><Relationship Id="rId573" Type="http://schemas.openxmlformats.org/officeDocument/2006/relationships/hyperlink" Target="https://docs.google.com/forms/d/e/1FAIpQLSeQ0wUAy9WJrwwZ_8x6kCxvJSihLYtbLF2nbMncVH08fybLWQ/viewform?edit2=2_ABaOnuf7HG9O5MEX6Kj-jeJgeFXkFac_Y3IRJReB8k-nzrgm75yIqSjkUs8F9Nowtzpr82k" TargetMode="External"/><Relationship Id="rId370" Type="http://schemas.openxmlformats.org/officeDocument/2006/relationships/hyperlink" Target="https://docs.google.com/forms/d/e/1FAIpQLSeQ0wUAy9WJrwwZ_8x6kCxvJSihLYtbLF2nbMncVH08fybLWQ/viewform?edit2=2_ABaOnufb82Qu6z_dp9jxdCNPqE9Sr1iO9zWW36zvIRgRKokqBWomvHzD2dL61ZVoWdXu5Cg" TargetMode="External"/><Relationship Id="rId129" Type="http://schemas.openxmlformats.org/officeDocument/2006/relationships/hyperlink" Target="https://docs.google.com/forms/d/e/1FAIpQLSeQ0wUAy9WJrwwZ_8x6kCxvJSihLYtbLF2nbMncVH08fybLWQ/viewform?edit2=2_ABaOnufXYTqaPImGzlgmfNc6kOsjAhjJXmUHdo9AGs8i97Pd31NF9K9_xuXHdNbdTLnJM98" TargetMode="External"/><Relationship Id="rId128" Type="http://schemas.openxmlformats.org/officeDocument/2006/relationships/hyperlink" Target="https://docs.google.com/forms/d/e/1FAIpQLSeQ0wUAy9WJrwwZ_8x6kCxvJSihLYtbLF2nbMncVH08fybLWQ/viewform?edit2=2_ABaOnucnukW9muUN-y1cfAhnJf7J_I0OViuSH2f70fAIv9NarfhxUJDGbERrxhZE02wYnx8" TargetMode="External"/><Relationship Id="rId127" Type="http://schemas.openxmlformats.org/officeDocument/2006/relationships/hyperlink" Target="https://docs.google.com/forms/d/e/1FAIpQLSeQ0wUAy9WJrwwZ_8x6kCxvJSihLYtbLF2nbMncVH08fybLWQ/viewform?edit2=2_ABaOnufVkR_DP08VnxN2fWjQ9u6utBF1y8iO-fMvZSmp6xoRvGwaKoeTErMmpZhhq5hrOZM" TargetMode="External"/><Relationship Id="rId369" Type="http://schemas.openxmlformats.org/officeDocument/2006/relationships/hyperlink" Target="https://drive.google.com/open?id=1oe_zO-KnMysDafcwu9LHiZeb0SFonECr" TargetMode="External"/><Relationship Id="rId126" Type="http://schemas.openxmlformats.org/officeDocument/2006/relationships/hyperlink" Target="https://docs.google.com/forms/d/e/1FAIpQLSeQ0wUAy9WJrwwZ_8x6kCxvJSihLYtbLF2nbMncVH08fybLWQ/viewform?edit2=2_ABaOnucvCkP0ly27K4xBm6HLMIIfWvsGQRVViXxDqDfzDn0xRivPFdugmteYF3RePx0BnLY" TargetMode="External"/><Relationship Id="rId368" Type="http://schemas.openxmlformats.org/officeDocument/2006/relationships/hyperlink" Target="https://docs.google.com/forms/d/e/1FAIpQLSeQ0wUAy9WJrwwZ_8x6kCxvJSihLYtbLF2nbMncVH08fybLWQ/viewform?edit2=2_ABaOnuf2kP-EF3n3AfVOANgHcOow5MMwmcsa0W-YD3MbQ4D_gukUJvjLtkcu0kLdRcc_hfk" TargetMode="External"/><Relationship Id="rId121" Type="http://schemas.openxmlformats.org/officeDocument/2006/relationships/hyperlink" Target="https://docs.google.com/forms/d/e/1FAIpQLSeQ0wUAy9WJrwwZ_8x6kCxvJSihLYtbLF2nbMncVH08fybLWQ/viewform?edit2=2_ABaOnudCqCKYt14z9FO1Ip3eqVKvVrBWp1kHdAl6n3eHpCfJzdtsRnyJ5qt-ZVXAPG3VpJc" TargetMode="External"/><Relationship Id="rId363" Type="http://schemas.openxmlformats.org/officeDocument/2006/relationships/hyperlink" Target="https://docs.google.com/forms/d/e/1FAIpQLSeQ0wUAy9WJrwwZ_8x6kCxvJSihLYtbLF2nbMncVH08fybLWQ/viewform?edit2=2_ABaOnufWmejMmRvArP_ZUcfudrF9F09qQLQLt0WOKEomMa7FzoyoJZEJJRSmwvPo3jNxY_g" TargetMode="External"/><Relationship Id="rId120" Type="http://schemas.openxmlformats.org/officeDocument/2006/relationships/hyperlink" Target="https://docs.google.com/forms/d/e/1FAIpQLSeQ0wUAy9WJrwwZ_8x6kCxvJSihLYtbLF2nbMncVH08fybLWQ/viewform?edit2=2_ABaOnucJLeYO2xxT1NxSaP8QPWU5y60iSh7CRL-wddtfSfvvK9huJyHX_slNMaaAOFMTn0g" TargetMode="External"/><Relationship Id="rId362" Type="http://schemas.openxmlformats.org/officeDocument/2006/relationships/hyperlink" Target="https://docs.google.com/forms/d/e/1FAIpQLSeQ0wUAy9WJrwwZ_8x6kCxvJSihLYtbLF2nbMncVH08fybLWQ/viewform?edit2=2_ABaOnudXPyiLFO7hwY7WRGWL6TvAAtR6xKowGV5qONWCaNUbEJxOvVhirwYjoD_fqt2Zewo" TargetMode="External"/><Relationship Id="rId361" Type="http://schemas.openxmlformats.org/officeDocument/2006/relationships/hyperlink" Target="https://docs.google.com/forms/d/e/1FAIpQLSeQ0wUAy9WJrwwZ_8x6kCxvJSihLYtbLF2nbMncVH08fybLWQ/viewform?edit2=2_ABaOnucN3jhauf7bNX__Gcgoo5T5_S1GsQbhFuWbaoXegE2TyxlRWbO3H8_x0OXsHNADVM0" TargetMode="External"/><Relationship Id="rId360" Type="http://schemas.openxmlformats.org/officeDocument/2006/relationships/hyperlink" Target="https://docs.google.com/forms/d/e/1FAIpQLSeQ0wUAy9WJrwwZ_8x6kCxvJSihLYtbLF2nbMncVH08fybLWQ/viewform?edit2=2_ABaOnue_C7GdZ1dY36ZzwX2HtJYgRHZol6m7XniDbLanHv6v2ysVxbjdxIMT_-pTa6qY5PA" TargetMode="External"/><Relationship Id="rId125" Type="http://schemas.openxmlformats.org/officeDocument/2006/relationships/hyperlink" Target="https://docs.google.com/forms/d/e/1FAIpQLSeQ0wUAy9WJrwwZ_8x6kCxvJSihLYtbLF2nbMncVH08fybLWQ/viewform?edit2=2_ABaOnucpVPPpq2doZT2-YJvQAnG4Hsm4yDv7l8tYlM8Edim2dWqIE7afpaZ8gc-S4eKXogI" TargetMode="External"/><Relationship Id="rId367" Type="http://schemas.openxmlformats.org/officeDocument/2006/relationships/hyperlink" Target="https://drive.google.com/open?id=1kJauBysqstsnKQtvr8GMnkmB0DWtDHM7" TargetMode="External"/><Relationship Id="rId124" Type="http://schemas.openxmlformats.org/officeDocument/2006/relationships/hyperlink" Target="https://docs.google.com/forms/d/e/1FAIpQLSeQ0wUAy9WJrwwZ_8x6kCxvJSihLYtbLF2nbMncVH08fybLWQ/viewform?edit2=2_ABaOnueMMT_AJN_h-q3XPWfcX5c6fTriFa5nTpftEWLgkFPfbx8qCblDeItCtATGE9QmsJk" TargetMode="External"/><Relationship Id="rId366" Type="http://schemas.openxmlformats.org/officeDocument/2006/relationships/hyperlink" Target="https://docs.google.com/forms/d/e/1FAIpQLSeQ0wUAy9WJrwwZ_8x6kCxvJSihLYtbLF2nbMncVH08fybLWQ/viewform?edit2=2_ABaOnudX-N7IvepppU7bpdZl5MWoWNRi7oLTJKggKV3JH8YzLiNTEpziGm2ckxRjQ4UkxF4" TargetMode="External"/><Relationship Id="rId123" Type="http://schemas.openxmlformats.org/officeDocument/2006/relationships/hyperlink" Target="https://docs.google.com/forms/d/e/1FAIpQLSeQ0wUAy9WJrwwZ_8x6kCxvJSihLYtbLF2nbMncVH08fybLWQ/viewform?edit2=2_ABaOnue9c33rD-LKcx4gnUiDaSNCDOR37stUBAEIsi5K_GznGYZE6q-FcH7JtQAvvA0HyPY" TargetMode="External"/><Relationship Id="rId365" Type="http://schemas.openxmlformats.org/officeDocument/2006/relationships/hyperlink" Target="https://docs.google.com/forms/d/e/1FAIpQLSeQ0wUAy9WJrwwZ_8x6kCxvJSihLYtbLF2nbMncVH08fybLWQ/viewform?edit2=2_ABaOnufT93TFz0i5YQNeWw__FSBy1snIIh7jRkvwfm5-hSIYRa5EN8kT_f35YsaEQ5ULeRQ" TargetMode="External"/><Relationship Id="rId122" Type="http://schemas.openxmlformats.org/officeDocument/2006/relationships/hyperlink" Target="https://docs.google.com/forms/d/e/1FAIpQLSeQ0wUAy9WJrwwZ_8x6kCxvJSihLYtbLF2nbMncVH08fybLWQ/viewform?edit2=2_ABaOnudI3n77cNF8MonDl9E-C3cwhfs3GGXgyW1e82Pr_8-jrlsc2IOTRTqFLTHMfGQvXMw" TargetMode="External"/><Relationship Id="rId364" Type="http://schemas.openxmlformats.org/officeDocument/2006/relationships/hyperlink" Target="https://docs.google.com/forms/d/e/1FAIpQLSeQ0wUAy9WJrwwZ_8x6kCxvJSihLYtbLF2nbMncVH08fybLWQ/viewform?edit2=2_ABaOnucxG6enC0dg5FP8H_-o1S_cu91k9_mbA0ecZCsaBxWLfzK2XFEtF33840Ol9ohfUqg" TargetMode="External"/><Relationship Id="rId95" Type="http://schemas.openxmlformats.org/officeDocument/2006/relationships/hyperlink" Target="https://docs.google.com/forms/d/e/1FAIpQLSeQ0wUAy9WJrwwZ_8x6kCxvJSihLYtbLF2nbMncVH08fybLWQ/viewform?edit2=2_ABaOnudG61Qy54MgPehkrALosAoknqmiKULzLfliMZlepUv5kRP7npXjldIdpVF6lZvIvLc" TargetMode="External"/><Relationship Id="rId94" Type="http://schemas.openxmlformats.org/officeDocument/2006/relationships/hyperlink" Target="https://docs.google.com/forms/d/e/1FAIpQLSeQ0wUAy9WJrwwZ_8x6kCxvJSihLYtbLF2nbMncVH08fybLWQ/viewform?edit2=2_ABaOnud3ShlyaXKC2KgLJEWb73m22yu5uBr3vBpNiYkuoxcSmGE4NVg7NbI2d5rZiGcrhS0" TargetMode="External"/><Relationship Id="rId97" Type="http://schemas.openxmlformats.org/officeDocument/2006/relationships/hyperlink" Target="https://docs.google.com/forms/d/e/1FAIpQLSeQ0wUAy9WJrwwZ_8x6kCxvJSihLYtbLF2nbMncVH08fybLWQ/viewform?edit2=2_ABaOnudWrFMJHp2J2_gi_gce8kaY9tgaTjD363wssIlFg3BCRKZlkL_weU6TAeflNKmnJWQ" TargetMode="External"/><Relationship Id="rId96" Type="http://schemas.openxmlformats.org/officeDocument/2006/relationships/hyperlink" Target="https://docs.google.com/forms/d/e/1FAIpQLSeQ0wUAy9WJrwwZ_8x6kCxvJSihLYtbLF2nbMncVH08fybLWQ/viewform?edit2=2_ABaOnuff68Knt67AfHEMl3ahzzt4RQGoO6DBzx0AwdKMonFLc9HjD8eAPOgQmqdwwlRLsTo" TargetMode="External"/><Relationship Id="rId99" Type="http://schemas.openxmlformats.org/officeDocument/2006/relationships/hyperlink" Target="https://docs.google.com/forms/d/e/1FAIpQLSeQ0wUAy9WJrwwZ_8x6kCxvJSihLYtbLF2nbMncVH08fybLWQ/viewform?edit2=2_ABaOnud4BkodrUSNtcIZtqdDBt0itdMAj1ZLAPzaTIgGYVnuNzed9VZ627foZcHBE4Ila2A" TargetMode="External"/><Relationship Id="rId98" Type="http://schemas.openxmlformats.org/officeDocument/2006/relationships/hyperlink" Target="https://docs.google.com/forms/d/e/1FAIpQLSeQ0wUAy9WJrwwZ_8x6kCxvJSihLYtbLF2nbMncVH08fybLWQ/viewform?edit2=2_ABaOnucGbF1yExF0E9yxwyMK9iAs8JNP572TZeKZjmfLHSJSkznGs6ajJFx_33Ooo-nRuBo" TargetMode="External"/><Relationship Id="rId91" Type="http://schemas.openxmlformats.org/officeDocument/2006/relationships/hyperlink" Target="https://docs.google.com/forms/d/e/1FAIpQLSeQ0wUAy9WJrwwZ_8x6kCxvJSihLYtbLF2nbMncVH08fybLWQ/viewform?edit2=2_ABaOnufQeLyHbYj13V1rpFIM45kt1He0gbCXbzXPKo275SZvc4liZwhjZiDSCciQt331sCs" TargetMode="External"/><Relationship Id="rId90" Type="http://schemas.openxmlformats.org/officeDocument/2006/relationships/hyperlink" Target="https://docs.google.com/forms/d/e/1FAIpQLSeQ0wUAy9WJrwwZ_8x6kCxvJSihLYtbLF2nbMncVH08fybLWQ/viewform?edit2=2_ABaOnueMv81dXmOuX-Es00OYtqMPMbTP7c52G9UNsK2cfHn97_f75GglKqr5_oCIr1bR4Lw" TargetMode="External"/><Relationship Id="rId93" Type="http://schemas.openxmlformats.org/officeDocument/2006/relationships/hyperlink" Target="https://docs.google.com/forms/d/e/1FAIpQLSeQ0wUAy9WJrwwZ_8x6kCxvJSihLYtbLF2nbMncVH08fybLWQ/viewform?edit2=2_ABaOnufZ4fxOpmuGehXs6ASpqdEDXbDIvpZ6EA5bJ7_Y7KWGrhKoQBZ2NrXxbhoBf5TPCxQ" TargetMode="External"/><Relationship Id="rId92" Type="http://schemas.openxmlformats.org/officeDocument/2006/relationships/hyperlink" Target="https://docs.google.com/forms/d/e/1FAIpQLSeQ0wUAy9WJrwwZ_8x6kCxvJSihLYtbLF2nbMncVH08fybLWQ/viewform?edit2=2_ABaOnucYNn_yukr-FmLlcxxJIP90ay4iVliZHREHzLCMImHdOGr_9zTw3JE8MscSkfJnZQM" TargetMode="External"/><Relationship Id="rId118" Type="http://schemas.openxmlformats.org/officeDocument/2006/relationships/hyperlink" Target="https://docs.google.com/forms/d/e/1FAIpQLSeQ0wUAy9WJrwwZ_8x6kCxvJSihLYtbLF2nbMncVH08fybLWQ/viewform?edit2=2_ABaOnueDAzwCQK2ykvcM1tchKvO2M4SjchRggG2zI0UANrUtJn8k7V_NNVFf1QB8BW3D-xo" TargetMode="External"/><Relationship Id="rId117" Type="http://schemas.openxmlformats.org/officeDocument/2006/relationships/hyperlink" Target="https://docs.google.com/forms/d/e/1FAIpQLSeQ0wUAy9WJrwwZ_8x6kCxvJSihLYtbLF2nbMncVH08fybLWQ/viewform?edit2=2_ABaOnufxQEZ5DoFnHu45z2A4yNexMXZF5QVL37MNHX20zjuy0JTHpWhAukmlmXMz2VMeXgs" TargetMode="External"/><Relationship Id="rId359" Type="http://schemas.openxmlformats.org/officeDocument/2006/relationships/hyperlink" Target="https://docs.google.com/forms/d/e/1FAIpQLSeQ0wUAy9WJrwwZ_8x6kCxvJSihLYtbLF2nbMncVH08fybLWQ/viewform?edit2=2_ABaOnufVclAP3LFKW8yrdAFUGk3frEplt7iAN0E7R3On0nF4uTqQzxhkTHKBYvsdxFep-BE" TargetMode="External"/><Relationship Id="rId116" Type="http://schemas.openxmlformats.org/officeDocument/2006/relationships/hyperlink" Target="https://docs.google.com/forms/d/e/1FAIpQLSeQ0wUAy9WJrwwZ_8x6kCxvJSihLYtbLF2nbMncVH08fybLWQ/viewform?edit2=2_ABaOnueegxWj6lH9bum2UfHuLhMyasC9AOHaSCno22O5AL9IVujUK3sGPD3uJ1jpFTl7v8U" TargetMode="External"/><Relationship Id="rId358" Type="http://schemas.openxmlformats.org/officeDocument/2006/relationships/hyperlink" Target="https://docs.google.com/forms/d/e/1FAIpQLSeQ0wUAy9WJrwwZ_8x6kCxvJSihLYtbLF2nbMncVH08fybLWQ/viewform?edit2=2_ABaOnucZRPNcpVdePwazJcDxDp-vm4zTuP-e0kkfcB0kI6ZEEjQR-Gv6yR3DJ9GW_dkkByo" TargetMode="External"/><Relationship Id="rId115" Type="http://schemas.openxmlformats.org/officeDocument/2006/relationships/hyperlink" Target="https://docs.google.com/forms/d/e/1FAIpQLSeQ0wUAy9WJrwwZ_8x6kCxvJSihLYtbLF2nbMncVH08fybLWQ/viewform?edit2=2_ABaOnudRT8mhrF2tDiCFROCyPUKMvTaDGYA7L_qcfrahdp5HeZdEX6qaqvJFbop9XokdgvQ" TargetMode="External"/><Relationship Id="rId357" Type="http://schemas.openxmlformats.org/officeDocument/2006/relationships/hyperlink" Target="https://docs.google.com/forms/d/e/1FAIpQLSeQ0wUAy9WJrwwZ_8x6kCxvJSihLYtbLF2nbMncVH08fybLWQ/viewform?edit2=2_ABaOnudAxXqvuEwkICfOz4VlsViElyiiGSR8V04FggJ_rz4zNP-8uUNGSlwFr4Ncr3u0pVM" TargetMode="External"/><Relationship Id="rId599" Type="http://schemas.openxmlformats.org/officeDocument/2006/relationships/hyperlink" Target="https://docs.google.com/forms/d/e/1FAIpQLSeQ0wUAy9WJrwwZ_8x6kCxvJSihLYtbLF2nbMncVH08fybLWQ/viewform?edit2=2_ABaOnuduFbRGM46C_BR0F2ZknFDHmV1uExp77jaMkHn_g69xw29KiL-CkiDZtHE7b537FfM" TargetMode="External"/><Relationship Id="rId119" Type="http://schemas.openxmlformats.org/officeDocument/2006/relationships/hyperlink" Target="https://docs.google.com/forms/d/e/1FAIpQLSeQ0wUAy9WJrwwZ_8x6kCxvJSihLYtbLF2nbMncVH08fybLWQ/viewform?edit2=2_ABaOnue7PiSdgmZACVHe9cMAnJITktgZ-4h_MenuYYK5YWW-giAoqpiIZAO6m5gyk-rXkPM" TargetMode="External"/><Relationship Id="rId110" Type="http://schemas.openxmlformats.org/officeDocument/2006/relationships/hyperlink" Target="https://docs.google.com/forms/d/e/1FAIpQLSeQ0wUAy9WJrwwZ_8x6kCxvJSihLYtbLF2nbMncVH08fybLWQ/viewform?edit2=2_ABaOnudaMLYT-05wf1x-HTC_WZjS0cLbiKdag_9PEy-ZCYVTnAhUbnOTblifIKHtxi3eVzk" TargetMode="External"/><Relationship Id="rId352" Type="http://schemas.openxmlformats.org/officeDocument/2006/relationships/hyperlink" Target="https://docs.google.com/forms/d/e/1FAIpQLSeQ0wUAy9WJrwwZ_8x6kCxvJSihLYtbLF2nbMncVH08fybLWQ/viewform?edit2=2_ABaOnufXI7dlPiLin-IBck8ZMTtBX_iixi4Kg39kn1Gu1zMtQlrIgGw3H0x8eyMRwhBBbNo" TargetMode="External"/><Relationship Id="rId594" Type="http://schemas.openxmlformats.org/officeDocument/2006/relationships/hyperlink" Target="https://docs.google.com/forms/d/e/1FAIpQLSeQ0wUAy9WJrwwZ_8x6kCxvJSihLYtbLF2nbMncVH08fybLWQ/viewform?edit2=2_ABaOnueUd8jVWCmGaAAya0kTIIBndKwXRkuu23iVhQYIAj3S0ct5AazIsALqiiVVdHEcWks" TargetMode="External"/><Relationship Id="rId351" Type="http://schemas.openxmlformats.org/officeDocument/2006/relationships/hyperlink" Target="https://drive.google.com/open?id=1b7sS7pZlcOhi6i72ziYw_w5XknakwObc" TargetMode="External"/><Relationship Id="rId593" Type="http://schemas.openxmlformats.org/officeDocument/2006/relationships/hyperlink" Target="https://docs.google.com/forms/d/e/1FAIpQLSeQ0wUAy9WJrwwZ_8x6kCxvJSihLYtbLF2nbMncVH08fybLWQ/viewform?edit2=2_ABaOnueppj9lOCwPU1x-d4oD9Xxtlvj-1m-NUnM2fmZIQdxm65RQMTusoopph3vYRzlC-FY" TargetMode="External"/><Relationship Id="rId350" Type="http://schemas.openxmlformats.org/officeDocument/2006/relationships/hyperlink" Target="https://docs.google.com/forms/d/e/1FAIpQLSeQ0wUAy9WJrwwZ_8x6kCxvJSihLYtbLF2nbMncVH08fybLWQ/viewform?edit2=2_ABaOnucUKb2Jwm-af6jIbRV4UPaRUNjO3k1iZUTSmzjuuTcx9WuAifoVvb3sAemgmIjp5Ck" TargetMode="External"/><Relationship Id="rId592" Type="http://schemas.openxmlformats.org/officeDocument/2006/relationships/hyperlink" Target="https://docs.google.com/forms/d/e/1FAIpQLSeQ0wUAy9WJrwwZ_8x6kCxvJSihLYtbLF2nbMncVH08fybLWQ/viewform?edit2=2_ABaOnuc5hPHFpvwHNHzSXWmaJ21IGnavBl8VtigLiTJDCK0cWfuvo4bRMIfKZ6Bl6EBLDTs" TargetMode="External"/><Relationship Id="rId591" Type="http://schemas.openxmlformats.org/officeDocument/2006/relationships/hyperlink" Target="https://docs.google.com/forms/d/e/1FAIpQLSeQ0wUAy9WJrwwZ_8x6kCxvJSihLYtbLF2nbMncVH08fybLWQ/viewform?edit2=2_ABaOnufkp70n91YMVMdGe7mex_TfdAmqD0VHI9nIuduqmw0qFVjgp7iHvCX6uLVsM0qrniY" TargetMode="External"/><Relationship Id="rId114" Type="http://schemas.openxmlformats.org/officeDocument/2006/relationships/hyperlink" Target="https://docs.google.com/forms/d/e/1FAIpQLSeQ0wUAy9WJrwwZ_8x6kCxvJSihLYtbLF2nbMncVH08fybLWQ/viewform?edit2=2_ABaOnufIiGMxbQbOZcP5tV1TsO8gQTG7fh-6KvBlG6dM9HkypQPDPPWBYmurx0EYvrWtZQI" TargetMode="External"/><Relationship Id="rId356" Type="http://schemas.openxmlformats.org/officeDocument/2006/relationships/hyperlink" Target="https://docs.google.com/forms/d/e/1FAIpQLSeQ0wUAy9WJrwwZ_8x6kCxvJSihLYtbLF2nbMncVH08fybLWQ/viewform?edit2=2_ABaOnuf1uUqJSzovlfrbhJosKzfsZx1OC6bITvgLvDpbpFVo36Hdq4ys8Tje_zkWSFwlRmU" TargetMode="External"/><Relationship Id="rId598" Type="http://schemas.openxmlformats.org/officeDocument/2006/relationships/hyperlink" Target="https://docs.google.com/forms/d/e/1FAIpQLSeQ0wUAy9WJrwwZ_8x6kCxvJSihLYtbLF2nbMncVH08fybLWQ/viewform?edit2=2_ABaOnueqaW_9pQyhwX_azJpcpGz6JAAUm0OQfC02mtPsDXFaQyePUIWJuV2r-3EMPi8df_g" TargetMode="External"/><Relationship Id="rId113" Type="http://schemas.openxmlformats.org/officeDocument/2006/relationships/hyperlink" Target="https://docs.google.com/forms/d/e/1FAIpQLSeQ0wUAy9WJrwwZ_8x6kCxvJSihLYtbLF2nbMncVH08fybLWQ/viewform?edit2=2_ABaOnufviL3RMLiUwAcOTWO-wQasOB5JOa6kMA9WenkS-ZkBGxNYNCsB_-5bG7Z1SIssAyQ" TargetMode="External"/><Relationship Id="rId355" Type="http://schemas.openxmlformats.org/officeDocument/2006/relationships/hyperlink" Target="https://drive.google.com/open?id=1QUsSNgS_n47ZW56nocwU_MODjWVYgTRx" TargetMode="External"/><Relationship Id="rId597" Type="http://schemas.openxmlformats.org/officeDocument/2006/relationships/hyperlink" Target="https://docs.google.com/forms/d/e/1FAIpQLSeQ0wUAy9WJrwwZ_8x6kCxvJSihLYtbLF2nbMncVH08fybLWQ/viewform?edit2=2_ABaOnuejpdPvuoOl6pIKz2Z7g1bXInzt8U3e4xCtqCVsmeOmfm-8vlhRgdLpTAKdA3sViCE" TargetMode="External"/><Relationship Id="rId112" Type="http://schemas.openxmlformats.org/officeDocument/2006/relationships/hyperlink" Target="https://docs.google.com/forms/d/e/1FAIpQLSeQ0wUAy9WJrwwZ_8x6kCxvJSihLYtbLF2nbMncVH08fybLWQ/viewform?edit2=2_ABaOnucTf6PBOen2AqxRRLu-6p19k95UkfVSQl7ugoC7hHQvSucKmEWIr_0E0V8JDaLMv64" TargetMode="External"/><Relationship Id="rId354" Type="http://schemas.openxmlformats.org/officeDocument/2006/relationships/hyperlink" Target="https://docs.google.com/forms/d/e/1FAIpQLSeQ0wUAy9WJrwwZ_8x6kCxvJSihLYtbLF2nbMncVH08fybLWQ/viewform?edit2=2_ABaOnuf61EbBpiI6_hQ2roS1ntHXRkUUEG1OsMyxe-bEdp5-GzFUqSIMuC6jmT-o8I-ChmY" TargetMode="External"/><Relationship Id="rId596" Type="http://schemas.openxmlformats.org/officeDocument/2006/relationships/hyperlink" Target="https://docs.google.com/forms/d/e/1FAIpQLSeQ0wUAy9WJrwwZ_8x6kCxvJSihLYtbLF2nbMncVH08fybLWQ/viewform?edit2=2_ABaOnuez_oojKhmissLvfyBKp_PbEV6cNOsjH0WH3bembyhczehQM-gSZZtIc7UkCFEqpRo" TargetMode="External"/><Relationship Id="rId111" Type="http://schemas.openxmlformats.org/officeDocument/2006/relationships/hyperlink" Target="https://docs.google.com/forms/d/e/1FAIpQLSeQ0wUAy9WJrwwZ_8x6kCxvJSihLYtbLF2nbMncVH08fybLWQ/viewform?edit2=2_ABaOnucpy1hqSGFWZc9UW1gQrumCXk_SSPbK6GcGjnN8vSmfuzbPJLS1fckczkaDNWA1ckY" TargetMode="External"/><Relationship Id="rId353" Type="http://schemas.openxmlformats.org/officeDocument/2006/relationships/hyperlink" Target="https://docs.google.com/forms/d/e/1FAIpQLSeQ0wUAy9WJrwwZ_8x6kCxvJSihLYtbLF2nbMncVH08fybLWQ/viewform?edit2=2_ABaOnueOV352n1PnZ2d5agj54tRRZbmfGZWVDn7Oyk2o-nIYe6Xi9SlqdfEpq29DzPfemOM" TargetMode="External"/><Relationship Id="rId595" Type="http://schemas.openxmlformats.org/officeDocument/2006/relationships/hyperlink" Target="https://docs.google.com/forms/d/e/1FAIpQLSeQ0wUAy9WJrwwZ_8x6kCxvJSihLYtbLF2nbMncVH08fybLWQ/viewform?edit2=2_ABaOnucrxvLDqrSKN7UGppzRFcDm9pf0UU075Hcnz89vZQJ9Qm9cqWb6H78EXMjmZP7WGPI" TargetMode="External"/><Relationship Id="rId305" Type="http://schemas.openxmlformats.org/officeDocument/2006/relationships/hyperlink" Target="https://docs.google.com/forms/d/e/1FAIpQLSeQ0wUAy9WJrwwZ_8x6kCxvJSihLYtbLF2nbMncVH08fybLWQ/viewform?edit2=2_ABaOnudAQB9C5teL-dfrutSDkNVfl1HTKllBaWP7TG_JbSKQsd6_kLw-FCGMxK_4vhPFBQw" TargetMode="External"/><Relationship Id="rId547" Type="http://schemas.openxmlformats.org/officeDocument/2006/relationships/hyperlink" Target="https://docs.google.com/forms/d/e/1FAIpQLSeQ0wUAy9WJrwwZ_8x6kCxvJSihLYtbLF2nbMncVH08fybLWQ/viewform?edit2=2_ABaOnufdeqAFEErj8k2R3aLFuF_NLCDr_LwdAZaHxG68AXzFHHB4yoAbpPWJFIuQLORokmA" TargetMode="External"/><Relationship Id="rId789" Type="http://schemas.openxmlformats.org/officeDocument/2006/relationships/hyperlink" Target="https://docs.google.com/forms/d/e/1FAIpQLSeQ0wUAy9WJrwwZ_8x6kCxvJSihLYtbLF2nbMncVH08fybLWQ/viewform?edit2=2_ABaOnufJEF61Ic34vULaG1uz4PJsCQ9eI2ltk3gvT8RwQd3Z6G5G84JEpbFcVNzWPfuotcY" TargetMode="External"/><Relationship Id="rId304" Type="http://schemas.openxmlformats.org/officeDocument/2006/relationships/hyperlink" Target="https://docs.google.com/forms/d/e/1FAIpQLSeQ0wUAy9WJrwwZ_8x6kCxvJSihLYtbLF2nbMncVH08fybLWQ/viewform?edit2=2_ABaOnudvx2ezv89dXzCV3MXZTyLairoTknbk9-BRm4PrCcTeOj3yRKKxQQCOeK1pL46BOm8" TargetMode="External"/><Relationship Id="rId546" Type="http://schemas.openxmlformats.org/officeDocument/2006/relationships/hyperlink" Target="https://docs.google.com/forms/d/e/1FAIpQLSeQ0wUAy9WJrwwZ_8x6kCxvJSihLYtbLF2nbMncVH08fybLWQ/viewform?edit2=2_ABaOnueaURh8R8X_3IZK2j82kDzvfA6Gbq8E5nZFfMXbx8p8thsizVBxRwS6VZd4Xv2Ldn8" TargetMode="External"/><Relationship Id="rId788" Type="http://schemas.openxmlformats.org/officeDocument/2006/relationships/hyperlink" Target="https://docs.google.com/forms/d/e/1FAIpQLSeQ0wUAy9WJrwwZ_8x6kCxvJSihLYtbLF2nbMncVH08fybLWQ/viewform?edit2=2_ABaOnueWedcs4JgM30d4M9q1p3V3NXQiURXh7ia9n0ZAvdIiwNjZLmk3e6ylV7StMPf8_pA" TargetMode="External"/><Relationship Id="rId303" Type="http://schemas.openxmlformats.org/officeDocument/2006/relationships/hyperlink" Target="https://docs.google.com/forms/d/e/1FAIpQLSeQ0wUAy9WJrwwZ_8x6kCxvJSihLYtbLF2nbMncVH08fybLWQ/viewform?edit2=2_ABaOnucBizIFFS36eyf-PGqVZ9NB3M9aKD1pkOtrv3m9XQxhufJf7bbpK_lf8KQZcM-VtZM" TargetMode="External"/><Relationship Id="rId545" Type="http://schemas.openxmlformats.org/officeDocument/2006/relationships/hyperlink" Target="https://docs.google.com/forms/d/e/1FAIpQLSeQ0wUAy9WJrwwZ_8x6kCxvJSihLYtbLF2nbMncVH08fybLWQ/viewform?edit2=2_ABaOnudbnC-WaFTFxKOmzFl2U_KPgvLF8WtNkzgCKlPEOuz0YQFLXctym-ak8Ifqn9gN75k" TargetMode="External"/><Relationship Id="rId787" Type="http://schemas.openxmlformats.org/officeDocument/2006/relationships/hyperlink" Target="https://docs.google.com/forms/d/e/1FAIpQLSeQ0wUAy9WJrwwZ_8x6kCxvJSihLYtbLF2nbMncVH08fybLWQ/viewform?edit2=2_ABaOnufMCoIGcJ0L2oQW5JKRHeBLlrySlqai7-XM8_fE8HtIrPHOsONJCCB0JIdxMnqrlCg" TargetMode="External"/><Relationship Id="rId302" Type="http://schemas.openxmlformats.org/officeDocument/2006/relationships/hyperlink" Target="https://drive.google.com/open?id=1x_w5D7PEhKLAciO7EAUNHuNTYuGhUuGC" TargetMode="External"/><Relationship Id="rId544" Type="http://schemas.openxmlformats.org/officeDocument/2006/relationships/hyperlink" Target="https://docs.google.com/forms/d/e/1FAIpQLSeQ0wUAy9WJrwwZ_8x6kCxvJSihLYtbLF2nbMncVH08fybLWQ/viewform?edit2=2_ABaOnuerM3RX9jewhMQZM89MyCiQSBXVwczLsRGNh2_vgdHQjOhgA7jQdGFxrDtOGbma7zU" TargetMode="External"/><Relationship Id="rId786" Type="http://schemas.openxmlformats.org/officeDocument/2006/relationships/hyperlink" Target="https://docs.google.com/forms/d/e/1FAIpQLSeQ0wUAy9WJrwwZ_8x6kCxvJSihLYtbLF2nbMncVH08fybLWQ/viewform?edit2=2_ABaOnud7ddXTVBlU9EDiZuU5MEUiEdmz-3II9I26Nj-dpJuozkXSzEw7VkAnaMQwKLs3kUA" TargetMode="External"/><Relationship Id="rId309" Type="http://schemas.openxmlformats.org/officeDocument/2006/relationships/hyperlink" Target="https://docs.google.com/forms/d/e/1FAIpQLSeQ0wUAy9WJrwwZ_8x6kCxvJSihLYtbLF2nbMncVH08fybLWQ/viewform?edit2=2_ABaOnuc1xyk8u0Kn33IDteblQ4OCzOwnJ0kXp_c4NAEpsRE9I01Zi1sRlj-NVf0x_5hZU7A" TargetMode="External"/><Relationship Id="rId308" Type="http://schemas.openxmlformats.org/officeDocument/2006/relationships/hyperlink" Target="https://docs.google.com/forms/d/e/1FAIpQLSeQ0wUAy9WJrwwZ_8x6kCxvJSihLYtbLF2nbMncVH08fybLWQ/viewform?edit2=2_ABaOnufUNsVdrmba3PrV8rgFBejXnU9ExiESznivW3O7qEh9oSvxrQoECOSB7MJjh70ZjAM" TargetMode="External"/><Relationship Id="rId307" Type="http://schemas.openxmlformats.org/officeDocument/2006/relationships/hyperlink" Target="https://docs.google.com/forms/d/e/1FAIpQLSeQ0wUAy9WJrwwZ_8x6kCxvJSihLYtbLF2nbMncVH08fybLWQ/viewform?edit2=2_ABaOnucEyoag4JWQTs6FbxLGe3UpHygoiTnPqe5nxhWRXwaUue8ffG5EO43QP3Lf0HBvi_U" TargetMode="External"/><Relationship Id="rId549" Type="http://schemas.openxmlformats.org/officeDocument/2006/relationships/hyperlink" Target="https://docs.google.com/forms/d/e/1FAIpQLSeQ0wUAy9WJrwwZ_8x6kCxvJSihLYtbLF2nbMncVH08fybLWQ/viewform?edit2=2_ABaOnufftwC-IAot3vGNRtUMutnba-dB5a9dhROTLe6BAnrx4AQN2VF3qXdiDdZppwYNmSw" TargetMode="External"/><Relationship Id="rId306" Type="http://schemas.openxmlformats.org/officeDocument/2006/relationships/hyperlink" Target="https://drive.google.com/open?id=1nNBaWo1nyiQzcietPSCcbX21B_agp9Dr" TargetMode="External"/><Relationship Id="rId548" Type="http://schemas.openxmlformats.org/officeDocument/2006/relationships/hyperlink" Target="https://docs.google.com/forms/d/e/1FAIpQLSeQ0wUAy9WJrwwZ_8x6kCxvJSihLYtbLF2nbMncVH08fybLWQ/viewform?edit2=2_ABaOnucNnwl5xhm3EYexjFDVWZsKo--e5_AYBErvRSS3ESLzYgWMAAFeGLcjJScECwhTw8Y" TargetMode="External"/><Relationship Id="rId781" Type="http://schemas.openxmlformats.org/officeDocument/2006/relationships/hyperlink" Target="https://docs.google.com/forms/d/e/1FAIpQLSeQ0wUAy9WJrwwZ_8x6kCxvJSihLYtbLF2nbMncVH08fybLWQ/viewform?edit2=2_ABaOnudvNAvmDJPZ1nQ143kGvFy1nSScZMgXA5bvPPn7eNE42pkOe02AKx8b-L8ZVMbBsOw" TargetMode="External"/><Relationship Id="rId780" Type="http://schemas.openxmlformats.org/officeDocument/2006/relationships/hyperlink" Target="https://docs.google.com/forms/d/e/1FAIpQLSeQ0wUAy9WJrwwZ_8x6kCxvJSihLYtbLF2nbMncVH08fybLWQ/viewform?edit2=2_ABaOnudJE9XIgViZCtDM4-hCs3WqLq44W12se7IfNUue9eogx0xg9j9l3VQZmwjlm63KfxQ" TargetMode="External"/><Relationship Id="rId301" Type="http://schemas.openxmlformats.org/officeDocument/2006/relationships/hyperlink" Target="https://docs.google.com/forms/d/e/1FAIpQLSeQ0wUAy9WJrwwZ_8x6kCxvJSihLYtbLF2nbMncVH08fybLWQ/viewform?edit2=2_ABaOnufpT14DpFV3GAdf3ryk5dKS3AoH3HWqMUNZ_dYcaqhHHy0CyGZMsjPMSyGjW-Rz-x8" TargetMode="External"/><Relationship Id="rId543" Type="http://schemas.openxmlformats.org/officeDocument/2006/relationships/hyperlink" Target="https://docs.google.com/forms/d/e/1FAIpQLSeQ0wUAy9WJrwwZ_8x6kCxvJSihLYtbLF2nbMncVH08fybLWQ/viewform?edit2=2_ABaOnufGkPsMstNkQ7taAusdlea6bIfT_0uwee7fjO0pxlxucdk5otKo9r7qhM-AEAtC4xo" TargetMode="External"/><Relationship Id="rId785" Type="http://schemas.openxmlformats.org/officeDocument/2006/relationships/hyperlink" Target="https://docs.google.com/forms/d/e/1FAIpQLSeQ0wUAy9WJrwwZ_8x6kCxvJSihLYtbLF2nbMncVH08fybLWQ/viewform?edit2=2_ABaOnuegyd47esIWr3963sk0f1TQFVvEavAwrD104HKb39hki2VOAH3olcIZ4TkPccFR2Pg" TargetMode="External"/><Relationship Id="rId300" Type="http://schemas.openxmlformats.org/officeDocument/2006/relationships/hyperlink" Target="https://docs.google.com/forms/d/e/1FAIpQLSeQ0wUAy9WJrwwZ_8x6kCxvJSihLYtbLF2nbMncVH08fybLWQ/viewform?edit2=2_ABaOnuc0-Qc7eR19v-A6LbKCPvFZc432apuVQmDxafOoqXPhDaTyuiKHIW2izCt1rncZ21k" TargetMode="External"/><Relationship Id="rId542" Type="http://schemas.openxmlformats.org/officeDocument/2006/relationships/hyperlink" Target="https://docs.google.com/forms/d/e/1FAIpQLSeQ0wUAy9WJrwwZ_8x6kCxvJSihLYtbLF2nbMncVH08fybLWQ/viewform?edit2=2_ABaOnud0xRcRi4ulC5FYSoy_0UeSd5gW1ojThX4mNYTmpwRxd_dTsktBqdU_nRHxa5WjdQs" TargetMode="External"/><Relationship Id="rId784" Type="http://schemas.openxmlformats.org/officeDocument/2006/relationships/hyperlink" Target="https://docs.google.com/forms/d/e/1FAIpQLSeQ0wUAy9WJrwwZ_8x6kCxvJSihLYtbLF2nbMncVH08fybLWQ/viewform?edit2=2_ABaOnue3dp5BpVvU4CdIkGFNyA6o9VYCrqBiqY3_DL3nuPScYK5f2JsgQxDTytzgtYnIqUU" TargetMode="External"/><Relationship Id="rId541" Type="http://schemas.openxmlformats.org/officeDocument/2006/relationships/hyperlink" Target="https://docs.google.com/forms/d/e/1FAIpQLSeQ0wUAy9WJrwwZ_8x6kCxvJSihLYtbLF2nbMncVH08fybLWQ/viewform?edit2=2_ABaOnufrqCO9cQf_we6QQZjrZzVR9OxOFeoexAduagk9dXwNFs28o4jyMmrqmOgtJnpEk2I" TargetMode="External"/><Relationship Id="rId783" Type="http://schemas.openxmlformats.org/officeDocument/2006/relationships/hyperlink" Target="https://docs.google.com/forms/d/e/1FAIpQLSeQ0wUAy9WJrwwZ_8x6kCxvJSihLYtbLF2nbMncVH08fybLWQ/viewform?edit2=2_ABaOnudYUl1UpZGAo8OQvC5KMuXdioHMg_GJoV5cDL2AOndOhRfLkrclSSPiZL9BsKAyYbM" TargetMode="External"/><Relationship Id="rId540" Type="http://schemas.openxmlformats.org/officeDocument/2006/relationships/hyperlink" Target="https://docs.google.com/forms/d/e/1FAIpQLSeQ0wUAy9WJrwwZ_8x6kCxvJSihLYtbLF2nbMncVH08fybLWQ/viewform?edit2=2_ABaOnufV6gaiiVyTvoWiYF9Zb2eiaYPG75dlnTVkCrRz29_Qlx9ehiRJFdNQ7IuyD833xHA" TargetMode="External"/><Relationship Id="rId782" Type="http://schemas.openxmlformats.org/officeDocument/2006/relationships/hyperlink" Target="https://docs.google.com/forms/d/e/1FAIpQLSeQ0wUAy9WJrwwZ_8x6kCxvJSihLYtbLF2nbMncVH08fybLWQ/viewform?edit2=2_ABaOnuexPQOCLHpMcYgO7wbRG_-rhpSfdNcsCH-eIAYWUwyNNsPhhE72FG5wIrRbq2NjYow" TargetMode="External"/><Relationship Id="rId536" Type="http://schemas.openxmlformats.org/officeDocument/2006/relationships/hyperlink" Target="https://docs.google.com/forms/d/e/1FAIpQLSeQ0wUAy9WJrwwZ_8x6kCxvJSihLYtbLF2nbMncVH08fybLWQ/viewform?edit2=2_ABaOnuezj_O06uTYe4r0XAT6LMM0HsQbjRPQW-C5MjVT2v_5Zg7R35pEZzGSL3i1Qhzouus" TargetMode="External"/><Relationship Id="rId778" Type="http://schemas.openxmlformats.org/officeDocument/2006/relationships/hyperlink" Target="https://drive.google.com/open?id=1hVWJ9SDpE__e7lexHxzxVP4XB-Dj8VAj" TargetMode="External"/><Relationship Id="rId535" Type="http://schemas.openxmlformats.org/officeDocument/2006/relationships/hyperlink" Target="https://docs.google.com/forms/d/e/1FAIpQLSeQ0wUAy9WJrwwZ_8x6kCxvJSihLYtbLF2nbMncVH08fybLWQ/viewform?edit2=2_ABaOnufw7gU8j1D8AmK_PdeLm7VPlM9gBrzcEJGFeEb8sD2-Pu_veuaWoidOROeGX7bTKwE" TargetMode="External"/><Relationship Id="rId777" Type="http://schemas.openxmlformats.org/officeDocument/2006/relationships/hyperlink" Target="https://docs.google.com/forms/d/e/1FAIpQLSeQ0wUAy9WJrwwZ_8x6kCxvJSihLYtbLF2nbMncVH08fybLWQ/viewform?edit2=2_ABaOnudy3SRSELff6OHQUl0VNVIi_LtcpOFd2TVwReKL8n6LYkeJqi7NXYDMB6Bc4-23p_A" TargetMode="External"/><Relationship Id="rId534" Type="http://schemas.openxmlformats.org/officeDocument/2006/relationships/hyperlink" Target="https://docs.google.com/forms/d/e/1FAIpQLSeQ0wUAy9WJrwwZ_8x6kCxvJSihLYtbLF2nbMncVH08fybLWQ/viewform?edit2=2_ABaOnuebZ0RbFc6GkZiqaCwgpzWHjFZRxuOouwnXx0GzZhe_Wb-By2TMzKZ4w_9K9Yyw15Q" TargetMode="External"/><Relationship Id="rId776" Type="http://schemas.openxmlformats.org/officeDocument/2006/relationships/hyperlink" Target="https://docs.google.com/forms/d/e/1FAIpQLSeQ0wUAy9WJrwwZ_8x6kCxvJSihLYtbLF2nbMncVH08fybLWQ/viewform?edit2=2_ABaOnucsvBX5qj2iX7bUJX5hV1kD4MGzcRzQzBL-0D7V65857hy8qP7DjE0uJgSr11r4Qqo" TargetMode="External"/><Relationship Id="rId533" Type="http://schemas.openxmlformats.org/officeDocument/2006/relationships/hyperlink" Target="https://docs.google.com/forms/d/e/1FAIpQLSeQ0wUAy9WJrwwZ_8x6kCxvJSihLYtbLF2nbMncVH08fybLWQ/viewform?edit2=2_ABaOnuc8kJuHlLehOLpvyDho4y-fXmJ2spRZ7e0g1hU3NaWdRrk1Fk1lnDT63sPqtJqTAAA" TargetMode="External"/><Relationship Id="rId775" Type="http://schemas.openxmlformats.org/officeDocument/2006/relationships/hyperlink" Target="https://docs.google.com/forms/d/e/1FAIpQLSeQ0wUAy9WJrwwZ_8x6kCxvJSihLYtbLF2nbMncVH08fybLWQ/viewform?edit2=2_ABaOnucsRvaoaKM6JTihnVnRt8FpkEFjrBmW9NOyZH_XalK4I6FdneKIbAXJhRuPY0m2GK0" TargetMode="External"/><Relationship Id="rId539" Type="http://schemas.openxmlformats.org/officeDocument/2006/relationships/hyperlink" Target="https://docs.google.com/forms/d/e/1FAIpQLSeQ0wUAy9WJrwwZ_8x6kCxvJSihLYtbLF2nbMncVH08fybLWQ/viewform?edit2=2_ABaOnufXzmK6l4Qx3dypjJEc4UU5qBgQzUCI51w50Dnm2rOT8UQ_gSDz2NDueIKkNBkVqQE" TargetMode="External"/><Relationship Id="rId538" Type="http://schemas.openxmlformats.org/officeDocument/2006/relationships/hyperlink" Target="https://docs.google.com/forms/d/e/1FAIpQLSeQ0wUAy9WJrwwZ_8x6kCxvJSihLYtbLF2nbMncVH08fybLWQ/viewform?edit2=2_ABaOnuf6s0EtC_ISW3UFa_UjYf18KzbvAs5rARiB_HpMRRWQvCsLrH6ipW0Mc63vSMYFZR8" TargetMode="External"/><Relationship Id="rId537" Type="http://schemas.openxmlformats.org/officeDocument/2006/relationships/hyperlink" Target="https://docs.google.com/forms/d/e/1FAIpQLSeQ0wUAy9WJrwwZ_8x6kCxvJSihLYtbLF2nbMncVH08fybLWQ/viewform?edit2=2_ABaOnucMyhPGNtlAgo06c-_IT5Kq2pEh8IcR-ncVeng7PL8Je9eq035UTjg_Rs9zDaFHyRs" TargetMode="External"/><Relationship Id="rId779" Type="http://schemas.openxmlformats.org/officeDocument/2006/relationships/hyperlink" Target="https://docs.google.com/forms/d/e/1FAIpQLSeQ0wUAy9WJrwwZ_8x6kCxvJSihLYtbLF2nbMncVH08fybLWQ/viewform?edit2=2_ABaOnudjw_JOzs7Yy17tAcLBl3kindDEX99Dz1BXXZneoxbmfRlzM4PmUizyv2luCoJfL1k" TargetMode="External"/><Relationship Id="rId770" Type="http://schemas.openxmlformats.org/officeDocument/2006/relationships/hyperlink" Target="https://docs.google.com/forms/d/e/1FAIpQLSeQ0wUAy9WJrwwZ_8x6kCxvJSihLYtbLF2nbMncVH08fybLWQ/viewform?edit2=2_ABaOnufQmguXD2f0yHVq03dqVWwe3WPP_V--TDgjX5Hxl0-AnUwvApwVAYLcLfQg6JtTjwI" TargetMode="External"/><Relationship Id="rId532" Type="http://schemas.openxmlformats.org/officeDocument/2006/relationships/hyperlink" Target="https://docs.google.com/forms/d/e/1FAIpQLSeQ0wUAy9WJrwwZ_8x6kCxvJSihLYtbLF2nbMncVH08fybLWQ/viewform?edit2=2_ABaOnudeNY3td-tQPsVpruyv5dgwTG9h0MMYTi28U1Fy1bqUGSBBdMvvupZn14P1uwwgS1c" TargetMode="External"/><Relationship Id="rId774" Type="http://schemas.openxmlformats.org/officeDocument/2006/relationships/hyperlink" Target="https://docs.google.com/forms/d/e/1FAIpQLSeQ0wUAy9WJrwwZ_8x6kCxvJSihLYtbLF2nbMncVH08fybLWQ/viewform?edit2=2_ABaOnufIlekXP__jnSB49s2EKYwWlWxRVI9YpJc5oBdrmTNrtOl81J0wb8WKbH-OtVJg_Qk" TargetMode="External"/><Relationship Id="rId531" Type="http://schemas.openxmlformats.org/officeDocument/2006/relationships/hyperlink" Target="https://docs.google.com/forms/d/e/1FAIpQLSeQ0wUAy9WJrwwZ_8x6kCxvJSihLYtbLF2nbMncVH08fybLWQ/viewform?edit2=2_ABaOnufJoDjZitGQ8EVyIajspHPefeGJ6_c-xmMyX_I7YG4EnJ_K01G0lOCw7SaPGL2SMNM" TargetMode="External"/><Relationship Id="rId773" Type="http://schemas.openxmlformats.org/officeDocument/2006/relationships/hyperlink" Target="https://docs.google.com/forms/d/e/1FAIpQLSeQ0wUAy9WJrwwZ_8x6kCxvJSihLYtbLF2nbMncVH08fybLWQ/viewform?edit2=2_ABaOnud5a-iwTweDG47oq1phgdm3JFwYdQ2vRBcNn8o2Pvnrp3NV8ZonGMuYREWW-V7hj1Y" TargetMode="External"/><Relationship Id="rId530" Type="http://schemas.openxmlformats.org/officeDocument/2006/relationships/hyperlink" Target="https://docs.google.com/forms/d/e/1FAIpQLSeQ0wUAy9WJrwwZ_8x6kCxvJSihLYtbLF2nbMncVH08fybLWQ/viewform?edit2=2_ABaOnudKjy7dQRkMN_5Zxu73rvDZSt1Juy0LwCSCAYGJUTIrY9nCh195Z7lkuzrBfPhQXd8" TargetMode="External"/><Relationship Id="rId772" Type="http://schemas.openxmlformats.org/officeDocument/2006/relationships/hyperlink" Target="https://docs.google.com/forms/d/e/1FAIpQLSeQ0wUAy9WJrwwZ_8x6kCxvJSihLYtbLF2nbMncVH08fybLWQ/viewform?edit2=2_ABaOnuf5n5i3YvQyTMpuJShcPqJj9L3E62M7EyqEdrJy4bYz5E_GryAwqs8XrMbAhn9VffQ" TargetMode="External"/><Relationship Id="rId771" Type="http://schemas.openxmlformats.org/officeDocument/2006/relationships/hyperlink" Target="https://docs.google.com/forms/d/e/1FAIpQLSeQ0wUAy9WJrwwZ_8x6kCxvJSihLYtbLF2nbMncVH08fybLWQ/viewform?edit2=2_ABaOnucvbItYym8YSxK1LNQSaGsfdMnGuJe9EjlSYRJZqczPhy3lPPWjF9vxRuB4E63NUag" TargetMode="External"/><Relationship Id="rId327" Type="http://schemas.openxmlformats.org/officeDocument/2006/relationships/hyperlink" Target="https://docs.google.com/forms/d/e/1FAIpQLSeQ0wUAy9WJrwwZ_8x6kCxvJSihLYtbLF2nbMncVH08fybLWQ/viewform?edit2=2_ABaOnufWvL21q_1Q_etdzZ4xH233xXHpZl0-PE2XKjWISEnJdd6Ya27wE0I5flfLznDRwrE" TargetMode="External"/><Relationship Id="rId569" Type="http://schemas.openxmlformats.org/officeDocument/2006/relationships/hyperlink" Target="https://docs.google.com/forms/d/e/1FAIpQLSeQ0wUAy9WJrwwZ_8x6kCxvJSihLYtbLF2nbMncVH08fybLWQ/viewform?edit2=2_ABaOnuccX7b09xmSmC_Hy0uI2wfffQTaDbXRmGgsjsQ_EjsRsiET2yLXwnuiIUsIN6NfepM" TargetMode="External"/><Relationship Id="rId326" Type="http://schemas.openxmlformats.org/officeDocument/2006/relationships/hyperlink" Target="https://drive.google.com/open?id=1jBkpokVpwC0VyKCrlAb6I0m0oTFO68E4" TargetMode="External"/><Relationship Id="rId568" Type="http://schemas.openxmlformats.org/officeDocument/2006/relationships/hyperlink" Target="https://docs.google.com/forms/d/e/1FAIpQLSeQ0wUAy9WJrwwZ_8x6kCxvJSihLYtbLF2nbMncVH08fybLWQ/viewform?edit2=2_ABaOnuexa_q5VY4oMnonjP4s7jjbqgsnTcxPQw7PBSIPs00d29_zsEF4lHa0CyGFAF_oFW4" TargetMode="External"/><Relationship Id="rId325" Type="http://schemas.openxmlformats.org/officeDocument/2006/relationships/hyperlink" Target="https://docs.google.com/forms/d/e/1FAIpQLSeQ0wUAy9WJrwwZ_8x6kCxvJSihLYtbLF2nbMncVH08fybLWQ/viewform?edit2=2_ABaOnucF-9Lqf4ba9ju8TCbtodeIaaMrV1jjNvzjhEFDZcn26db6fNgygQj9C4gdQJutbOM" TargetMode="External"/><Relationship Id="rId567" Type="http://schemas.openxmlformats.org/officeDocument/2006/relationships/hyperlink" Target="https://docs.google.com/forms/d/e/1FAIpQLSeQ0wUAy9WJrwwZ_8x6kCxvJSihLYtbLF2nbMncVH08fybLWQ/viewform?edit2=2_ABaOnuc6heR41BrYjKZkuSrhIHH2q8KpXfUPzy5zu-GF0sYxRDxXRwj7CKZkn5_Nx4GQRA0" TargetMode="External"/><Relationship Id="rId324" Type="http://schemas.openxmlformats.org/officeDocument/2006/relationships/hyperlink" Target="https://docs.google.com/forms/d/e/1FAIpQLSeQ0wUAy9WJrwwZ_8x6kCxvJSihLYtbLF2nbMncVH08fybLWQ/viewform?edit2=2_ABaOnucfvmOGHHSN0kyywwK5VnuxxI--SeVETXYiBvDZi_SP67hUzxCBXnYyWpRl0yZmtz0" TargetMode="External"/><Relationship Id="rId566" Type="http://schemas.openxmlformats.org/officeDocument/2006/relationships/hyperlink" Target="https://docs.google.com/forms/d/e/1FAIpQLSeQ0wUAy9WJrwwZ_8x6kCxvJSihLYtbLF2nbMncVH08fybLWQ/viewform?edit2=2_ABaOnudEFJIQ8uTiu7Xil09OPxlZ4j6rZlG1CYok11zcuWYOBkARTFb2kU-oXXeBljEuUCw" TargetMode="External"/><Relationship Id="rId329" Type="http://schemas.openxmlformats.org/officeDocument/2006/relationships/hyperlink" Target="https://docs.google.com/forms/d/e/1FAIpQLSeQ0wUAy9WJrwwZ_8x6kCxvJSihLYtbLF2nbMncVH08fybLWQ/viewform?edit2=2_ABaOnucswA4JY_rgOlglNBha9ZxnBaBJMQMCXYVNZ91JcnmhbkeZXeXc6HmTrfRm69o5jWs" TargetMode="External"/><Relationship Id="rId328" Type="http://schemas.openxmlformats.org/officeDocument/2006/relationships/hyperlink" Target="https://docs.google.com/forms/d/e/1FAIpQLSeQ0wUAy9WJrwwZ_8x6kCxvJSihLYtbLF2nbMncVH08fybLWQ/viewform?edit2=2_ABaOnudU0EPosfYI2clO-f3e5-vV05XcNdrqJnhrAjw8vxVIbxNvqV7cJmgPvPm7aaRfkGE" TargetMode="External"/><Relationship Id="rId561" Type="http://schemas.openxmlformats.org/officeDocument/2006/relationships/hyperlink" Target="https://docs.google.com/forms/d/e/1FAIpQLSeQ0wUAy9WJrwwZ_8x6kCxvJSihLYtbLF2nbMncVH08fybLWQ/viewform?edit2=2_ABaOnudUvvVaovotKnM1ut3DlhwC_N4Mel7S7QDUSKkKeQzToS0lwcpe-3heJkiX4K1Ad38" TargetMode="External"/><Relationship Id="rId560" Type="http://schemas.openxmlformats.org/officeDocument/2006/relationships/hyperlink" Target="https://docs.google.com/forms/d/e/1FAIpQLSeQ0wUAy9WJrwwZ_8x6kCxvJSihLYtbLF2nbMncVH08fybLWQ/viewform?edit2=2_ABaOnueAG4rhkGjNKICNQaFaC1kzxU4IEV-lrjtcOzUT_ewiPX_uh2dlFacpZyu1sXzQiCA" TargetMode="External"/><Relationship Id="rId323" Type="http://schemas.openxmlformats.org/officeDocument/2006/relationships/hyperlink" Target="https://docs.google.com/forms/d/e/1FAIpQLSeQ0wUAy9WJrwwZ_8x6kCxvJSihLYtbLF2nbMncVH08fybLWQ/viewform?edit2=2_ABaOnucXo-ksm_AEo9Bpihq7_0WMZX-FBg4NUJ1Kz9ICBdXIio8_MwYOKkIGpq7N-a8oPgg" TargetMode="External"/><Relationship Id="rId565" Type="http://schemas.openxmlformats.org/officeDocument/2006/relationships/hyperlink" Target="https://docs.google.com/forms/d/e/1FAIpQLSeQ0wUAy9WJrwwZ_8x6kCxvJSihLYtbLF2nbMncVH08fybLWQ/viewform?edit2=2_ABaOnufkRJDMEVHtlCtOQzyt8PitExgqhWoHJA39-X2jIuQXMA1ZpId4SYDiSjaIa1AISEs" TargetMode="External"/><Relationship Id="rId322" Type="http://schemas.openxmlformats.org/officeDocument/2006/relationships/hyperlink" Target="https://docs.google.com/forms/d/e/1FAIpQLSeQ0wUAy9WJrwwZ_8x6kCxvJSihLYtbLF2nbMncVH08fybLWQ/viewform?edit2=2_ABaOnud5_tgRztR4O5_-x9wKuRz2NQzbtDp5WKKTheOXPQkhxC66J-SUXxpVwJxLPdbG6LM" TargetMode="External"/><Relationship Id="rId564" Type="http://schemas.openxmlformats.org/officeDocument/2006/relationships/hyperlink" Target="https://docs.google.com/forms/d/e/1FAIpQLSeQ0wUAy9WJrwwZ_8x6kCxvJSihLYtbLF2nbMncVH08fybLWQ/viewform?edit2=2_ABaOnufRKCGJFNpUyi1mJE53h4ubvLzthzLtlnbu1EawvPhHmEGfoOIttktaoDQYd-M-630" TargetMode="External"/><Relationship Id="rId321" Type="http://schemas.openxmlformats.org/officeDocument/2006/relationships/hyperlink" Target="https://docs.google.com/forms/d/e/1FAIpQLSeQ0wUAy9WJrwwZ_8x6kCxvJSihLYtbLF2nbMncVH08fybLWQ/viewform?edit2=2_ABaOnucZVNsLNV8-jM4XA8q1985tM4QK28lj_4UQm0YrPHI5AqJAX3GFmDhMoL40-Aej4UM" TargetMode="External"/><Relationship Id="rId563" Type="http://schemas.openxmlformats.org/officeDocument/2006/relationships/hyperlink" Target="https://docs.google.com/forms/d/e/1FAIpQLSeQ0wUAy9WJrwwZ_8x6kCxvJSihLYtbLF2nbMncVH08fybLWQ/viewform?edit2=2_ABaOnudJ7my266hBQVmeAe_tCYPEjZWhsjj7DmFHRa5NgzGeatEPWoS7RXwVahn35gy3KI8" TargetMode="External"/><Relationship Id="rId320" Type="http://schemas.openxmlformats.org/officeDocument/2006/relationships/hyperlink" Target="https://docs.google.com/forms/d/e/1FAIpQLSeQ0wUAy9WJrwwZ_8x6kCxvJSihLYtbLF2nbMncVH08fybLWQ/viewform?edit2=2_ABaOnue9alTYbxCaZiEAfGu7j2zkMjlr6piIE61XY3JqB5WcP7zdvIkKRRus6n_VXyhJ53Y" TargetMode="External"/><Relationship Id="rId562" Type="http://schemas.openxmlformats.org/officeDocument/2006/relationships/hyperlink" Target="https://docs.google.com/forms/d/e/1FAIpQLSeQ0wUAy9WJrwwZ_8x6kCxvJSihLYtbLF2nbMncVH08fybLWQ/viewform?edit2=2_ABaOnue2oSBThN23ijDV2P8mw9u5L0b3ZYaZ315NKNVaWXg0hy7I4Oq_6uHCXvwHKrEieSA" TargetMode="External"/><Relationship Id="rId316" Type="http://schemas.openxmlformats.org/officeDocument/2006/relationships/hyperlink" Target="https://docs.google.com/forms/d/e/1FAIpQLSeQ0wUAy9WJrwwZ_8x6kCxvJSihLYtbLF2nbMncVH08fybLWQ/viewform?edit2=2_ABaOnuflgzzeJ4zZZGSXZzVIV5TPpCx6YEyhJEeEvaHLw4T7H-Lr4U5kueexc_x4gMx2YTk" TargetMode="External"/><Relationship Id="rId558" Type="http://schemas.openxmlformats.org/officeDocument/2006/relationships/hyperlink" Target="https://docs.google.com/forms/d/e/1FAIpQLSeQ0wUAy9WJrwwZ_8x6kCxvJSihLYtbLF2nbMncVH08fybLWQ/viewform?edit2=2_ABaOnufNlFa8BKwbxtz1vo6_jR7DkwwJNgoYXiLkEfX8RHm5oJOwpBnpi4Ia9IEi1B-J6fI" TargetMode="External"/><Relationship Id="rId315" Type="http://schemas.openxmlformats.org/officeDocument/2006/relationships/hyperlink" Target="https://docs.google.com/forms/d/e/1FAIpQLSeQ0wUAy9WJrwwZ_8x6kCxvJSihLYtbLF2nbMncVH08fybLWQ/viewform?edit2=2_ABaOnuclxJhwJyt8En2zjAecg93wLch1oJEn0PLLDc6kiHOKrhREC5tiCe6YF5rHVNUuf1Q" TargetMode="External"/><Relationship Id="rId557" Type="http://schemas.openxmlformats.org/officeDocument/2006/relationships/hyperlink" Target="https://docs.google.com/forms/d/e/1FAIpQLSeQ0wUAy9WJrwwZ_8x6kCxvJSihLYtbLF2nbMncVH08fybLWQ/viewform?edit2=2_ABaOnueiSfIuXXWv2iEvBev3l5oA3-gnLsHm4j6WLZdp7sW-wE1DzBY6x5iyA3sDUISnQho" TargetMode="External"/><Relationship Id="rId799" Type="http://schemas.openxmlformats.org/officeDocument/2006/relationships/hyperlink" Target="https://docs.google.com/forms/d/e/1FAIpQLSeQ0wUAy9WJrwwZ_8x6kCxvJSihLYtbLF2nbMncVH08fybLWQ/viewform?edit2=2_ABaOnuep5k1jJMI34V9uN5vGeZCMDhDHgE9bC43Pys45FIbd0js5W7ZeRMOrWa9oXosVG5s" TargetMode="External"/><Relationship Id="rId314" Type="http://schemas.openxmlformats.org/officeDocument/2006/relationships/hyperlink" Target="https://docs.google.com/forms/d/e/1FAIpQLSeQ0wUAy9WJrwwZ_8x6kCxvJSihLYtbLF2nbMncVH08fybLWQ/viewform?edit2=2_ABaOnueYZXBQ_N0UQpLMho0f7YgoLcwrsMkQ6JJr1TrNHTiGVr5fth1SnnKjGma2oFnuWXw" TargetMode="External"/><Relationship Id="rId556" Type="http://schemas.openxmlformats.org/officeDocument/2006/relationships/hyperlink" Target="https://docs.google.com/forms/d/e/1FAIpQLSeQ0wUAy9WJrwwZ_8x6kCxvJSihLYtbLF2nbMncVH08fybLWQ/viewform?edit2=2_ABaOnue1mAnLDXtfSgQPhK2hYahNgYHrBDL9Ri-ke_ebtjMgCmR1o9oMgIahlBz02ZsKhF8" TargetMode="External"/><Relationship Id="rId798" Type="http://schemas.openxmlformats.org/officeDocument/2006/relationships/hyperlink" Target="https://drive.google.com/open?id=1tIrP5fIftZtuEeWTJmuIvig0Xufy8WCd" TargetMode="External"/><Relationship Id="rId313" Type="http://schemas.openxmlformats.org/officeDocument/2006/relationships/hyperlink" Target="https://drive.google.com/open?id=1Er58F7zmfo6nPnnAN8xwLQhPyLeyC4_p" TargetMode="External"/><Relationship Id="rId555" Type="http://schemas.openxmlformats.org/officeDocument/2006/relationships/hyperlink" Target="https://docs.google.com/forms/d/e/1FAIpQLSeQ0wUAy9WJrwwZ_8x6kCxvJSihLYtbLF2nbMncVH08fybLWQ/viewform?edit2=2_ABaOnuegyQA1HOBCuv4DMySnpG9kmIjbJd2leUiJkb5DJwng38lXfYbAHM5bTWrU3wD_A20" TargetMode="External"/><Relationship Id="rId797" Type="http://schemas.openxmlformats.org/officeDocument/2006/relationships/hyperlink" Target="https://docs.google.com/forms/d/e/1FAIpQLSeQ0wUAy9WJrwwZ_8x6kCxvJSihLYtbLF2nbMncVH08fybLWQ/viewform?edit2=2_ABaOnueWxeuomKXEc3KBPl4Fa4POKP9f0oLjhKOC977OKC9PRWT021vPptjbgMyhryl_Vzw" TargetMode="External"/><Relationship Id="rId319" Type="http://schemas.openxmlformats.org/officeDocument/2006/relationships/hyperlink" Target="https://drive.google.com/open?id=1mNCMD15SghaCSIL5KOG8_50N-YzBEF31" TargetMode="External"/><Relationship Id="rId318" Type="http://schemas.openxmlformats.org/officeDocument/2006/relationships/hyperlink" Target="https://docs.google.com/forms/d/e/1FAIpQLSeQ0wUAy9WJrwwZ_8x6kCxvJSihLYtbLF2nbMncVH08fybLWQ/viewform?edit2=2_ABaOnuda8SUccFzMnS_4mUpSDixr-zBE7zj7ahjFlSQPxJcQGUvcqrchh_D4FARDpT3yPvs" TargetMode="External"/><Relationship Id="rId317" Type="http://schemas.openxmlformats.org/officeDocument/2006/relationships/hyperlink" Target="https://drive.google.com/open?id=1Hc1yJkdKb_RVi1lbzoaGB1OzEqP3GIWF" TargetMode="External"/><Relationship Id="rId559" Type="http://schemas.openxmlformats.org/officeDocument/2006/relationships/hyperlink" Target="https://docs.google.com/forms/d/e/1FAIpQLSeQ0wUAy9WJrwwZ_8x6kCxvJSihLYtbLF2nbMncVH08fybLWQ/viewform?edit2=2_ABaOnudK4_daid0LXYVzgo8xsxi6cRLJcs_GKCYakTOZDTRliHgByXZBCFhFIjj3Pm0KwcI" TargetMode="External"/><Relationship Id="rId550" Type="http://schemas.openxmlformats.org/officeDocument/2006/relationships/hyperlink" Target="https://docs.google.com/forms/d/e/1FAIpQLSeQ0wUAy9WJrwwZ_8x6kCxvJSihLYtbLF2nbMncVH08fybLWQ/viewform?edit2=2_ABaOnudpGVH6fk2A8smQLdU9mct6-UdCDGC7IOmRBXZww4c53VeFJeqod0ZL8AWoRQZt5XM" TargetMode="External"/><Relationship Id="rId792" Type="http://schemas.openxmlformats.org/officeDocument/2006/relationships/hyperlink" Target="https://docs.google.com/forms/d/e/1FAIpQLSeQ0wUAy9WJrwwZ_8x6kCxvJSihLYtbLF2nbMncVH08fybLWQ/viewform?edit2=2_ABaOnueH83LBVxOBeToeUSGSvC_FhrhrGgxdCr5AYFPalcy_0NPgrFA70WbeAaSTWG1iN-U" TargetMode="External"/><Relationship Id="rId791" Type="http://schemas.openxmlformats.org/officeDocument/2006/relationships/hyperlink" Target="https://docs.google.com/forms/d/e/1FAIpQLSeQ0wUAy9WJrwwZ_8x6kCxvJSihLYtbLF2nbMncVH08fybLWQ/viewform?edit2=2_ABaOnufjd54tTOzQgZYoU_cPNEy4CayNfwdbyC4TpfQpTC2-DWxpw9gsQ_FRn7xuI8XBeHM" TargetMode="External"/><Relationship Id="rId790" Type="http://schemas.openxmlformats.org/officeDocument/2006/relationships/hyperlink" Target="https://docs.google.com/forms/d/e/1FAIpQLSeQ0wUAy9WJrwwZ_8x6kCxvJSihLYtbLF2nbMncVH08fybLWQ/viewform?edit2=2_ABaOnud0mXBLyrE7gKqoRr-6fzgXpFKiD58seRqKv8FQzx9UHevNPW12sAC62obSPm2uclo" TargetMode="External"/><Relationship Id="rId312" Type="http://schemas.openxmlformats.org/officeDocument/2006/relationships/hyperlink" Target="https://docs.google.com/forms/d/e/1FAIpQLSeQ0wUAy9WJrwwZ_8x6kCxvJSihLYtbLF2nbMncVH08fybLWQ/viewform?edit2=2_ABaOnucJE9q1xco6XPQ_0uJJ2MofsaMPj9lb_T7aF8W5JvfN5zWPhbcZZGoC7WonAM51U1M" TargetMode="External"/><Relationship Id="rId554" Type="http://schemas.openxmlformats.org/officeDocument/2006/relationships/hyperlink" Target="https://docs.google.com/forms/d/e/1FAIpQLSeQ0wUAy9WJrwwZ_8x6kCxvJSihLYtbLF2nbMncVH08fybLWQ/viewform?edit2=2_ABaOnudlBlILHGRvNTgoP6voL3R_14mecCj_AwOOhkVrp7Gu9bWXkhmG37MNizWWYgKhPNg" TargetMode="External"/><Relationship Id="rId796" Type="http://schemas.openxmlformats.org/officeDocument/2006/relationships/hyperlink" Target="https://drive.google.com/open?id=1tOZQ-wRGwdZnlbgRpQg1wGKxruGArinK" TargetMode="External"/><Relationship Id="rId311" Type="http://schemas.openxmlformats.org/officeDocument/2006/relationships/hyperlink" Target="https://docs.google.com/forms/d/e/1FAIpQLSeQ0wUAy9WJrwwZ_8x6kCxvJSihLYtbLF2nbMncVH08fybLWQ/viewform?edit2=2_ABaOnufV6BIOGxUF80JcclboiIL0qAQ1BiC6PLrEAyT6wTw0DI1lqeaqNCeSASVPyYXY0Ek" TargetMode="External"/><Relationship Id="rId553" Type="http://schemas.openxmlformats.org/officeDocument/2006/relationships/hyperlink" Target="https://docs.google.com/forms/d/e/1FAIpQLSeQ0wUAy9WJrwwZ_8x6kCxvJSihLYtbLF2nbMncVH08fybLWQ/viewform?edit2=2_ABaOnuc0wZeBmRQOuMz0BtvZzm1y3rowzD9RHRG8AgeyTn689fdoLYtR0ypNNeUs2YdWGF0" TargetMode="External"/><Relationship Id="rId795" Type="http://schemas.openxmlformats.org/officeDocument/2006/relationships/hyperlink" Target="https://docs.google.com/forms/d/e/1FAIpQLSeQ0wUAy9WJrwwZ_8x6kCxvJSihLYtbLF2nbMncVH08fybLWQ/viewform?edit2=2_ABaOnucD_HdQpKC9J7tIPO2NWdkkOuY6sByNjE3JWHkTpHLR44KFXYG3ngiQHyh4asskwNM" TargetMode="External"/><Relationship Id="rId310" Type="http://schemas.openxmlformats.org/officeDocument/2006/relationships/hyperlink" Target="https://drive.google.com/open?id=1DGZ8p4iwSu0rNlONygtAx7yIP38GMW7i" TargetMode="External"/><Relationship Id="rId552" Type="http://schemas.openxmlformats.org/officeDocument/2006/relationships/hyperlink" Target="https://docs.google.com/forms/d/e/1FAIpQLSeQ0wUAy9WJrwwZ_8x6kCxvJSihLYtbLF2nbMncVH08fybLWQ/viewform?edit2=2_ABaOnueywRhnhuwA6Jd-uctllmZVDGt_SJJqUHMQiyoI4-0gobsQjnD0YfWFylgkcI2xh38" TargetMode="External"/><Relationship Id="rId794" Type="http://schemas.openxmlformats.org/officeDocument/2006/relationships/hyperlink" Target="https://docs.google.com/forms/d/e/1FAIpQLSeQ0wUAy9WJrwwZ_8x6kCxvJSihLYtbLF2nbMncVH08fybLWQ/viewform?edit2=2_ABaOnuftkuCH-tegs5sqmj7N_3mmV_i1EmqstFyjtKdzKDBYGsOKjWE3CuJh7caMda4wZ_s" TargetMode="External"/><Relationship Id="rId551" Type="http://schemas.openxmlformats.org/officeDocument/2006/relationships/hyperlink" Target="https://docs.google.com/forms/d/e/1FAIpQLSeQ0wUAy9WJrwwZ_8x6kCxvJSihLYtbLF2nbMncVH08fybLWQ/viewform?edit2=2_ABaOnufHuNE8LKFXdHdIKLK-Uc-SBKeJgq8IKPXAADw552gh_mPBU2Z7lxtksqT2Be6sDt0" TargetMode="External"/><Relationship Id="rId793" Type="http://schemas.openxmlformats.org/officeDocument/2006/relationships/hyperlink" Target="https://docs.google.com/forms/d/e/1FAIpQLSeQ0wUAy9WJrwwZ_8x6kCxvJSihLYtbLF2nbMncVH08fybLWQ/viewform?edit2=2_ABaOnufFZR29ajVtmbSLCgQSz8GgKpnu6v4SSYdmao00T32iM2w53FI-DErI0qbiP6toq6E" TargetMode="External"/><Relationship Id="rId297" Type="http://schemas.openxmlformats.org/officeDocument/2006/relationships/hyperlink" Target="https://docs.google.com/forms/d/e/1FAIpQLSeQ0wUAy9WJrwwZ_8x6kCxvJSihLYtbLF2nbMncVH08fybLWQ/viewform?edit2=2_ABaOnufQdp-VkmkgLb1xUvidTp7lBsx6JkE7upKWgIPrOvCd6ZyxiCv8-EsUXNpMjSPpBWo" TargetMode="External"/><Relationship Id="rId296" Type="http://schemas.openxmlformats.org/officeDocument/2006/relationships/hyperlink" Target="https://docs.google.com/forms/d/e/1FAIpQLSeQ0wUAy9WJrwwZ_8x6kCxvJSihLYtbLF2nbMncVH08fybLWQ/viewform?edit2=2_ABaOnuc76JHHkO0Ai4zWVaFvws58hSl_DXlO2WJFCqYDPCjb3YHN9C1MsBUmwkzFpZL_b8M" TargetMode="External"/><Relationship Id="rId295" Type="http://schemas.openxmlformats.org/officeDocument/2006/relationships/hyperlink" Target="https://docs.google.com/forms/d/e/1FAIpQLSeQ0wUAy9WJrwwZ_8x6kCxvJSihLYtbLF2nbMncVH08fybLWQ/viewform?edit2=2_ABaOnue902u-_k9L5EncblYtMjHn6Gpt5ietXZBuCvbVlx-5tOsiOT85wMH16FLbzanKHfY" TargetMode="External"/><Relationship Id="rId294" Type="http://schemas.openxmlformats.org/officeDocument/2006/relationships/hyperlink" Target="https://docs.google.com/forms/d/e/1FAIpQLSeQ0wUAy9WJrwwZ_8x6kCxvJSihLYtbLF2nbMncVH08fybLWQ/viewform?edit2=2_ABaOnufrSR0cvort2JsvpsB4miSAsVIRSA3q_JYuzVpd8jopors7puBRzN8xHRvO9-A9AFI" TargetMode="External"/><Relationship Id="rId299" Type="http://schemas.openxmlformats.org/officeDocument/2006/relationships/hyperlink" Target="https://drive.google.com/open?id=1y6U31R0zxNcQdenztowYHb6H0DN061G0" TargetMode="External"/><Relationship Id="rId298" Type="http://schemas.openxmlformats.org/officeDocument/2006/relationships/hyperlink" Target="https://docs.google.com/forms/d/e/1FAIpQLSeQ0wUAy9WJrwwZ_8x6kCxvJSihLYtbLF2nbMncVH08fybLWQ/viewform?edit2=2_ABaOnucasEePdmuF0NFKBmLmvsSnWVl9KT4rRLogWTanKGi7kraaRZtnEISJRcUijBkHkvw" TargetMode="External"/><Relationship Id="rId271" Type="http://schemas.openxmlformats.org/officeDocument/2006/relationships/hyperlink" Target="https://docs.google.com/forms/d/e/1FAIpQLSeQ0wUAy9WJrwwZ_8x6kCxvJSihLYtbLF2nbMncVH08fybLWQ/viewform?edit2=2_ABaOnudayZ6vSDkkDBINHm8kDEDUqCcGydqjfpo3VSyKguCyRgqWGk4hIewlraIN71n-T1c" TargetMode="External"/><Relationship Id="rId270" Type="http://schemas.openxmlformats.org/officeDocument/2006/relationships/hyperlink" Target="https://docs.google.com/forms/d/e/1FAIpQLSeQ0wUAy9WJrwwZ_8x6kCxvJSihLYtbLF2nbMncVH08fybLWQ/viewform?edit2=2_ABaOnud2NOwm9S-GHFj6h57K8CafXNFEG5ZU8KB62r1PP7-bT1sZsBQ7GHuNLhGD0qStJZM" TargetMode="External"/><Relationship Id="rId269" Type="http://schemas.openxmlformats.org/officeDocument/2006/relationships/hyperlink" Target="https://docs.google.com/forms/d/e/1FAIpQLSeQ0wUAy9WJrwwZ_8x6kCxvJSihLYtbLF2nbMncVH08fybLWQ/viewform?edit2=2_ABaOnueSwqauhLWdXgiu7tRpOl0xgwzNfBJ8YSQHp8Iksw44nvobgSLAou-rR_RZExGiK3I" TargetMode="External"/><Relationship Id="rId264" Type="http://schemas.openxmlformats.org/officeDocument/2006/relationships/hyperlink" Target="https://docs.google.com/forms/d/e/1FAIpQLSeQ0wUAy9WJrwwZ_8x6kCxvJSihLYtbLF2nbMncVH08fybLWQ/viewform?edit2=2_ABaOnucxOh5PcuTTMFx-LAb4oTIs-dTSBBjYsQ3wJVmPcAEsakb5TLPLQ5V706ztz-fSGjQ" TargetMode="External"/><Relationship Id="rId263" Type="http://schemas.openxmlformats.org/officeDocument/2006/relationships/hyperlink" Target="https://docs.google.com/forms/d/e/1FAIpQLSeQ0wUAy9WJrwwZ_8x6kCxvJSihLYtbLF2nbMncVH08fybLWQ/viewform?edit2=2_ABaOnudjqERGPL5zb5YNqfbqGKeGLxORC8g92xYbjIjiSVdfzDVMYq75mabzDyl6h4NzqDs" TargetMode="External"/><Relationship Id="rId262" Type="http://schemas.openxmlformats.org/officeDocument/2006/relationships/hyperlink" Target="https://docs.google.com/forms/d/e/1FAIpQLSeQ0wUAy9WJrwwZ_8x6kCxvJSihLYtbLF2nbMncVH08fybLWQ/viewform?edit2=2_ABaOnufQCKyRVN9iWGGBDUB9GoeYfTYxrO0HblV5msWGcyAlC4d1VsLbj8q5bcrhf9saHs0" TargetMode="External"/><Relationship Id="rId261" Type="http://schemas.openxmlformats.org/officeDocument/2006/relationships/hyperlink" Target="https://drive.google.com/open?id=1jARFcTqSKpjmkobIEVQV9W8y-5FKKlV1" TargetMode="External"/><Relationship Id="rId268" Type="http://schemas.openxmlformats.org/officeDocument/2006/relationships/hyperlink" Target="https://docs.google.com/forms/d/e/1FAIpQLSeQ0wUAy9WJrwwZ_8x6kCxvJSihLYtbLF2nbMncVH08fybLWQ/viewform?edit2=2_ABaOnuej_ti104RZmLY19OeUSdrk2UJu_vPywnT-WxQWbyfm7uaqPWRvYPwZUOilT9DoCBM" TargetMode="External"/><Relationship Id="rId267" Type="http://schemas.openxmlformats.org/officeDocument/2006/relationships/hyperlink" Target="https://docs.google.com/forms/d/e/1FAIpQLSeQ0wUAy9WJrwwZ_8x6kCxvJSihLYtbLF2nbMncVH08fybLWQ/viewform?edit2=2_ABaOnudETIN02hjO8-_LqVvE0zMJ_bCUaYJ3BXRb58HFRsHNDJmWVONv8aWsYhNEml1xlxo" TargetMode="External"/><Relationship Id="rId266" Type="http://schemas.openxmlformats.org/officeDocument/2006/relationships/hyperlink" Target="https://docs.google.com/forms/d/e/1FAIpQLSeQ0wUAy9WJrwwZ_8x6kCxvJSihLYtbLF2nbMncVH08fybLWQ/viewform?edit2=2_ABaOnucLXstIrEuq5YS_BTOlIAA0CLw2LjHNoXecscqyVBaPaJbQHEgRdM2LBHm0Z2zkRBQ" TargetMode="External"/><Relationship Id="rId265" Type="http://schemas.openxmlformats.org/officeDocument/2006/relationships/hyperlink" Target="https://docs.google.com/forms/d/e/1FAIpQLSeQ0wUAy9WJrwwZ_8x6kCxvJSihLYtbLF2nbMncVH08fybLWQ/viewform?edit2=2_ABaOnuesW9rXApGb5w1LJFXJdBFr2PD82We-gXrSYsVJfO1Lvf1i00zm2tejjmOFvnF8NcE" TargetMode="External"/><Relationship Id="rId260" Type="http://schemas.openxmlformats.org/officeDocument/2006/relationships/hyperlink" Target="https://docs.google.com/forms/d/e/1FAIpQLSeQ0wUAy9WJrwwZ_8x6kCxvJSihLYtbLF2nbMncVH08fybLWQ/viewform?edit2=2_ABaOnueMbDJcn69vP2s0tUGf0VXVttHuwCC4FdSDBWgDmB3qRGJRAO1wVcq4CiyJ7t0MwO8" TargetMode="External"/><Relationship Id="rId259" Type="http://schemas.openxmlformats.org/officeDocument/2006/relationships/hyperlink" Target="https://drive.google.com/open?id=1d4W6A0SruOAXrABUcY2eazckqGsixOFx" TargetMode="External"/><Relationship Id="rId258" Type="http://schemas.openxmlformats.org/officeDocument/2006/relationships/hyperlink" Target="https://docs.google.com/forms/d/e/1FAIpQLSeQ0wUAy9WJrwwZ_8x6kCxvJSihLYtbLF2nbMncVH08fybLWQ/viewform?edit2=2_ABaOnufUz-bV0u5eEgT0Bf7NDRZi7yKBHk14zlZca-fkO3NV9QOCAhUBr2YGQ5tz-Qg2Nkw" TargetMode="External"/><Relationship Id="rId253" Type="http://schemas.openxmlformats.org/officeDocument/2006/relationships/hyperlink" Target="https://drive.google.com/open?id=1IwX-Whwu6Dms_YxT9xiZuEb3-sdBcFG6" TargetMode="External"/><Relationship Id="rId495" Type="http://schemas.openxmlformats.org/officeDocument/2006/relationships/hyperlink" Target="https://docs.google.com/forms/d/e/1FAIpQLSeQ0wUAy9WJrwwZ_8x6kCxvJSihLYtbLF2nbMncVH08fybLWQ/viewform?edit2=2_ABaOnueN6nk5qt-ZFf1Jd7x9FvYM8lr7HJegiHUQ7UYowQ916wudXRw7X2_92RuzxYydCFA" TargetMode="External"/><Relationship Id="rId252" Type="http://schemas.openxmlformats.org/officeDocument/2006/relationships/hyperlink" Target="https://docs.google.com/forms/d/e/1FAIpQLSeQ0wUAy9WJrwwZ_8x6kCxvJSihLYtbLF2nbMncVH08fybLWQ/viewform?edit2=2_ABaOnuezwPC9bE4SZQbBopq-NKEqVHqfmjzdtZCEZEI2Mu9W1hllXOki0pSspGeUXV48yYU" TargetMode="External"/><Relationship Id="rId494" Type="http://schemas.openxmlformats.org/officeDocument/2006/relationships/hyperlink" Target="https://docs.google.com/forms/d/e/1FAIpQLSeQ0wUAy9WJrwwZ_8x6kCxvJSihLYtbLF2nbMncVH08fybLWQ/viewform?edit2=2_ABaOnufW1UCHH9wL7IHMYEZKwK5toNDsO6kALA1qBpvoRqwtdYb3MvbHT69ZXcFpUpgt-dA" TargetMode="External"/><Relationship Id="rId251" Type="http://schemas.openxmlformats.org/officeDocument/2006/relationships/hyperlink" Target="https://drive.google.com/open?id=1wKZxByxHEHM57JZPcF3jlYXy2XAvj2g1" TargetMode="External"/><Relationship Id="rId493" Type="http://schemas.openxmlformats.org/officeDocument/2006/relationships/hyperlink" Target="https://docs.google.com/forms/d/e/1FAIpQLSeQ0wUAy9WJrwwZ_8x6kCxvJSihLYtbLF2nbMncVH08fybLWQ/viewform?edit2=2_ABaOnucrhpOHdofMktaH2g8mucaS6UaWcthnhudO2VuPY2eOfJYkw0UBmmrvpi4ZQjWHRYo" TargetMode="External"/><Relationship Id="rId250" Type="http://schemas.openxmlformats.org/officeDocument/2006/relationships/hyperlink" Target="https://docs.google.com/forms/d/e/1FAIpQLSeQ0wUAy9WJrwwZ_8x6kCxvJSihLYtbLF2nbMncVH08fybLWQ/viewform?edit2=2_ABaOnucElteMb5-47tY-kMVC4f4wweIomCwYV0UA26cz4AV3Xe2MN62a2HTuOZjMDaFw63I" TargetMode="External"/><Relationship Id="rId492" Type="http://schemas.openxmlformats.org/officeDocument/2006/relationships/hyperlink" Target="https://docs.google.com/forms/d/e/1FAIpQLSeQ0wUAy9WJrwwZ_8x6kCxvJSihLYtbLF2nbMncVH08fybLWQ/viewform?edit2=2_ABaOnudXhM1YubUtlL_x3waSKTDGX8zH2Wg-69ngukLQmiU9U7aedjyueG8V1n-S_jav85k" TargetMode="External"/><Relationship Id="rId257" Type="http://schemas.openxmlformats.org/officeDocument/2006/relationships/hyperlink" Target="https://drive.google.com/open?id=1pKr_UxvEXoVOTKvv3n1XDfTCE4oK4d_r" TargetMode="External"/><Relationship Id="rId499" Type="http://schemas.openxmlformats.org/officeDocument/2006/relationships/hyperlink" Target="https://docs.google.com/forms/d/e/1FAIpQLSeQ0wUAy9WJrwwZ_8x6kCxvJSihLYtbLF2nbMncVH08fybLWQ/viewform?edit2=2_ABaOnufKcI9iCLqUZzDc-03QRu9JxnbaubcpHUrx_xZq1oeD-XmDnv5HsAwhr7j80zkGYE8" TargetMode="External"/><Relationship Id="rId256" Type="http://schemas.openxmlformats.org/officeDocument/2006/relationships/hyperlink" Target="https://docs.google.com/forms/d/e/1FAIpQLSeQ0wUAy9WJrwwZ_8x6kCxvJSihLYtbLF2nbMncVH08fybLWQ/viewform?edit2=2_ABaOnufTiD16i8Uuac4UUOKseDdxFbMJn6kkmd0iioNIjyuaEEuVp5qpI0aXlXGp2VcSMxU" TargetMode="External"/><Relationship Id="rId498" Type="http://schemas.openxmlformats.org/officeDocument/2006/relationships/hyperlink" Target="https://docs.google.com/forms/d/e/1FAIpQLSeQ0wUAy9WJrwwZ_8x6kCxvJSihLYtbLF2nbMncVH08fybLWQ/viewform?edit2=2_ABaOnud1-F7jve2DVHHOVcKdUXmcp9o1HASX2e3aYeituriwakZ0Qy1u6CtJLZvNor1Qdg8" TargetMode="External"/><Relationship Id="rId255" Type="http://schemas.openxmlformats.org/officeDocument/2006/relationships/hyperlink" Target="https://drive.google.com/open?id=1uPN-MNDDvFbeHENzdTIED3Ga_2aKjGm8" TargetMode="External"/><Relationship Id="rId497" Type="http://schemas.openxmlformats.org/officeDocument/2006/relationships/hyperlink" Target="https://docs.google.com/forms/d/e/1FAIpQLSeQ0wUAy9WJrwwZ_8x6kCxvJSihLYtbLF2nbMncVH08fybLWQ/viewform?edit2=2_ABaOnudRJwsYfhjzx2rMicXa7vHnQLGlQ7EUmlwZEZQOr5Fi07dAH-J7FREQfg4N8UokL8g" TargetMode="External"/><Relationship Id="rId254" Type="http://schemas.openxmlformats.org/officeDocument/2006/relationships/hyperlink" Target="https://docs.google.com/forms/d/e/1FAIpQLSeQ0wUAy9WJrwwZ_8x6kCxvJSihLYtbLF2nbMncVH08fybLWQ/viewform?edit2=2_ABaOnuf0t608Da8e8ktviBvJNwV1Q8JJK1M-4bG3Co81NBs1EuIZzmVsWHDLKFDRi6H_pm8" TargetMode="External"/><Relationship Id="rId496" Type="http://schemas.openxmlformats.org/officeDocument/2006/relationships/hyperlink" Target="https://docs.google.com/forms/d/e/1FAIpQLSeQ0wUAy9WJrwwZ_8x6kCxvJSihLYtbLF2nbMncVH08fybLWQ/viewform?edit2=2_ABaOnueiO35TaAerLU_2NMscdks6W0_VEuKFoTTvFfiCE2C9YblpKbuRQ-yEj0hL8ghWjAo" TargetMode="External"/><Relationship Id="rId293" Type="http://schemas.openxmlformats.org/officeDocument/2006/relationships/hyperlink" Target="https://drive.google.com/open?id=1b4EOJ6qxDD0nbqapAZkl2e_nfGMgYFBw" TargetMode="External"/><Relationship Id="rId292" Type="http://schemas.openxmlformats.org/officeDocument/2006/relationships/hyperlink" Target="https://docs.google.com/forms/d/e/1FAIpQLSeQ0wUAy9WJrwwZ_8x6kCxvJSihLYtbLF2nbMncVH08fybLWQ/viewform?edit2=2_ABaOnueZaVIDMVmGso4dPlaQScKbYHR19CAuhi-VufiuvmXhZgoH41_is7A7rJ3Yh_WtUKA" TargetMode="External"/><Relationship Id="rId291" Type="http://schemas.openxmlformats.org/officeDocument/2006/relationships/hyperlink" Target="https://docs.google.com/forms/d/e/1FAIpQLSeQ0wUAy9WJrwwZ_8x6kCxvJSihLYtbLF2nbMncVH08fybLWQ/viewform?edit2=2_ABaOnuc-eJdsLDuT4HE2uxyvUpGIG94mLrgVWSApTbENe3wNXoEDlnv5JoRt4waD3TPpL3g" TargetMode="External"/><Relationship Id="rId290" Type="http://schemas.openxmlformats.org/officeDocument/2006/relationships/hyperlink" Target="https://docs.google.com/forms/d/e/1FAIpQLSeQ0wUAy9WJrwwZ_8x6kCxvJSihLYtbLF2nbMncVH08fybLWQ/viewform?edit2=2_ABaOnucr3zcGfYTyjDbpvG7X7nBgKKw19bJyc6nir5R0_x8OIYSo_IiJ9XJKXv1mrIk66PY" TargetMode="External"/><Relationship Id="rId286" Type="http://schemas.openxmlformats.org/officeDocument/2006/relationships/hyperlink" Target="https://docs.google.com/forms/d/e/1FAIpQLSeQ0wUAy9WJrwwZ_8x6kCxvJSihLYtbLF2nbMncVH08fybLWQ/viewform?edit2=2_ABaOnucct0J9fiQTV00v7gxtqqQYZ5TxrEYFdaNz052zQwqurhVPXFiNP_ijYafNcjH2puw" TargetMode="External"/><Relationship Id="rId285" Type="http://schemas.openxmlformats.org/officeDocument/2006/relationships/hyperlink" Target="https://docs.google.com/forms/d/e/1FAIpQLSeQ0wUAy9WJrwwZ_8x6kCxvJSihLYtbLF2nbMncVH08fybLWQ/viewform?edit2=2_ABaOnufx6-UpmCKDoDVpGs9I6g_ISODPVVKXX8_AQbeUlKPwA1qDHpRaDUakwBsnWmtCUb8" TargetMode="External"/><Relationship Id="rId284" Type="http://schemas.openxmlformats.org/officeDocument/2006/relationships/hyperlink" Target="https://drive.google.com/open?id=1lbeHr3xuLCUyIwTICPLuAzY6kjQz5r9L" TargetMode="External"/><Relationship Id="rId283" Type="http://schemas.openxmlformats.org/officeDocument/2006/relationships/hyperlink" Target="https://docs.google.com/forms/d/e/1FAIpQLSeQ0wUAy9WJrwwZ_8x6kCxvJSihLYtbLF2nbMncVH08fybLWQ/viewform?edit2=2_ABaOnufopuLf5WKkT0wCiJ6rRL3eq7Orme0zZ-3q9w4PcUm_O54gEek9rCVjLqbDzLT1xiI" TargetMode="External"/><Relationship Id="rId289" Type="http://schemas.openxmlformats.org/officeDocument/2006/relationships/hyperlink" Target="https://docs.google.com/forms/d/e/1FAIpQLSeQ0wUAy9WJrwwZ_8x6kCxvJSihLYtbLF2nbMncVH08fybLWQ/viewform?edit2=2_ABaOnuf349ZIc63j89fwjZnRlTy9B-kbAl3hQkrRTjFgKDU_vEj1SKy82wjNZgnuVSiJ1D8" TargetMode="External"/><Relationship Id="rId288" Type="http://schemas.openxmlformats.org/officeDocument/2006/relationships/hyperlink" Target="https://docs.google.com/forms/d/e/1FAIpQLSeQ0wUAy9WJrwwZ_8x6kCxvJSihLYtbLF2nbMncVH08fybLWQ/viewform?edit2=2_ABaOnufn5MKyDSq5ka0SJFFJMt2DaTb-LHro_TWVgN463uKi4uVcEHKckqdioLxQk8Xq-uw" TargetMode="External"/><Relationship Id="rId287" Type="http://schemas.openxmlformats.org/officeDocument/2006/relationships/hyperlink" Target="https://docs.google.com/forms/d/e/1FAIpQLSeQ0wUAy9WJrwwZ_8x6kCxvJSihLYtbLF2nbMncVH08fybLWQ/viewform?edit2=2_ABaOnuffMOGxPRIYRbtF8XcMSSoNUNsaERR9NEIlX41s7T3_I7hKNFODvwMROC4PYurt1QA" TargetMode="External"/><Relationship Id="rId282" Type="http://schemas.openxmlformats.org/officeDocument/2006/relationships/hyperlink" Target="https://docs.google.com/forms/d/e/1FAIpQLSeQ0wUAy9WJrwwZ_8x6kCxvJSihLYtbLF2nbMncVH08fybLWQ/viewform?edit2=2_ABaOnud09GxPiMdGgPAakTwg2N-DydiEucPSVJfD6z0PNuiFL_UNeTFCnj_8_O6Q1s35N8s" TargetMode="External"/><Relationship Id="rId281" Type="http://schemas.openxmlformats.org/officeDocument/2006/relationships/hyperlink" Target="https://docs.google.com/forms/d/e/1FAIpQLSeQ0wUAy9WJrwwZ_8x6kCxvJSihLYtbLF2nbMncVH08fybLWQ/viewform?edit2=2_ABaOnueO0rRCcve95YKJU8yJhKUjcxlqtqtXvidJfMz5OeH2gXhroSvuih-rVTh9fr1M5RY" TargetMode="External"/><Relationship Id="rId280" Type="http://schemas.openxmlformats.org/officeDocument/2006/relationships/hyperlink" Target="https://drive.google.com/open?id=1JZay7ZlRBHmad8h0Xi7g8V964R2Y2_PY" TargetMode="External"/><Relationship Id="rId275" Type="http://schemas.openxmlformats.org/officeDocument/2006/relationships/hyperlink" Target="https://docs.google.com/forms/d/e/1FAIpQLSeQ0wUAy9WJrwwZ_8x6kCxvJSihLYtbLF2nbMncVH08fybLWQ/viewform?edit2=2_ABaOnufqpREV3ntBLz_H7daPpnK5-RSRO8zKUl7TuJil8q_xkqtBbnMFCN96oeWBhTxHAb0" TargetMode="External"/><Relationship Id="rId274" Type="http://schemas.openxmlformats.org/officeDocument/2006/relationships/hyperlink" Target="https://docs.google.com/forms/d/e/1FAIpQLSeQ0wUAy9WJrwwZ_8x6kCxvJSihLYtbLF2nbMncVH08fybLWQ/viewform?edit2=2_ABaOnueP_a-XYYjeVAnHp_-d-1CupFKAWuTXB8iA8QPBUl7h5rTaftuqL6UC83ZkDNCzEaA" TargetMode="External"/><Relationship Id="rId273" Type="http://schemas.openxmlformats.org/officeDocument/2006/relationships/hyperlink" Target="https://drive.google.com/open?id=10PYTymRgfRld7U7erNO0nhpsukiardlN" TargetMode="External"/><Relationship Id="rId272" Type="http://schemas.openxmlformats.org/officeDocument/2006/relationships/hyperlink" Target="https://docs.google.com/forms/d/e/1FAIpQLSeQ0wUAy9WJrwwZ_8x6kCxvJSihLYtbLF2nbMncVH08fybLWQ/viewform?edit2=2_ABaOnudaYf8cPPsVrqkP3ZBB79YYOet2jBAqeozDCGXnVBb3gDYjQSksuaklJcS_fjUhGGY" TargetMode="External"/><Relationship Id="rId279" Type="http://schemas.openxmlformats.org/officeDocument/2006/relationships/hyperlink" Target="https://docs.google.com/forms/d/e/1FAIpQLSeQ0wUAy9WJrwwZ_8x6kCxvJSihLYtbLF2nbMncVH08fybLWQ/viewform?edit2=2_ABaOnudVI6VfrSdALgFFh297Wg0S8V_prIgeH4LG9ebRuaojdc3udXpUNxMtYnP3RlPwgnA" TargetMode="External"/><Relationship Id="rId278" Type="http://schemas.openxmlformats.org/officeDocument/2006/relationships/hyperlink" Target="https://docs.google.com/forms/d/e/1FAIpQLSeQ0wUAy9WJrwwZ_8x6kCxvJSihLYtbLF2nbMncVH08fybLWQ/viewform?edit2=2_ABaOnud_YEodmpvSp7jYwhA0Wyw2hQaToJtLpKKe-lDwhPcewvvlkqrW9UK9EsSFrpZvEQY" TargetMode="External"/><Relationship Id="rId277" Type="http://schemas.openxmlformats.org/officeDocument/2006/relationships/hyperlink" Target="https://docs.google.com/forms/d/e/1FAIpQLSeQ0wUAy9WJrwwZ_8x6kCxvJSihLYtbLF2nbMncVH08fybLWQ/viewform?edit2=2_ABaOnuffxUpOXFklz3AVEkn4mXS3inTk2DybswUs4-VDhgxtL9Y61M7b9QfsuxG_O_6YXdg" TargetMode="External"/><Relationship Id="rId276" Type="http://schemas.openxmlformats.org/officeDocument/2006/relationships/hyperlink" Target="https://docs.google.com/forms/d/e/1FAIpQLSeQ0wUAy9WJrwwZ_8x6kCxvJSihLYtbLF2nbMncVH08fybLWQ/viewform?edit2=2_ABaOnucQ9EhXfRrqZnc2wohrL02W3p-VDjmRmMvlON0JgsrizVIszT_mXVDLYyjSdlQdUVM" TargetMode="External"/><Relationship Id="rId907" Type="http://schemas.openxmlformats.org/officeDocument/2006/relationships/hyperlink" Target="https://docs.google.com/forms/d/e/1FAIpQLSeQ0wUAy9WJrwwZ_8x6kCxvJSihLYtbLF2nbMncVH08fybLWQ/viewform?edit2=2_ABaOnudcMGz4YQJSK7DZ9I9XksKTScUJdK5SY6-FXpJQtLWbDVoUneVPrNw8bZCWgivr9Tw" TargetMode="External"/><Relationship Id="rId906" Type="http://schemas.openxmlformats.org/officeDocument/2006/relationships/hyperlink" Target="https://docs.google.com/forms/d/e/1FAIpQLSeQ0wUAy9WJrwwZ_8x6kCxvJSihLYtbLF2nbMncVH08fybLWQ/viewform?edit2=2_ABaOnuddEHHE-ivwPARbTiILcdWK0oiOk8e5ZZ3AOFOK27NFApZp7BeDr2gm9fftw6foG_o" TargetMode="External"/><Relationship Id="rId905" Type="http://schemas.openxmlformats.org/officeDocument/2006/relationships/hyperlink" Target="https://docs.google.com/forms/d/e/1FAIpQLSeQ0wUAy9WJrwwZ_8x6kCxvJSihLYtbLF2nbMncVH08fybLWQ/viewform?edit2=2_ABaOnuf_w4XcKciQXAyvWmBan_EJMt3qnbDRsN3EMzsqZ5oEbydzohfylw7Q1oI_bjU5V0E" TargetMode="External"/><Relationship Id="rId904" Type="http://schemas.openxmlformats.org/officeDocument/2006/relationships/hyperlink" Target="https://docs.google.com/forms/d/e/1FAIpQLSeQ0wUAy9WJrwwZ_8x6kCxvJSihLYtbLF2nbMncVH08fybLWQ/viewform?edit2=2_ABaOnufXObR1-oHorOGXOQLG19bGBa4lmI8INHFZtXUSWOuZv0CidtNTx_aCGmo54wGjJU8" TargetMode="External"/><Relationship Id="rId909" Type="http://schemas.openxmlformats.org/officeDocument/2006/relationships/hyperlink" Target="https://docs.google.com/forms/d/e/1FAIpQLSeQ0wUAy9WJrwwZ_8x6kCxvJSihLYtbLF2nbMncVH08fybLWQ/viewform?edit2=2_ABaOnufpKc-jIHWHiX6YfVJ2tzIeNbHaqojPQHvwq4mZcX5RT2qYRKdbauE8kgFlWs6mwK8" TargetMode="External"/><Relationship Id="rId908" Type="http://schemas.openxmlformats.org/officeDocument/2006/relationships/hyperlink" Target="https://docs.google.com/forms/d/e/1FAIpQLSeQ0wUAy9WJrwwZ_8x6kCxvJSihLYtbLF2nbMncVH08fybLWQ/viewform?edit2=2_ABaOnuc1QOOBcR-YKXHg5BrcCKsEzMlouawvbboSFjCwAzteYJLd7IJbmxvcEVSxrqoqLW0" TargetMode="External"/><Relationship Id="rId903" Type="http://schemas.openxmlformats.org/officeDocument/2006/relationships/hyperlink" Target="https://docs.google.com/forms/d/e/1FAIpQLSeQ0wUAy9WJrwwZ_8x6kCxvJSihLYtbLF2nbMncVH08fybLWQ/viewform?edit2=2_ABaOnudqVEZHc2AyUdBNWUKVoeWUKXwClgsZSXggIeETC24CJHhJeTd3MeFjMp_A9gC9-TE" TargetMode="External"/><Relationship Id="rId902" Type="http://schemas.openxmlformats.org/officeDocument/2006/relationships/hyperlink" Target="https://docs.google.com/forms/d/e/1FAIpQLSeQ0wUAy9WJrwwZ_8x6kCxvJSihLYtbLF2nbMncVH08fybLWQ/viewform?edit2=2_ABaOnudMsFktHmbV4463-PdJVC6I9lXui2l_MTLmb3ydZZwOwYvcj4f3zcWFDItbSYh9t5Q" TargetMode="External"/><Relationship Id="rId901" Type="http://schemas.openxmlformats.org/officeDocument/2006/relationships/hyperlink" Target="https://docs.google.com/forms/d/e/1FAIpQLSeQ0wUAy9WJrwwZ_8x6kCxvJSihLYtbLF2nbMncVH08fybLWQ/viewform?edit2=2_ABaOnufi0LOFs5brrxGUPqW0oiKX3kvRf6sw8qK3R39nwHkp3TOw8uCBtW3phpQIiqNcFcg" TargetMode="External"/><Relationship Id="rId900" Type="http://schemas.openxmlformats.org/officeDocument/2006/relationships/hyperlink" Target="https://docs.google.com/forms/d/e/1FAIpQLSeQ0wUAy9WJrwwZ_8x6kCxvJSihLYtbLF2nbMncVH08fybLWQ/viewform?edit2=2_ABaOnueUcDIXsaF5_H98aakfe4UGl196yx79jkOA6_RcMMEQGvwPBXUTqqdOfVdCqe3lRKk" TargetMode="External"/><Relationship Id="rId929" Type="http://schemas.openxmlformats.org/officeDocument/2006/relationships/hyperlink" Target="https://docs.google.com/forms/d/e/1FAIpQLSeQ0wUAy9WJrwwZ_8x6kCxvJSihLYtbLF2nbMncVH08fybLWQ/viewform?edit2=2_ABaOnue4sLAbjrCVtOKv9nGeqIFkJUbZYg3vdWjm_mZmjnzURilztcNiC5UFwg_Q6jjqc9U" TargetMode="External"/><Relationship Id="rId928" Type="http://schemas.openxmlformats.org/officeDocument/2006/relationships/hyperlink" Target="https://docs.google.com/forms/d/e/1FAIpQLSeQ0wUAy9WJrwwZ_8x6kCxvJSihLYtbLF2nbMncVH08fybLWQ/viewform?edit2=2_ABaOnuenou4rolUYlpgzKfmdiYeVh8mp2nAsFLVXM49bIjjpcB7hnOH_i1BFFLrj3b-daWc" TargetMode="External"/><Relationship Id="rId927" Type="http://schemas.openxmlformats.org/officeDocument/2006/relationships/hyperlink" Target="https://docs.google.com/forms/d/e/1FAIpQLSeQ0wUAy9WJrwwZ_8x6kCxvJSihLYtbLF2nbMncVH08fybLWQ/viewform?edit2=2_ABaOnufbJWxJtCHF64rArQ3DNk8FbZjThGvV-NZbGf-ZF7WjOs1HgY4maBVOu9iU4n8jFTI" TargetMode="External"/><Relationship Id="rId926" Type="http://schemas.openxmlformats.org/officeDocument/2006/relationships/hyperlink" Target="https://docs.google.com/forms/d/e/1FAIpQLSeQ0wUAy9WJrwwZ_8x6kCxvJSihLYtbLF2nbMncVH08fybLWQ/viewform?edit2=2_ABaOnufllKFpcZqgClhGrPrch0DnR7pSF9MVXXPFx2TClZ1d8IqTAqZslALZfQ5pl3coRX0" TargetMode="External"/><Relationship Id="rId921" Type="http://schemas.openxmlformats.org/officeDocument/2006/relationships/hyperlink" Target="https://docs.google.com/forms/d/e/1FAIpQLSeQ0wUAy9WJrwwZ_8x6kCxvJSihLYtbLF2nbMncVH08fybLWQ/viewform?edit2=2_ABaOnuc2y-zb2E4CNlbnyn0oTFx70wKRTEHgulWHfs4L8_DsSGB36SfpAz6iXrGcOdO5KPc" TargetMode="External"/><Relationship Id="rId920" Type="http://schemas.openxmlformats.org/officeDocument/2006/relationships/hyperlink" Target="https://docs.google.com/forms/d/e/1FAIpQLSeQ0wUAy9WJrwwZ_8x6kCxvJSihLYtbLF2nbMncVH08fybLWQ/viewform?edit2=2_ABaOnudkUw-oihEf67hsjQ9h4Z9s6oueQxzTyjCbxW4FzpTTiCLb5zyISm5DbnfnXJzf89g" TargetMode="External"/><Relationship Id="rId925" Type="http://schemas.openxmlformats.org/officeDocument/2006/relationships/hyperlink" Target="https://docs.google.com/forms/d/e/1FAIpQLSeQ0wUAy9WJrwwZ_8x6kCxvJSihLYtbLF2nbMncVH08fybLWQ/viewform?edit2=2_ABaOnucTsVuPUAoMLjcS7YsAPv604lyCm1Y_em2Ij7ZT5ONyZXUZsokYzEncfF7IbgAWGs0" TargetMode="External"/><Relationship Id="rId924" Type="http://schemas.openxmlformats.org/officeDocument/2006/relationships/hyperlink" Target="https://docs.google.com/forms/d/e/1FAIpQLSeQ0wUAy9WJrwwZ_8x6kCxvJSihLYtbLF2nbMncVH08fybLWQ/viewform?edit2=2_ABaOnuegudvC46WJO2lQsuds4mcgNNpQYrU-Yp0Wu3iQgIGCTBUx1AEYT70Cqb0chsfaMUc" TargetMode="External"/><Relationship Id="rId923" Type="http://schemas.openxmlformats.org/officeDocument/2006/relationships/hyperlink" Target="https://docs.google.com/forms/d/e/1FAIpQLSeQ0wUAy9WJrwwZ_8x6kCxvJSihLYtbLF2nbMncVH08fybLWQ/viewform?edit2=2_ABaOnuctiPKlPg761RBDAYQse2dHSnFV9oGpFutNpRfpCBJIZogqDYQ3hWlhWlVpj-n2Yek" TargetMode="External"/><Relationship Id="rId922" Type="http://schemas.openxmlformats.org/officeDocument/2006/relationships/hyperlink" Target="https://docs.google.com/forms/d/e/1FAIpQLSeQ0wUAy9WJrwwZ_8x6kCxvJSihLYtbLF2nbMncVH08fybLWQ/viewform?edit2=2_ABaOnufv6BKo0bgg6ueTXb5XXagiL66dXnN1asvx8Zms7XfBcnxYgposeJR0tnSlgYMvEq4" TargetMode="External"/><Relationship Id="rId918" Type="http://schemas.openxmlformats.org/officeDocument/2006/relationships/hyperlink" Target="https://docs.google.com/forms/d/e/1FAIpQLSeQ0wUAy9WJrwwZ_8x6kCxvJSihLYtbLF2nbMncVH08fybLWQ/viewform?edit2=2_ABaOnufch636C1yuRb0_m8GFQC0svelfFZ56fcFIoOt7wQXzDP5RFqIrcFzIbzIFP4PMGiw" TargetMode="External"/><Relationship Id="rId917" Type="http://schemas.openxmlformats.org/officeDocument/2006/relationships/hyperlink" Target="https://docs.google.com/forms/d/e/1FAIpQLSeQ0wUAy9WJrwwZ_8x6kCxvJSihLYtbLF2nbMncVH08fybLWQ/viewform?edit2=2_ABaOnuclT-vCabYcNumVSSnPQ6zgg2hsnU4mIQ6RQ3g7Dt7yRy-TCsa3_uJrDzcu_hs6aYI" TargetMode="External"/><Relationship Id="rId916" Type="http://schemas.openxmlformats.org/officeDocument/2006/relationships/hyperlink" Target="https://docs.google.com/forms/d/e/1FAIpQLSeQ0wUAy9WJrwwZ_8x6kCxvJSihLYtbLF2nbMncVH08fybLWQ/viewform?edit2=2_ABaOnucu9x7jSPW9ilriV4jKZ1C3gN3qjUJg8G7YVqRa4jUTaVtViRBGAJm3S3BZwh44wLQ" TargetMode="External"/><Relationship Id="rId915" Type="http://schemas.openxmlformats.org/officeDocument/2006/relationships/hyperlink" Target="https://docs.google.com/forms/d/e/1FAIpQLSeQ0wUAy9WJrwwZ_8x6kCxvJSihLYtbLF2nbMncVH08fybLWQ/viewform?edit2=2_ABaOnudX8gEYdhsAfIuIaHbmzOWZaZIBNxmKLj8G0iwMrvEbfOIBdNS9hg2JWlHQQ0RQvfo" TargetMode="External"/><Relationship Id="rId919" Type="http://schemas.openxmlformats.org/officeDocument/2006/relationships/hyperlink" Target="https://docs.google.com/forms/d/e/1FAIpQLSeQ0wUAy9WJrwwZ_8x6kCxvJSihLYtbLF2nbMncVH08fybLWQ/viewform?edit2=2_ABaOnueXG6amR3yEQhCcDAYaqjdl3bfv598SPj9B4aQ0ibKbJetWGAwtHK9CKWL1k_A2yJ4" TargetMode="External"/><Relationship Id="rId910" Type="http://schemas.openxmlformats.org/officeDocument/2006/relationships/hyperlink" Target="https://docs.google.com/forms/d/e/1FAIpQLSeQ0wUAy9WJrwwZ_8x6kCxvJSihLYtbLF2nbMncVH08fybLWQ/viewform?edit2=2_ABaOnudhB8f5mIXCf8b2chZLCuh-4ksdU-3r13ApNOALs9MgIQEsuvX92Y-64s60Ph34GV4" TargetMode="External"/><Relationship Id="rId914" Type="http://schemas.openxmlformats.org/officeDocument/2006/relationships/hyperlink" Target="https://docs.google.com/forms/d/e/1FAIpQLSeQ0wUAy9WJrwwZ_8x6kCxvJSihLYtbLF2nbMncVH08fybLWQ/viewform?edit2=2_ABaOnufQE-4uXmPEhPHkusIZGmRPIRfuOZh4d9r4sUonAJ72Caw6V_BpA8sM4bq7I8cx_-8" TargetMode="External"/><Relationship Id="rId913" Type="http://schemas.openxmlformats.org/officeDocument/2006/relationships/hyperlink" Target="https://docs.google.com/forms/d/e/1FAIpQLSeQ0wUAy9WJrwwZ_8x6kCxvJSihLYtbLF2nbMncVH08fybLWQ/viewform?edit2=2_ABaOnucfJcZ_TBULJyKK2lciC7rm5aGSGUMGhqyMhex2u-eTSOmXet-vtKFQZ6kZy-4oAak" TargetMode="External"/><Relationship Id="rId912" Type="http://schemas.openxmlformats.org/officeDocument/2006/relationships/hyperlink" Target="https://docs.google.com/forms/d/e/1FAIpQLSeQ0wUAy9WJrwwZ_8x6kCxvJSihLYtbLF2nbMncVH08fybLWQ/viewform?edit2=2_ABaOnuevhJr4ja3s69PE_OvQZh6DO4COpqoBtU07g1njPfxmZ6Fri80P2P5lQ4nfjuWe4jE" TargetMode="External"/><Relationship Id="rId911" Type="http://schemas.openxmlformats.org/officeDocument/2006/relationships/hyperlink" Target="https://docs.google.com/forms/d/e/1FAIpQLSeQ0wUAy9WJrwwZ_8x6kCxvJSihLYtbLF2nbMncVH08fybLWQ/viewform?edit2=2_ABaOnufq7WOdjOj0_CYaJSAgNs0Mt2hyYr5H4Yi14Vq4hPtZOz7EVHENXjMH8x1owB6Zl0I" TargetMode="External"/><Relationship Id="rId629" Type="http://schemas.openxmlformats.org/officeDocument/2006/relationships/hyperlink" Target="https://docs.google.com/forms/d/e/1FAIpQLSeQ0wUAy9WJrwwZ_8x6kCxvJSihLYtbLF2nbMncVH08fybLWQ/viewform?edit2=2_ABaOnucKwmU7Jt_o74EFfFZu9-r4YZ4Yh23dm36l3rtRO_9o5RL7n7KH4pPaorALjZh2cIE" TargetMode="External"/><Relationship Id="rId624" Type="http://schemas.openxmlformats.org/officeDocument/2006/relationships/hyperlink" Target="https://docs.google.com/forms/d/e/1FAIpQLSeQ0wUAy9WJrwwZ_8x6kCxvJSihLYtbLF2nbMncVH08fybLWQ/viewform?edit2=2_ABaOnucmOs97osJlDNVWmusASPLpRmbweb6Z2IEEHZxXJaJVCIXZp3foGVyyRMxcnwxZT90" TargetMode="External"/><Relationship Id="rId866" Type="http://schemas.openxmlformats.org/officeDocument/2006/relationships/hyperlink" Target="https://docs.google.com/forms/d/e/1FAIpQLSeQ0wUAy9WJrwwZ_8x6kCxvJSihLYtbLF2nbMncVH08fybLWQ/viewform?edit2=2_ABaOnudLN1ea9KxfMIE8a9QMHdezp5TuC8G7MRWmBDIgqsD2QshPcWiKKa-cqIyBSqDfN54" TargetMode="External"/><Relationship Id="rId623" Type="http://schemas.openxmlformats.org/officeDocument/2006/relationships/hyperlink" Target="https://docs.google.com/forms/d/e/1FAIpQLSeQ0wUAy9WJrwwZ_8x6kCxvJSihLYtbLF2nbMncVH08fybLWQ/viewform?edit2=2_ABaOnud2pdrZFaV8erI6ScaI_Jd4LGCWSfs2TLAhsu1gez6eJHzE7KwlHymDn4zpuoVG-7c" TargetMode="External"/><Relationship Id="rId865" Type="http://schemas.openxmlformats.org/officeDocument/2006/relationships/hyperlink" Target="https://docs.google.com/forms/d/e/1FAIpQLSeQ0wUAy9WJrwwZ_8x6kCxvJSihLYtbLF2nbMncVH08fybLWQ/viewform?edit2=2_ABaOnudE6NlN_DgSh8AbYBAL0dBIVEDazh8PZ5QzCvbSbgqQS2Vpu7Z-vQpmQQ3AgS3Dehg" TargetMode="External"/><Relationship Id="rId622" Type="http://schemas.openxmlformats.org/officeDocument/2006/relationships/hyperlink" Target="https://docs.google.com/forms/d/e/1FAIpQLSeQ0wUAy9WJrwwZ_8x6kCxvJSihLYtbLF2nbMncVH08fybLWQ/viewform?edit2=2_ABaOnudplMRpsInHVbm_aCQiKS3_-u-jIeGDkDTmcv8Lw-SZ9kxBGDt7KcBhSYmgV6azQQo" TargetMode="External"/><Relationship Id="rId864" Type="http://schemas.openxmlformats.org/officeDocument/2006/relationships/hyperlink" Target="https://docs.google.com/forms/d/e/1FAIpQLSeQ0wUAy9WJrwwZ_8x6kCxvJSihLYtbLF2nbMncVH08fybLWQ/viewform?edit2=2_ABaOnucECuqYvwutfbfxDU5MN9zs_4b4r0zCxH54zPMvn9NI4GHXwTeYMfz0e2pPboOIZ1I" TargetMode="External"/><Relationship Id="rId621" Type="http://schemas.openxmlformats.org/officeDocument/2006/relationships/hyperlink" Target="https://docs.google.com/forms/d/e/1FAIpQLSeQ0wUAy9WJrwwZ_8x6kCxvJSihLYtbLF2nbMncVH08fybLWQ/viewform?edit2=2_ABaOnueDFcGz94t_gJVlGpJUB2gL8ScYS3MAXpO4W1qAQpwz4cZsOCVSbfWJ9vlHJxa6otM" TargetMode="External"/><Relationship Id="rId863" Type="http://schemas.openxmlformats.org/officeDocument/2006/relationships/hyperlink" Target="https://docs.google.com/forms/d/e/1FAIpQLSeQ0wUAy9WJrwwZ_8x6kCxvJSihLYtbLF2nbMncVH08fybLWQ/viewform?edit2=2_ABaOnueTImGsJ1L2996AlFbzpfiQtRw96C6legj24-Aw4lBm7l3jcKotBYWrO9koibmCJNU" TargetMode="External"/><Relationship Id="rId628" Type="http://schemas.openxmlformats.org/officeDocument/2006/relationships/hyperlink" Target="https://docs.google.com/forms/d/e/1FAIpQLSeQ0wUAy9WJrwwZ_8x6kCxvJSihLYtbLF2nbMncVH08fybLWQ/viewform?edit2=2_ABaOnuepCmBJG5_rwD-cEizXbmS1HqrnG9fm0JOgS_qSisRNAy4aXxCdqgdxe3jB2BMOdLo" TargetMode="External"/><Relationship Id="rId627" Type="http://schemas.openxmlformats.org/officeDocument/2006/relationships/hyperlink" Target="https://docs.google.com/forms/d/e/1FAIpQLSeQ0wUAy9WJrwwZ_8x6kCxvJSihLYtbLF2nbMncVH08fybLWQ/viewform?edit2=2_ABaOnudquXn95qbSsvtWW355rEXEeHPQiuDuRXYOqKvvUwp575CWe1V6KgLxWAEXlGVLb3g" TargetMode="External"/><Relationship Id="rId869" Type="http://schemas.openxmlformats.org/officeDocument/2006/relationships/hyperlink" Target="https://docs.google.com/forms/d/e/1FAIpQLSeQ0wUAy9WJrwwZ_8x6kCxvJSihLYtbLF2nbMncVH08fybLWQ/viewform?edit2=2_ABaOnueTwUwiL8orcD6Z88DAb5nPTbw3clSEP0rD3f4t4N6-2Z3gP7eD1XdgsyjHJ0dCA28" TargetMode="External"/><Relationship Id="rId626" Type="http://schemas.openxmlformats.org/officeDocument/2006/relationships/hyperlink" Target="https://docs.google.com/forms/d/e/1FAIpQLSeQ0wUAy9WJrwwZ_8x6kCxvJSihLYtbLF2nbMncVH08fybLWQ/viewform?edit2=2_ABaOnufyvvKXbUVxywliIE-N7T6ny3NlFAVuJ3mACvh9P4gPjLJO2uYz00hhi_GyrvTv5Tw" TargetMode="External"/><Relationship Id="rId868" Type="http://schemas.openxmlformats.org/officeDocument/2006/relationships/hyperlink" Target="https://docs.google.com/forms/d/e/1FAIpQLSeQ0wUAy9WJrwwZ_8x6kCxvJSihLYtbLF2nbMncVH08fybLWQ/viewform?edit2=2_ABaOnufrGyRHp3J50zYs5MiX3R9wHLP41YdXzwx59BlTHoH6QZIGp3Ui_MhJSUbB6yLFmck" TargetMode="External"/><Relationship Id="rId625" Type="http://schemas.openxmlformats.org/officeDocument/2006/relationships/hyperlink" Target="https://docs.google.com/forms/d/e/1FAIpQLSeQ0wUAy9WJrwwZ_8x6kCxvJSihLYtbLF2nbMncVH08fybLWQ/viewform?edit2=2_ABaOnueJ_HImr_HGZgw6wGyrV94PZp6RwwbjlbNwggMtaJlD6Cgeq_XmqMZ6F8agYkQc_SE" TargetMode="External"/><Relationship Id="rId867" Type="http://schemas.openxmlformats.org/officeDocument/2006/relationships/hyperlink" Target="https://docs.google.com/forms/d/e/1FAIpQLSeQ0wUAy9WJrwwZ_8x6kCxvJSihLYtbLF2nbMncVH08fybLWQ/viewform?edit2=2_ABaOnue1xvLK7vrpJABRbc3hZsKIpLjBLaT-uhpfUj0He4YE7jNoEpfMshvsvGR3tOyhqBg" TargetMode="External"/><Relationship Id="rId620" Type="http://schemas.openxmlformats.org/officeDocument/2006/relationships/hyperlink" Target="https://docs.google.com/forms/d/e/1FAIpQLSeQ0wUAy9WJrwwZ_8x6kCxvJSihLYtbLF2nbMncVH08fybLWQ/viewform?edit2=2_ABaOnuf2d80UuJoTHLF7hG_tGQOJnsafXyHC2LeZIyP2iHjny_2wcWKjsccIYCJDjbYJO8A" TargetMode="External"/><Relationship Id="rId862" Type="http://schemas.openxmlformats.org/officeDocument/2006/relationships/hyperlink" Target="https://docs.google.com/forms/d/e/1FAIpQLSeQ0wUAy9WJrwwZ_8x6kCxvJSihLYtbLF2nbMncVH08fybLWQ/viewform?edit2=2_ABaOnufyq5Z5JoDPPGk83wpN_rjIbEIbxHYFfYEbM0ZSdXFxBUxCM47H9ME2TbzrZK3jxBU" TargetMode="External"/><Relationship Id="rId861" Type="http://schemas.openxmlformats.org/officeDocument/2006/relationships/hyperlink" Target="https://docs.google.com/forms/d/e/1FAIpQLSeQ0wUAy9WJrwwZ_8x6kCxvJSihLYtbLF2nbMncVH08fybLWQ/viewform?edit2=2_ABaOnuffK3VPdGq_E_X76SLOgyVqn0fpXON02NvaC0e-Z2vKyUIejirWEq8sLqqZGdp5WAU" TargetMode="External"/><Relationship Id="rId860" Type="http://schemas.openxmlformats.org/officeDocument/2006/relationships/hyperlink" Target="https://docs.google.com/forms/d/e/1FAIpQLSeQ0wUAy9WJrwwZ_8x6kCxvJSihLYtbLF2nbMncVH08fybLWQ/viewform?edit2=2_ABaOnufohRcTHRPHBdDo30Sw9e1fOwMlvlyUiaNcGGQE-MRb0SC9-RsVNB9fzn5CRMnUZ80" TargetMode="External"/><Relationship Id="rId619" Type="http://schemas.openxmlformats.org/officeDocument/2006/relationships/hyperlink" Target="https://docs.google.com/forms/d/e/1FAIpQLSeQ0wUAy9WJrwwZ_8x6kCxvJSihLYtbLF2nbMncVH08fybLWQ/viewform?edit2=2_ABaOnufRN0imvElRKBMjqOIqjNyFf00zXNqeaMR1TC_bDJmx2IZJ4c4iT0BcveUR8rEoPVw" TargetMode="External"/><Relationship Id="rId618" Type="http://schemas.openxmlformats.org/officeDocument/2006/relationships/hyperlink" Target="https://docs.google.com/forms/d/e/1FAIpQLSeQ0wUAy9WJrwwZ_8x6kCxvJSihLYtbLF2nbMncVH08fybLWQ/viewform?edit2=2_ABaOnuc7s-Y9jfA-c0VwUGwuFyfrkkLF5fGMQLs1mSXqe6esENtdmryKY4R4Tw-hqOaNBRk" TargetMode="External"/><Relationship Id="rId613" Type="http://schemas.openxmlformats.org/officeDocument/2006/relationships/hyperlink" Target="https://docs.google.com/forms/d/e/1FAIpQLSeQ0wUAy9WJrwwZ_8x6kCxvJSihLYtbLF2nbMncVH08fybLWQ/viewform?edit2=2_ABaOnudbzfpoweO_5wufQf571rKvpIly2ahfD_TOjJfIEUXw9pwklvCW6_u3vGtm0DORLaY" TargetMode="External"/><Relationship Id="rId855" Type="http://schemas.openxmlformats.org/officeDocument/2006/relationships/hyperlink" Target="https://docs.google.com/forms/d/e/1FAIpQLSeQ0wUAy9WJrwwZ_8x6kCxvJSihLYtbLF2nbMncVH08fybLWQ/viewform?edit2=2_ABaOnufcZ4ksmy7DG_ySfaX5HY6A6hWEAaCg5SpcN7DJ_oC32mjrsS96TKLHczD-3J0diXE" TargetMode="External"/><Relationship Id="rId612" Type="http://schemas.openxmlformats.org/officeDocument/2006/relationships/hyperlink" Target="https://docs.google.com/forms/d/e/1FAIpQLSeQ0wUAy9WJrwwZ_8x6kCxvJSihLYtbLF2nbMncVH08fybLWQ/viewform?edit2=2_ABaOnueANEvaCjifsTH0BDPNwEBzW8mCSHXibt-l_0DKacbmm8PvlaMCgHyKdLIW94igDG4" TargetMode="External"/><Relationship Id="rId854" Type="http://schemas.openxmlformats.org/officeDocument/2006/relationships/hyperlink" Target="https://docs.google.com/forms/d/e/1FAIpQLSeQ0wUAy9WJrwwZ_8x6kCxvJSihLYtbLF2nbMncVH08fybLWQ/viewform?edit2=2_ABaOnucMkM0Wx7qr8K0l3okO7RkJBbhot1iIZZtAKdWxws9aewlJjId5HpXy-ySbLlRv8_s" TargetMode="External"/><Relationship Id="rId611" Type="http://schemas.openxmlformats.org/officeDocument/2006/relationships/hyperlink" Target="https://docs.google.com/forms/d/e/1FAIpQLSeQ0wUAy9WJrwwZ_8x6kCxvJSihLYtbLF2nbMncVH08fybLWQ/viewform?edit2=2_ABaOnudhYWkaUeYf3Vn-ptcWsHwud7ZKXOvFNpf6YxvgzyUGRElD83kWUuzIqNd2Be15BzA" TargetMode="External"/><Relationship Id="rId853" Type="http://schemas.openxmlformats.org/officeDocument/2006/relationships/hyperlink" Target="https://docs.google.com/forms/d/e/1FAIpQLSeQ0wUAy9WJrwwZ_8x6kCxvJSihLYtbLF2nbMncVH08fybLWQ/viewform?edit2=2_ABaOnudlbpPYu-i2LrkB97vEPn2U19BtgqlDk2RHO1yMAgwblXvbGjBVS-8brkP2xL58aoA" TargetMode="External"/><Relationship Id="rId610" Type="http://schemas.openxmlformats.org/officeDocument/2006/relationships/hyperlink" Target="https://docs.google.com/forms/d/e/1FAIpQLSeQ0wUAy9WJrwwZ_8x6kCxvJSihLYtbLF2nbMncVH08fybLWQ/viewform?edit2=2_ABaOnuc5XGFqaAlMgiy7tfYIDLgBIiPCK9SlW3bbi3PsqOqcd5QiK19IeqrQ3can9TkEZxs" TargetMode="External"/><Relationship Id="rId852" Type="http://schemas.openxmlformats.org/officeDocument/2006/relationships/hyperlink" Target="https://docs.google.com/forms/d/e/1FAIpQLSeQ0wUAy9WJrwwZ_8x6kCxvJSihLYtbLF2nbMncVH08fybLWQ/viewform?edit2=2_ABaOnufkrIJnTdgSUiBLg0p0jshOeIM8l3zq-iGim8hlKfWK1ya1xFZ2HRgdxYbjS4nOOFM" TargetMode="External"/><Relationship Id="rId617" Type="http://schemas.openxmlformats.org/officeDocument/2006/relationships/hyperlink" Target="https://docs.google.com/forms/d/e/1FAIpQLSeQ0wUAy9WJrwwZ_8x6kCxvJSihLYtbLF2nbMncVH08fybLWQ/viewform?edit2=2_ABaOnuc-Yav7fw8ssfdCsBw8-nsEIbqmgt4mcnieWzJAZtBdd8naQv1foYPLVVH3tRpor-4" TargetMode="External"/><Relationship Id="rId859" Type="http://schemas.openxmlformats.org/officeDocument/2006/relationships/hyperlink" Target="https://docs.google.com/forms/d/e/1FAIpQLSeQ0wUAy9WJrwwZ_8x6kCxvJSihLYtbLF2nbMncVH08fybLWQ/viewform?edit2=2_ABaOnufFHi2WBd3x7HCNm1_01PolagE9kjpXVHsbkkGF0tQB4XK27E86VJ9Yyn3UVIoWSZ4" TargetMode="External"/><Relationship Id="rId616" Type="http://schemas.openxmlformats.org/officeDocument/2006/relationships/hyperlink" Target="https://docs.google.com/forms/d/e/1FAIpQLSeQ0wUAy9WJrwwZ_8x6kCxvJSihLYtbLF2nbMncVH08fybLWQ/viewform?edit2=2_ABaOnudarjW9nugiktFjwAMILQkR0UPF6LdXsHwjDRe_q8Yv6oYpbm_CSGljNS-F4Qi9F5k" TargetMode="External"/><Relationship Id="rId858" Type="http://schemas.openxmlformats.org/officeDocument/2006/relationships/hyperlink" Target="https://docs.google.com/forms/d/e/1FAIpQLSeQ0wUAy9WJrwwZ_8x6kCxvJSihLYtbLF2nbMncVH08fybLWQ/viewform?edit2=2_ABaOnuejErIuhitpgNk9bol0eTwQGuBYO0uvVi5OdhY2t55AlpNSqsFok6_OTmzsxmokNew" TargetMode="External"/><Relationship Id="rId615" Type="http://schemas.openxmlformats.org/officeDocument/2006/relationships/hyperlink" Target="https://drive.google.com/open?id=1iXIkYHSXUzTA1qbu_663EyWmGG7l_z2c" TargetMode="External"/><Relationship Id="rId857" Type="http://schemas.openxmlformats.org/officeDocument/2006/relationships/hyperlink" Target="https://docs.google.com/forms/d/e/1FAIpQLSeQ0wUAy9WJrwwZ_8x6kCxvJSihLYtbLF2nbMncVH08fybLWQ/viewform?edit2=2_ABaOnuew5aDbqHrh5bdn9bzsxP27uIz_634cfAOQZtITreXziEhpCFPhC91C4B43R3NWVtE" TargetMode="External"/><Relationship Id="rId614" Type="http://schemas.openxmlformats.org/officeDocument/2006/relationships/hyperlink" Target="https://docs.google.com/forms/d/e/1FAIpQLSeQ0wUAy9WJrwwZ_8x6kCxvJSihLYtbLF2nbMncVH08fybLWQ/viewform?edit2=2_ABaOnufXFYxozuVLJpBMaKcGQ9_aBQW7KYfFLCkkvnxC4Pxa15NXkc4u5VsKjbbQ16VxUBQ" TargetMode="External"/><Relationship Id="rId856" Type="http://schemas.openxmlformats.org/officeDocument/2006/relationships/hyperlink" Target="https://docs.google.com/forms/d/e/1FAIpQLSeQ0wUAy9WJrwwZ_8x6kCxvJSihLYtbLF2nbMncVH08fybLWQ/viewform?edit2=2_ABaOnud8u3co1DblkWlfGamIf3BX8TUZ5CMW73nXckWWmlQoBbU5enwUHhXOkULZDdGaeow" TargetMode="External"/><Relationship Id="rId851" Type="http://schemas.openxmlformats.org/officeDocument/2006/relationships/hyperlink" Target="https://docs.google.com/forms/d/e/1FAIpQLSeQ0wUAy9WJrwwZ_8x6kCxvJSihLYtbLF2nbMncVH08fybLWQ/viewform?edit2=2_ABaOnudoUUr3HeD0EXCvbfrpbhhS14uj230Fws0-jugk0Y0gZRunOFR0VlxEtReL_cxQKP4" TargetMode="External"/><Relationship Id="rId850" Type="http://schemas.openxmlformats.org/officeDocument/2006/relationships/hyperlink" Target="https://docs.google.com/forms/d/e/1FAIpQLSeQ0wUAy9WJrwwZ_8x6kCxvJSihLYtbLF2nbMncVH08fybLWQ/viewform?edit2=2_ABaOnudFbfQyDyIbWLJGJs4hboMA9x_-aUmAJVV9eUCdpU4qLJCFgKKk79QzbffMHO2uqAM" TargetMode="External"/><Relationship Id="rId409" Type="http://schemas.openxmlformats.org/officeDocument/2006/relationships/hyperlink" Target="https://docs.google.com/forms/d/e/1FAIpQLSeQ0wUAy9WJrwwZ_8x6kCxvJSihLYtbLF2nbMncVH08fybLWQ/viewform?edit2=2_ABaOnucREklewRME5bIuWoRGOcutCfDcN2duIj9EJbTVmPtwuY1DVUWQEjQZzzuXvCtoOL8" TargetMode="External"/><Relationship Id="rId404" Type="http://schemas.openxmlformats.org/officeDocument/2006/relationships/hyperlink" Target="https://docs.google.com/forms/d/e/1FAIpQLSeQ0wUAy9WJrwwZ_8x6kCxvJSihLYtbLF2nbMncVH08fybLWQ/viewform?edit2=2_ABaOnueo0PBS-Xdcq4J1ZZHBxAN5f7nm2hfiEdlEyoX5NQVpCOLm5VI_7n9BF5L9woQrqpQ" TargetMode="External"/><Relationship Id="rId646" Type="http://schemas.openxmlformats.org/officeDocument/2006/relationships/hyperlink" Target="https://docs.google.com/forms/d/e/1FAIpQLSeQ0wUAy9WJrwwZ_8x6kCxvJSihLYtbLF2nbMncVH08fybLWQ/viewform?edit2=2_ABaOnue3P3UNOaCDsYUPf_tUFTXTK67W3ZE59MIOPGETMwE_x2sjBXzyoKyx5S-2JxiUzSI" TargetMode="External"/><Relationship Id="rId888" Type="http://schemas.openxmlformats.org/officeDocument/2006/relationships/hyperlink" Target="https://docs.google.com/forms/d/e/1FAIpQLSeQ0wUAy9WJrwwZ_8x6kCxvJSihLYtbLF2nbMncVH08fybLWQ/viewform?edit2=2_ABaOnufLGbkeTDEpgjYt5liGzu5OG2cr9-Dt9vQFe5cS8GMdVC4bG0Ansg1_-noVw3x02yI" TargetMode="External"/><Relationship Id="rId403" Type="http://schemas.openxmlformats.org/officeDocument/2006/relationships/hyperlink" Target="https://docs.google.com/forms/d/e/1FAIpQLSeQ0wUAy9WJrwwZ_8x6kCxvJSihLYtbLF2nbMncVH08fybLWQ/viewform?edit2=2_ABaOnueUAzYEYddacCwy7ip6fvT510veypk6-L5AF7r9SCwbgwsuVjc1qrjXmEim1wUhPBo" TargetMode="External"/><Relationship Id="rId645" Type="http://schemas.openxmlformats.org/officeDocument/2006/relationships/hyperlink" Target="https://docs.google.com/forms/d/e/1FAIpQLSeQ0wUAy9WJrwwZ_8x6kCxvJSihLYtbLF2nbMncVH08fybLWQ/viewform?edit2=2_ABaOnuecJLzUqswBlZOghwWl1CgIJy22Rm6u-L7x7ZYhkvPKLChLfj-QyqmMX1J6_Uon-uk" TargetMode="External"/><Relationship Id="rId887" Type="http://schemas.openxmlformats.org/officeDocument/2006/relationships/hyperlink" Target="https://docs.google.com/forms/d/e/1FAIpQLSeQ0wUAy9WJrwwZ_8x6kCxvJSihLYtbLF2nbMncVH08fybLWQ/viewform?edit2=2_ABaOnuc0BvCAYCzuR4EFGscjtkS9snyu246E3BbYopNzoq50_ReSAX3Toi2bIIxNoBGGHs4" TargetMode="External"/><Relationship Id="rId402" Type="http://schemas.openxmlformats.org/officeDocument/2006/relationships/hyperlink" Target="https://docs.google.com/forms/d/e/1FAIpQLSeQ0wUAy9WJrwwZ_8x6kCxvJSihLYtbLF2nbMncVH08fybLWQ/viewform?edit2=2_ABaOnud6j8ZlEnd1o1s7sy0GU_cU74hwD3hEvzXbYAlMPQN7wdbtGp7kpusjn-rQ0EXiwNg" TargetMode="External"/><Relationship Id="rId644" Type="http://schemas.openxmlformats.org/officeDocument/2006/relationships/hyperlink" Target="https://drive.google.com/open?id=1BjU0XdK4Nec0LlLurvzpx2ZbTLKj0LJ8" TargetMode="External"/><Relationship Id="rId886" Type="http://schemas.openxmlformats.org/officeDocument/2006/relationships/hyperlink" Target="https://drive.google.com/open?id=1ImppjljO8L4M2xT78-pztJu-Qidf-FDK" TargetMode="External"/><Relationship Id="rId401" Type="http://schemas.openxmlformats.org/officeDocument/2006/relationships/hyperlink" Target="https://docs.google.com/forms/d/e/1FAIpQLSeQ0wUAy9WJrwwZ_8x6kCxvJSihLYtbLF2nbMncVH08fybLWQ/viewform?edit2=2_ABaOnufy24sXkIzB9mTGNt4UlVTyS5ZWW7ikRp28yseuSVxk0r0sg0KV2uUoC_33wl7tEeo" TargetMode="External"/><Relationship Id="rId643" Type="http://schemas.openxmlformats.org/officeDocument/2006/relationships/hyperlink" Target="https://docs.google.com/forms/d/e/1FAIpQLSeQ0wUAy9WJrwwZ_8x6kCxvJSihLYtbLF2nbMncVH08fybLWQ/viewform?edit2=2_ABaOnucx4E0ERj7P0O1k3CioCzkE-lufJyoJpollnB0cWkKm-hu8kdkTvMX-oNd5cjPwF5c" TargetMode="External"/><Relationship Id="rId885" Type="http://schemas.openxmlformats.org/officeDocument/2006/relationships/hyperlink" Target="https://docs.google.com/forms/d/e/1FAIpQLSeQ0wUAy9WJrwwZ_8x6kCxvJSihLYtbLF2nbMncVH08fybLWQ/viewform?edit2=2_ABaOnud3vq0h4gLDkA6JM2I5OzsSunmdGTdVvfT7NSAFS9Dripat2pX9_66d42lldqWeBfE" TargetMode="External"/><Relationship Id="rId408" Type="http://schemas.openxmlformats.org/officeDocument/2006/relationships/hyperlink" Target="https://docs.google.com/forms/d/e/1FAIpQLSeQ0wUAy9WJrwwZ_8x6kCxvJSihLYtbLF2nbMncVH08fybLWQ/viewform?edit2=2_ABaOnuf8trRvJYjz9cMlZNxTaL2iAMw1BfDUTU6WlZdiKRxX1YwD1tDaKvq4r8-jM4eN1O4" TargetMode="External"/><Relationship Id="rId407" Type="http://schemas.openxmlformats.org/officeDocument/2006/relationships/hyperlink" Target="https://docs.google.com/forms/d/e/1FAIpQLSeQ0wUAy9WJrwwZ_8x6kCxvJSihLYtbLF2nbMncVH08fybLWQ/viewform?edit2=2_ABaOnue1Qf0QljZgM1VwLznCiCZVauHUoLI7Dne9hroAeHJWH3gxo57FjFc8i96JMnfDUNk" TargetMode="External"/><Relationship Id="rId649" Type="http://schemas.openxmlformats.org/officeDocument/2006/relationships/hyperlink" Target="https://docs.google.com/forms/d/e/1FAIpQLSeQ0wUAy9WJrwwZ_8x6kCxvJSihLYtbLF2nbMncVH08fybLWQ/viewform?edit2=2_ABaOnufJ3U08Kv2M30xzjG71WNxYyx8eECn4bTNLG9UsrlpveZ_toHoBiw724qqWz4F73oo" TargetMode="External"/><Relationship Id="rId406" Type="http://schemas.openxmlformats.org/officeDocument/2006/relationships/hyperlink" Target="https://docs.google.com/forms/d/e/1FAIpQLSeQ0wUAy9WJrwwZ_8x6kCxvJSihLYtbLF2nbMncVH08fybLWQ/viewform?edit2=2_ABaOnufScehqWrOimrbTIpwWyDA34cjiGh9NGkihkRp16h2ag7qVM2R7AFOlt-CCQMDCmbw" TargetMode="External"/><Relationship Id="rId648" Type="http://schemas.openxmlformats.org/officeDocument/2006/relationships/hyperlink" Target="https://drive.google.com/open?id=1Tw6Vt8NC9fa68ywFdWAnWQys9O7vZKqA" TargetMode="External"/><Relationship Id="rId405" Type="http://schemas.openxmlformats.org/officeDocument/2006/relationships/hyperlink" Target="https://docs.google.com/forms/d/e/1FAIpQLSeQ0wUAy9WJrwwZ_8x6kCxvJSihLYtbLF2nbMncVH08fybLWQ/viewform?edit2=2_ABaOnudYvLDGobDqUsYNXfVQMH00Mz4eMKVPoLH9EkhLPKt9-8dnhSKF4lKo50Sa3vCF-Fk" TargetMode="External"/><Relationship Id="rId647" Type="http://schemas.openxmlformats.org/officeDocument/2006/relationships/hyperlink" Target="https://docs.google.com/forms/d/e/1FAIpQLSeQ0wUAy9WJrwwZ_8x6kCxvJSihLYtbLF2nbMncVH08fybLWQ/viewform?edit2=2_ABaOnue0PwtujxbffMj5A70HrzYrtAwghktEJegXFR8L9sWxJ4I5a4SHgGc7F1nrEQSqPFs" TargetMode="External"/><Relationship Id="rId889" Type="http://schemas.openxmlformats.org/officeDocument/2006/relationships/hyperlink" Target="https://docs.google.com/forms/d/e/1FAIpQLSeQ0wUAy9WJrwwZ_8x6kCxvJSihLYtbLF2nbMncVH08fybLWQ/viewform?edit2=2_ABaOnueAX5M1AdFbAKel3QKMH8QAWOc32dcwpxXbGuzhLQu_mWV7C-yzHuTdmlIp6IMFU-M" TargetMode="External"/><Relationship Id="rId880" Type="http://schemas.openxmlformats.org/officeDocument/2006/relationships/hyperlink" Target="https://docs.google.com/forms/d/e/1FAIpQLSeQ0wUAy9WJrwwZ_8x6kCxvJSihLYtbLF2nbMncVH08fybLWQ/viewform?edit2=2_ABaOnue3EZTN-w82jr1xaHiiuY9Np-stfoRl5sWruwU1sKjUy7ReIz_xUFMHGBAZATacMHI" TargetMode="External"/><Relationship Id="rId400" Type="http://schemas.openxmlformats.org/officeDocument/2006/relationships/hyperlink" Target="https://docs.google.com/forms/d/e/1FAIpQLSeQ0wUAy9WJrwwZ_8x6kCxvJSihLYtbLF2nbMncVH08fybLWQ/viewform?edit2=2_ABaOnufXEtLAplNlrwFinHVUBxVK-th2OJ9PMo6bn6rWfpeBBbzPJJ2wGqCrc5EWaIkV5_E" TargetMode="External"/><Relationship Id="rId642" Type="http://schemas.openxmlformats.org/officeDocument/2006/relationships/hyperlink" Target="https://docs.google.com/forms/d/e/1FAIpQLSeQ0wUAy9WJrwwZ_8x6kCxvJSihLYtbLF2nbMncVH08fybLWQ/viewform?edit2=2_ABaOnudY_GrwP6QPEFv3qgD0IUoEHudTRCn9_Hvp63MF4NHgZEs3PbQdRr-RxK_UJGVotYY" TargetMode="External"/><Relationship Id="rId884" Type="http://schemas.openxmlformats.org/officeDocument/2006/relationships/hyperlink" Target="https://drive.google.com/open?id=1KQUceHGd75LgyfkfZNZGY1Qh9tDQ_Y-Y" TargetMode="External"/><Relationship Id="rId641" Type="http://schemas.openxmlformats.org/officeDocument/2006/relationships/hyperlink" Target="https://docs.google.com/forms/d/e/1FAIpQLSeQ0wUAy9WJrwwZ_8x6kCxvJSihLYtbLF2nbMncVH08fybLWQ/viewform?edit2=2_ABaOnufSUhRrBI7eIUXQOLaXzc04i1qcOaXrnbDhHoFuHMqukaa3V4HTQEUKrKeqpE3PRg0" TargetMode="External"/><Relationship Id="rId883" Type="http://schemas.openxmlformats.org/officeDocument/2006/relationships/hyperlink" Target="https://docs.google.com/forms/d/e/1FAIpQLSeQ0wUAy9WJrwwZ_8x6kCxvJSihLYtbLF2nbMncVH08fybLWQ/viewform?edit2=2_ABaOnuco-1gfYuMVo29bI8O0Rs_AlxbOf72U60ABetXvTiyVG_asSvBUtFbPDs1zJUEhf4k" TargetMode="External"/><Relationship Id="rId640" Type="http://schemas.openxmlformats.org/officeDocument/2006/relationships/hyperlink" Target="https://docs.google.com/forms/d/e/1FAIpQLSeQ0wUAy9WJrwwZ_8x6kCxvJSihLYtbLF2nbMncVH08fybLWQ/viewform?edit2=2_ABaOnucxXXl5UL-KnEdMk2Cuz7oThEs48bj7zlQ0s8BoBZaNH7rbzxNUePWt01khT2fBn28" TargetMode="External"/><Relationship Id="rId882" Type="http://schemas.openxmlformats.org/officeDocument/2006/relationships/hyperlink" Target="https://drive.google.com/open?id=1YZQJuZWm_bjuw4SFGJxl3epfWE5exegV" TargetMode="External"/><Relationship Id="rId881" Type="http://schemas.openxmlformats.org/officeDocument/2006/relationships/hyperlink" Target="https://docs.google.com/forms/d/e/1FAIpQLSeQ0wUAy9WJrwwZ_8x6kCxvJSihLYtbLF2nbMncVH08fybLWQ/viewform?edit2=2_ABaOnufWN5v6sXIVJ94_MZOOXl51r4E2G48OCDcKc9kPVDgHByTU--1vvoGOJxss7OrX5Fs" TargetMode="External"/><Relationship Id="rId635" Type="http://schemas.openxmlformats.org/officeDocument/2006/relationships/hyperlink" Target="https://docs.google.com/forms/d/e/1FAIpQLSeQ0wUAy9WJrwwZ_8x6kCxvJSihLYtbLF2nbMncVH08fybLWQ/viewform?edit2=2_ABaOnueyTufgAspkYusyzJfJ0KQ6W6lru4ERwn5ycw_czsbZF-JEog1FVlMQ6aa1IgKUvwY" TargetMode="External"/><Relationship Id="rId877" Type="http://schemas.openxmlformats.org/officeDocument/2006/relationships/hyperlink" Target="https://docs.google.com/forms/d/e/1FAIpQLSeQ0wUAy9WJrwwZ_8x6kCxvJSihLYtbLF2nbMncVH08fybLWQ/viewform?edit2=2_ABaOnuegcNIbJODy1p5R1lu6HYpGtfEoyyWCNU_vesLM22O2PX478W3R_jStzmc53gY2pYE" TargetMode="External"/><Relationship Id="rId634" Type="http://schemas.openxmlformats.org/officeDocument/2006/relationships/hyperlink" Target="https://docs.google.com/forms/d/e/1FAIpQLSeQ0wUAy9WJrwwZ_8x6kCxvJSihLYtbLF2nbMncVH08fybLWQ/viewform?edit2=2_ABaOnucFw-MqSZw3txcHVDGjlVBufL9khOREYDhyeIsUfufW1QGtTc-J7KuSFLL6R9gLUS0" TargetMode="External"/><Relationship Id="rId876" Type="http://schemas.openxmlformats.org/officeDocument/2006/relationships/hyperlink" Target="https://docs.google.com/forms/d/e/1FAIpQLSeQ0wUAy9WJrwwZ_8x6kCxvJSihLYtbLF2nbMncVH08fybLWQ/viewform?edit2=2_ABaOnucPFAPiQnoYdacQnFYKAZd-JIvXn0lf64QtmotMBXmIOPuSFoo2oCqaJ6i-95Hsj4g" TargetMode="External"/><Relationship Id="rId633" Type="http://schemas.openxmlformats.org/officeDocument/2006/relationships/hyperlink" Target="https://docs.google.com/forms/d/e/1FAIpQLSeQ0wUAy9WJrwwZ_8x6kCxvJSihLYtbLF2nbMncVH08fybLWQ/viewform?edit2=2_ABaOnufsfaR5ycnh3AOCiLpdFwYxBHmE9cjo79hCNYt1sMB61gjizHWYuX5Y_EF30S3nEuE" TargetMode="External"/><Relationship Id="rId875" Type="http://schemas.openxmlformats.org/officeDocument/2006/relationships/hyperlink" Target="https://docs.google.com/forms/d/e/1FAIpQLSeQ0wUAy9WJrwwZ_8x6kCxvJSihLYtbLF2nbMncVH08fybLWQ/viewform?edit2=2_ABaOnuco2JJQgqZZYoAAOeiMHacd6xxe99enEwyZvDtc0_QwlDCJSDHyV-Vj8NI-xS-dqKs" TargetMode="External"/><Relationship Id="rId632" Type="http://schemas.openxmlformats.org/officeDocument/2006/relationships/hyperlink" Target="https://docs.google.com/forms/d/e/1FAIpQLSeQ0wUAy9WJrwwZ_8x6kCxvJSihLYtbLF2nbMncVH08fybLWQ/viewform?edit2=2_ABaOnudQL1dsk4dVeDXGGCPztdBghrImd9P5LvgcdF0ePVuz_mC5WLfZspVaZrf4C5l_ri8" TargetMode="External"/><Relationship Id="rId874" Type="http://schemas.openxmlformats.org/officeDocument/2006/relationships/hyperlink" Target="https://docs.google.com/forms/d/e/1FAIpQLSeQ0wUAy9WJrwwZ_8x6kCxvJSihLYtbLF2nbMncVH08fybLWQ/viewform?edit2=2_ABaOnufX7Ob2ByVVVlYKrJD1H-fPAImp7TInplzpD4efbuTTB-SDOM2YAlCV_vQDeoof6G0" TargetMode="External"/><Relationship Id="rId639" Type="http://schemas.openxmlformats.org/officeDocument/2006/relationships/hyperlink" Target="https://drive.google.com/open?id=1TN62czRromC6SWLgmlgz9gcVusF9BPcg" TargetMode="External"/><Relationship Id="rId638" Type="http://schemas.openxmlformats.org/officeDocument/2006/relationships/hyperlink" Target="https://docs.google.com/forms/d/e/1FAIpQLSeQ0wUAy9WJrwwZ_8x6kCxvJSihLYtbLF2nbMncVH08fybLWQ/viewform?edit2=2_ABaOnucoexvCLD-iz3D7jcyQcPKNBBwesmeKb8zv7vRM1LEE8KH68Gt-a5HCZK9aECOQPxM" TargetMode="External"/><Relationship Id="rId637" Type="http://schemas.openxmlformats.org/officeDocument/2006/relationships/hyperlink" Target="https://docs.google.com/forms/d/e/1FAIpQLSeQ0wUAy9WJrwwZ_8x6kCxvJSihLYtbLF2nbMncVH08fybLWQ/viewform?edit2=2_ABaOnuflVD_4IerbKE73uyXUciuA2xQwbFa2SgXiLvw3JYnxZ3ILZHzkLVJfzr_odicPzCU" TargetMode="External"/><Relationship Id="rId879" Type="http://schemas.openxmlformats.org/officeDocument/2006/relationships/hyperlink" Target="https://docs.google.com/forms/d/e/1FAIpQLSeQ0wUAy9WJrwwZ_8x6kCxvJSihLYtbLF2nbMncVH08fybLWQ/viewform?edit2=2_ABaOnudpCTkTFd_EuR_Q5Ltai6_XfN72rFPyYWz7lN5--rXbRmusIJVwhPpQHqTYqmii2sg" TargetMode="External"/><Relationship Id="rId636" Type="http://schemas.openxmlformats.org/officeDocument/2006/relationships/hyperlink" Target="https://docs.google.com/forms/d/e/1FAIpQLSeQ0wUAy9WJrwwZ_8x6kCxvJSihLYtbLF2nbMncVH08fybLWQ/viewform?edit2=2_ABaOnuc0N-MMK_8QRoIi5acsDw-q_a3YR6sAyArpP-3zuBbo1vjKljjJ6cIw4kBOsHvH2M0" TargetMode="External"/><Relationship Id="rId878" Type="http://schemas.openxmlformats.org/officeDocument/2006/relationships/hyperlink" Target="https://docs.google.com/forms/d/e/1FAIpQLSeQ0wUAy9WJrwwZ_8x6kCxvJSihLYtbLF2nbMncVH08fybLWQ/viewform?edit2=2_ABaOnufGe8sWpZyrwd6c1XHOevTkPkIReOZ5piIm-Wub8zB3bXZ-guyQOMZqkV4vS98levs" TargetMode="External"/><Relationship Id="rId631" Type="http://schemas.openxmlformats.org/officeDocument/2006/relationships/hyperlink" Target="https://docs.google.com/forms/d/e/1FAIpQLSeQ0wUAy9WJrwwZ_8x6kCxvJSihLYtbLF2nbMncVH08fybLWQ/viewform?edit2=2_ABaOnueyDJc5rk9X5ATm1p8smxEt2GmhqpgAt8C7YqMUYoYKstALm3PWZ4vkuG1NVEDU4_s" TargetMode="External"/><Relationship Id="rId873" Type="http://schemas.openxmlformats.org/officeDocument/2006/relationships/hyperlink" Target="https://docs.google.com/forms/d/e/1FAIpQLSeQ0wUAy9WJrwwZ_8x6kCxvJSihLYtbLF2nbMncVH08fybLWQ/viewform?edit2=2_ABaOnudeNdJOt3wgcRKNPyTzlzefM1BVzPVQrHNxOKRfPTkES_KAasQH2qfKBeTojg5wpkM" TargetMode="External"/><Relationship Id="rId630" Type="http://schemas.openxmlformats.org/officeDocument/2006/relationships/hyperlink" Target="https://docs.google.com/forms/d/e/1FAIpQLSeQ0wUAy9WJrwwZ_8x6kCxvJSihLYtbLF2nbMncVH08fybLWQ/viewform?edit2=2_ABaOnufayZ2u-A0gekkwhd9dfjsvFLjkv50MlstQ2DO1UOrkuF5R9PxCsJ-GQUHACcPZ-BQ" TargetMode="External"/><Relationship Id="rId872" Type="http://schemas.openxmlformats.org/officeDocument/2006/relationships/hyperlink" Target="https://docs.google.com/forms/d/e/1FAIpQLSeQ0wUAy9WJrwwZ_8x6kCxvJSihLYtbLF2nbMncVH08fybLWQ/viewform?edit2=2_ABaOnuf0CZd2lVRoWaOrJ7eSwPRUpVGXQ2G1dbKIMf-ZYW32s7Y9b7DfIu37YWyKKhcJs64" TargetMode="External"/><Relationship Id="rId871" Type="http://schemas.openxmlformats.org/officeDocument/2006/relationships/hyperlink" Target="https://docs.google.com/forms/d/e/1FAIpQLSeQ0wUAy9WJrwwZ_8x6kCxvJSihLYtbLF2nbMncVH08fybLWQ/viewform?edit2=2_ABaOnuesnt-Gkr7fMNeOrLMXXFDXChfcTMnXv-FgpInRN2K32te5dMoo9GWDRZkcWED-ZAY" TargetMode="External"/><Relationship Id="rId870" Type="http://schemas.openxmlformats.org/officeDocument/2006/relationships/hyperlink" Target="https://docs.google.com/forms/d/e/1FAIpQLSeQ0wUAy9WJrwwZ_8x6kCxvJSihLYtbLF2nbMncVH08fybLWQ/viewform?edit2=2_ABaOnuehPXdUO9UK-a5P40-sZvsZeDoazGi0V3D1HpV5Xfz4bgkZlBpU_zFW3fVHAlSZQLQ" TargetMode="External"/><Relationship Id="rId829" Type="http://schemas.openxmlformats.org/officeDocument/2006/relationships/hyperlink" Target="https://docs.google.com/forms/d/e/1FAIpQLSeQ0wUAy9WJrwwZ_8x6kCxvJSihLYtbLF2nbMncVH08fybLWQ/viewform?edit2=2_ABaOnucdheiS_42jK0-UlOeoEavEWZ4mZ91UW28Rr4prnapJyzcyaMFHyD8kG1QFjxk_j8I" TargetMode="External"/><Relationship Id="rId828" Type="http://schemas.openxmlformats.org/officeDocument/2006/relationships/hyperlink" Target="https://docs.google.com/forms/d/e/1FAIpQLSeQ0wUAy9WJrwwZ_8x6kCxvJSihLYtbLF2nbMncVH08fybLWQ/viewform?edit2=2_ABaOnud0k95zAdvZ1VD3DkB_1SQwMS4g_4qH505uAJvJfZ8W8HSaK_1IdMkThZtivVdxo-o" TargetMode="External"/><Relationship Id="rId827" Type="http://schemas.openxmlformats.org/officeDocument/2006/relationships/hyperlink" Target="https://docs.google.com/forms/d/e/1FAIpQLSeQ0wUAy9WJrwwZ_8x6kCxvJSihLYtbLF2nbMncVH08fybLWQ/viewform?edit2=2_ABaOnuf8eBoJtBTswnR62qW7LExOtHQix4jRsb6Qnz2XEveEdi5pxSy9za9C0Te231GpXD4" TargetMode="External"/><Relationship Id="rId822" Type="http://schemas.openxmlformats.org/officeDocument/2006/relationships/hyperlink" Target="https://docs.google.com/forms/d/e/1FAIpQLSeQ0wUAy9WJrwwZ_8x6kCxvJSihLYtbLF2nbMncVH08fybLWQ/viewform?edit2=2_ABaOnufm7PX_OaSVUxlBc7A9ReSMjaJba_WdAUoxKKqbm6RGw21R4RS6Q7phhZlB-BswY3k" TargetMode="External"/><Relationship Id="rId821" Type="http://schemas.openxmlformats.org/officeDocument/2006/relationships/hyperlink" Target="https://docs.google.com/forms/d/e/1FAIpQLSeQ0wUAy9WJrwwZ_8x6kCxvJSihLYtbLF2nbMncVH08fybLWQ/viewform?edit2=2_ABaOnudajx4Pnc9dJSX3LeHcygB4UhMh-bIvKK0C9Z2OKrBWivc3rnso5Y5Z7fgxvZqWuvw" TargetMode="External"/><Relationship Id="rId820" Type="http://schemas.openxmlformats.org/officeDocument/2006/relationships/hyperlink" Target="https://docs.google.com/forms/d/e/1FAIpQLSeQ0wUAy9WJrwwZ_8x6kCxvJSihLYtbLF2nbMncVH08fybLWQ/viewform?edit2=2_ABaOnueiIIecfTLlqT2dnp3Seo3Fg2oVGqLa_ZQL8pZ3iiBtn5U3_mBaHJtBt0jG-UUB4Ck" TargetMode="External"/><Relationship Id="rId826" Type="http://schemas.openxmlformats.org/officeDocument/2006/relationships/hyperlink" Target="https://docs.google.com/forms/d/e/1FAIpQLSeQ0wUAy9WJrwwZ_8x6kCxvJSihLYtbLF2nbMncVH08fybLWQ/viewform?edit2=2_ABaOnueJuuEoWQqltfLvvZRYFx3zR3MbgboAuedhOvZWb_KTcl7y-_Is4Y3QlMH2oiG8vwY" TargetMode="External"/><Relationship Id="rId825" Type="http://schemas.openxmlformats.org/officeDocument/2006/relationships/hyperlink" Target="https://docs.google.com/forms/d/e/1FAIpQLSeQ0wUAy9WJrwwZ_8x6kCxvJSihLYtbLF2nbMncVH08fybLWQ/viewform?edit2=2_ABaOnue1mKS_s9JUleriR8164K0k4C1Vtf2YnVtpNaGkF7cppu56u-3lQJcm9yLJe8NEWfs" TargetMode="External"/><Relationship Id="rId824" Type="http://schemas.openxmlformats.org/officeDocument/2006/relationships/hyperlink" Target="https://docs.google.com/forms/d/e/1FAIpQLSeQ0wUAy9WJrwwZ_8x6kCxvJSihLYtbLF2nbMncVH08fybLWQ/viewform?edit2=2_ABaOnufx-4mLVek959Quz2SsnaWV2Xo5EzNfZ6k-0Cr-hyPIjE6CdFmwnxTb2enR-AyDq-A" TargetMode="External"/><Relationship Id="rId823" Type="http://schemas.openxmlformats.org/officeDocument/2006/relationships/hyperlink" Target="https://docs.google.com/forms/d/e/1FAIpQLSeQ0wUAy9WJrwwZ_8x6kCxvJSihLYtbLF2nbMncVH08fybLWQ/viewform?edit2=2_ABaOnucUGwHlVmd2Qx_2tXQcUtyctqOyvlLKabqg9GIUJNLF68s6wGrP193-4KkH0BlaQzA" TargetMode="External"/><Relationship Id="rId819" Type="http://schemas.openxmlformats.org/officeDocument/2006/relationships/hyperlink" Target="https://docs.google.com/forms/d/e/1FAIpQLSeQ0wUAy9WJrwwZ_8x6kCxvJSihLYtbLF2nbMncVH08fybLWQ/viewform?edit2=2_ABaOnuczHFxCtsj3AWBAeOlMw6qk8U6zJAJDya8RYCr7OF12FZj3VbPfdYj1D14OZ1TvtiA" TargetMode="External"/><Relationship Id="rId818" Type="http://schemas.openxmlformats.org/officeDocument/2006/relationships/hyperlink" Target="https://docs.google.com/forms/d/e/1FAIpQLSeQ0wUAy9WJrwwZ_8x6kCxvJSihLYtbLF2nbMncVH08fybLWQ/viewform?edit2=2_ABaOnud71KcQ_XUO87cRkYgiBJJVCj6tA8MkIpGuvHQKF7n02ukeHQrN76wojJ0hjimCCyc" TargetMode="External"/><Relationship Id="rId817" Type="http://schemas.openxmlformats.org/officeDocument/2006/relationships/hyperlink" Target="https://docs.google.com/forms/d/e/1FAIpQLSeQ0wUAy9WJrwwZ_8x6kCxvJSihLYtbLF2nbMncVH08fybLWQ/viewform?edit2=2_ABaOnud9cQe8ObG1-VJ910b6tn7xIqytKagg1srFluoVUdAW93wjftCIPc7n4gAKpN5jKtE" TargetMode="External"/><Relationship Id="rId816" Type="http://schemas.openxmlformats.org/officeDocument/2006/relationships/hyperlink" Target="https://drive.google.com/open?id=17JUDAaVHf0JB9mrc6GapCjql52wlbs9I" TargetMode="External"/><Relationship Id="rId811" Type="http://schemas.openxmlformats.org/officeDocument/2006/relationships/hyperlink" Target="https://docs.google.com/forms/d/e/1FAIpQLSeQ0wUAy9WJrwwZ_8x6kCxvJSihLYtbLF2nbMncVH08fybLWQ/viewform?edit2=2_ABaOnucTGzpLQRMIbscPCwo1HFb0TgBvJYigje8UkDlNRxHeuqjW5qwjjtYWH1zdYgfWGcc" TargetMode="External"/><Relationship Id="rId810" Type="http://schemas.openxmlformats.org/officeDocument/2006/relationships/hyperlink" Target="https://docs.google.com/forms/d/e/1FAIpQLSeQ0wUAy9WJrwwZ_8x6kCxvJSihLYtbLF2nbMncVH08fybLWQ/viewform?edit2=2_ABaOnufuqvqYWmza5ZQyCtApCDgxyYAOE3eLYzMn_SjZQ1clsJhhCMz3DsKW7bOB1RcARdc" TargetMode="External"/><Relationship Id="rId815" Type="http://schemas.openxmlformats.org/officeDocument/2006/relationships/hyperlink" Target="https://docs.google.com/forms/d/e/1FAIpQLSeQ0wUAy9WJrwwZ_8x6kCxvJSihLYtbLF2nbMncVH08fybLWQ/viewform?edit2=2_ABaOnufQpgqqrJurIgpybMKaMmURadSejzfxfbEMgMawJee99hulzVP8VesJ1_viToFjKXI" TargetMode="External"/><Relationship Id="rId814" Type="http://schemas.openxmlformats.org/officeDocument/2006/relationships/hyperlink" Target="https://docs.google.com/forms/d/e/1FAIpQLSeQ0wUAy9WJrwwZ_8x6kCxvJSihLYtbLF2nbMncVH08fybLWQ/viewform?edit2=2_ABaOnueu2MHUOjuQ8u3xmmYkAAAMAOh8misIeFCUTVhcFIzYyiYxCS5RuOD1fp61KdziErk" TargetMode="External"/><Relationship Id="rId813" Type="http://schemas.openxmlformats.org/officeDocument/2006/relationships/hyperlink" Target="https://docs.google.com/forms/d/e/1FAIpQLSeQ0wUAy9WJrwwZ_8x6kCxvJSihLYtbLF2nbMncVH08fybLWQ/viewform?edit2=2_ABaOnueOhXyJa-urY41estKnbGcsfUb-tf6TKcatlFoD5r6FhRLu74fzwEAyBnnhAg-b82E" TargetMode="External"/><Relationship Id="rId812" Type="http://schemas.openxmlformats.org/officeDocument/2006/relationships/hyperlink" Target="https://docs.google.com/forms/d/e/1FAIpQLSeQ0wUAy9WJrwwZ_8x6kCxvJSihLYtbLF2nbMncVH08fybLWQ/viewform?edit2=2_ABaOnueCqx3BuldFst-BPwPnTCJ295SRvZfg7qeWrylE0vt_QQxmz6e4ve7bPZeXbMom_pg" TargetMode="External"/><Relationship Id="rId609" Type="http://schemas.openxmlformats.org/officeDocument/2006/relationships/hyperlink" Target="https://docs.google.com/forms/d/e/1FAIpQLSeQ0wUAy9WJrwwZ_8x6kCxvJSihLYtbLF2nbMncVH08fybLWQ/viewform?edit2=2_ABaOnuca6Gd1MQ2c7t3kvOoafiRkswdJPkS297iFP7kZiJuB6bZ1guGSlPKEe-WKfqJw8ls" TargetMode="External"/><Relationship Id="rId608" Type="http://schemas.openxmlformats.org/officeDocument/2006/relationships/hyperlink" Target="https://docs.google.com/forms/d/e/1FAIpQLSeQ0wUAy9WJrwwZ_8x6kCxvJSihLYtbLF2nbMncVH08fybLWQ/viewform?edit2=2_ABaOnufBZuLciDMfXFuZxmAxRNRvsSPRYvfsDjMyu9ABkzG8NdtV1uOSVejJOWMQOvkTUto" TargetMode="External"/><Relationship Id="rId607" Type="http://schemas.openxmlformats.org/officeDocument/2006/relationships/hyperlink" Target="https://docs.google.com/forms/d/e/1FAIpQLSeQ0wUAy9WJrwwZ_8x6kCxvJSihLYtbLF2nbMncVH08fybLWQ/viewform?edit2=2_ABaOnud8DbEipDslFc1Y119oL6OzGbfbvRGz7D3sxfiCMGrBEtYpx3IcCzCvEeX4igrn2CA" TargetMode="External"/><Relationship Id="rId849" Type="http://schemas.openxmlformats.org/officeDocument/2006/relationships/hyperlink" Target="https://docs.google.com/forms/d/e/1FAIpQLSeQ0wUAy9WJrwwZ_8x6kCxvJSihLYtbLF2nbMncVH08fybLWQ/viewform?edit2=2_ABaOnueyeitRljxJIWzpBvDNtmxqAkMaI3DtPgR-DJAhwWqEkWAJbdHCqHRJ7D2ym4bQUEI" TargetMode="External"/><Relationship Id="rId602" Type="http://schemas.openxmlformats.org/officeDocument/2006/relationships/hyperlink" Target="https://docs.google.com/forms/d/e/1FAIpQLSeQ0wUAy9WJrwwZ_8x6kCxvJSihLYtbLF2nbMncVH08fybLWQ/viewform?edit2=2_ABaOnueuk4zxXJGbmezAjMOsF7pN3gQv4VEAFUHmDY_dq5p9T4jSVoKcfFYJCzF1Ce3lxLI" TargetMode="External"/><Relationship Id="rId844" Type="http://schemas.openxmlformats.org/officeDocument/2006/relationships/hyperlink" Target="https://drive.google.com/open?id=13K7vwj7X-F9bTajDclQIDhWgpoo9B1Dh" TargetMode="External"/><Relationship Id="rId601" Type="http://schemas.openxmlformats.org/officeDocument/2006/relationships/hyperlink" Target="https://docs.google.com/forms/d/e/1FAIpQLSeQ0wUAy9WJrwwZ_8x6kCxvJSihLYtbLF2nbMncVH08fybLWQ/viewform?edit2=2_ABaOnud6EfrIku1BB5vQPKVbyOcwez83Pu3aUUHkZgZnGj-LJXJerztiAAYHjPWKq4J9aSY" TargetMode="External"/><Relationship Id="rId843" Type="http://schemas.openxmlformats.org/officeDocument/2006/relationships/hyperlink" Target="https://docs.google.com/forms/d/e/1FAIpQLSeQ0wUAy9WJrwwZ_8x6kCxvJSihLYtbLF2nbMncVH08fybLWQ/viewform?edit2=2_ABaOnudfy0UoO3k-KT_e0jemMmofhL5PjtoPOaTQdvwN8BW2ILqPFDsJFLW43O2fPOcK44I" TargetMode="External"/><Relationship Id="rId600" Type="http://schemas.openxmlformats.org/officeDocument/2006/relationships/hyperlink" Target="https://docs.google.com/forms/d/e/1FAIpQLSeQ0wUAy9WJrwwZ_8x6kCxvJSihLYtbLF2nbMncVH08fybLWQ/viewform?edit2=2_ABaOnudII8Uv0MN4AfhI1Ro6mu8q814ATykTqj_iv0reHdWA0GdMyvNjctgk0lSyff_uQ9o" TargetMode="External"/><Relationship Id="rId842" Type="http://schemas.openxmlformats.org/officeDocument/2006/relationships/hyperlink" Target="https://docs.google.com/forms/d/e/1FAIpQLSeQ0wUAy9WJrwwZ_8x6kCxvJSihLYtbLF2nbMncVH08fybLWQ/viewform?edit2=2_ABaOnudXgoh4AnH1XWVdkaQpn0h5rBMjRE0wabBzXLTfXSNck-5ly5-rge_OPGTiq8YQsd4" TargetMode="External"/><Relationship Id="rId841" Type="http://schemas.openxmlformats.org/officeDocument/2006/relationships/hyperlink" Target="https://docs.google.com/forms/d/e/1FAIpQLSeQ0wUAy9WJrwwZ_8x6kCxvJSihLYtbLF2nbMncVH08fybLWQ/viewform?edit2=2_ABaOnufM0BCO5-IdYe0rIxUaXyUzmUJgk4GhvoH24_OB5BtgzxASJzutJY_YdQcCzHy6CUw" TargetMode="External"/><Relationship Id="rId606" Type="http://schemas.openxmlformats.org/officeDocument/2006/relationships/hyperlink" Target="https://docs.google.com/forms/d/e/1FAIpQLSeQ0wUAy9WJrwwZ_8x6kCxvJSihLYtbLF2nbMncVH08fybLWQ/viewform?edit2=2_ABaOnudMqMaACfr2_Q2BEgjoDCXoehekuFmmCEjuk_greAx8K-aprnMnDG8T1wSWJEd1v04" TargetMode="External"/><Relationship Id="rId848" Type="http://schemas.openxmlformats.org/officeDocument/2006/relationships/hyperlink" Target="https://docs.google.com/forms/d/e/1FAIpQLSeQ0wUAy9WJrwwZ_8x6kCxvJSihLYtbLF2nbMncVH08fybLWQ/viewform?edit2=2_ABaOnufUFqtS8QmGKp3iNdrdXihRpaHCdjaZ-TraFDVP-Ao-bu13W5SKQzvx8BeSFiEpu58" TargetMode="External"/><Relationship Id="rId605" Type="http://schemas.openxmlformats.org/officeDocument/2006/relationships/hyperlink" Target="https://docs.google.com/forms/d/e/1FAIpQLSeQ0wUAy9WJrwwZ_8x6kCxvJSihLYtbLF2nbMncVH08fybLWQ/viewform?edit2=2_ABaOnufmnx2qTPsTPPsGJKrEBpK2-oNVy_avRtnK_nLKlElC9TqrWDEkRtJ3Z1rb63EFiyg" TargetMode="External"/><Relationship Id="rId847" Type="http://schemas.openxmlformats.org/officeDocument/2006/relationships/hyperlink" Target="https://docs.google.com/forms/d/e/1FAIpQLSeQ0wUAy9WJrwwZ_8x6kCxvJSihLYtbLF2nbMncVH08fybLWQ/viewform?edit2=2_ABaOnuddcKnTFjVO9nso86Z1Kdy6MuCt5FDYzEj8fSHGDUo3ETmBZsy4zO3k5cb8_zJY1Ms" TargetMode="External"/><Relationship Id="rId604" Type="http://schemas.openxmlformats.org/officeDocument/2006/relationships/hyperlink" Target="https://docs.google.com/forms/d/e/1FAIpQLSeQ0wUAy9WJrwwZ_8x6kCxvJSihLYtbLF2nbMncVH08fybLWQ/viewform?edit2=2_ABaOnucuwRVvGGg3JdER_621wrPn-e6lUIHSvTt78n3w374mpuzy8YfQTL0hOjAyuOuVasc" TargetMode="External"/><Relationship Id="rId846" Type="http://schemas.openxmlformats.org/officeDocument/2006/relationships/hyperlink" Target="https://docs.google.com/forms/d/e/1FAIpQLSeQ0wUAy9WJrwwZ_8x6kCxvJSihLYtbLF2nbMncVH08fybLWQ/viewform?edit2=2_ABaOnudqGRmFECH9WAn6ojx_q2G4wVo1dC9iOV1hHK_Iu0PFi4D_HZwnHeIEnOh__10ZRms" TargetMode="External"/><Relationship Id="rId603" Type="http://schemas.openxmlformats.org/officeDocument/2006/relationships/hyperlink" Target="https://docs.google.com/forms/d/e/1FAIpQLSeQ0wUAy9WJrwwZ_8x6kCxvJSihLYtbLF2nbMncVH08fybLWQ/viewform?edit2=2_ABaOnuetyJjMg8Kyy0x1BWol3aULuw743Q4xm-qOvpvpxdn4B6bosF5DzDzHxhX_-uVKpCE" TargetMode="External"/><Relationship Id="rId845" Type="http://schemas.openxmlformats.org/officeDocument/2006/relationships/hyperlink" Target="https://docs.google.com/forms/d/e/1FAIpQLSeQ0wUAy9WJrwwZ_8x6kCxvJSihLYtbLF2nbMncVH08fybLWQ/viewform?edit2=2_ABaOnueBTMxGgcaRlMaOu-3cUZtq3jYXBSRKS8kuY6JFzamFSDEPCWL9uedC5HAmUQlVgio" TargetMode="External"/><Relationship Id="rId840" Type="http://schemas.openxmlformats.org/officeDocument/2006/relationships/hyperlink" Target="https://docs.google.com/forms/d/e/1FAIpQLSeQ0wUAy9WJrwwZ_8x6kCxvJSihLYtbLF2nbMncVH08fybLWQ/viewform?edit2=2_ABaOnuciSfgZANbpXLxwl-BgdN7xcOBXnYOxpiweqK8KRtva0Lwnpu3vaNVuScpvW74_ASo" TargetMode="External"/><Relationship Id="rId839" Type="http://schemas.openxmlformats.org/officeDocument/2006/relationships/hyperlink" Target="https://drive.google.com/open?id=1Jzh_HYdLAQHA3iYw6xdwURhq0besvcqk" TargetMode="External"/><Relationship Id="rId838" Type="http://schemas.openxmlformats.org/officeDocument/2006/relationships/hyperlink" Target="https://docs.google.com/forms/d/e/1FAIpQLSeQ0wUAy9WJrwwZ_8x6kCxvJSihLYtbLF2nbMncVH08fybLWQ/viewform?edit2=2_ABaOnueOFbGkTWHGunIp2JYUBEdMcBbT5awKxi_O-otMdvU2_-j9kTkVdiRNARlliX51TEs" TargetMode="External"/><Relationship Id="rId833" Type="http://schemas.openxmlformats.org/officeDocument/2006/relationships/hyperlink" Target="https://docs.google.com/forms/d/e/1FAIpQLSeQ0wUAy9WJrwwZ_8x6kCxvJSihLYtbLF2nbMncVH08fybLWQ/viewform?edit2=2_ABaOnufqiXKYqcgA9WC6ZPBt4uqPVBofVeEsVC0lGy0FHuUpyhVLQD7kYSsNh37_CtP4Y24" TargetMode="External"/><Relationship Id="rId832" Type="http://schemas.openxmlformats.org/officeDocument/2006/relationships/hyperlink" Target="https://docs.google.com/forms/d/e/1FAIpQLSeQ0wUAy9WJrwwZ_8x6kCxvJSihLYtbLF2nbMncVH08fybLWQ/viewform?edit2=2_ABaOnue5pCgf-OWSV3bMCLNl1KpFYYEu6YMzwQmSre_P3fnASNRET87mPX9IT7WohrJ3lIk" TargetMode="External"/><Relationship Id="rId831" Type="http://schemas.openxmlformats.org/officeDocument/2006/relationships/hyperlink" Target="https://docs.google.com/forms/d/e/1FAIpQLSeQ0wUAy9WJrwwZ_8x6kCxvJSihLYtbLF2nbMncVH08fybLWQ/viewform?edit2=2_ABaOnuc9S8lT_GzlM85StgsWBuP7oqCG1hLKAkshmmsp5mhZ4ozTKui6zGQjJ4o27gfcueI" TargetMode="External"/><Relationship Id="rId830" Type="http://schemas.openxmlformats.org/officeDocument/2006/relationships/hyperlink" Target="https://docs.google.com/forms/d/e/1FAIpQLSeQ0wUAy9WJrwwZ_8x6kCxvJSihLYtbLF2nbMncVH08fybLWQ/viewform?edit2=2_ABaOnufsFT8yAtZw8uO2xA4Iv5-Y-R28kPfI-O9n7kGHJ7nj46wqTqWpnPk7inNoiWWekqg" TargetMode="External"/><Relationship Id="rId837" Type="http://schemas.openxmlformats.org/officeDocument/2006/relationships/hyperlink" Target="https://drive.google.com/open?id=1VORNPQAji1qZh5u8EFH70kpF9Ltjoazj" TargetMode="External"/><Relationship Id="rId836" Type="http://schemas.openxmlformats.org/officeDocument/2006/relationships/hyperlink" Target="https://docs.google.com/forms/d/e/1FAIpQLSeQ0wUAy9WJrwwZ_8x6kCxvJSihLYtbLF2nbMncVH08fybLWQ/viewform?edit2=2_ABaOnudHgrrYIgsgdS_BdCuOvyjSrXKmkB8rBEGbueEx7rFdn1Rr-AHstQi35sF5LARGA2I" TargetMode="External"/><Relationship Id="rId835" Type="http://schemas.openxmlformats.org/officeDocument/2006/relationships/hyperlink" Target="https://drive.google.com/open?id=1X154aj76aKcudIe1ppU7_3pXur0J1oXd" TargetMode="External"/><Relationship Id="rId834" Type="http://schemas.openxmlformats.org/officeDocument/2006/relationships/hyperlink" Target="https://docs.google.com/forms/d/e/1FAIpQLSeQ0wUAy9WJrwwZ_8x6kCxvJSihLYtbLF2nbMncVH08fybLWQ/viewform?edit2=2_ABaOnudCPoWgDWqvZCseo82R2Fj29aZcJ_SwM3soFJD6QQr5JoMdprMi2_fr0eu16TbDrMA" TargetMode="External"/><Relationship Id="rId228" Type="http://schemas.openxmlformats.org/officeDocument/2006/relationships/hyperlink" Target="https://docs.google.com/forms/d/e/1FAIpQLSeQ0wUAy9WJrwwZ_8x6kCxvJSihLYtbLF2nbMncVH08fybLWQ/viewform?edit2=2_ABaOnufPlrb8lXPNpvCRDfAioyYdTSN4Z13j_JAFuVtfngqFBrHL53TYARQRdWDvOmXipwo" TargetMode="External"/><Relationship Id="rId227" Type="http://schemas.openxmlformats.org/officeDocument/2006/relationships/hyperlink" Target="https://docs.google.com/forms/d/e/1FAIpQLSeQ0wUAy9WJrwwZ_8x6kCxvJSihLYtbLF2nbMncVH08fybLWQ/viewform?edit2=2_ABaOnuf3EgemDqFjcY1VqhlfEl8UOJTiMfQGk2oRgpasSBidayXrXdddETYRrQsRq8P6aMw" TargetMode="External"/><Relationship Id="rId469" Type="http://schemas.openxmlformats.org/officeDocument/2006/relationships/hyperlink" Target="https://docs.google.com/forms/d/e/1FAIpQLSeQ0wUAy9WJrwwZ_8x6kCxvJSihLYtbLF2nbMncVH08fybLWQ/viewform?edit2=2_ABaOnucOuvDk9zCRSuaSxSGfXIvemvDwPG3quI2tnVpbe8BXR5vD3kO8Mtk0VmhIim3o1vg" TargetMode="External"/><Relationship Id="rId226" Type="http://schemas.openxmlformats.org/officeDocument/2006/relationships/hyperlink" Target="https://docs.google.com/forms/d/e/1FAIpQLSeQ0wUAy9WJrwwZ_8x6kCxvJSihLYtbLF2nbMncVH08fybLWQ/viewform?edit2=2_ABaOnufy_RYwBy3YJNbKuu2cMzm1o2mvGRWXEaJ19OEZihwHNWziv3oYSphOdbysTiOpQwY" TargetMode="External"/><Relationship Id="rId468" Type="http://schemas.openxmlformats.org/officeDocument/2006/relationships/hyperlink" Target="https://docs.google.com/forms/d/e/1FAIpQLSeQ0wUAy9WJrwwZ_8x6kCxvJSihLYtbLF2nbMncVH08fybLWQ/viewform?edit2=2_ABaOnucNWK_wxBmFhoCLNPDqtsL3qQ3mDukW2MHWbDR_1WzwKOaieDw-0h8S9SO8dwuYMtc" TargetMode="External"/><Relationship Id="rId225" Type="http://schemas.openxmlformats.org/officeDocument/2006/relationships/hyperlink" Target="https://docs.google.com/forms/d/e/1FAIpQLSeQ0wUAy9WJrwwZ_8x6kCxvJSihLYtbLF2nbMncVH08fybLWQ/viewform?edit2=2_ABaOnuf7Vh7VlCVd2HAM0IPzJAexSt79k-nBGKu70Du5OK2x7uOuszJ7V6KP4_WV5cof7yQ" TargetMode="External"/><Relationship Id="rId467" Type="http://schemas.openxmlformats.org/officeDocument/2006/relationships/hyperlink" Target="https://docs.google.com/forms/d/e/1FAIpQLSeQ0wUAy9WJrwwZ_8x6kCxvJSihLYtbLF2nbMncVH08fybLWQ/viewform?edit2=2_ABaOnudE_dkWuy1HcWUzmqpQIv6YOz8S4TG57CdLl_S_HhE_LVudK0ebRPsuw9U_GQrPMD0" TargetMode="External"/><Relationship Id="rId229" Type="http://schemas.openxmlformats.org/officeDocument/2006/relationships/hyperlink" Target="https://docs.google.com/forms/d/e/1FAIpQLSeQ0wUAy9WJrwwZ_8x6kCxvJSihLYtbLF2nbMncVH08fybLWQ/viewform?edit2=2_ABaOnud1eiEUb5QbKCL9OY0PcEvjFd1Umfo3KiOtPUpJt6Ei1WSila-DwfLdbIV90McSMhQ" TargetMode="External"/><Relationship Id="rId220" Type="http://schemas.openxmlformats.org/officeDocument/2006/relationships/hyperlink" Target="https://docs.google.com/forms/d/e/1FAIpQLSeQ0wUAy9WJrwwZ_8x6kCxvJSihLYtbLF2nbMncVH08fybLWQ/viewform?edit2=2_ABaOnucU_trc7fvF7xXCu--cn3v8qz35xtXumwbAWMtVBIay8zyx9ijdZRI45YjRnOeHNQw" TargetMode="External"/><Relationship Id="rId462" Type="http://schemas.openxmlformats.org/officeDocument/2006/relationships/hyperlink" Target="https://docs.google.com/forms/d/e/1FAIpQLSeQ0wUAy9WJrwwZ_8x6kCxvJSihLYtbLF2nbMncVH08fybLWQ/viewform?edit2=2_ABaOnudU5mIQn1mNIEe5IC7TYR2a-e4L5V_anBZVBxchUgzzUWZTUu8YLN8i8nT6ivV8t7w" TargetMode="External"/><Relationship Id="rId461" Type="http://schemas.openxmlformats.org/officeDocument/2006/relationships/hyperlink" Target="https://docs.google.com/forms/d/e/1FAIpQLSeQ0wUAy9WJrwwZ_8x6kCxvJSihLYtbLF2nbMncVH08fybLWQ/viewform?edit2=2_ABaOnucIN9-ESiHf4xbAqn_UJrywNtfJHQ7JKIOAlTHWS7tzsLlRb8YSlIvQ9AN9OneeqZI" TargetMode="External"/><Relationship Id="rId460" Type="http://schemas.openxmlformats.org/officeDocument/2006/relationships/hyperlink" Target="https://docs.google.com/forms/d/e/1FAIpQLSeQ0wUAy9WJrwwZ_8x6kCxvJSihLYtbLF2nbMncVH08fybLWQ/viewform?edit2=2_ABaOnufEeM0rtnQAJQzuwAXIhNmnV1A5Xq-UioypVKGqLdxJHhHEAjY3CLpjp-kwWo-S_Js" TargetMode="External"/><Relationship Id="rId224" Type="http://schemas.openxmlformats.org/officeDocument/2006/relationships/hyperlink" Target="https://docs.google.com/forms/d/e/1FAIpQLSeQ0wUAy9WJrwwZ_8x6kCxvJSihLYtbLF2nbMncVH08fybLWQ/viewform?edit2=2_ABaOnucG92v-LHXtm6Mk4pO_6USR80Y21UKx9jMFCB5ssJMdwJ3N4097n73K3DzPoDBL1uY" TargetMode="External"/><Relationship Id="rId466" Type="http://schemas.openxmlformats.org/officeDocument/2006/relationships/hyperlink" Target="https://docs.google.com/forms/d/e/1FAIpQLSeQ0wUAy9WJrwwZ_8x6kCxvJSihLYtbLF2nbMncVH08fybLWQ/viewform?edit2=2_ABaOnud0xLg9yuqU3AKvYD-9YxIhxT14iQpM66Y4yqwugUMLz-RtfHyLfkkAy-s6XPtqTzQ" TargetMode="External"/><Relationship Id="rId223" Type="http://schemas.openxmlformats.org/officeDocument/2006/relationships/hyperlink" Target="https://docs.google.com/forms/d/e/1FAIpQLSeQ0wUAy9WJrwwZ_8x6kCxvJSihLYtbLF2nbMncVH08fybLWQ/viewform?edit2=2_ABaOnud12Do1TJ8oAF7FF6hbMhhf7jD6FEHrSt4se3B0VDW6UzOf9Z3Se6louPisoJCDJCg" TargetMode="External"/><Relationship Id="rId465" Type="http://schemas.openxmlformats.org/officeDocument/2006/relationships/hyperlink" Target="https://docs.google.com/forms/d/e/1FAIpQLSeQ0wUAy9WJrwwZ_8x6kCxvJSihLYtbLF2nbMncVH08fybLWQ/viewform?edit2=2_ABaOnufaXeBHnKZzSmeX4pT-oZB2nZ9_lilqy2zPKtgjlih2kqu3egWWxAeOyJWFDdbU9KA" TargetMode="External"/><Relationship Id="rId222" Type="http://schemas.openxmlformats.org/officeDocument/2006/relationships/hyperlink" Target="https://docs.google.com/forms/d/e/1FAIpQLSeQ0wUAy9WJrwwZ_8x6kCxvJSihLYtbLF2nbMncVH08fybLWQ/viewform?edit2=2_ABaOnufpCO6LRYJc1lyInm_v-aFtStFU-JFCod8E0zrknVMrUADVEvovP_OD-UIyZCcFlaY" TargetMode="External"/><Relationship Id="rId464" Type="http://schemas.openxmlformats.org/officeDocument/2006/relationships/hyperlink" Target="https://docs.google.com/forms/d/e/1FAIpQLSeQ0wUAy9WJrwwZ_8x6kCxvJSihLYtbLF2nbMncVH08fybLWQ/viewform?edit2=2_ABaOnueNpUvzy64F4uGAs50B9vNALzoRFpunKNjeheN2tIgg6td_ufIDTef1olFAbbwS3rk" TargetMode="External"/><Relationship Id="rId221" Type="http://schemas.openxmlformats.org/officeDocument/2006/relationships/hyperlink" Target="https://docs.google.com/forms/d/e/1FAIpQLSeQ0wUAy9WJrwwZ_8x6kCxvJSihLYtbLF2nbMncVH08fybLWQ/viewform?edit2=2_ABaOnufuarr1m6UbRJcVtISlo_v4Yy0gAxfhb9wU2U0lmRuDSnwvzq9H9sdLiKE-s40VOvA" TargetMode="External"/><Relationship Id="rId463" Type="http://schemas.openxmlformats.org/officeDocument/2006/relationships/hyperlink" Target="https://docs.google.com/forms/d/e/1FAIpQLSeQ0wUAy9WJrwwZ_8x6kCxvJSihLYtbLF2nbMncVH08fybLWQ/viewform?edit2=2_ABaOnueHMr-X6e8Ja0tlMUebbFfJKyWROsmGTnIp9FsVSSPMFgoCMt8bpMvVw74g07bhf4Q" TargetMode="External"/><Relationship Id="rId217" Type="http://schemas.openxmlformats.org/officeDocument/2006/relationships/hyperlink" Target="https://docs.google.com/forms/d/e/1FAIpQLSeQ0wUAy9WJrwwZ_8x6kCxvJSihLYtbLF2nbMncVH08fybLWQ/viewform?edit2=2_ABaOnudNFPrK2OJyS-26lPfgYYEyAtNOrh1OKNEB6OvEimtG1Ipree2VBgqSnRINTCNNa90" TargetMode="External"/><Relationship Id="rId459" Type="http://schemas.openxmlformats.org/officeDocument/2006/relationships/hyperlink" Target="https://docs.google.com/forms/d/e/1FAIpQLSeQ0wUAy9WJrwwZ_8x6kCxvJSihLYtbLF2nbMncVH08fybLWQ/viewform?edit2=2_ABaOnue-neVuyxKWRcO4jcpbu-AlaTbm24wPYT3YNoYnF1IjCJg4iPRahA4RmskrI3Xw6jY" TargetMode="External"/><Relationship Id="rId216" Type="http://schemas.openxmlformats.org/officeDocument/2006/relationships/hyperlink" Target="https://docs.google.com/forms/d/e/1FAIpQLSeQ0wUAy9WJrwwZ_8x6kCxvJSihLYtbLF2nbMncVH08fybLWQ/viewform?edit2=2_ABaOnueBCAhj0nTboykTQfZDOR8l72GltJ-Oy5ye_9Aam3vSXVBvJLOKlffc7Bw42lo9_8Q" TargetMode="External"/><Relationship Id="rId458" Type="http://schemas.openxmlformats.org/officeDocument/2006/relationships/hyperlink" Target="https://docs.google.com/forms/d/e/1FAIpQLSeQ0wUAy9WJrwwZ_8x6kCxvJSihLYtbLF2nbMncVH08fybLWQ/viewform?edit2=2_ABaOnueT9O2_SD38k5wf-LMOVMjSaOWn0JPPWZdyg6gRy4WDU-IuxYLk3tpp9Fax0GPuexw" TargetMode="External"/><Relationship Id="rId215" Type="http://schemas.openxmlformats.org/officeDocument/2006/relationships/hyperlink" Target="https://docs.google.com/forms/d/e/1FAIpQLSeQ0wUAy9WJrwwZ_8x6kCxvJSihLYtbLF2nbMncVH08fybLWQ/viewform?edit2=2_ABaOnudD8zYfLoASAgc_rvK5f_WNjSCPio9DolZWYfyqiNgOy_5luOVwKWnT6WMNbXK4A9w" TargetMode="External"/><Relationship Id="rId457" Type="http://schemas.openxmlformats.org/officeDocument/2006/relationships/hyperlink" Target="https://docs.google.com/forms/d/e/1FAIpQLSeQ0wUAy9WJrwwZ_8x6kCxvJSihLYtbLF2nbMncVH08fybLWQ/viewform?edit2=2_ABaOnue7rr0I-NQuxwuHU0rDlf6k0aOQsxWcjN1Po4UNydoUrG9i73IlmS1ufDSJLVPNU48" TargetMode="External"/><Relationship Id="rId699" Type="http://schemas.openxmlformats.org/officeDocument/2006/relationships/hyperlink" Target="https://docs.google.com/forms/d/e/1FAIpQLSeQ0wUAy9WJrwwZ_8x6kCxvJSihLYtbLF2nbMncVH08fybLWQ/viewform?edit2=2_ABaOnuck_BXAfAO6XH3z8INA-Gab3A9eBWJ_cRd4lEbaFBa1oJ4oI91t5_3mbNd4M1_rb_k" TargetMode="External"/><Relationship Id="rId214" Type="http://schemas.openxmlformats.org/officeDocument/2006/relationships/hyperlink" Target="https://docs.google.com/forms/d/e/1FAIpQLSeQ0wUAy9WJrwwZ_8x6kCxvJSihLYtbLF2nbMncVH08fybLWQ/viewform?edit2=2_ABaOnucBJdzAd2HiMea-gfygGGHsxwr7zzS9BRNMaTcvJ1eUIbbJ_qVYrpfyRPqAki8LmxU" TargetMode="External"/><Relationship Id="rId456" Type="http://schemas.openxmlformats.org/officeDocument/2006/relationships/hyperlink" Target="https://docs.google.com/forms/d/e/1FAIpQLSeQ0wUAy9WJrwwZ_8x6kCxvJSihLYtbLF2nbMncVH08fybLWQ/viewform?edit2=2_ABaOnuetSECFXAH9fXw-nOcAQTN_z9caP5JZj1mG6KJIkAyZuxlqn2I88izcfVjdITO-ggs" TargetMode="External"/><Relationship Id="rId698" Type="http://schemas.openxmlformats.org/officeDocument/2006/relationships/hyperlink" Target="https://docs.google.com/forms/d/e/1FAIpQLSeQ0wUAy9WJrwwZ_8x6kCxvJSihLYtbLF2nbMncVH08fybLWQ/viewform?edit2=2_ABaOnueAe9LIvQstrqPPCcyl3iIGdY70m_QElaormF4WRUFI7CMdga4Mo6um2u0s5AW4ZYA" TargetMode="External"/><Relationship Id="rId219" Type="http://schemas.openxmlformats.org/officeDocument/2006/relationships/hyperlink" Target="https://docs.google.com/forms/d/e/1FAIpQLSeQ0wUAy9WJrwwZ_8x6kCxvJSihLYtbLF2nbMncVH08fybLWQ/viewform?edit2=2_ABaOnuf-nRgAXPdLhsP9pd8OBxctauWwt5Evrqi-qf6324KzZcX7XsYXnOEpVb1lJHUvh4o" TargetMode="External"/><Relationship Id="rId218" Type="http://schemas.openxmlformats.org/officeDocument/2006/relationships/hyperlink" Target="https://docs.google.com/forms/d/e/1FAIpQLSeQ0wUAy9WJrwwZ_8x6kCxvJSihLYtbLF2nbMncVH08fybLWQ/viewform?edit2=2_ABaOnuc9fOyYcSzV9BCRftRINCLiiysJ1T0Z-VLhtf618c_xvJd_543rrFfW-hN9-BsJ9NE" TargetMode="External"/><Relationship Id="rId451" Type="http://schemas.openxmlformats.org/officeDocument/2006/relationships/hyperlink" Target="https://docs.google.com/forms/d/e/1FAIpQLSeQ0wUAy9WJrwwZ_8x6kCxvJSihLYtbLF2nbMncVH08fybLWQ/viewform?edit2=2_ABaOnueWpBNvMmrwW4gm6FhKayuBLwiGt9O308uQTWDh9RX41DjN8pJ1OVCD3nIYWiF0_0c" TargetMode="External"/><Relationship Id="rId693" Type="http://schemas.openxmlformats.org/officeDocument/2006/relationships/hyperlink" Target="https://docs.google.com/forms/d/e/1FAIpQLSeQ0wUAy9WJrwwZ_8x6kCxvJSihLYtbLF2nbMncVH08fybLWQ/viewform?edit2=2_ABaOnuf63jO8QGsZ0Fh_TnZnTqSSYIDNJkUsnC62VuTRLVh5lNuz2quIzkql5KK5aRH2lvQ" TargetMode="External"/><Relationship Id="rId450" Type="http://schemas.openxmlformats.org/officeDocument/2006/relationships/hyperlink" Target="https://docs.google.com/forms/d/e/1FAIpQLSeQ0wUAy9WJrwwZ_8x6kCxvJSihLYtbLF2nbMncVH08fybLWQ/viewform?edit2=2_ABaOnuf5SbrxFnOUVqKuBusR4hse3NowvxNZHV_yA4lqBGv2vYTpF0hv855qacqYvxX3sss" TargetMode="External"/><Relationship Id="rId692" Type="http://schemas.openxmlformats.org/officeDocument/2006/relationships/hyperlink" Target="https://docs.google.com/forms/d/e/1FAIpQLSeQ0wUAy9WJrwwZ_8x6kCxvJSihLYtbLF2nbMncVH08fybLWQ/viewform?edit2=2_ABaOnudU9EUxPR75Sz6ITyK41CcqDpultXj0iupvZmVsHXsl-XUf3MrAou17IPV9TqD8wmc" TargetMode="External"/><Relationship Id="rId691" Type="http://schemas.openxmlformats.org/officeDocument/2006/relationships/hyperlink" Target="https://docs.google.com/forms/d/e/1FAIpQLSeQ0wUAy9WJrwwZ_8x6kCxvJSihLYtbLF2nbMncVH08fybLWQ/viewform?edit2=2_ABaOnucr7jSPNNZnCo67HXGSlQSPUVmsO7YuPDvq3BRLY0JwfIX2AJQwFA_kM2HIAlhsEQ8" TargetMode="External"/><Relationship Id="rId690" Type="http://schemas.openxmlformats.org/officeDocument/2006/relationships/hyperlink" Target="https://docs.google.com/forms/d/e/1FAIpQLSeQ0wUAy9WJrwwZ_8x6kCxvJSihLYtbLF2nbMncVH08fybLWQ/viewform?edit2=2_ABaOnucZJYyGmigZDnO_3mHB60Ly4D5zW6FL_5pzPslFGOAw-XwTp5kNoT04ptRWHvWHqRM" TargetMode="External"/><Relationship Id="rId213" Type="http://schemas.openxmlformats.org/officeDocument/2006/relationships/hyperlink" Target="https://docs.google.com/forms/d/e/1FAIpQLSeQ0wUAy9WJrwwZ_8x6kCxvJSihLYtbLF2nbMncVH08fybLWQ/viewform?edit2=2_ABaOnudyHNEzwAwLXyQE1d5bL6BrElV8tYMh8h7BXbyrQrPnnuyDd4UV7atzmGrfgjBCJHE" TargetMode="External"/><Relationship Id="rId455" Type="http://schemas.openxmlformats.org/officeDocument/2006/relationships/hyperlink" Target="https://docs.google.com/forms/d/e/1FAIpQLSeQ0wUAy9WJrwwZ_8x6kCxvJSihLYtbLF2nbMncVH08fybLWQ/viewform?edit2=2_ABaOnuftKw9zdYOULcQ7OOvvmegKiry6fk57vKoDioe5T640jPz0kjL3kEx_TR86SHhGM20" TargetMode="External"/><Relationship Id="rId697" Type="http://schemas.openxmlformats.org/officeDocument/2006/relationships/hyperlink" Target="https://docs.google.com/forms/d/e/1FAIpQLSeQ0wUAy9WJrwwZ_8x6kCxvJSihLYtbLF2nbMncVH08fybLWQ/viewform?edit2=2_ABaOnue7_qpFP9Bd2hN1M0LbCsDwNQs_EbXa_vD3b3ZmwJYlglcNVbVyI5r3RKDCnyrw4pU" TargetMode="External"/><Relationship Id="rId212" Type="http://schemas.openxmlformats.org/officeDocument/2006/relationships/hyperlink" Target="https://docs.google.com/forms/d/e/1FAIpQLSeQ0wUAy9WJrwwZ_8x6kCxvJSihLYtbLF2nbMncVH08fybLWQ/viewform?edit2=2_ABaOnueH31Uklg9fWjdQGATRS3zbLKAWVcc0aKWGWuKzrHJJg6wTOYsj0guXePBBHW8hgC8" TargetMode="External"/><Relationship Id="rId454" Type="http://schemas.openxmlformats.org/officeDocument/2006/relationships/hyperlink" Target="https://docs.google.com/forms/d/e/1FAIpQLSeQ0wUAy9WJrwwZ_8x6kCxvJSihLYtbLF2nbMncVH08fybLWQ/viewform?edit2=2_ABaOnuf10TXEhU5XHi1duinWjn45lM1u-sQQrudSKo4tvARcRp5uYHYj1e-1Q365Ne1ITSw" TargetMode="External"/><Relationship Id="rId696" Type="http://schemas.openxmlformats.org/officeDocument/2006/relationships/hyperlink" Target="https://docs.google.com/forms/d/e/1FAIpQLSeQ0wUAy9WJrwwZ_8x6kCxvJSihLYtbLF2nbMncVH08fybLWQ/viewform?edit2=2_ABaOnufAd0N1Q3GzX4nvnn5RJzTY1o6IxXwctKC1AGHiigclI2e0oiPa8eOjgX8T9zrVVmg" TargetMode="External"/><Relationship Id="rId211" Type="http://schemas.openxmlformats.org/officeDocument/2006/relationships/hyperlink" Target="https://docs.google.com/forms/d/e/1FAIpQLSeQ0wUAy9WJrwwZ_8x6kCxvJSihLYtbLF2nbMncVH08fybLWQ/viewform?edit2=2_ABaOnuedP-4zez5W5d7KkYEe6ZhCP1EQSW6tY3pvA9M8V1BAfCP-dTcI6DnIvbXJsJNlrno" TargetMode="External"/><Relationship Id="rId453" Type="http://schemas.openxmlformats.org/officeDocument/2006/relationships/hyperlink" Target="https://docs.google.com/forms/d/e/1FAIpQLSeQ0wUAy9WJrwwZ_8x6kCxvJSihLYtbLF2nbMncVH08fybLWQ/viewform?edit2=2_ABaOnueJaOtyEgTkkxavwJizCBYq-86EeuLGPr_82O6KmayidGtl7gCbIUeU5fWJMXdM26I" TargetMode="External"/><Relationship Id="rId695" Type="http://schemas.openxmlformats.org/officeDocument/2006/relationships/hyperlink" Target="https://docs.google.com/forms/d/e/1FAIpQLSeQ0wUAy9WJrwwZ_8x6kCxvJSihLYtbLF2nbMncVH08fybLWQ/viewform?edit2=2_ABaOnudO24bg-DW5wyV4MFFIc0pkzJLdSCs5vGLOoXnmsRfSUffflTzaR3A1XCJrpOzBkko" TargetMode="External"/><Relationship Id="rId210" Type="http://schemas.openxmlformats.org/officeDocument/2006/relationships/hyperlink" Target="https://docs.google.com/forms/d/e/1FAIpQLSeQ0wUAy9WJrwwZ_8x6kCxvJSihLYtbLF2nbMncVH08fybLWQ/viewform?edit2=2_ABaOnuflSyKXdTaexBs2PWglLydhWhmsURyfoyFltp1HCXtdu3uhpDCZ8mW5cAaGhIW8-uw" TargetMode="External"/><Relationship Id="rId452" Type="http://schemas.openxmlformats.org/officeDocument/2006/relationships/hyperlink" Target="https://docs.google.com/forms/d/e/1FAIpQLSeQ0wUAy9WJrwwZ_8x6kCxvJSihLYtbLF2nbMncVH08fybLWQ/viewform?edit2=2_ABaOnue-9VCQXcEmteT07j8IDdy9sxsEFE0GdmE5oCHHfMLEgMyz9Q14VZR-g_J_lwxDKTY" TargetMode="External"/><Relationship Id="rId694" Type="http://schemas.openxmlformats.org/officeDocument/2006/relationships/hyperlink" Target="https://drive.google.com/open?id=1yn8bJ01ZYJ4ncpgxs_XWjafQkiwoWo1p" TargetMode="External"/><Relationship Id="rId491" Type="http://schemas.openxmlformats.org/officeDocument/2006/relationships/hyperlink" Target="https://docs.google.com/forms/d/e/1FAIpQLSeQ0wUAy9WJrwwZ_8x6kCxvJSihLYtbLF2nbMncVH08fybLWQ/viewform?edit2=2_ABaOnudGGnHuvj1Mx8OwLrKSn1AqjCLomMEhrhU5fDYrdTDi9LSE-dY6JHdcNIhcYTCZ0zs" TargetMode="External"/><Relationship Id="rId490" Type="http://schemas.openxmlformats.org/officeDocument/2006/relationships/hyperlink" Target="https://docs.google.com/forms/d/e/1FAIpQLSeQ0wUAy9WJrwwZ_8x6kCxvJSihLYtbLF2nbMncVH08fybLWQ/viewform?edit2=2_ABaOnue2RTvKQbN4nwbu9OL3lDXx1UGXhrCofsBv1ya6XVVo3UZvQpjtF36u86Gh11lImrY" TargetMode="External"/><Relationship Id="rId249" Type="http://schemas.openxmlformats.org/officeDocument/2006/relationships/hyperlink" Target="https://drive.google.com/open?id=1V6dBng1B1w2zByWN7F4a4ABFqrQOar2b" TargetMode="External"/><Relationship Id="rId248" Type="http://schemas.openxmlformats.org/officeDocument/2006/relationships/hyperlink" Target="https://docs.google.com/forms/d/e/1FAIpQLSeQ0wUAy9WJrwwZ_8x6kCxvJSihLYtbLF2nbMncVH08fybLWQ/viewform?edit2=2_ABaOnudLsFoP6E5cZXQBP4ZtJ6DWOPIJ0Mn2WuawgbU5rGfD5tNOnp_T3cv2bqswj3ky7Jk" TargetMode="External"/><Relationship Id="rId247" Type="http://schemas.openxmlformats.org/officeDocument/2006/relationships/hyperlink" Target="https://drive.google.com/open?id=164Jgt-Et-Fw-a8sWvFup1H60paQpRwQE" TargetMode="External"/><Relationship Id="rId489" Type="http://schemas.openxmlformats.org/officeDocument/2006/relationships/hyperlink" Target="https://docs.google.com/forms/d/e/1FAIpQLSeQ0wUAy9WJrwwZ_8x6kCxvJSihLYtbLF2nbMncVH08fybLWQ/viewform?edit2=2_ABaOnufwJipKonwlotUL_YvatRFdmRDqzcg5hg-rvWCKilWXXW0_n2yONxuQP3qs5I7XmRU" TargetMode="External"/><Relationship Id="rId242" Type="http://schemas.openxmlformats.org/officeDocument/2006/relationships/hyperlink" Target="https://drive.google.com/open?id=1C_HpP_jpRmj0obPoddA4QCRoG5e2n_yF" TargetMode="External"/><Relationship Id="rId484" Type="http://schemas.openxmlformats.org/officeDocument/2006/relationships/hyperlink" Target="https://docs.google.com/forms/d/e/1FAIpQLSeQ0wUAy9WJrwwZ_8x6kCxvJSihLYtbLF2nbMncVH08fybLWQ/viewform?edit2=2_ABaOnuf5z4Nh6cqIeCK_5xyu_eiShXrSPJryAFbqiMSwchc8EankrEQR9VP5YgHdXbTY4EI" TargetMode="External"/><Relationship Id="rId241" Type="http://schemas.openxmlformats.org/officeDocument/2006/relationships/hyperlink" Target="https://docs.google.com/forms/d/e/1FAIpQLSeQ0wUAy9WJrwwZ_8x6kCxvJSihLYtbLF2nbMncVH08fybLWQ/viewform?edit2=2_ABaOnudM-t_kQjrpN-qpwQGvVQuJNCY1rBBY8udWFdntHwLHodMezSesGbEpYFCnT1rRhiQ" TargetMode="External"/><Relationship Id="rId483" Type="http://schemas.openxmlformats.org/officeDocument/2006/relationships/hyperlink" Target="https://docs.google.com/forms/d/e/1FAIpQLSeQ0wUAy9WJrwwZ_8x6kCxvJSihLYtbLF2nbMncVH08fybLWQ/viewform?edit2=2_ABaOnueVL0IVt2FV12iLsqtn1VXu4nLP7FMSbdo4wqei1f2yitlTz5uaZghvZBcuWQzs9Hg" TargetMode="External"/><Relationship Id="rId240" Type="http://schemas.openxmlformats.org/officeDocument/2006/relationships/hyperlink" Target="https://drive.google.com/open?id=1LHiwR7mLlT7rTj3dErm1iFfVR4V174Hr" TargetMode="External"/><Relationship Id="rId482" Type="http://schemas.openxmlformats.org/officeDocument/2006/relationships/hyperlink" Target="https://docs.google.com/forms/d/e/1FAIpQLSeQ0wUAy9WJrwwZ_8x6kCxvJSihLYtbLF2nbMncVH08fybLWQ/viewform?edit2=2_ABaOnufQOKKq-m-14rIF_inzthHVjvOw4VqY2dNWxKKR9xWTflluKT9-dYfbvaMhY_B_WlA" TargetMode="External"/><Relationship Id="rId481" Type="http://schemas.openxmlformats.org/officeDocument/2006/relationships/hyperlink" Target="https://docs.google.com/forms/d/e/1FAIpQLSeQ0wUAy9WJrwwZ_8x6kCxvJSihLYtbLF2nbMncVH08fybLWQ/viewform?edit2=2_ABaOnuev3_NehkxUFObgNHVogimSpGlf_xlOu_tIX6Y7V0VyIk5lrrMQ61RAHeQXNQwCmVE" TargetMode="External"/><Relationship Id="rId246" Type="http://schemas.openxmlformats.org/officeDocument/2006/relationships/hyperlink" Target="https://docs.google.com/forms/d/e/1FAIpQLSeQ0wUAy9WJrwwZ_8x6kCxvJSihLYtbLF2nbMncVH08fybLWQ/viewform?edit2=2_ABaOnufWjQZmtV6IlErcjfxRSxlwWK6EOIANPRrcVbedJh-bgnG4TeCjeQeZPIteuuMHexE" TargetMode="External"/><Relationship Id="rId488" Type="http://schemas.openxmlformats.org/officeDocument/2006/relationships/hyperlink" Target="https://docs.google.com/forms/d/e/1FAIpQLSeQ0wUAy9WJrwwZ_8x6kCxvJSihLYtbLF2nbMncVH08fybLWQ/viewform?edit2=2_ABaOnudE_zbEGR2G_38zuBF8YXmt8zWuzV5xMx1AGclLxHXrY4yOoTejAQ9wqC0dQkRy9to" TargetMode="External"/><Relationship Id="rId245" Type="http://schemas.openxmlformats.org/officeDocument/2006/relationships/hyperlink" Target="https://docs.google.com/forms/d/e/1FAIpQLSeQ0wUAy9WJrwwZ_8x6kCxvJSihLYtbLF2nbMncVH08fybLWQ/viewform?edit2=2_ABaOnudu5LE9BNtYCfZ3TCgTCbMJ-bHwuDznmXr473eQfqucaB6AIQph6ZUywnCmoRYxG4o" TargetMode="External"/><Relationship Id="rId487" Type="http://schemas.openxmlformats.org/officeDocument/2006/relationships/hyperlink" Target="https://docs.google.com/forms/d/e/1FAIpQLSeQ0wUAy9WJrwwZ_8x6kCxvJSihLYtbLF2nbMncVH08fybLWQ/viewform?edit2=2_ABaOnudmbmShsxvNqCBK91v-BdyKYoX5kK50rToFJG_yWQvP833WrW-76ah7MF3YVXozfzk" TargetMode="External"/><Relationship Id="rId244" Type="http://schemas.openxmlformats.org/officeDocument/2006/relationships/hyperlink" Target="https://drive.google.com/open?id=1uMPI5hDWfzuPMP5KL-9BbN4_k8htvAIr" TargetMode="External"/><Relationship Id="rId486" Type="http://schemas.openxmlformats.org/officeDocument/2006/relationships/hyperlink" Target="https://docs.google.com/forms/d/e/1FAIpQLSeQ0wUAy9WJrwwZ_8x6kCxvJSihLYtbLF2nbMncVH08fybLWQ/viewform?edit2=2_ABaOnuca96uDWv9o1ZiaDRzBKJg18w2eVuLHJBOBNPd3OPgaYc6v_9hICXhJbeYwuPGuITQ" TargetMode="External"/><Relationship Id="rId243" Type="http://schemas.openxmlformats.org/officeDocument/2006/relationships/hyperlink" Target="https://docs.google.com/forms/d/e/1FAIpQLSeQ0wUAy9WJrwwZ_8x6kCxvJSihLYtbLF2nbMncVH08fybLWQ/viewform?edit2=2_ABaOnudQQmaoUO0cfPjpR2Aq6fpz-a8uDDosZtPW6ZG7Zf07QcuvkxMb2IlC0XPJ1BXU580" TargetMode="External"/><Relationship Id="rId485" Type="http://schemas.openxmlformats.org/officeDocument/2006/relationships/hyperlink" Target="https://docs.google.com/forms/d/e/1FAIpQLSeQ0wUAy9WJrwwZ_8x6kCxvJSihLYtbLF2nbMncVH08fybLWQ/viewform?edit2=2_ABaOnuf9XrSV8HXYsc4--J867fzgHHuIckKUSvcEwg1rSNRGh4Pb3LZ5tHLxqguodUcueAE" TargetMode="External"/><Relationship Id="rId480" Type="http://schemas.openxmlformats.org/officeDocument/2006/relationships/hyperlink" Target="https://docs.google.com/forms/d/e/1FAIpQLSeQ0wUAy9WJrwwZ_8x6kCxvJSihLYtbLF2nbMncVH08fybLWQ/viewform?edit2=2_ABaOnufBAt7yUwATvEV5RLneEd_pNu9Y9lhJfHww0hyFz6gAl98UQfjiHph6EvHVBCiZVqI" TargetMode="External"/><Relationship Id="rId239" Type="http://schemas.openxmlformats.org/officeDocument/2006/relationships/hyperlink" Target="https://docs.google.com/forms/d/e/1FAIpQLSeQ0wUAy9WJrwwZ_8x6kCxvJSihLYtbLF2nbMncVH08fybLWQ/viewform?edit2=2_ABaOnufawexIcIbg600RuoeZtRS4Oe_zhM2OF7W-q2MgEGri5bXA-oDxoheAdlUfws1fzh8" TargetMode="External"/><Relationship Id="rId238" Type="http://schemas.openxmlformats.org/officeDocument/2006/relationships/hyperlink" Target="https://drive.google.com/open?id=1yESwV1QeEMyNZWm-9Bi5JA3A-8QCgdnF" TargetMode="External"/><Relationship Id="rId237" Type="http://schemas.openxmlformats.org/officeDocument/2006/relationships/hyperlink" Target="https://docs.google.com/forms/d/e/1FAIpQLSeQ0wUAy9WJrwwZ_8x6kCxvJSihLYtbLF2nbMncVH08fybLWQ/viewform?edit2=2_ABaOnucnsOuo74yO6Kc6cNzBxQW0HybsMEd1rfZOCwqUAfOmyYhy7LFtp3ftTkScLygIZk0" TargetMode="External"/><Relationship Id="rId479" Type="http://schemas.openxmlformats.org/officeDocument/2006/relationships/hyperlink" Target="https://docs.google.com/forms/d/e/1FAIpQLSeQ0wUAy9WJrwwZ_8x6kCxvJSihLYtbLF2nbMncVH08fybLWQ/viewform?edit2=2_ABaOnufVEJ7cv3knROObxn62HxlcEtlXU13MrzUHcPpsUsw69wtUx6hPMAMAFJayLzCSti8" TargetMode="External"/><Relationship Id="rId236" Type="http://schemas.openxmlformats.org/officeDocument/2006/relationships/hyperlink" Target="https://drive.google.com/open?id=12mAbwt0wvLbsClF5F0V7sABZloQEkpw8" TargetMode="External"/><Relationship Id="rId478" Type="http://schemas.openxmlformats.org/officeDocument/2006/relationships/hyperlink" Target="https://docs.google.com/forms/d/e/1FAIpQLSeQ0wUAy9WJrwwZ_8x6kCxvJSihLYtbLF2nbMncVH08fybLWQ/viewform?edit2=2_ABaOnufqfBGIriQBobGcYloUUXQV4daYJn4-qQVbkQQwnJwykCLksyWw6JXlKWwLqND6UGA" TargetMode="External"/><Relationship Id="rId231" Type="http://schemas.openxmlformats.org/officeDocument/2006/relationships/hyperlink" Target="https://docs.google.com/forms/d/e/1FAIpQLSeQ0wUAy9WJrwwZ_8x6kCxvJSihLYtbLF2nbMncVH08fybLWQ/viewform?edit2=2_ABaOnueeUIqaN4PL8MqLPBx3Gd2QyfwjKOXUKUwESBXNTY1rDsWVh9x35k6aQuUx9bnkaL0" TargetMode="External"/><Relationship Id="rId473" Type="http://schemas.openxmlformats.org/officeDocument/2006/relationships/hyperlink" Target="https://docs.google.com/forms/d/e/1FAIpQLSeQ0wUAy9WJrwwZ_8x6kCxvJSihLYtbLF2nbMncVH08fybLWQ/viewform?edit2=2_ABaOnueg-EzwAaz3uLHcE30skJ58_uUjajED3i0NL4c5BeeCqY5dCjlDW5jCDo3FuoJonVo" TargetMode="External"/><Relationship Id="rId230" Type="http://schemas.openxmlformats.org/officeDocument/2006/relationships/hyperlink" Target="https://docs.google.com/forms/d/e/1FAIpQLSeQ0wUAy9WJrwwZ_8x6kCxvJSihLYtbLF2nbMncVH08fybLWQ/viewform?edit2=2_ABaOnucrNLMiIZkDKkOc2CJEEVA1zWeBRwaG-U1LgI1gw0V0qi6lRXNQPIuUtWywCekrXlQ" TargetMode="External"/><Relationship Id="rId472" Type="http://schemas.openxmlformats.org/officeDocument/2006/relationships/hyperlink" Target="https://docs.google.com/forms/d/e/1FAIpQLSeQ0wUAy9WJrwwZ_8x6kCxvJSihLYtbLF2nbMncVH08fybLWQ/viewform?edit2=2_ABaOnufnAyBlv7u1knlwmB1m-0R8gxBctSpCkifxKtMqR0LCkyEpaCQiQe1ekzIpMqgOMFI" TargetMode="External"/><Relationship Id="rId471" Type="http://schemas.openxmlformats.org/officeDocument/2006/relationships/hyperlink" Target="https://docs.google.com/forms/d/e/1FAIpQLSeQ0wUAy9WJrwwZ_8x6kCxvJSihLYtbLF2nbMncVH08fybLWQ/viewform?edit2=2_ABaOnueXpWSI4F2sTtCZz49tF7xXxdXPNvw1qDMga0F7i9ButclUzwo2ocmY9RrBEwjqAUg" TargetMode="External"/><Relationship Id="rId470" Type="http://schemas.openxmlformats.org/officeDocument/2006/relationships/hyperlink" Target="https://docs.google.com/forms/d/e/1FAIpQLSeQ0wUAy9WJrwwZ_8x6kCxvJSihLYtbLF2nbMncVH08fybLWQ/viewform?edit2=2_ABaOnudkj-qE2ufWNfnN36yeil4a8AMdXL46BTRDb5GXzJPAhio1GwMnTpPlhmC6yXYFpwY" TargetMode="External"/><Relationship Id="rId235" Type="http://schemas.openxmlformats.org/officeDocument/2006/relationships/hyperlink" Target="https://docs.google.com/forms/d/e/1FAIpQLSeQ0wUAy9WJrwwZ_8x6kCxvJSihLYtbLF2nbMncVH08fybLWQ/viewform?edit2=2_ABaOnueU4lGSeuhh2X0xAEp4MuULJVxa_9BWILZAh-6R9Fvyg5aSMcE8mBWr5pbtirCWcBI" TargetMode="External"/><Relationship Id="rId477" Type="http://schemas.openxmlformats.org/officeDocument/2006/relationships/hyperlink" Target="https://docs.google.com/forms/d/e/1FAIpQLSeQ0wUAy9WJrwwZ_8x6kCxvJSihLYtbLF2nbMncVH08fybLWQ/viewform?edit2=2_ABaOnucDyYoajS2q0JCipC0EQpSxbeNd89JQl2Aa8P71oEsTSfgjjZkZFzgpNDH8-dSqLgQ" TargetMode="External"/><Relationship Id="rId234" Type="http://schemas.openxmlformats.org/officeDocument/2006/relationships/hyperlink" Target="https://docs.google.com/forms/d/e/1FAIpQLSeQ0wUAy9WJrwwZ_8x6kCxvJSihLYtbLF2nbMncVH08fybLWQ/viewform?edit2=2_ABaOnufb4FTCF6JJgVcBwDJAEZkxgIDv-SfscETZHLWY-X63leWlYn8wOCE4ZvzSgTV1E1o" TargetMode="External"/><Relationship Id="rId476" Type="http://schemas.openxmlformats.org/officeDocument/2006/relationships/hyperlink" Target="https://docs.google.com/forms/d/e/1FAIpQLSeQ0wUAy9WJrwwZ_8x6kCxvJSihLYtbLF2nbMncVH08fybLWQ/viewform?edit2=2_ABaOnucuibQYQgXA0udjmC5p6Y8i20fhNTxkqF1ikH0foM3CNipADqkk1FBraNFbrg3t_Ro" TargetMode="External"/><Relationship Id="rId233" Type="http://schemas.openxmlformats.org/officeDocument/2006/relationships/hyperlink" Target="https://docs.google.com/forms/d/e/1FAIpQLSeQ0wUAy9WJrwwZ_8x6kCxvJSihLYtbLF2nbMncVH08fybLWQ/viewform?edit2=2_ABaOnueWUnje8TiAWeNICFIl3kT0UqujAMvwzcbW8uj9OuOEqYVmuwls1duyVwlL90nS3Bs" TargetMode="External"/><Relationship Id="rId475" Type="http://schemas.openxmlformats.org/officeDocument/2006/relationships/hyperlink" Target="https://docs.google.com/forms/d/e/1FAIpQLSeQ0wUAy9WJrwwZ_8x6kCxvJSihLYtbLF2nbMncVH08fybLWQ/viewform?edit2=2_ABaOnucU_Ck2eKuI-QtZwe_GSvA8C19vfK6JDEPHYiVbBoRJ_Y2Yq7nARY2yfDZv96Ihfno" TargetMode="External"/><Relationship Id="rId232" Type="http://schemas.openxmlformats.org/officeDocument/2006/relationships/hyperlink" Target="https://docs.google.com/forms/d/e/1FAIpQLSeQ0wUAy9WJrwwZ_8x6kCxvJSihLYtbLF2nbMncVH08fybLWQ/viewform?edit2=2_ABaOnufVoJiyodvEXW1oDx2OpLMZF-F1cyfBSsaVnBTLxlwDR6pTnnYfgyqktCxbPQF1buw" TargetMode="External"/><Relationship Id="rId474" Type="http://schemas.openxmlformats.org/officeDocument/2006/relationships/hyperlink" Target="https://docs.google.com/forms/d/e/1FAIpQLSeQ0wUAy9WJrwwZ_8x6kCxvJSihLYtbLF2nbMncVH08fybLWQ/viewform?edit2=2_ABaOnucimhkzwn_ObvFWs-KM-gvlwxtH0aGVSCRcyu8NeKiQjvTzjtiD-DvqwVEN3Pk0KdI" TargetMode="External"/><Relationship Id="rId1015" Type="http://schemas.openxmlformats.org/officeDocument/2006/relationships/hyperlink" Target="https://docs.google.com/forms/d/e/1FAIpQLSeQ0wUAy9WJrwwZ_8x6kCxvJSihLYtbLF2nbMncVH08fybLWQ/viewform?edit2=2_ABaOnud1T7ceoAfsw-WiP89Gde6Ub8LhUu9krsWzz-Q7zEN6s4NEpL2x_5dXOl4ZcLyyllg" TargetMode="External"/><Relationship Id="rId1016" Type="http://schemas.openxmlformats.org/officeDocument/2006/relationships/hyperlink" Target="https://docs.google.com/forms/d/e/1FAIpQLSeQ0wUAy9WJrwwZ_8x6kCxvJSihLYtbLF2nbMncVH08fybLWQ/viewform?edit2=2_ABaOnueRtiKgNEvI-xoACfJxovNOzAfTqsfbYrLsrj3bb6dej5FvchQGDoghKvHdlYqcpPQ" TargetMode="External"/><Relationship Id="rId1017" Type="http://schemas.openxmlformats.org/officeDocument/2006/relationships/drawing" Target="../drawings/drawing2.xml"/><Relationship Id="rId1018" Type="http://schemas.openxmlformats.org/officeDocument/2006/relationships/vmlDrawing" Target="../drawings/vmlDrawing1.vml"/><Relationship Id="rId426" Type="http://schemas.openxmlformats.org/officeDocument/2006/relationships/hyperlink" Target="https://docs.google.com/forms/d/e/1FAIpQLSeQ0wUAy9WJrwwZ_8x6kCxvJSihLYtbLF2nbMncVH08fybLWQ/viewform?edit2=2_ABaOnudGW7RJk3O-IDW8rIdxmbWHW__gQ4twaPSJlny2gxPwuFWRKHgBdOuRJHRxiq2RcME" TargetMode="External"/><Relationship Id="rId668" Type="http://schemas.openxmlformats.org/officeDocument/2006/relationships/hyperlink" Target="https://docs.google.com/forms/d/e/1FAIpQLSeQ0wUAy9WJrwwZ_8x6kCxvJSihLYtbLF2nbMncVH08fybLWQ/viewform?edit2=2_ABaOnucwyl56FzlPdb13_U_k1k_BzKY-SkShwq4yeiqVyI0zjSJx0v7wbhoSJ6Zk61IR_yw" TargetMode="External"/><Relationship Id="rId425" Type="http://schemas.openxmlformats.org/officeDocument/2006/relationships/hyperlink" Target="https://docs.google.com/forms/d/e/1FAIpQLSeQ0wUAy9WJrwwZ_8x6kCxvJSihLYtbLF2nbMncVH08fybLWQ/viewform?edit2=2_ABaOnudlM83x1w80NEajml_eSK-2D9NxKayYK-e9024Tqe1p6zoO82T8XuGGdO0hDbbckWo" TargetMode="External"/><Relationship Id="rId667" Type="http://schemas.openxmlformats.org/officeDocument/2006/relationships/hyperlink" Target="https://docs.google.com/forms/d/e/1FAIpQLSeQ0wUAy9WJrwwZ_8x6kCxvJSihLYtbLF2nbMncVH08fybLWQ/viewform?edit2=2_ABaOnufxORbmTUfvu8njYa_pYw0IsZlCsa2YVMyMuilu6PeRo43QLDmoFYYmd2dcHTHaakE" TargetMode="External"/><Relationship Id="rId424" Type="http://schemas.openxmlformats.org/officeDocument/2006/relationships/hyperlink" Target="https://docs.google.com/forms/d/e/1FAIpQLSeQ0wUAy9WJrwwZ_8x6kCxvJSihLYtbLF2nbMncVH08fybLWQ/viewform?edit2=2_ABaOnucDLX5XNZXRZb_YNkUn57TQP6wKEQ8qLZZFKdIv_-QPsYpqeD1p9AIvTEB799sD2pM" TargetMode="External"/><Relationship Id="rId666" Type="http://schemas.openxmlformats.org/officeDocument/2006/relationships/hyperlink" Target="https://docs.google.com/forms/d/e/1FAIpQLSeQ0wUAy9WJrwwZ_8x6kCxvJSihLYtbLF2nbMncVH08fybLWQ/viewform?edit2=2_ABaOnuft9JmghOgisBALokTQjazUuFeO0PkaLsOb6cUGt3G-KWwTrk-Mq4XYo7pnRv8gfqM" TargetMode="External"/><Relationship Id="rId423" Type="http://schemas.openxmlformats.org/officeDocument/2006/relationships/hyperlink" Target="https://docs.google.com/forms/d/e/1FAIpQLSeQ0wUAy9WJrwwZ_8x6kCxvJSihLYtbLF2nbMncVH08fybLWQ/viewform?edit2=2_ABaOnuftDoA_gVNfKkCgYBxOusS_JztQc_JIkNXL7KWRHThIIEWmCQ6676wLGsmsO9MuWzc" TargetMode="External"/><Relationship Id="rId665" Type="http://schemas.openxmlformats.org/officeDocument/2006/relationships/hyperlink" Target="https://drive.google.com/open?id=12H-PE4qRMRSGqd-DwEhiQZdB6KkIRhhP" TargetMode="External"/><Relationship Id="rId429" Type="http://schemas.openxmlformats.org/officeDocument/2006/relationships/hyperlink" Target="https://docs.google.com/forms/d/e/1FAIpQLSeQ0wUAy9WJrwwZ_8x6kCxvJSihLYtbLF2nbMncVH08fybLWQ/viewform?edit2=2_ABaOnuchvuuhTYFaYcCphGae_RyGJZ7WYC_YXEPUKH9LHApAse0gZdrz5w9yxdF_LiB1z48" TargetMode="External"/><Relationship Id="rId428" Type="http://schemas.openxmlformats.org/officeDocument/2006/relationships/hyperlink" Target="https://docs.google.com/forms/d/e/1FAIpQLSeQ0wUAy9WJrwwZ_8x6kCxvJSihLYtbLF2nbMncVH08fybLWQ/viewform?edit2=2_ABaOnuevJPbrYkFpuzzq3dmz_h2cqmQvb9fkc1f88LPwTVUyI7FPRc8RNHqU4wNBbka-M0U" TargetMode="External"/><Relationship Id="rId427" Type="http://schemas.openxmlformats.org/officeDocument/2006/relationships/hyperlink" Target="https://docs.google.com/forms/d/e/1FAIpQLSeQ0wUAy9WJrwwZ_8x6kCxvJSihLYtbLF2nbMncVH08fybLWQ/viewform?edit2=2_ABaOnuc0hLA2isFtpgvhpY2vw5IoB2K_00cA4jqFMvQwUGXr2JYlsGFlChq_RYJ-sdR7CFw" TargetMode="External"/><Relationship Id="rId669" Type="http://schemas.openxmlformats.org/officeDocument/2006/relationships/hyperlink" Target="https://docs.google.com/forms/d/e/1FAIpQLSeQ0wUAy9WJrwwZ_8x6kCxvJSihLYtbLF2nbMncVH08fybLWQ/viewform?edit2=2_ABaOnucPfdnR1zkZ8oZzssLhuEkfk2JL2QLmS95wI6Nuis_Mz8bNvFGv7fOwUd1W3XDW_6o" TargetMode="External"/><Relationship Id="rId660" Type="http://schemas.openxmlformats.org/officeDocument/2006/relationships/hyperlink" Target="https://docs.google.com/forms/d/e/1FAIpQLSeQ0wUAy9WJrwwZ_8x6kCxvJSihLYtbLF2nbMncVH08fybLWQ/viewform?edit2=2_ABaOnucGVQdH5t7EudcJfGxnqLsiaeQnXZZmyHeuJSWfYEFZzbVt-F4EWNG0wZpeQql9AMg" TargetMode="External"/><Relationship Id="rId1010" Type="http://schemas.openxmlformats.org/officeDocument/2006/relationships/hyperlink" Target="https://drive.google.com/open?id=1Ln7jP_HKHjanCjhgSLzoOjyY-cA1i_N8" TargetMode="External"/><Relationship Id="rId422" Type="http://schemas.openxmlformats.org/officeDocument/2006/relationships/hyperlink" Target="https://docs.google.com/forms/d/e/1FAIpQLSeQ0wUAy9WJrwwZ_8x6kCxvJSihLYtbLF2nbMncVH08fybLWQ/viewform?edit2=2_ABaOnucW4VydbMvKrTeyHTju6tk6QuW2kES0VDKYn2xrNxOudWzPhg0NCYEgxy6BWVH-GMk" TargetMode="External"/><Relationship Id="rId664" Type="http://schemas.openxmlformats.org/officeDocument/2006/relationships/hyperlink" Target="https://docs.google.com/forms/d/e/1FAIpQLSeQ0wUAy9WJrwwZ_8x6kCxvJSihLYtbLF2nbMncVH08fybLWQ/viewform?edit2=2_ABaOnudLa4v9pzVg3gkntO85vJjs66k5Oi9p5VCZ0NIpQFLHboskvdbYztSQDhAguDN7oAM" TargetMode="External"/><Relationship Id="rId1011" Type="http://schemas.openxmlformats.org/officeDocument/2006/relationships/hyperlink" Target="https://docs.google.com/forms/d/e/1FAIpQLSeQ0wUAy9WJrwwZ_8x6kCxvJSihLYtbLF2nbMncVH08fybLWQ/viewform?edit2=2_ABaOnufzV-Lx9mG2n8kJ2JFYT-_UPGfJTkeI9x0mPLDLkEH1aPdoipNMMgo-DrQEYJZNFKQ" TargetMode="External"/><Relationship Id="rId421" Type="http://schemas.openxmlformats.org/officeDocument/2006/relationships/hyperlink" Target="https://docs.google.com/forms/d/e/1FAIpQLSeQ0wUAy9WJrwwZ_8x6kCxvJSihLYtbLF2nbMncVH08fybLWQ/viewform?edit2=2_ABaOnufJQ0eVtlQM9rkaoKWLeO6XKzvzEqQustJ-7dt9mtQvkoCd-6l5jaiZgIh2g85Bl7g" TargetMode="External"/><Relationship Id="rId663" Type="http://schemas.openxmlformats.org/officeDocument/2006/relationships/hyperlink" Target="https://drive.google.com/open?id=1Fbj-tbiXTI4QxnD1InA189Cyk7gaee4g" TargetMode="External"/><Relationship Id="rId1012" Type="http://schemas.openxmlformats.org/officeDocument/2006/relationships/hyperlink" Target="https://docs.google.com/forms/d/e/1FAIpQLSeQ0wUAy9WJrwwZ_8x6kCxvJSihLYtbLF2nbMncVH08fybLWQ/viewform?edit2=2_ABaOnucFSSvjcGhhKLkpYtQJ2rV-T9Ckhuh_BuEAya92h9TmqDATXL2wPZ9CWVl7GxKN5gA" TargetMode="External"/><Relationship Id="rId420" Type="http://schemas.openxmlformats.org/officeDocument/2006/relationships/hyperlink" Target="https://docs.google.com/forms/d/e/1FAIpQLSeQ0wUAy9WJrwwZ_8x6kCxvJSihLYtbLF2nbMncVH08fybLWQ/viewform?edit2=2_ABaOnueqgQ92_DmIcGsyaiPWnAqdvsqiWOiOda_dXYv2dh7jnVRpMicXv7TSaUFBqAPUmAI" TargetMode="External"/><Relationship Id="rId662" Type="http://schemas.openxmlformats.org/officeDocument/2006/relationships/hyperlink" Target="https://docs.google.com/forms/d/e/1FAIpQLSeQ0wUAy9WJrwwZ_8x6kCxvJSihLYtbLF2nbMncVH08fybLWQ/viewform?edit2=2_ABaOnuedtsn7-3LHnx5wbirX5mLau4JhqSSHaCkKNxS61D5QQIfcffEIkj2UbREfoX-YEnk" TargetMode="External"/><Relationship Id="rId1013" Type="http://schemas.openxmlformats.org/officeDocument/2006/relationships/hyperlink" Target="https://docs.google.com/forms/d/e/1FAIpQLSeQ0wUAy9WJrwwZ_8x6kCxvJSihLYtbLF2nbMncVH08fybLWQ/viewform?edit2=2_ABaOnudVJbBIypkB6lkWfFt73kI9VT_HgxDZ-JuNEbSsh2mz12h9LSjBUrjGWjHk27ShXXs" TargetMode="External"/><Relationship Id="rId661" Type="http://schemas.openxmlformats.org/officeDocument/2006/relationships/hyperlink" Target="https://docs.google.com/forms/d/e/1FAIpQLSeQ0wUAy9WJrwwZ_8x6kCxvJSihLYtbLF2nbMncVH08fybLWQ/viewform?edit2=2_ABaOnufknetJe8qXOi6MW0Du6fTRpZCtqmgV4t6dpfQPG8cFh2gzWr4GMtWhN0KcmvbH2Zs" TargetMode="External"/><Relationship Id="rId1014" Type="http://schemas.openxmlformats.org/officeDocument/2006/relationships/hyperlink" Target="https://docs.google.com/forms/d/e/1FAIpQLSeQ0wUAy9WJrwwZ_8x6kCxvJSihLYtbLF2nbMncVH08fybLWQ/viewform?edit2=2_ABaOnucwzgCgFkTZ7H11TAy9FKbtifbRqdV0fKpsv5Bl0R5KCu5Fjla2PkBe8fxom3pq-_w" TargetMode="External"/><Relationship Id="rId1004" Type="http://schemas.openxmlformats.org/officeDocument/2006/relationships/hyperlink" Target="https://docs.google.com/forms/d/e/1FAIpQLSeQ0wUAy9WJrwwZ_8x6kCxvJSihLYtbLF2nbMncVH08fybLWQ/viewform?edit2=2_ABaOnufkgmGo24b5vf1AeqcSd4x9VyfZoaKpPZ7QI6MLYpwW1A65Nfel3yyNQTgtB6vRKpE" TargetMode="External"/><Relationship Id="rId1005" Type="http://schemas.openxmlformats.org/officeDocument/2006/relationships/hyperlink" Target="https://docs.google.com/forms/d/e/1FAIpQLSeQ0wUAy9WJrwwZ_8x6kCxvJSihLYtbLF2nbMncVH08fybLWQ/viewform?edit2=2_ABaOnueHW3vsGkt4FCmDz-qU69D3IZCIQ7nAX4JNZGZ6WBOIZ4Tz9SPqAX7NVHJqfH-BKxI" TargetMode="External"/><Relationship Id="rId1006" Type="http://schemas.openxmlformats.org/officeDocument/2006/relationships/hyperlink" Target="https://docs.google.com/forms/d/e/1FAIpQLSeQ0wUAy9WJrwwZ_8x6kCxvJSihLYtbLF2nbMncVH08fybLWQ/viewform?edit2=2_ABaOnuflxehjfEanvB70i3MJAQSY1hCZf2K53c0_13LBFHD8b1RuiZRlN13XIdi3x1ms_uQ" TargetMode="External"/><Relationship Id="rId1007" Type="http://schemas.openxmlformats.org/officeDocument/2006/relationships/hyperlink" Target="https://docs.google.com/forms/d/e/1FAIpQLSeQ0wUAy9WJrwwZ_8x6kCxvJSihLYtbLF2nbMncVH08fybLWQ/viewform?edit2=2_ABaOnufuWw7UBEEzlasRYf2biIzotMBd_rLcTE0srso2yEEMlcacuc4X26kNjFVIKGmNtWU" TargetMode="External"/><Relationship Id="rId1008" Type="http://schemas.openxmlformats.org/officeDocument/2006/relationships/hyperlink" Target="https://docs.google.com/forms/d/e/1FAIpQLSeQ0wUAy9WJrwwZ_8x6kCxvJSihLYtbLF2nbMncVH08fybLWQ/viewform?edit2=2_ABaOnufZ6IfueSCafxfcmFJhBRCNe2wJN87P9ON4pgXYV1yYaHQ6ODtXvZQ6reTDww_sULM" TargetMode="External"/><Relationship Id="rId1009" Type="http://schemas.openxmlformats.org/officeDocument/2006/relationships/hyperlink" Target="https://docs.google.com/forms/d/e/1FAIpQLSeQ0wUAy9WJrwwZ_8x6kCxvJSihLYtbLF2nbMncVH08fybLWQ/viewform?edit2=2_ABaOnufRbQKodgZWP_nktIkDJqkoP5i2mQ4lvE7I6JA7BLFPYbku8SVyaiDros4yV2v96XA" TargetMode="External"/><Relationship Id="rId415" Type="http://schemas.openxmlformats.org/officeDocument/2006/relationships/hyperlink" Target="https://docs.google.com/forms/d/e/1FAIpQLSeQ0wUAy9WJrwwZ_8x6kCxvJSihLYtbLF2nbMncVH08fybLWQ/viewform?edit2=2_ABaOnucuKFI_0WQgcS31Z-7aaHZy9awzG4TO8bq3NB9McLruZONfkhLxF3Fa-mfJBAAt2mU" TargetMode="External"/><Relationship Id="rId657" Type="http://schemas.openxmlformats.org/officeDocument/2006/relationships/hyperlink" Target="https://docs.google.com/forms/d/e/1FAIpQLSeQ0wUAy9WJrwwZ_8x6kCxvJSihLYtbLF2nbMncVH08fybLWQ/viewform?edit2=2_ABaOnufGGG6T3K9vSDQtEPHfpT5WBo12CiqmeLEp88Ol5oz_R0kazk2CLIowwuFhRM8lyq4" TargetMode="External"/><Relationship Id="rId899" Type="http://schemas.openxmlformats.org/officeDocument/2006/relationships/hyperlink" Target="https://docs.google.com/forms/d/e/1FAIpQLSeQ0wUAy9WJrwwZ_8x6kCxvJSihLYtbLF2nbMncVH08fybLWQ/viewform?edit2=2_ABaOnue5DwcCyyFNyHAlCals8fkCabiBlE02bvFf9SsdCYOzdIC5Sm04oeTKXLQBPuVOYgs" TargetMode="External"/><Relationship Id="rId414" Type="http://schemas.openxmlformats.org/officeDocument/2006/relationships/hyperlink" Target="https://docs.google.com/forms/d/e/1FAIpQLSeQ0wUAy9WJrwwZ_8x6kCxvJSihLYtbLF2nbMncVH08fybLWQ/viewform?edit2=2_ABaOnucWtQd2WV7iBzM27KEL0C6zvjMRTO1ZBoxUrchoqpZdTMmJ94oG6SxtCL8b1Ra91pg" TargetMode="External"/><Relationship Id="rId656" Type="http://schemas.openxmlformats.org/officeDocument/2006/relationships/hyperlink" Target="https://docs.google.com/forms/d/e/1FAIpQLSeQ0wUAy9WJrwwZ_8x6kCxvJSihLYtbLF2nbMncVH08fybLWQ/viewform?edit2=2_ABaOnuc_XftEoP1KKYlHohZ15oNvqxY_sUvs6Ah7UqW91Qy4-nBKnjJivekddJggZuR7qDE" TargetMode="External"/><Relationship Id="rId898" Type="http://schemas.openxmlformats.org/officeDocument/2006/relationships/hyperlink" Target="https://docs.google.com/forms/d/e/1FAIpQLSeQ0wUAy9WJrwwZ_8x6kCxvJSihLYtbLF2nbMncVH08fybLWQ/viewform?edit2=2_ABaOnucD1D9vpzADlCswZfY7EgFllL3NXvyJHgkYuR2sILzp8TAgURAoUcvdiJan_CLHPmY" TargetMode="External"/><Relationship Id="rId413" Type="http://schemas.openxmlformats.org/officeDocument/2006/relationships/hyperlink" Target="https://docs.google.com/forms/d/e/1FAIpQLSeQ0wUAy9WJrwwZ_8x6kCxvJSihLYtbLF2nbMncVH08fybLWQ/viewform?edit2=2_ABaOnudwbIb-nzXJB6M_7w1x8Ps3Tr0DkLIE2hO72vNACOyY2Ya40J-OXl4UZsT8B83KZAQ" TargetMode="External"/><Relationship Id="rId655" Type="http://schemas.openxmlformats.org/officeDocument/2006/relationships/hyperlink" Target="https://docs.google.com/forms/d/e/1FAIpQLSeQ0wUAy9WJrwwZ_8x6kCxvJSihLYtbLF2nbMncVH08fybLWQ/viewform?edit2=2_ABaOnudgaGo2i4mJGQzwbqlxts9JqnalDJbSq4KN2KQADEH0cWbnwyVeSiEYm-8fgF0yq-g" TargetMode="External"/><Relationship Id="rId897" Type="http://schemas.openxmlformats.org/officeDocument/2006/relationships/hyperlink" Target="https://docs.google.com/forms/d/e/1FAIpQLSeQ0wUAy9WJrwwZ_8x6kCxvJSihLYtbLF2nbMncVH08fybLWQ/viewform?edit2=2_ABaOnucK9VxmXiZUPFV1PHtMc2XiZpobQv6pioBBILiaiteG-EFy0AomUFpEiekOPGgc5aA" TargetMode="External"/><Relationship Id="rId412" Type="http://schemas.openxmlformats.org/officeDocument/2006/relationships/hyperlink" Target="https://docs.google.com/forms/d/e/1FAIpQLSeQ0wUAy9WJrwwZ_8x6kCxvJSihLYtbLF2nbMncVH08fybLWQ/viewform?edit2=2_ABaOnudSNRqEhYTrE0r9jAl-OkDEtVjo9_3qS0jtjbo3rvVVgu8vxRpyCLUwPkKU9j4-NNA" TargetMode="External"/><Relationship Id="rId654" Type="http://schemas.openxmlformats.org/officeDocument/2006/relationships/hyperlink" Target="https://drive.google.com/open?id=1-3riqkrtvA1VEj1ULk1WgEz2dWz7MHoH" TargetMode="External"/><Relationship Id="rId896" Type="http://schemas.openxmlformats.org/officeDocument/2006/relationships/hyperlink" Target="https://docs.google.com/forms/d/e/1FAIpQLSeQ0wUAy9WJrwwZ_8x6kCxvJSihLYtbLF2nbMncVH08fybLWQ/viewform?edit2=2_ABaOnudzn4GmkP6EYecfZaL87f65NacSA1iLckiL-0fjKPEjrPUg2hDO-CMn9OWxBQzG39Y" TargetMode="External"/><Relationship Id="rId419" Type="http://schemas.openxmlformats.org/officeDocument/2006/relationships/hyperlink" Target="https://docs.google.com/forms/d/e/1FAIpQLSeQ0wUAy9WJrwwZ_8x6kCxvJSihLYtbLF2nbMncVH08fybLWQ/viewform?edit2=2_ABaOnufERUT5BSwZS071h9fJ8m0lGdlz1WHTQ1tl5Uwc2CZoa0CFPz67Kj8szaFiE5PYGd8" TargetMode="External"/><Relationship Id="rId418" Type="http://schemas.openxmlformats.org/officeDocument/2006/relationships/hyperlink" Target="https://docs.google.com/forms/d/e/1FAIpQLSeQ0wUAy9WJrwwZ_8x6kCxvJSihLYtbLF2nbMncVH08fybLWQ/viewform?edit2=2_ABaOnueVH0wipTjBnyLg1GttlkMVtQ49byyV3MzskEooeyg4fru83K4mcfyyQudhUtRtK5o" TargetMode="External"/><Relationship Id="rId417" Type="http://schemas.openxmlformats.org/officeDocument/2006/relationships/hyperlink" Target="https://docs.google.com/forms/d/e/1FAIpQLSeQ0wUAy9WJrwwZ_8x6kCxvJSihLYtbLF2nbMncVH08fybLWQ/viewform?edit2=2_ABaOnuffYv5-Bm0pK-qItzS76y2DoRybDUmD1lOgdiHKguQIa4RRDtBaFwbF6bOmZADKL_E" TargetMode="External"/><Relationship Id="rId659" Type="http://schemas.openxmlformats.org/officeDocument/2006/relationships/hyperlink" Target="https://docs.google.com/forms/d/e/1FAIpQLSeQ0wUAy9WJrwwZ_8x6kCxvJSihLYtbLF2nbMncVH08fybLWQ/viewform?edit2=2_ABaOnuf9HrZ0nuGsKPPgukHqqI2oVDsvBuWmQwVhtAfk4Gjuqgn-fx4UqDVy7emOAW38wos" TargetMode="External"/><Relationship Id="rId416" Type="http://schemas.openxmlformats.org/officeDocument/2006/relationships/hyperlink" Target="https://docs.google.com/forms/d/e/1FAIpQLSeQ0wUAy9WJrwwZ_8x6kCxvJSihLYtbLF2nbMncVH08fybLWQ/viewform?edit2=2_ABaOnucIIkmSwesWXKbaTSH1KmiZrUQDvkcnTZ901MT-Gb5Y0MbooXCMDL6sK2Z0ow8ulug" TargetMode="External"/><Relationship Id="rId658" Type="http://schemas.openxmlformats.org/officeDocument/2006/relationships/hyperlink" Target="https://docs.google.com/forms/d/e/1FAIpQLSeQ0wUAy9WJrwwZ_8x6kCxvJSihLYtbLF2nbMncVH08fybLWQ/viewform?edit2=2_ABaOnucwfp_5HCOeNTNv3-i3WQD5XKHOy19a4xVbYPH-3sh6VaktUapmBRq82NccO3oeKQI" TargetMode="External"/><Relationship Id="rId891" Type="http://schemas.openxmlformats.org/officeDocument/2006/relationships/hyperlink" Target="https://docs.google.com/forms/d/e/1FAIpQLSeQ0wUAy9WJrwwZ_8x6kCxvJSihLYtbLF2nbMncVH08fybLWQ/viewform?edit2=2_ABaOnudHGfczFX2-qV2flaYaZSI-2i5_YH8rmiCRWtVxKfYD8jM6XwOAbjdqlmFaTkPPdVs" TargetMode="External"/><Relationship Id="rId890" Type="http://schemas.openxmlformats.org/officeDocument/2006/relationships/hyperlink" Target="https://docs.google.com/forms/d/e/1FAIpQLSeQ0wUAy9WJrwwZ_8x6kCxvJSihLYtbLF2nbMncVH08fybLWQ/viewform?edit2=2_ABaOnufqYGyhLMjxj3chl70YPYevvIpGJ8ufMfX29dbX_TzLNPGZTDgPkbrL1yqjvBXTaK4" TargetMode="External"/><Relationship Id="rId411" Type="http://schemas.openxmlformats.org/officeDocument/2006/relationships/hyperlink" Target="https://docs.google.com/forms/d/e/1FAIpQLSeQ0wUAy9WJrwwZ_8x6kCxvJSihLYtbLF2nbMncVH08fybLWQ/viewform?edit2=2_ABaOnuebnH0KXV5jXE6nIATYVNabk96Gi77rjHX8wEAoqdlBrsIqiSbYkXJg7ACN4CLSJmk" TargetMode="External"/><Relationship Id="rId653" Type="http://schemas.openxmlformats.org/officeDocument/2006/relationships/hyperlink" Target="https://docs.google.com/forms/d/e/1FAIpQLSeQ0wUAy9WJrwwZ_8x6kCxvJSihLYtbLF2nbMncVH08fybLWQ/viewform?edit2=2_ABaOnudpjv69SIw04g_hKerfqixnpe8u5iHoAwcka3Ua6dtgvtu7YWmD_sMQaPAcCPLbHYE" TargetMode="External"/><Relationship Id="rId895" Type="http://schemas.openxmlformats.org/officeDocument/2006/relationships/hyperlink" Target="https://docs.google.com/forms/d/e/1FAIpQLSeQ0wUAy9WJrwwZ_8x6kCxvJSihLYtbLF2nbMncVH08fybLWQ/viewform?edit2=2_ABaOnueJ9Xpg7dOqjFwBNjets16vjmSBp-7qqAyWFo-ECgXyhGHksVZDKnqe7DTnNitxq78" TargetMode="External"/><Relationship Id="rId1000" Type="http://schemas.openxmlformats.org/officeDocument/2006/relationships/hyperlink" Target="https://drive.google.com/open?id=1P4cnFyYStskgP89hfBv313QdnPa1Vnz_" TargetMode="External"/><Relationship Id="rId410" Type="http://schemas.openxmlformats.org/officeDocument/2006/relationships/hyperlink" Target="https://docs.google.com/forms/d/e/1FAIpQLSeQ0wUAy9WJrwwZ_8x6kCxvJSihLYtbLF2nbMncVH08fybLWQ/viewform?edit2=2_ABaOnufF3etMCS_k0T5XaWFuJwEBuWzuRQX1CN-xvx-5nKnPYrU2oZO00EdCKs_sfprO8FU" TargetMode="External"/><Relationship Id="rId652" Type="http://schemas.openxmlformats.org/officeDocument/2006/relationships/hyperlink" Target="https://docs.google.com/forms/d/e/1FAIpQLSeQ0wUAy9WJrwwZ_8x6kCxvJSihLYtbLF2nbMncVH08fybLWQ/viewform?edit2=2_ABaOnucScl2wz57F0Dzx57zof4N4pVXd8gMUuu3KEe2djEv1QAM1iwmO2xpE6F-gAdBdTIY" TargetMode="External"/><Relationship Id="rId894" Type="http://schemas.openxmlformats.org/officeDocument/2006/relationships/hyperlink" Target="https://docs.google.com/forms/d/e/1FAIpQLSeQ0wUAy9WJrwwZ_8x6kCxvJSihLYtbLF2nbMncVH08fybLWQ/viewform?edit2=2_ABaOnudLoafH_8Zlj2U0VnlHl73NrnXLkiHL1g0QNp2CZZ-9yiMurvMQknloRDaowjCR9Wk" TargetMode="External"/><Relationship Id="rId1001" Type="http://schemas.openxmlformats.org/officeDocument/2006/relationships/hyperlink" Target="https://docs.google.com/forms/d/e/1FAIpQLSeQ0wUAy9WJrwwZ_8x6kCxvJSihLYtbLF2nbMncVH08fybLWQ/viewform?edit2=2_ABaOnuccFZqdSzj9H0iOO2B-BIYt8nYkLBch9i4BUhFdVZmjBWNTycIjFt5wAn94BJAbsW0" TargetMode="External"/><Relationship Id="rId651" Type="http://schemas.openxmlformats.org/officeDocument/2006/relationships/hyperlink" Target="https://docs.google.com/forms/d/e/1FAIpQLSeQ0wUAy9WJrwwZ_8x6kCxvJSihLYtbLF2nbMncVH08fybLWQ/viewform?edit2=2_ABaOnueiJ1mozlAAUCHqYILarJ3ZWNmezb6EdidDRoPfBcPXC_Z1VHqVix-0LADydo9nq6Q" TargetMode="External"/><Relationship Id="rId893" Type="http://schemas.openxmlformats.org/officeDocument/2006/relationships/hyperlink" Target="https://docs.google.com/forms/d/e/1FAIpQLSeQ0wUAy9WJrwwZ_8x6kCxvJSihLYtbLF2nbMncVH08fybLWQ/viewform?edit2=2_ABaOnud3Y6f5PKZ5w3reFFg5ttU2BDeh9SYfx8r0acqPIFV1-wM3eQPWom3UFSgen90RvVA" TargetMode="External"/><Relationship Id="rId1002" Type="http://schemas.openxmlformats.org/officeDocument/2006/relationships/hyperlink" Target="https://docs.google.com/forms/d/e/1FAIpQLSeQ0wUAy9WJrwwZ_8x6kCxvJSihLYtbLF2nbMncVH08fybLWQ/viewform?edit2=2_ABaOnuczqbKRkwAJlecUPc-3tsoHc-lRVzGC3dcn6g62fPKfXMTDwyfw3isEI3GGWNZ-ASw" TargetMode="External"/><Relationship Id="rId650" Type="http://schemas.openxmlformats.org/officeDocument/2006/relationships/hyperlink" Target="https://drive.google.com/open?id=1GX5ptqEC_H3Tf7UpxeeSpjHvCNYZ-Mgy" TargetMode="External"/><Relationship Id="rId892" Type="http://schemas.openxmlformats.org/officeDocument/2006/relationships/hyperlink" Target="https://docs.google.com/forms/d/e/1FAIpQLSeQ0wUAy9WJrwwZ_8x6kCxvJSihLYtbLF2nbMncVH08fybLWQ/viewform?edit2=2_ABaOnudbNgPfFwzmTmZ54xvS13Sm_LbcUvYqTtEPHxRc2r32br5YamC50ONgc0_8QSdHbLI" TargetMode="External"/><Relationship Id="rId1003" Type="http://schemas.openxmlformats.org/officeDocument/2006/relationships/hyperlink" Target="https://docs.google.com/forms/d/e/1FAIpQLSeQ0wUAy9WJrwwZ_8x6kCxvJSihLYtbLF2nbMncVH08fybLWQ/viewform?edit2=2_ABaOnucWEcESfAEPmTKzKQjjpvDRAh3ORdAaNT_qFs0qnnnqoMqWhq1aUJ-n9kikZzvV_Ms" TargetMode="External"/><Relationship Id="rId206" Type="http://schemas.openxmlformats.org/officeDocument/2006/relationships/hyperlink" Target="https://docs.google.com/forms/d/e/1FAIpQLSeQ0wUAy9WJrwwZ_8x6kCxvJSihLYtbLF2nbMncVH08fybLWQ/viewform?edit2=2_ABaOnuf5w3sBsavuh0bmgJN_kND4jFNPEwo1yb6Lz96TTh92hIwgk-c3kKFlmRb87yWvIuA" TargetMode="External"/><Relationship Id="rId448" Type="http://schemas.openxmlformats.org/officeDocument/2006/relationships/hyperlink" Target="https://docs.google.com/forms/d/e/1FAIpQLSeQ0wUAy9WJrwwZ_8x6kCxvJSihLYtbLF2nbMncVH08fybLWQ/viewform?edit2=2_ABaOnufBy-X2PIbExLJZlEmT7Wam8xruVcErZDaCXZXS8yGk_g-ADvKSM7j05KA6qK3l6hU" TargetMode="External"/><Relationship Id="rId205" Type="http://schemas.openxmlformats.org/officeDocument/2006/relationships/hyperlink" Target="https://docs.google.com/forms/d/e/1FAIpQLSeQ0wUAy9WJrwwZ_8x6kCxvJSihLYtbLF2nbMncVH08fybLWQ/viewform?edit2=2_ABaOnueXOwq4Y-JT0phw7xu8IxLlLY-Fi-SAuczs7Bh62KapmL5761yXglMJU2DfrYB0ZjM" TargetMode="External"/><Relationship Id="rId447" Type="http://schemas.openxmlformats.org/officeDocument/2006/relationships/hyperlink" Target="https://docs.google.com/forms/d/e/1FAIpQLSeQ0wUAy9WJrwwZ_8x6kCxvJSihLYtbLF2nbMncVH08fybLWQ/viewform?edit2=2_ABaOnufQ0Xv7Z1nOdqUW-OIikpaGuGc6xm0rqUZG-zbOQsmAwK_e1iAF-AHBkv8rTSyookM" TargetMode="External"/><Relationship Id="rId689" Type="http://schemas.openxmlformats.org/officeDocument/2006/relationships/hyperlink" Target="https://drive.google.com/open?id=1T7hdnDjz_6CNCZtY2A_hATyqkQVglhXA" TargetMode="External"/><Relationship Id="rId204" Type="http://schemas.openxmlformats.org/officeDocument/2006/relationships/hyperlink" Target="https://docs.google.com/forms/d/e/1FAIpQLSeQ0wUAy9WJrwwZ_8x6kCxvJSihLYtbLF2nbMncVH08fybLWQ/viewform?edit2=2_ABaOnufeEYtLhkN7SwzRMfhsylYa7xc_xmJc_QoXy4Q9j99Y8Xe0woDDHHQPKWMYtpkZ6Y0" TargetMode="External"/><Relationship Id="rId446" Type="http://schemas.openxmlformats.org/officeDocument/2006/relationships/hyperlink" Target="https://docs.google.com/forms/d/e/1FAIpQLSeQ0wUAy9WJrwwZ_8x6kCxvJSihLYtbLF2nbMncVH08fybLWQ/viewform?edit2=2_ABaOnudGM5rsUp4F26rF8GRVipxlm7TWkZOKmfOxZKx4G2tyqLe9nK92JuZzhYl7knwKFaw" TargetMode="External"/><Relationship Id="rId688" Type="http://schemas.openxmlformats.org/officeDocument/2006/relationships/hyperlink" Target="https://docs.google.com/forms/d/e/1FAIpQLSeQ0wUAy9WJrwwZ_8x6kCxvJSihLYtbLF2nbMncVH08fybLWQ/viewform?edit2=2_ABaOnucSD0qgWyFjgpP3DSfpHAwb5JcBPvRBf4KPTR_lbKC6ygbDs1ygx_sT4BHmS6jc5fs" TargetMode="External"/><Relationship Id="rId203" Type="http://schemas.openxmlformats.org/officeDocument/2006/relationships/hyperlink" Target="https://docs.google.com/forms/d/e/1FAIpQLSeQ0wUAy9WJrwwZ_8x6kCxvJSihLYtbLF2nbMncVH08fybLWQ/viewform?edit2=2_ABaOnuelOOU1nGALq7dTzZPccNKw_ibPC8-9JSTLQ4V8QAYwPwPUdCLTeME45UMToxA7E18" TargetMode="External"/><Relationship Id="rId445" Type="http://schemas.openxmlformats.org/officeDocument/2006/relationships/hyperlink" Target="https://docs.google.com/forms/d/e/1FAIpQLSeQ0wUAy9WJrwwZ_8x6kCxvJSihLYtbLF2nbMncVH08fybLWQ/viewform?edit2=2_ABaOnucNE5chwY8kNHuR0ewpa_0DXp0AoiDDCDOe2l-aCBcIfQCstphHxTOyNeennhsJ0qc" TargetMode="External"/><Relationship Id="rId687" Type="http://schemas.openxmlformats.org/officeDocument/2006/relationships/hyperlink" Target="https://docs.google.com/forms/d/e/1FAIpQLSeQ0wUAy9WJrwwZ_8x6kCxvJSihLYtbLF2nbMncVH08fybLWQ/viewform?edit2=2_ABaOnufKP3wlqg-ECgOepNy4N9mPTZ6Q496wMvZ8TT7ZXShXgLMupzeXzDi-K_v3mzQnMwE" TargetMode="External"/><Relationship Id="rId209" Type="http://schemas.openxmlformats.org/officeDocument/2006/relationships/hyperlink" Target="https://docs.google.com/forms/d/e/1FAIpQLSeQ0wUAy9WJrwwZ_8x6kCxvJSihLYtbLF2nbMncVH08fybLWQ/viewform?edit2=2_ABaOnuet6mH1yfXEnjEolPnzbIVM6d9CvITQBGlci6U65gEEq96UfcRldcrNfUoYWeDzHnE" TargetMode="External"/><Relationship Id="rId208" Type="http://schemas.openxmlformats.org/officeDocument/2006/relationships/hyperlink" Target="https://docs.google.com/forms/d/e/1FAIpQLSeQ0wUAy9WJrwwZ_8x6kCxvJSihLYtbLF2nbMncVH08fybLWQ/viewform?edit2=2_ABaOnucPbUary0OuQPU2QpZZ81EOuye-qOKWmf467c4CMNqmDcCjVR8RrGeSJAIzAxCP9yA" TargetMode="External"/><Relationship Id="rId207" Type="http://schemas.openxmlformats.org/officeDocument/2006/relationships/hyperlink" Target="https://docs.google.com/forms/d/e/1FAIpQLSeQ0wUAy9WJrwwZ_8x6kCxvJSihLYtbLF2nbMncVH08fybLWQ/viewform?edit2=2_ABaOnueMicjvUg6Y6qt23wkRjX7hHzwI92VOIaw6Mh261rWjGIVR6PGu57clXiOgrghQ6gY" TargetMode="External"/><Relationship Id="rId449" Type="http://schemas.openxmlformats.org/officeDocument/2006/relationships/hyperlink" Target="https://docs.google.com/forms/d/e/1FAIpQLSeQ0wUAy9WJrwwZ_8x6kCxvJSihLYtbLF2nbMncVH08fybLWQ/viewform?edit2=2_ABaOnuf00Hf5kunQpsrJV3CkWP_qxasHqAdlwcvJe7mckzAeh3yGq3sQEGkvKg3HCL_rwXY" TargetMode="External"/><Relationship Id="rId440" Type="http://schemas.openxmlformats.org/officeDocument/2006/relationships/hyperlink" Target="https://docs.google.com/forms/d/e/1FAIpQLSeQ0wUAy9WJrwwZ_8x6kCxvJSihLYtbLF2nbMncVH08fybLWQ/viewform?edit2=2_ABaOnufx3pt0ApwrB_GxfsP3wOxs7k4aw1164ClcC-FRwiV9pd_tasZNdv58kKYUbU0-sMw" TargetMode="External"/><Relationship Id="rId682" Type="http://schemas.openxmlformats.org/officeDocument/2006/relationships/hyperlink" Target="https://docs.google.com/forms/d/e/1FAIpQLSeQ0wUAy9WJrwwZ_8x6kCxvJSihLYtbLF2nbMncVH08fybLWQ/viewform?edit2=2_ABaOnuf45ea-jTSFbjTs2I6rMa1BU9IH9E1Q6ePSZRNMGq_HxfnPW6JX-e6vxIdrpptbSC8" TargetMode="External"/><Relationship Id="rId681" Type="http://schemas.openxmlformats.org/officeDocument/2006/relationships/hyperlink" Target="https://docs.google.com/forms/d/e/1FAIpQLSeQ0wUAy9WJrwwZ_8x6kCxvJSihLYtbLF2nbMncVH08fybLWQ/viewform?edit2=2_ABaOnueFFCAE3L2iI_ESPmE9St4BNWQ63BJIeHD4Fch7EJed2jb0aTtuKgnihAEm8v4p094" TargetMode="External"/><Relationship Id="rId680" Type="http://schemas.openxmlformats.org/officeDocument/2006/relationships/hyperlink" Target="https://docs.google.com/forms/d/e/1FAIpQLSeQ0wUAy9WJrwwZ_8x6kCxvJSihLYtbLF2nbMncVH08fybLWQ/viewform?edit2=2_ABaOnue8b7BMVMLBVi_guRoh7LTF3CgZd03isbAwZUn92Orzg8ZAVLttKRay3CQ8jqxBVD4" TargetMode="External"/><Relationship Id="rId202" Type="http://schemas.openxmlformats.org/officeDocument/2006/relationships/hyperlink" Target="https://docs.google.com/forms/d/e/1FAIpQLSeQ0wUAy9WJrwwZ_8x6kCxvJSihLYtbLF2nbMncVH08fybLWQ/viewform?edit2=2_ABaOnufgoU1QfuFrfAyUXtJgsVFVddJVkn0T4LMQIZM9dFezEaXBEu_5v_QTOdAXVY7eb5c" TargetMode="External"/><Relationship Id="rId444" Type="http://schemas.openxmlformats.org/officeDocument/2006/relationships/hyperlink" Target="https://docs.google.com/forms/d/e/1FAIpQLSeQ0wUAy9WJrwwZ_8x6kCxvJSihLYtbLF2nbMncVH08fybLWQ/viewform?edit2=2_ABaOnucdZPnKb6qgeDrKfxndC0jqjpFMKlTLjY2069Qvc9ZatSkkuSoai0L4FU91Q62G88o" TargetMode="External"/><Relationship Id="rId686" Type="http://schemas.openxmlformats.org/officeDocument/2006/relationships/hyperlink" Target="https://docs.google.com/forms/d/e/1FAIpQLSeQ0wUAy9WJrwwZ_8x6kCxvJSihLYtbLF2nbMncVH08fybLWQ/viewform?edit2=2_ABaOnufO-BYwExc7m8aIGxKReYWeecefpXuBxf3oCXaQGAHNb07tbnIGKPg_9TLV0aEmFBY" TargetMode="External"/><Relationship Id="rId201" Type="http://schemas.openxmlformats.org/officeDocument/2006/relationships/hyperlink" Target="https://docs.google.com/forms/d/e/1FAIpQLSeQ0wUAy9WJrwwZ_8x6kCxvJSihLYtbLF2nbMncVH08fybLWQ/viewform?edit2=2_ABaOnuftV4C3G1pef-ceT8DDbk-x93rb_lV45Ng6oP4V30qLZczBfBl8F6BwZw-FUH2IZig" TargetMode="External"/><Relationship Id="rId443" Type="http://schemas.openxmlformats.org/officeDocument/2006/relationships/hyperlink" Target="https://docs.google.com/forms/d/e/1FAIpQLSeQ0wUAy9WJrwwZ_8x6kCxvJSihLYtbLF2nbMncVH08fybLWQ/viewform?edit2=2_ABaOnuc6m9v3NoXXFLbo8NHBjJZRYT6vsNT7Sq1GJF2vsPkvnCJvX5qj7JrZjEbodykoU20" TargetMode="External"/><Relationship Id="rId685" Type="http://schemas.openxmlformats.org/officeDocument/2006/relationships/hyperlink" Target="https://drive.google.com/open?id=1RS5v3zfCX5mPfNg0vPR175zE7Xm0Gr9m" TargetMode="External"/><Relationship Id="rId200" Type="http://schemas.openxmlformats.org/officeDocument/2006/relationships/hyperlink" Target="https://docs.google.com/forms/d/e/1FAIpQLSeQ0wUAy9WJrwwZ_8x6kCxvJSihLYtbLF2nbMncVH08fybLWQ/viewform?edit2=2_ABaOnue-DiJAp5O9eWsgXJnO4ENz5ayU-mgWBYqutNgS3t08dpaRPSLMj9TLI1YdUSNbKHc" TargetMode="External"/><Relationship Id="rId442" Type="http://schemas.openxmlformats.org/officeDocument/2006/relationships/hyperlink" Target="https://docs.google.com/forms/d/e/1FAIpQLSeQ0wUAy9WJrwwZ_8x6kCxvJSihLYtbLF2nbMncVH08fybLWQ/viewform?edit2=2_ABaOnufzu8reAxRQgzqP6yiCKTVQnfT-vtsCML093qnF2Pq6LSIZvEgQCauKjsu6xVymd0U" TargetMode="External"/><Relationship Id="rId684" Type="http://schemas.openxmlformats.org/officeDocument/2006/relationships/hyperlink" Target="https://docs.google.com/forms/d/e/1FAIpQLSeQ0wUAy9WJrwwZ_8x6kCxvJSihLYtbLF2nbMncVH08fybLWQ/viewform?edit2=2_ABaOnufq6iHZzgVgNtvw_I32Rvasc2XOWrFNsUwpIRalxb9zvsjosA-2rVLWSut6gM3cFLs" TargetMode="External"/><Relationship Id="rId441" Type="http://schemas.openxmlformats.org/officeDocument/2006/relationships/hyperlink" Target="https://docs.google.com/forms/d/e/1FAIpQLSeQ0wUAy9WJrwwZ_8x6kCxvJSihLYtbLF2nbMncVH08fybLWQ/viewform?edit2=2_ABaOnufAMd_m6FBTzjsY-dkWhsOAawKXOhC51YpLxdnmYk-Ncg1u7GzisQvQMEBXhJ1WisU" TargetMode="External"/><Relationship Id="rId683" Type="http://schemas.openxmlformats.org/officeDocument/2006/relationships/hyperlink" Target="https://drive.google.com/open?id=1meMf9tzfysG7PmMNNOWMmIc2FkrqKYTM" TargetMode="External"/><Relationship Id="rId437" Type="http://schemas.openxmlformats.org/officeDocument/2006/relationships/hyperlink" Target="https://docs.google.com/forms/d/e/1FAIpQLSeQ0wUAy9WJrwwZ_8x6kCxvJSihLYtbLF2nbMncVH08fybLWQ/viewform?edit2=2_ABaOnuex-QrSH4NVBoFcVtK8--z2o_bFoP3vMZXXgv17FMuZaM1NTaWrNG6wMvj_OOi3dbU" TargetMode="External"/><Relationship Id="rId679" Type="http://schemas.openxmlformats.org/officeDocument/2006/relationships/hyperlink" Target="https://docs.google.com/forms/d/e/1FAIpQLSeQ0wUAy9WJrwwZ_8x6kCxvJSihLYtbLF2nbMncVH08fybLWQ/viewform?edit2=2_ABaOnue6hZR8QVxr099vo8794LQOQqAnM51CvrVuCC0pEai87sSFoj51HQkNK6KaAjr2FH8" TargetMode="External"/><Relationship Id="rId436" Type="http://schemas.openxmlformats.org/officeDocument/2006/relationships/hyperlink" Target="https://docs.google.com/forms/d/e/1FAIpQLSeQ0wUAy9WJrwwZ_8x6kCxvJSihLYtbLF2nbMncVH08fybLWQ/viewform?edit2=2_ABaOnuccfqEk-wlVah_Z29CzBMUfWaJHZh2LP7kPRVuWaNvHGxmNRM7d-hNOzV0ZDem_JuQ" TargetMode="External"/><Relationship Id="rId678" Type="http://schemas.openxmlformats.org/officeDocument/2006/relationships/hyperlink" Target="https://docs.google.com/forms/d/e/1FAIpQLSeQ0wUAy9WJrwwZ_8x6kCxvJSihLYtbLF2nbMncVH08fybLWQ/viewform?edit2=2_ABaOnudw9kLM6JC6xbae6MtkfWm4_vq3fcNn61m9z8Zt3IOFlOHoCDYsWpqclzPFzm8VjCM" TargetMode="External"/><Relationship Id="rId435" Type="http://schemas.openxmlformats.org/officeDocument/2006/relationships/hyperlink" Target="https://docs.google.com/forms/d/e/1FAIpQLSeQ0wUAy9WJrwwZ_8x6kCxvJSihLYtbLF2nbMncVH08fybLWQ/viewform?edit2=2_ABaOnucT0xMjDf1ZGzXMa-uEPzYiFnplZ4hAiVALiM6uhNxJO_NzJ0SWDpBdpgUf4p9s298" TargetMode="External"/><Relationship Id="rId677" Type="http://schemas.openxmlformats.org/officeDocument/2006/relationships/hyperlink" Target="https://drive.google.com/open?id=1slAqSQvT8smEINonAttJkdtwYIqkRAnM" TargetMode="External"/><Relationship Id="rId434" Type="http://schemas.openxmlformats.org/officeDocument/2006/relationships/hyperlink" Target="https://docs.google.com/forms/d/e/1FAIpQLSeQ0wUAy9WJrwwZ_8x6kCxvJSihLYtbLF2nbMncVH08fybLWQ/viewform?edit2=2_ABaOnufp2yIfFMXeZJQTYgKICgemms3QeFPHw3o-YLuO7tkyz-byUW1SYHlaZ-wf9sh6otM" TargetMode="External"/><Relationship Id="rId676" Type="http://schemas.openxmlformats.org/officeDocument/2006/relationships/hyperlink" Target="https://docs.google.com/forms/d/e/1FAIpQLSeQ0wUAy9WJrwwZ_8x6kCxvJSihLYtbLF2nbMncVH08fybLWQ/viewform?edit2=2_ABaOnucVyt5wW22ommXa086OKgtvGDzxrEslnZZrq4hzY_uyJqlJ_fPSYd_qC16VXYcCpYA" TargetMode="External"/><Relationship Id="rId439" Type="http://schemas.openxmlformats.org/officeDocument/2006/relationships/hyperlink" Target="https://docs.google.com/forms/d/e/1FAIpQLSeQ0wUAy9WJrwwZ_8x6kCxvJSihLYtbLF2nbMncVH08fybLWQ/viewform?edit2=2_ABaOnufL-3IBt3fUG96Vdj3-b7vUqac1bTppPSuProSo6b3px4G7IZs28-aRGKEe1EXzRVI" TargetMode="External"/><Relationship Id="rId438" Type="http://schemas.openxmlformats.org/officeDocument/2006/relationships/hyperlink" Target="https://docs.google.com/forms/d/e/1FAIpQLSeQ0wUAy9WJrwwZ_8x6kCxvJSihLYtbLF2nbMncVH08fybLWQ/viewform?edit2=2_ABaOnuec0GHoKkHxeWZ6oKiMAenD0RagCrunJSfnzVDoR-sxWxElRdG0B1ZD82xPs2KIINY" TargetMode="External"/><Relationship Id="rId671" Type="http://schemas.openxmlformats.org/officeDocument/2006/relationships/hyperlink" Target="https://docs.google.com/forms/d/e/1FAIpQLSeQ0wUAy9WJrwwZ_8x6kCxvJSihLYtbLF2nbMncVH08fybLWQ/viewform?edit2=2_ABaOnudGlLXtnkaagammRLyy8rlnfk5PKDLMX0HG-VIQMZuwZ7vPkIns0ndMzE-1HcaXlhU" TargetMode="External"/><Relationship Id="rId670" Type="http://schemas.openxmlformats.org/officeDocument/2006/relationships/hyperlink" Target="https://docs.google.com/forms/d/e/1FAIpQLSeQ0wUAy9WJrwwZ_8x6kCxvJSihLYtbLF2nbMncVH08fybLWQ/viewform?edit2=2_ABaOnude3-bIY4MR9iisEAeHkOVcNr13741_Z1l0pODEOL-ZXd72KZf61gScCBJPRkXbaMI" TargetMode="External"/><Relationship Id="rId433" Type="http://schemas.openxmlformats.org/officeDocument/2006/relationships/hyperlink" Target="https://docs.google.com/forms/d/e/1FAIpQLSeQ0wUAy9WJrwwZ_8x6kCxvJSihLYtbLF2nbMncVH08fybLWQ/viewform?edit2=2_ABaOnudUJ_bIPCz7qp_bHGdSvnqOQ7Yg3J1A7-zpzxvTynmFG2MnU_tIoZLoCryZAkFWP9E" TargetMode="External"/><Relationship Id="rId675" Type="http://schemas.openxmlformats.org/officeDocument/2006/relationships/hyperlink" Target="https://docs.google.com/forms/d/e/1FAIpQLSeQ0wUAy9WJrwwZ_8x6kCxvJSihLYtbLF2nbMncVH08fybLWQ/viewform?edit2=2_ABaOnufZHWo7rqbx837HczhpTVEJ5SDi2aEwU_VA7XaubpbK0mX8cYBQPopj6YZtjHPPupo" TargetMode="External"/><Relationship Id="rId432" Type="http://schemas.openxmlformats.org/officeDocument/2006/relationships/hyperlink" Target="https://docs.google.com/forms/d/e/1FAIpQLSeQ0wUAy9WJrwwZ_8x6kCxvJSihLYtbLF2nbMncVH08fybLWQ/viewform?edit2=2_ABaOnuerQlFrRkZ4ub-GV4ySsdk-XSL1aDPQ1eWzM0bjXPsZdZizLB5mNM8JlEY4HAybh9U" TargetMode="External"/><Relationship Id="rId674" Type="http://schemas.openxmlformats.org/officeDocument/2006/relationships/hyperlink" Target="https://drive.google.com/open?id=1flbGBHyIUK51MXFxd2m4j8E_Pxp5k7yX" TargetMode="External"/><Relationship Id="rId431" Type="http://schemas.openxmlformats.org/officeDocument/2006/relationships/hyperlink" Target="https://docs.google.com/forms/d/e/1FAIpQLSeQ0wUAy9WJrwwZ_8x6kCxvJSihLYtbLF2nbMncVH08fybLWQ/viewform?edit2=2_ABaOnudKdOkTdbNLaguHTwA1aWwi6dqpxOeSiTo4K6JXRpsy3dflRHOj5NKuUNi0zb31rzg" TargetMode="External"/><Relationship Id="rId673" Type="http://schemas.openxmlformats.org/officeDocument/2006/relationships/hyperlink" Target="https://docs.google.com/forms/d/e/1FAIpQLSeQ0wUAy9WJrwwZ_8x6kCxvJSihLYtbLF2nbMncVH08fybLWQ/viewform?edit2=2_ABaOnueJyIiqevzMIHy7Su-swFV_gJSPNmaNXt5fRBtlWOqfKgY_rmu9OITreCC3HG1rDRg" TargetMode="External"/><Relationship Id="rId430" Type="http://schemas.openxmlformats.org/officeDocument/2006/relationships/hyperlink" Target="https://docs.google.com/forms/d/e/1FAIpQLSeQ0wUAy9WJrwwZ_8x6kCxvJSihLYtbLF2nbMncVH08fybLWQ/viewform?edit2=2_ABaOnudjtPiOXXBZZbxvVy7Ru0MNT65jpyk-3tZyr07petCZceswXs0-PoIV5Pp7f1vu8xA" TargetMode="External"/><Relationship Id="rId672" Type="http://schemas.openxmlformats.org/officeDocument/2006/relationships/hyperlink" Target="https://docs.google.com/forms/d/e/1FAIpQLSeQ0wUAy9WJrwwZ_8x6kCxvJSihLYtbLF2nbMncVH08fybLWQ/viewform?edit2=2_ABaOnudIrD5X9y7EoPQoAiT54MOXoNuiV5dSMuEMWxfp04XeotuBKRhD457oMX_AJgewN7I"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row>
    <row r="13">
      <c r="D13" s="2"/>
    </row>
    <row r="14">
      <c r="D14" s="2"/>
    </row>
    <row r="15">
      <c r="D15" s="2"/>
    </row>
    <row r="16">
      <c r="D16" s="2"/>
    </row>
    <row r="20">
      <c r="E20" s="2"/>
    </row>
    <row r="21">
      <c r="E21" s="2"/>
    </row>
    <row r="22">
      <c r="E22" s="2"/>
    </row>
  </sheetData>
  <mergeCells count="1">
    <mergeCell ref="A2:D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2" width="18.88"/>
  </cols>
  <sheetData>
    <row r="1">
      <c r="A1" s="3" t="s">
        <v>0</v>
      </c>
      <c r="B1" s="4" t="s">
        <v>1</v>
      </c>
      <c r="C1" s="4" t="s">
        <v>2</v>
      </c>
      <c r="D1" s="4" t="s">
        <v>3</v>
      </c>
      <c r="E1" s="4" t="s">
        <v>4</v>
      </c>
      <c r="F1" s="4" t="s">
        <v>5</v>
      </c>
      <c r="G1" s="4" t="s">
        <v>6</v>
      </c>
      <c r="H1" s="4" t="s">
        <v>7</v>
      </c>
      <c r="I1" s="4" t="s">
        <v>8</v>
      </c>
      <c r="J1" s="5" t="s">
        <v>9</v>
      </c>
      <c r="K1" s="4" t="s">
        <v>10</v>
      </c>
      <c r="L1" s="5" t="s">
        <v>11</v>
      </c>
      <c r="M1" s="4" t="s">
        <v>12</v>
      </c>
      <c r="N1" s="4" t="s">
        <v>13</v>
      </c>
      <c r="O1" s="4" t="s">
        <v>14</v>
      </c>
      <c r="P1" s="3" t="s">
        <v>15</v>
      </c>
      <c r="Q1" s="6" t="s">
        <v>16</v>
      </c>
    </row>
    <row r="2">
      <c r="A2" s="7">
        <v>44625.48587642361</v>
      </c>
      <c r="B2" s="6" t="s">
        <v>17</v>
      </c>
      <c r="D2" s="6" t="s">
        <v>18</v>
      </c>
      <c r="E2" s="6" t="s">
        <v>19</v>
      </c>
      <c r="F2" s="6" t="s">
        <v>20</v>
      </c>
      <c r="G2" s="6" t="s">
        <v>21</v>
      </c>
      <c r="H2" s="6" t="s">
        <v>22</v>
      </c>
      <c r="J2" s="6" t="s">
        <v>23</v>
      </c>
      <c r="K2" s="6" t="s">
        <v>23</v>
      </c>
      <c r="L2" s="6" t="s">
        <v>24</v>
      </c>
      <c r="M2" s="2">
        <v>44625.0</v>
      </c>
      <c r="N2" s="6" t="s">
        <v>25</v>
      </c>
      <c r="Q2" s="8" t="s">
        <v>26</v>
      </c>
    </row>
    <row r="3">
      <c r="A3" s="7">
        <v>44625.56301008102</v>
      </c>
      <c r="B3" s="6" t="s">
        <v>27</v>
      </c>
      <c r="D3" s="6" t="s">
        <v>18</v>
      </c>
      <c r="E3" s="6" t="s">
        <v>28</v>
      </c>
      <c r="F3" s="6" t="s">
        <v>29</v>
      </c>
      <c r="G3" s="6">
        <v>50000.0</v>
      </c>
      <c r="J3" s="6" t="s">
        <v>30</v>
      </c>
      <c r="K3" s="6" t="s">
        <v>31</v>
      </c>
      <c r="L3" s="6" t="s">
        <v>24</v>
      </c>
      <c r="M3" s="2">
        <v>44628.0</v>
      </c>
      <c r="N3" s="6" t="s">
        <v>25</v>
      </c>
      <c r="Q3" s="8" t="s">
        <v>32</v>
      </c>
    </row>
    <row r="4">
      <c r="A4" s="7">
        <v>44626.502146122686</v>
      </c>
      <c r="B4" s="6" t="s">
        <v>33</v>
      </c>
      <c r="D4" s="6" t="s">
        <v>18</v>
      </c>
      <c r="E4" s="6" t="s">
        <v>34</v>
      </c>
      <c r="F4" s="6" t="s">
        <v>35</v>
      </c>
      <c r="G4" s="6">
        <v>150000.0</v>
      </c>
      <c r="H4" s="6" t="s">
        <v>36</v>
      </c>
      <c r="J4" s="6" t="s">
        <v>37</v>
      </c>
      <c r="K4" s="6" t="s">
        <v>37</v>
      </c>
      <c r="L4" s="6" t="s">
        <v>24</v>
      </c>
      <c r="M4" s="2">
        <v>44635.0</v>
      </c>
      <c r="N4" s="6" t="s">
        <v>38</v>
      </c>
      <c r="Q4" s="8" t="s">
        <v>39</v>
      </c>
    </row>
    <row r="5">
      <c r="A5" s="7">
        <v>44626.50455866898</v>
      </c>
      <c r="B5" s="6" t="s">
        <v>40</v>
      </c>
      <c r="D5" s="6" t="s">
        <v>18</v>
      </c>
      <c r="E5" s="6" t="s">
        <v>41</v>
      </c>
      <c r="F5" s="6" t="s">
        <v>42</v>
      </c>
      <c r="G5" s="6">
        <v>5000.0</v>
      </c>
      <c r="H5" s="6" t="s">
        <v>43</v>
      </c>
      <c r="J5" s="6" t="s">
        <v>30</v>
      </c>
      <c r="K5" s="6" t="s">
        <v>30</v>
      </c>
      <c r="L5" s="6" t="s">
        <v>24</v>
      </c>
      <c r="M5" s="2">
        <v>44635.0</v>
      </c>
      <c r="N5" s="6" t="s">
        <v>44</v>
      </c>
      <c r="Q5" s="8" t="s">
        <v>45</v>
      </c>
    </row>
    <row r="6">
      <c r="A6" s="7">
        <v>44626.5132409375</v>
      </c>
      <c r="B6" s="6" t="s">
        <v>46</v>
      </c>
      <c r="D6" s="6" t="s">
        <v>18</v>
      </c>
      <c r="E6" s="6" t="s">
        <v>47</v>
      </c>
      <c r="F6" s="6" t="s">
        <v>20</v>
      </c>
      <c r="G6" s="6">
        <v>800000.0</v>
      </c>
      <c r="J6" s="6" t="s">
        <v>37</v>
      </c>
      <c r="K6" s="6" t="s">
        <v>30</v>
      </c>
      <c r="L6" s="6" t="s">
        <v>24</v>
      </c>
      <c r="M6" s="2">
        <v>44635.0</v>
      </c>
      <c r="N6" s="6" t="s">
        <v>38</v>
      </c>
      <c r="Q6" s="8" t="s">
        <v>48</v>
      </c>
    </row>
    <row r="7">
      <c r="A7" s="7">
        <v>44626.52222626157</v>
      </c>
      <c r="B7" s="6" t="s">
        <v>49</v>
      </c>
      <c r="D7" s="6" t="s">
        <v>18</v>
      </c>
      <c r="E7" s="6" t="s">
        <v>47</v>
      </c>
      <c r="F7" s="6" t="s">
        <v>50</v>
      </c>
      <c r="G7" s="6">
        <v>100000.0</v>
      </c>
      <c r="J7" s="6" t="s">
        <v>51</v>
      </c>
      <c r="K7" s="6" t="s">
        <v>30</v>
      </c>
      <c r="L7" s="6" t="s">
        <v>24</v>
      </c>
      <c r="M7" s="2" t="s">
        <v>52</v>
      </c>
      <c r="N7" s="6" t="s">
        <v>38</v>
      </c>
      <c r="Q7" s="8" t="s">
        <v>53</v>
      </c>
    </row>
    <row r="8">
      <c r="A8" s="7">
        <v>44626.52344002315</v>
      </c>
      <c r="B8" s="6" t="s">
        <v>54</v>
      </c>
      <c r="D8" s="6" t="s">
        <v>18</v>
      </c>
      <c r="E8" s="6" t="s">
        <v>55</v>
      </c>
      <c r="F8" s="6" t="s">
        <v>56</v>
      </c>
      <c r="G8" s="6">
        <v>20000.0</v>
      </c>
      <c r="J8" s="6" t="s">
        <v>30</v>
      </c>
      <c r="K8" s="6" t="s">
        <v>30</v>
      </c>
      <c r="L8" s="6" t="s">
        <v>24</v>
      </c>
      <c r="M8" s="2" t="s">
        <v>57</v>
      </c>
      <c r="N8" s="6" t="s">
        <v>38</v>
      </c>
      <c r="Q8" s="8" t="s">
        <v>58</v>
      </c>
    </row>
    <row r="9">
      <c r="A9" s="7">
        <v>44626.52561418981</v>
      </c>
      <c r="B9" s="6" t="s">
        <v>59</v>
      </c>
      <c r="D9" s="6" t="s">
        <v>18</v>
      </c>
      <c r="E9" s="6" t="s">
        <v>55</v>
      </c>
      <c r="F9" s="6" t="s">
        <v>60</v>
      </c>
      <c r="G9" s="6" t="s">
        <v>60</v>
      </c>
      <c r="J9" s="6" t="s">
        <v>51</v>
      </c>
      <c r="K9" s="6" t="s">
        <v>30</v>
      </c>
      <c r="L9" s="6" t="s">
        <v>24</v>
      </c>
      <c r="M9" s="2" t="s">
        <v>61</v>
      </c>
      <c r="N9" s="6" t="s">
        <v>38</v>
      </c>
      <c r="Q9" s="8" t="s">
        <v>62</v>
      </c>
    </row>
    <row r="10">
      <c r="A10" s="7">
        <v>44626.52846635417</v>
      </c>
      <c r="B10" s="6" t="s">
        <v>63</v>
      </c>
      <c r="D10" s="6" t="s">
        <v>18</v>
      </c>
      <c r="E10" s="6" t="s">
        <v>64</v>
      </c>
      <c r="F10" s="6" t="s">
        <v>42</v>
      </c>
      <c r="G10" s="6">
        <v>1000000.0</v>
      </c>
      <c r="J10" s="6" t="s">
        <v>30</v>
      </c>
      <c r="K10" s="6" t="s">
        <v>30</v>
      </c>
      <c r="L10" s="6" t="s">
        <v>24</v>
      </c>
      <c r="M10" s="2" t="s">
        <v>61</v>
      </c>
      <c r="N10" s="6" t="s">
        <v>38</v>
      </c>
      <c r="Q10" s="8" t="s">
        <v>65</v>
      </c>
    </row>
    <row r="11">
      <c r="A11" s="7">
        <v>44626.66635219907</v>
      </c>
      <c r="B11" s="6" t="s">
        <v>66</v>
      </c>
      <c r="D11" s="6" t="s">
        <v>18</v>
      </c>
      <c r="E11" s="6" t="s">
        <v>55</v>
      </c>
      <c r="F11" s="6" t="s">
        <v>67</v>
      </c>
      <c r="G11" s="6">
        <v>250000.0</v>
      </c>
      <c r="J11" s="6" t="s">
        <v>37</v>
      </c>
      <c r="K11" s="6" t="s">
        <v>30</v>
      </c>
      <c r="L11" s="6" t="s">
        <v>24</v>
      </c>
      <c r="M11" s="2" t="s">
        <v>52</v>
      </c>
      <c r="N11" s="6" t="s">
        <v>38</v>
      </c>
      <c r="Q11" s="8" t="s">
        <v>68</v>
      </c>
    </row>
    <row r="12">
      <c r="A12" s="7">
        <v>44626.66808186343</v>
      </c>
      <c r="B12" s="6" t="s">
        <v>69</v>
      </c>
      <c r="D12" s="6" t="s">
        <v>18</v>
      </c>
      <c r="E12" s="6" t="s">
        <v>70</v>
      </c>
      <c r="F12" s="6" t="s">
        <v>42</v>
      </c>
      <c r="G12" s="6">
        <v>50000.0</v>
      </c>
      <c r="J12" s="6" t="s">
        <v>71</v>
      </c>
      <c r="K12" s="6" t="s">
        <v>23</v>
      </c>
      <c r="L12" s="6" t="s">
        <v>72</v>
      </c>
      <c r="M12" s="2" t="s">
        <v>52</v>
      </c>
      <c r="N12" s="6" t="s">
        <v>38</v>
      </c>
      <c r="Q12" s="8" t="s">
        <v>73</v>
      </c>
    </row>
    <row r="13">
      <c r="A13" s="7">
        <v>44626.669340277775</v>
      </c>
      <c r="B13" s="6" t="s">
        <v>74</v>
      </c>
      <c r="D13" s="6" t="s">
        <v>75</v>
      </c>
      <c r="E13" s="6" t="s">
        <v>76</v>
      </c>
      <c r="F13" s="6" t="s">
        <v>42</v>
      </c>
      <c r="G13" s="6">
        <v>5000.0</v>
      </c>
      <c r="J13" s="6" t="s">
        <v>30</v>
      </c>
      <c r="K13" s="6" t="s">
        <v>30</v>
      </c>
      <c r="L13" s="6" t="s">
        <v>24</v>
      </c>
      <c r="M13" s="2" t="s">
        <v>57</v>
      </c>
      <c r="N13" s="6" t="s">
        <v>25</v>
      </c>
      <c r="Q13" s="8" t="s">
        <v>77</v>
      </c>
    </row>
    <row r="14">
      <c r="A14" s="7">
        <v>44626.67088987269</v>
      </c>
      <c r="B14" s="6" t="s">
        <v>78</v>
      </c>
      <c r="D14" s="6" t="s">
        <v>18</v>
      </c>
      <c r="E14" s="6" t="s">
        <v>47</v>
      </c>
      <c r="F14" s="6" t="s">
        <v>79</v>
      </c>
      <c r="G14" s="6">
        <v>5500000.0</v>
      </c>
      <c r="H14" s="6" t="s">
        <v>80</v>
      </c>
      <c r="J14" s="6" t="s">
        <v>30</v>
      </c>
      <c r="K14" s="6" t="s">
        <v>30</v>
      </c>
      <c r="L14" s="6" t="s">
        <v>72</v>
      </c>
      <c r="M14" s="2" t="s">
        <v>57</v>
      </c>
      <c r="N14" s="6" t="s">
        <v>25</v>
      </c>
      <c r="Q14" s="8" t="s">
        <v>81</v>
      </c>
    </row>
    <row r="15">
      <c r="A15" s="7">
        <v>44626.67297591435</v>
      </c>
      <c r="B15" s="6" t="s">
        <v>82</v>
      </c>
      <c r="D15" s="6" t="s">
        <v>18</v>
      </c>
      <c r="E15" s="6" t="s">
        <v>28</v>
      </c>
      <c r="F15" s="6" t="s">
        <v>47</v>
      </c>
      <c r="G15" s="6">
        <v>500000.0</v>
      </c>
      <c r="J15" s="6" t="s">
        <v>51</v>
      </c>
      <c r="K15" s="6" t="s">
        <v>30</v>
      </c>
      <c r="L15" s="6" t="s">
        <v>24</v>
      </c>
      <c r="M15" s="2" t="s">
        <v>57</v>
      </c>
      <c r="N15" s="6" t="s">
        <v>25</v>
      </c>
      <c r="Q15" s="8" t="s">
        <v>83</v>
      </c>
    </row>
    <row r="16">
      <c r="A16" s="7">
        <v>44628.492840625</v>
      </c>
      <c r="B16" s="6" t="s">
        <v>84</v>
      </c>
      <c r="D16" s="6" t="s">
        <v>18</v>
      </c>
      <c r="E16" s="6" t="s">
        <v>34</v>
      </c>
      <c r="F16" s="6" t="s">
        <v>85</v>
      </c>
      <c r="G16" s="6">
        <v>100000.0</v>
      </c>
      <c r="J16" s="6" t="s">
        <v>30</v>
      </c>
      <c r="K16" s="6" t="s">
        <v>30</v>
      </c>
      <c r="L16" s="6" t="s">
        <v>24</v>
      </c>
      <c r="M16" s="2" t="s">
        <v>57</v>
      </c>
      <c r="N16" s="6" t="s">
        <v>25</v>
      </c>
      <c r="Q16" s="8" t="s">
        <v>86</v>
      </c>
    </row>
    <row r="17">
      <c r="A17" s="7">
        <v>44629.47896633102</v>
      </c>
      <c r="B17" s="6" t="s">
        <v>87</v>
      </c>
      <c r="D17" s="6" t="s">
        <v>75</v>
      </c>
      <c r="E17" s="6" t="s">
        <v>76</v>
      </c>
      <c r="F17" s="6" t="s">
        <v>42</v>
      </c>
      <c r="J17" s="6" t="s">
        <v>37</v>
      </c>
      <c r="K17" s="6" t="s">
        <v>30</v>
      </c>
      <c r="L17" s="6" t="s">
        <v>24</v>
      </c>
      <c r="M17" s="2" t="s">
        <v>52</v>
      </c>
      <c r="N17" s="6" t="s">
        <v>38</v>
      </c>
      <c r="Q17" s="8" t="s">
        <v>88</v>
      </c>
    </row>
    <row r="18">
      <c r="A18" s="7">
        <v>44635.7216875</v>
      </c>
      <c r="B18" s="6" t="s">
        <v>89</v>
      </c>
      <c r="C18" s="6">
        <v>9.810265393E9</v>
      </c>
      <c r="D18" s="6" t="s">
        <v>18</v>
      </c>
      <c r="E18" s="6" t="s">
        <v>47</v>
      </c>
      <c r="F18" s="6" t="s">
        <v>47</v>
      </c>
      <c r="G18" s="6" t="s">
        <v>90</v>
      </c>
      <c r="H18" s="6" t="s">
        <v>91</v>
      </c>
      <c r="J18" s="6" t="s">
        <v>37</v>
      </c>
      <c r="K18" s="6" t="s">
        <v>37</v>
      </c>
      <c r="L18" s="6" t="s">
        <v>24</v>
      </c>
      <c r="M18" s="2">
        <v>44637.0</v>
      </c>
      <c r="N18" s="6" t="s">
        <v>38</v>
      </c>
      <c r="Q18" s="8" t="s">
        <v>92</v>
      </c>
    </row>
    <row r="19">
      <c r="A19" s="7">
        <v>44636.49301585648</v>
      </c>
      <c r="B19" s="6" t="s">
        <v>93</v>
      </c>
      <c r="D19" s="6" t="s">
        <v>18</v>
      </c>
      <c r="E19" s="6" t="s">
        <v>94</v>
      </c>
      <c r="F19" s="6" t="s">
        <v>95</v>
      </c>
      <c r="J19" s="6" t="s">
        <v>51</v>
      </c>
      <c r="K19" s="6" t="s">
        <v>30</v>
      </c>
      <c r="L19" s="6" t="s">
        <v>24</v>
      </c>
      <c r="M19" s="2" t="s">
        <v>52</v>
      </c>
      <c r="N19" s="6" t="s">
        <v>25</v>
      </c>
      <c r="Q19" s="8" t="s">
        <v>96</v>
      </c>
    </row>
    <row r="20">
      <c r="A20" s="7">
        <v>44636.49452060185</v>
      </c>
      <c r="B20" s="6" t="s">
        <v>97</v>
      </c>
      <c r="D20" s="6" t="s">
        <v>18</v>
      </c>
      <c r="E20" s="6" t="s">
        <v>94</v>
      </c>
      <c r="F20" s="6" t="s">
        <v>98</v>
      </c>
      <c r="J20" s="6" t="s">
        <v>51</v>
      </c>
      <c r="K20" s="6" t="s">
        <v>30</v>
      </c>
      <c r="L20" s="6" t="s">
        <v>24</v>
      </c>
      <c r="M20" s="2" t="s">
        <v>52</v>
      </c>
      <c r="N20" s="6" t="s">
        <v>25</v>
      </c>
      <c r="Q20" s="8" t="s">
        <v>99</v>
      </c>
    </row>
    <row r="21">
      <c r="A21" s="7">
        <v>44636.497870844905</v>
      </c>
      <c r="B21" s="6" t="s">
        <v>100</v>
      </c>
      <c r="C21" s="6">
        <v>9.711789059E9</v>
      </c>
      <c r="D21" s="6" t="s">
        <v>18</v>
      </c>
      <c r="E21" s="6" t="s">
        <v>34</v>
      </c>
      <c r="F21" s="6" t="s">
        <v>101</v>
      </c>
      <c r="H21" s="6" t="s">
        <v>102</v>
      </c>
      <c r="J21" s="6" t="s">
        <v>71</v>
      </c>
      <c r="K21" s="6" t="s">
        <v>30</v>
      </c>
      <c r="L21" s="6" t="s">
        <v>24</v>
      </c>
      <c r="M21" s="2" t="s">
        <v>103</v>
      </c>
      <c r="N21" s="6" t="s">
        <v>38</v>
      </c>
      <c r="Q21" s="8" t="s">
        <v>104</v>
      </c>
    </row>
    <row r="22">
      <c r="A22" s="7">
        <v>44636.501674178246</v>
      </c>
      <c r="B22" s="6" t="s">
        <v>105</v>
      </c>
      <c r="D22" s="6" t="s">
        <v>18</v>
      </c>
      <c r="E22" s="6" t="s">
        <v>47</v>
      </c>
      <c r="F22" s="6" t="s">
        <v>106</v>
      </c>
      <c r="H22" s="6" t="s">
        <v>107</v>
      </c>
      <c r="J22" s="6" t="s">
        <v>51</v>
      </c>
      <c r="K22" s="6" t="s">
        <v>30</v>
      </c>
      <c r="L22" s="6" t="s">
        <v>24</v>
      </c>
      <c r="M22" s="2" t="s">
        <v>52</v>
      </c>
      <c r="N22" s="6" t="s">
        <v>38</v>
      </c>
      <c r="Q22" s="8" t="s">
        <v>108</v>
      </c>
    </row>
    <row r="23">
      <c r="A23" s="7">
        <v>44636.50929306713</v>
      </c>
      <c r="B23" s="6" t="s">
        <v>109</v>
      </c>
      <c r="D23" s="6" t="s">
        <v>75</v>
      </c>
      <c r="E23" s="6" t="s">
        <v>76</v>
      </c>
      <c r="F23" s="6" t="s">
        <v>42</v>
      </c>
      <c r="G23" s="6">
        <v>5.0</v>
      </c>
      <c r="J23" s="6" t="s">
        <v>30</v>
      </c>
      <c r="K23" s="6" t="s">
        <v>30</v>
      </c>
      <c r="L23" s="6" t="s">
        <v>24</v>
      </c>
      <c r="M23" s="2" t="s">
        <v>52</v>
      </c>
      <c r="N23" s="6" t="s">
        <v>25</v>
      </c>
      <c r="Q23" s="8" t="s">
        <v>110</v>
      </c>
    </row>
    <row r="24">
      <c r="A24" s="7">
        <v>44636.52566329861</v>
      </c>
      <c r="B24" s="6" t="s">
        <v>111</v>
      </c>
      <c r="D24" s="6" t="s">
        <v>112</v>
      </c>
      <c r="E24" s="6" t="s">
        <v>112</v>
      </c>
      <c r="F24" s="6" t="s">
        <v>42</v>
      </c>
      <c r="H24" s="6" t="s">
        <v>113</v>
      </c>
      <c r="J24" s="6" t="s">
        <v>37</v>
      </c>
      <c r="K24" s="6" t="s">
        <v>37</v>
      </c>
      <c r="L24" s="6" t="s">
        <v>24</v>
      </c>
      <c r="M24" s="2" t="s">
        <v>52</v>
      </c>
      <c r="N24" s="6" t="s">
        <v>38</v>
      </c>
      <c r="Q24" s="8" t="s">
        <v>114</v>
      </c>
    </row>
    <row r="25">
      <c r="A25" s="7">
        <v>44643.68842210648</v>
      </c>
      <c r="B25" s="6" t="s">
        <v>115</v>
      </c>
      <c r="D25" s="6" t="s">
        <v>18</v>
      </c>
      <c r="E25" s="6" t="s">
        <v>76</v>
      </c>
      <c r="F25" s="6" t="s">
        <v>60</v>
      </c>
      <c r="J25" s="6" t="s">
        <v>37</v>
      </c>
      <c r="K25" s="6" t="s">
        <v>30</v>
      </c>
      <c r="L25" s="6" t="s">
        <v>24</v>
      </c>
      <c r="M25" s="2">
        <v>44651.0</v>
      </c>
      <c r="N25" s="6" t="s">
        <v>38</v>
      </c>
      <c r="Q25" s="8" t="s">
        <v>116</v>
      </c>
    </row>
    <row r="26">
      <c r="A26" s="7">
        <v>44643.68978079861</v>
      </c>
      <c r="B26" s="6" t="s">
        <v>117</v>
      </c>
      <c r="C26" s="6">
        <v>9.829452525E9</v>
      </c>
      <c r="D26" s="6" t="s">
        <v>18</v>
      </c>
      <c r="E26" s="6" t="s">
        <v>47</v>
      </c>
      <c r="F26" s="6" t="s">
        <v>20</v>
      </c>
      <c r="H26" s="6" t="s">
        <v>118</v>
      </c>
      <c r="J26" s="6" t="s">
        <v>37</v>
      </c>
      <c r="K26" s="6" t="s">
        <v>30</v>
      </c>
      <c r="L26" s="6" t="s">
        <v>24</v>
      </c>
      <c r="M26" s="2">
        <v>44651.0</v>
      </c>
      <c r="N26" s="6" t="s">
        <v>38</v>
      </c>
      <c r="Q26" s="8" t="s">
        <v>119</v>
      </c>
    </row>
    <row r="27">
      <c r="A27" s="7">
        <v>44643.691218912034</v>
      </c>
      <c r="B27" s="6" t="s">
        <v>120</v>
      </c>
      <c r="C27" s="6">
        <v>9.111000111E9</v>
      </c>
      <c r="D27" s="6" t="s">
        <v>18</v>
      </c>
      <c r="E27" s="6" t="s">
        <v>55</v>
      </c>
      <c r="F27" s="6" t="s">
        <v>79</v>
      </c>
      <c r="J27" s="6" t="s">
        <v>37</v>
      </c>
      <c r="K27" s="6" t="s">
        <v>30</v>
      </c>
      <c r="L27" s="6" t="s">
        <v>24</v>
      </c>
      <c r="M27" s="2">
        <v>44651.0</v>
      </c>
      <c r="N27" s="6" t="s">
        <v>38</v>
      </c>
      <c r="Q27" s="8" t="s">
        <v>121</v>
      </c>
    </row>
    <row r="28">
      <c r="A28" s="7">
        <v>44643.69221607639</v>
      </c>
      <c r="B28" s="6" t="s">
        <v>122</v>
      </c>
      <c r="D28" s="6" t="s">
        <v>18</v>
      </c>
      <c r="E28" s="6" t="s">
        <v>123</v>
      </c>
      <c r="F28" s="6" t="s">
        <v>20</v>
      </c>
      <c r="J28" s="6" t="s">
        <v>37</v>
      </c>
      <c r="K28" s="6" t="s">
        <v>23</v>
      </c>
      <c r="L28" s="6" t="s">
        <v>24</v>
      </c>
      <c r="M28" s="2">
        <v>44651.0</v>
      </c>
      <c r="N28" s="6" t="s">
        <v>38</v>
      </c>
      <c r="Q28" s="8" t="s">
        <v>124</v>
      </c>
    </row>
    <row r="29">
      <c r="A29" s="7">
        <v>44643.69308625</v>
      </c>
      <c r="B29" s="6" t="s">
        <v>125</v>
      </c>
      <c r="D29" s="6" t="s">
        <v>18</v>
      </c>
      <c r="E29" s="6" t="s">
        <v>55</v>
      </c>
      <c r="F29" s="6" t="s">
        <v>79</v>
      </c>
      <c r="G29" s="6" t="s">
        <v>90</v>
      </c>
      <c r="J29" s="6" t="s">
        <v>37</v>
      </c>
      <c r="K29" s="6" t="s">
        <v>30</v>
      </c>
      <c r="L29" s="6" t="s">
        <v>24</v>
      </c>
      <c r="M29" s="2">
        <v>44651.0</v>
      </c>
      <c r="N29" s="6" t="s">
        <v>38</v>
      </c>
      <c r="Q29" s="8" t="s">
        <v>126</v>
      </c>
    </row>
    <row r="30">
      <c r="A30" s="7">
        <v>44645.58288913194</v>
      </c>
      <c r="B30" s="6" t="s">
        <v>127</v>
      </c>
      <c r="D30" s="6" t="s">
        <v>18</v>
      </c>
      <c r="E30" s="6" t="s">
        <v>41</v>
      </c>
      <c r="F30" s="6" t="s">
        <v>41</v>
      </c>
      <c r="H30" s="6" t="s">
        <v>128</v>
      </c>
      <c r="J30" s="6" t="s">
        <v>51</v>
      </c>
      <c r="K30" s="6" t="s">
        <v>30</v>
      </c>
      <c r="L30" s="6" t="s">
        <v>24</v>
      </c>
      <c r="M30" s="2">
        <v>44651.0</v>
      </c>
      <c r="N30" s="6" t="s">
        <v>38</v>
      </c>
      <c r="Q30" s="8" t="s">
        <v>129</v>
      </c>
    </row>
    <row r="31">
      <c r="A31" s="7">
        <v>44645.801577245365</v>
      </c>
      <c r="B31" s="6" t="s">
        <v>130</v>
      </c>
      <c r="C31" s="6">
        <v>9.828158871E9</v>
      </c>
      <c r="D31" s="6" t="s">
        <v>18</v>
      </c>
      <c r="E31" s="6" t="s">
        <v>34</v>
      </c>
      <c r="F31" s="6" t="s">
        <v>131</v>
      </c>
      <c r="G31" s="6" t="s">
        <v>132</v>
      </c>
      <c r="J31" s="6" t="s">
        <v>37</v>
      </c>
      <c r="K31" s="6" t="s">
        <v>23</v>
      </c>
      <c r="L31" s="6" t="s">
        <v>24</v>
      </c>
      <c r="M31" s="2">
        <v>44645.0</v>
      </c>
      <c r="N31" s="6" t="s">
        <v>25</v>
      </c>
      <c r="Q31" s="8" t="s">
        <v>133</v>
      </c>
    </row>
    <row r="32">
      <c r="A32" s="7">
        <v>44678.49157111111</v>
      </c>
      <c r="B32" s="6" t="s">
        <v>134</v>
      </c>
      <c r="D32" s="6" t="s">
        <v>75</v>
      </c>
      <c r="E32" s="6" t="s">
        <v>47</v>
      </c>
      <c r="F32" s="6" t="s">
        <v>47</v>
      </c>
      <c r="G32" s="6" t="s">
        <v>132</v>
      </c>
      <c r="J32" s="6" t="s">
        <v>51</v>
      </c>
      <c r="K32" s="6" t="s">
        <v>30</v>
      </c>
      <c r="L32" s="6" t="s">
        <v>72</v>
      </c>
      <c r="M32" s="2" t="s">
        <v>135</v>
      </c>
      <c r="N32" s="6" t="s">
        <v>38</v>
      </c>
      <c r="Q32" s="8" t="s">
        <v>136</v>
      </c>
    </row>
    <row r="33">
      <c r="A33" s="7">
        <v>44678.49276230324</v>
      </c>
      <c r="B33" s="6" t="s">
        <v>137</v>
      </c>
      <c r="D33" s="6" t="s">
        <v>18</v>
      </c>
      <c r="E33" s="6" t="s">
        <v>55</v>
      </c>
      <c r="F33" s="6" t="s">
        <v>79</v>
      </c>
      <c r="J33" s="6" t="s">
        <v>51</v>
      </c>
      <c r="K33" s="6" t="s">
        <v>30</v>
      </c>
      <c r="L33" s="6" t="s">
        <v>24</v>
      </c>
      <c r="M33" s="2" t="s">
        <v>138</v>
      </c>
      <c r="N33" s="6" t="s">
        <v>38</v>
      </c>
      <c r="Q33" s="8" t="s">
        <v>139</v>
      </c>
    </row>
    <row r="34">
      <c r="A34" s="7">
        <v>44680.7361696875</v>
      </c>
      <c r="B34" s="6" t="s">
        <v>140</v>
      </c>
      <c r="D34" s="6" t="s">
        <v>18</v>
      </c>
      <c r="E34" s="6" t="s">
        <v>28</v>
      </c>
      <c r="F34" s="6" t="s">
        <v>141</v>
      </c>
      <c r="H34" s="6" t="s">
        <v>142</v>
      </c>
      <c r="J34" s="6" t="s">
        <v>37</v>
      </c>
      <c r="K34" s="6" t="s">
        <v>30</v>
      </c>
      <c r="L34" s="6" t="s">
        <v>24</v>
      </c>
      <c r="M34" s="2" t="s">
        <v>143</v>
      </c>
      <c r="N34" s="6" t="s">
        <v>38</v>
      </c>
      <c r="Q34" s="8" t="s">
        <v>144</v>
      </c>
    </row>
    <row r="35">
      <c r="A35" s="7">
        <v>44680.73756034722</v>
      </c>
      <c r="B35" s="6" t="s">
        <v>145</v>
      </c>
      <c r="D35" s="6" t="s">
        <v>18</v>
      </c>
      <c r="E35" s="6" t="s">
        <v>19</v>
      </c>
      <c r="F35" s="6" t="s">
        <v>20</v>
      </c>
      <c r="G35" s="6" t="s">
        <v>146</v>
      </c>
      <c r="J35" s="6" t="s">
        <v>30</v>
      </c>
      <c r="K35" s="6" t="s">
        <v>30</v>
      </c>
      <c r="L35" s="6" t="s">
        <v>24</v>
      </c>
      <c r="M35" s="2" t="s">
        <v>138</v>
      </c>
      <c r="N35" s="6" t="s">
        <v>38</v>
      </c>
      <c r="Q35" s="8" t="s">
        <v>147</v>
      </c>
    </row>
    <row r="36">
      <c r="A36" s="7">
        <v>44680.73905730324</v>
      </c>
      <c r="B36" s="6" t="s">
        <v>148</v>
      </c>
      <c r="D36" s="6" t="s">
        <v>18</v>
      </c>
      <c r="E36" s="6" t="s">
        <v>47</v>
      </c>
      <c r="F36" s="6" t="s">
        <v>141</v>
      </c>
      <c r="H36" s="6" t="s">
        <v>149</v>
      </c>
      <c r="J36" s="6" t="s">
        <v>37</v>
      </c>
      <c r="K36" s="6" t="s">
        <v>37</v>
      </c>
      <c r="L36" s="6" t="s">
        <v>24</v>
      </c>
      <c r="M36" s="2" t="s">
        <v>143</v>
      </c>
      <c r="N36" s="6" t="s">
        <v>38</v>
      </c>
      <c r="Q36" s="8" t="s">
        <v>150</v>
      </c>
    </row>
    <row r="37">
      <c r="A37" s="7">
        <v>44681.558092349536</v>
      </c>
      <c r="B37" s="6" t="s">
        <v>151</v>
      </c>
      <c r="D37" s="6" t="s">
        <v>75</v>
      </c>
      <c r="E37" s="6" t="s">
        <v>55</v>
      </c>
      <c r="F37" s="6" t="s">
        <v>56</v>
      </c>
      <c r="G37" s="6" t="s">
        <v>146</v>
      </c>
      <c r="J37" s="6" t="s">
        <v>30</v>
      </c>
      <c r="K37" s="6" t="s">
        <v>30</v>
      </c>
      <c r="L37" s="6" t="s">
        <v>24</v>
      </c>
      <c r="M37" s="2" t="s">
        <v>152</v>
      </c>
      <c r="N37" s="6" t="s">
        <v>38</v>
      </c>
      <c r="Q37" s="8" t="s">
        <v>153</v>
      </c>
    </row>
    <row r="38">
      <c r="A38" s="7">
        <v>44684.6108640625</v>
      </c>
      <c r="B38" s="6" t="s">
        <v>154</v>
      </c>
      <c r="D38" s="6" t="s">
        <v>18</v>
      </c>
      <c r="E38" s="6" t="s">
        <v>55</v>
      </c>
      <c r="F38" s="6" t="s">
        <v>79</v>
      </c>
      <c r="H38" s="6" t="s">
        <v>155</v>
      </c>
      <c r="J38" s="6" t="s">
        <v>37</v>
      </c>
      <c r="K38" s="6" t="s">
        <v>30</v>
      </c>
      <c r="L38" s="6" t="s">
        <v>24</v>
      </c>
      <c r="M38" s="2" t="s">
        <v>152</v>
      </c>
      <c r="N38" s="6" t="s">
        <v>38</v>
      </c>
      <c r="Q38" s="8" t="s">
        <v>156</v>
      </c>
    </row>
    <row r="39">
      <c r="A39" s="7">
        <v>44685.48934518518</v>
      </c>
      <c r="B39" s="6" t="s">
        <v>154</v>
      </c>
      <c r="D39" s="6" t="s">
        <v>18</v>
      </c>
      <c r="E39" s="6" t="s">
        <v>94</v>
      </c>
      <c r="F39" s="6" t="s">
        <v>141</v>
      </c>
      <c r="J39" s="6" t="s">
        <v>37</v>
      </c>
      <c r="K39" s="6" t="s">
        <v>37</v>
      </c>
      <c r="L39" s="6" t="s">
        <v>24</v>
      </c>
      <c r="M39" s="2" t="s">
        <v>152</v>
      </c>
      <c r="N39" s="6" t="s">
        <v>38</v>
      </c>
      <c r="Q39" s="8" t="s">
        <v>157</v>
      </c>
    </row>
    <row r="40">
      <c r="A40" s="7">
        <v>44689.48435130787</v>
      </c>
      <c r="B40" s="6" t="s">
        <v>158</v>
      </c>
      <c r="D40" s="6" t="s">
        <v>18</v>
      </c>
      <c r="E40" s="6" t="s">
        <v>55</v>
      </c>
      <c r="F40" s="6" t="s">
        <v>159</v>
      </c>
      <c r="H40" s="6" t="s">
        <v>160</v>
      </c>
      <c r="J40" s="6" t="s">
        <v>161</v>
      </c>
      <c r="K40" s="6" t="s">
        <v>161</v>
      </c>
      <c r="L40" s="6" t="s">
        <v>24</v>
      </c>
      <c r="M40" s="2" t="s">
        <v>152</v>
      </c>
      <c r="N40" s="6" t="s">
        <v>38</v>
      </c>
      <c r="Q40" s="8" t="s">
        <v>162</v>
      </c>
    </row>
    <row r="41">
      <c r="A41" s="7">
        <v>44694.487345347225</v>
      </c>
      <c r="B41" s="6" t="s">
        <v>163</v>
      </c>
      <c r="D41" s="6" t="s">
        <v>18</v>
      </c>
      <c r="E41" s="6" t="s">
        <v>34</v>
      </c>
      <c r="F41" s="6" t="s">
        <v>79</v>
      </c>
      <c r="J41" s="6" t="s">
        <v>37</v>
      </c>
      <c r="K41" s="6" t="s">
        <v>37</v>
      </c>
      <c r="L41" s="6" t="s">
        <v>24</v>
      </c>
      <c r="M41" s="2" t="s">
        <v>164</v>
      </c>
      <c r="N41" s="6" t="s">
        <v>38</v>
      </c>
      <c r="Q41" s="8" t="s">
        <v>165</v>
      </c>
    </row>
    <row r="42">
      <c r="A42" s="7">
        <v>44694.488543263884</v>
      </c>
      <c r="B42" s="6" t="s">
        <v>140</v>
      </c>
      <c r="D42" s="6" t="s">
        <v>18</v>
      </c>
      <c r="E42" s="6" t="s">
        <v>34</v>
      </c>
      <c r="F42" s="6" t="s">
        <v>60</v>
      </c>
      <c r="G42" s="6" t="s">
        <v>166</v>
      </c>
      <c r="J42" s="6" t="s">
        <v>37</v>
      </c>
      <c r="K42" s="6" t="s">
        <v>30</v>
      </c>
      <c r="L42" s="6" t="s">
        <v>24</v>
      </c>
      <c r="M42" s="2" t="s">
        <v>164</v>
      </c>
      <c r="N42" s="6" t="s">
        <v>38</v>
      </c>
      <c r="Q42" s="8" t="s">
        <v>167</v>
      </c>
    </row>
    <row r="43">
      <c r="A43" s="7">
        <v>44694.48998949074</v>
      </c>
      <c r="B43" s="6" t="s">
        <v>168</v>
      </c>
      <c r="D43" s="6" t="s">
        <v>18</v>
      </c>
      <c r="E43" s="6" t="s">
        <v>34</v>
      </c>
      <c r="F43" s="6" t="s">
        <v>79</v>
      </c>
      <c r="J43" s="6" t="s">
        <v>37</v>
      </c>
      <c r="K43" s="6" t="s">
        <v>37</v>
      </c>
      <c r="L43" s="6" t="s">
        <v>24</v>
      </c>
      <c r="M43" s="2" t="s">
        <v>164</v>
      </c>
      <c r="N43" s="6" t="s">
        <v>38</v>
      </c>
      <c r="Q43" s="8" t="s">
        <v>169</v>
      </c>
    </row>
    <row r="44">
      <c r="A44" s="7">
        <v>44709.64866075231</v>
      </c>
      <c r="B44" s="6" t="s">
        <v>170</v>
      </c>
      <c r="D44" s="6" t="s">
        <v>18</v>
      </c>
      <c r="E44" s="6" t="s">
        <v>47</v>
      </c>
      <c r="F44" s="6" t="s">
        <v>47</v>
      </c>
      <c r="H44" s="6" t="s">
        <v>171</v>
      </c>
      <c r="J44" s="6" t="s">
        <v>37</v>
      </c>
      <c r="K44" s="6" t="s">
        <v>37</v>
      </c>
      <c r="L44" s="6" t="s">
        <v>24</v>
      </c>
      <c r="M44" s="2" t="s">
        <v>172</v>
      </c>
      <c r="N44" s="6" t="s">
        <v>38</v>
      </c>
      <c r="Q44" s="8" t="s">
        <v>173</v>
      </c>
    </row>
    <row r="45">
      <c r="A45" s="7">
        <v>44710.513034895834</v>
      </c>
      <c r="B45" s="6" t="s">
        <v>174</v>
      </c>
      <c r="D45" s="6" t="s">
        <v>18</v>
      </c>
      <c r="E45" s="6" t="s">
        <v>175</v>
      </c>
      <c r="F45" s="6" t="s">
        <v>98</v>
      </c>
      <c r="J45" s="6" t="s">
        <v>37</v>
      </c>
      <c r="K45" s="6" t="s">
        <v>37</v>
      </c>
      <c r="L45" s="6" t="s">
        <v>24</v>
      </c>
      <c r="M45" s="2" t="s">
        <v>152</v>
      </c>
      <c r="N45" s="6" t="s">
        <v>38</v>
      </c>
      <c r="Q45" s="8" t="s">
        <v>176</v>
      </c>
    </row>
    <row r="46">
      <c r="A46" s="7">
        <v>44710.51469099537</v>
      </c>
      <c r="B46" s="6" t="s">
        <v>177</v>
      </c>
      <c r="D46" s="6" t="s">
        <v>18</v>
      </c>
      <c r="E46" s="6" t="s">
        <v>47</v>
      </c>
      <c r="F46" s="6" t="s">
        <v>20</v>
      </c>
      <c r="J46" s="6" t="s">
        <v>37</v>
      </c>
      <c r="K46" s="6" t="s">
        <v>37</v>
      </c>
      <c r="L46" s="6" t="s">
        <v>24</v>
      </c>
      <c r="M46" s="2" t="s">
        <v>152</v>
      </c>
      <c r="N46" s="6" t="s">
        <v>38</v>
      </c>
      <c r="Q46" s="8" t="s">
        <v>178</v>
      </c>
    </row>
    <row r="47">
      <c r="A47" s="7">
        <v>44720.52035638889</v>
      </c>
      <c r="B47" s="6" t="s">
        <v>179</v>
      </c>
      <c r="D47" s="6" t="s">
        <v>18</v>
      </c>
      <c r="E47" s="6" t="s">
        <v>28</v>
      </c>
      <c r="F47" s="6" t="s">
        <v>98</v>
      </c>
      <c r="J47" s="6" t="s">
        <v>51</v>
      </c>
      <c r="K47" s="6" t="s">
        <v>30</v>
      </c>
      <c r="L47" s="6" t="s">
        <v>24</v>
      </c>
      <c r="M47" s="2" t="s">
        <v>180</v>
      </c>
      <c r="N47" s="6" t="s">
        <v>38</v>
      </c>
      <c r="Q47" s="8" t="s">
        <v>181</v>
      </c>
    </row>
    <row r="48">
      <c r="A48" s="7">
        <v>44720.52380028935</v>
      </c>
      <c r="B48" s="6" t="s">
        <v>182</v>
      </c>
      <c r="D48" s="6" t="s">
        <v>18</v>
      </c>
      <c r="E48" s="6" t="s">
        <v>183</v>
      </c>
      <c r="F48" s="6" t="s">
        <v>106</v>
      </c>
      <c r="J48" s="6" t="s">
        <v>51</v>
      </c>
      <c r="K48" s="6" t="s">
        <v>30</v>
      </c>
      <c r="L48" s="6" t="s">
        <v>184</v>
      </c>
      <c r="M48" s="2" t="s">
        <v>185</v>
      </c>
      <c r="N48" s="6" t="s">
        <v>38</v>
      </c>
      <c r="Q48" s="8" t="s">
        <v>186</v>
      </c>
    </row>
    <row r="49">
      <c r="A49" s="7">
        <v>44720.52517504629</v>
      </c>
      <c r="B49" s="6" t="s">
        <v>187</v>
      </c>
      <c r="D49" s="6" t="s">
        <v>18</v>
      </c>
      <c r="E49" s="6" t="s">
        <v>34</v>
      </c>
      <c r="F49" s="6" t="s">
        <v>188</v>
      </c>
      <c r="G49" s="6" t="s">
        <v>189</v>
      </c>
      <c r="J49" s="6" t="s">
        <v>30</v>
      </c>
      <c r="K49" s="6" t="s">
        <v>30</v>
      </c>
      <c r="L49" s="6" t="s">
        <v>24</v>
      </c>
      <c r="M49" s="2" t="s">
        <v>190</v>
      </c>
      <c r="N49" s="6" t="s">
        <v>38</v>
      </c>
      <c r="Q49" s="8" t="s">
        <v>191</v>
      </c>
    </row>
    <row r="50">
      <c r="A50" s="7">
        <v>44720.52640135417</v>
      </c>
      <c r="B50" s="6" t="s">
        <v>192</v>
      </c>
      <c r="D50" s="6" t="s">
        <v>18</v>
      </c>
      <c r="E50" s="6" t="s">
        <v>34</v>
      </c>
      <c r="F50" s="6" t="s">
        <v>101</v>
      </c>
      <c r="G50" s="6" t="s">
        <v>146</v>
      </c>
      <c r="J50" s="6" t="s">
        <v>31</v>
      </c>
      <c r="K50" s="6" t="s">
        <v>23</v>
      </c>
      <c r="L50" s="6" t="s">
        <v>24</v>
      </c>
      <c r="M50" s="2" t="s">
        <v>185</v>
      </c>
      <c r="N50" s="6" t="s">
        <v>38</v>
      </c>
      <c r="Q50" s="8" t="s">
        <v>193</v>
      </c>
    </row>
    <row r="51">
      <c r="A51" s="7">
        <v>44722.53628998843</v>
      </c>
      <c r="B51" s="6" t="s">
        <v>192</v>
      </c>
      <c r="D51" s="6" t="s">
        <v>18</v>
      </c>
      <c r="E51" s="6" t="s">
        <v>34</v>
      </c>
      <c r="F51" s="6" t="s">
        <v>194</v>
      </c>
      <c r="H51" s="6" t="s">
        <v>195</v>
      </c>
      <c r="J51" s="6" t="s">
        <v>31</v>
      </c>
      <c r="K51" s="6" t="s">
        <v>30</v>
      </c>
      <c r="L51" s="6" t="s">
        <v>24</v>
      </c>
      <c r="M51" s="2" t="s">
        <v>180</v>
      </c>
      <c r="N51" s="6" t="s">
        <v>38</v>
      </c>
      <c r="Q51" s="8" t="s">
        <v>196</v>
      </c>
    </row>
    <row r="52">
      <c r="A52" s="7">
        <v>44726.54175554398</v>
      </c>
      <c r="B52" s="6" t="s">
        <v>197</v>
      </c>
      <c r="D52" s="6" t="s">
        <v>18</v>
      </c>
      <c r="E52" s="6" t="s">
        <v>76</v>
      </c>
      <c r="F52" s="6" t="s">
        <v>42</v>
      </c>
      <c r="G52" s="6" t="s">
        <v>198</v>
      </c>
      <c r="H52" s="6" t="s">
        <v>199</v>
      </c>
      <c r="J52" s="6" t="s">
        <v>37</v>
      </c>
      <c r="K52" s="6" t="s">
        <v>30</v>
      </c>
      <c r="L52" s="6" t="s">
        <v>24</v>
      </c>
      <c r="M52" s="2" t="s">
        <v>180</v>
      </c>
      <c r="N52" s="6" t="s">
        <v>38</v>
      </c>
      <c r="Q52" s="8" t="s">
        <v>200</v>
      </c>
    </row>
    <row r="53">
      <c r="A53" s="7">
        <v>44727.52788971065</v>
      </c>
      <c r="B53" s="6" t="s">
        <v>201</v>
      </c>
      <c r="C53" s="6">
        <v>9.971091907E9</v>
      </c>
      <c r="D53" s="6" t="s">
        <v>75</v>
      </c>
      <c r="E53" s="6" t="s">
        <v>76</v>
      </c>
      <c r="F53" s="6" t="s">
        <v>42</v>
      </c>
      <c r="G53" s="6">
        <v>5.0</v>
      </c>
      <c r="H53" s="6" t="s">
        <v>202</v>
      </c>
      <c r="J53" s="6" t="s">
        <v>37</v>
      </c>
      <c r="K53" s="6" t="s">
        <v>30</v>
      </c>
      <c r="L53" s="6" t="s">
        <v>24</v>
      </c>
      <c r="M53" s="2">
        <v>44728.0</v>
      </c>
      <c r="N53" s="6" t="s">
        <v>25</v>
      </c>
      <c r="Q53" s="8" t="s">
        <v>203</v>
      </c>
    </row>
    <row r="54">
      <c r="A54" s="7">
        <v>44727.567520219905</v>
      </c>
      <c r="B54" s="6" t="s">
        <v>204</v>
      </c>
      <c r="C54" s="6">
        <v>8.8E9</v>
      </c>
      <c r="D54" s="6" t="s">
        <v>18</v>
      </c>
      <c r="E54" s="6" t="s">
        <v>55</v>
      </c>
      <c r="F54" s="6" t="s">
        <v>79</v>
      </c>
      <c r="H54" s="6" t="s">
        <v>205</v>
      </c>
      <c r="J54" s="6" t="s">
        <v>37</v>
      </c>
      <c r="K54" s="6" t="s">
        <v>30</v>
      </c>
      <c r="L54" s="6" t="s">
        <v>24</v>
      </c>
      <c r="M54" s="2">
        <v>44727.0</v>
      </c>
      <c r="N54" s="6" t="s">
        <v>25</v>
      </c>
      <c r="Q54" s="8" t="s">
        <v>206</v>
      </c>
    </row>
    <row r="55">
      <c r="A55" s="7">
        <v>44728.738535462966</v>
      </c>
      <c r="B55" s="6" t="s">
        <v>207</v>
      </c>
      <c r="C55" s="6">
        <v>2.5363329E7</v>
      </c>
      <c r="D55" s="6" t="s">
        <v>18</v>
      </c>
      <c r="E55" s="6" t="s">
        <v>76</v>
      </c>
      <c r="F55" s="6" t="s">
        <v>56</v>
      </c>
      <c r="G55" s="6" t="s">
        <v>208</v>
      </c>
      <c r="H55" s="6" t="s">
        <v>209</v>
      </c>
      <c r="J55" s="6" t="s">
        <v>30</v>
      </c>
      <c r="K55" s="6" t="s">
        <v>23</v>
      </c>
      <c r="L55" s="6" t="s">
        <v>72</v>
      </c>
      <c r="M55" s="2">
        <v>44728.0</v>
      </c>
      <c r="N55" s="6" t="s">
        <v>210</v>
      </c>
      <c r="O55" s="6" t="s">
        <v>209</v>
      </c>
      <c r="P55" s="9"/>
      <c r="Q55" s="8" t="s">
        <v>211</v>
      </c>
    </row>
    <row r="56">
      <c r="A56" s="7">
        <v>44730.703461006946</v>
      </c>
      <c r="B56" s="6" t="s">
        <v>212</v>
      </c>
      <c r="D56" s="6" t="s">
        <v>18</v>
      </c>
      <c r="E56" s="6" t="s">
        <v>34</v>
      </c>
      <c r="F56" s="6" t="s">
        <v>101</v>
      </c>
      <c r="G56" s="6" t="s">
        <v>189</v>
      </c>
      <c r="J56" s="6" t="s">
        <v>37</v>
      </c>
      <c r="K56" s="6" t="s">
        <v>30</v>
      </c>
      <c r="L56" s="6" t="s">
        <v>24</v>
      </c>
      <c r="M56" s="2" t="s">
        <v>213</v>
      </c>
      <c r="N56" s="6" t="s">
        <v>38</v>
      </c>
      <c r="Q56" s="8" t="s">
        <v>214</v>
      </c>
    </row>
    <row r="57">
      <c r="A57" s="7">
        <v>44730.705676921294</v>
      </c>
      <c r="B57" s="6" t="s">
        <v>140</v>
      </c>
      <c r="D57" s="6" t="s">
        <v>18</v>
      </c>
      <c r="E57" s="6" t="s">
        <v>34</v>
      </c>
      <c r="F57" s="6" t="s">
        <v>101</v>
      </c>
      <c r="G57" s="6" t="s">
        <v>198</v>
      </c>
      <c r="J57" s="6" t="s">
        <v>37</v>
      </c>
      <c r="K57" s="6" t="s">
        <v>30</v>
      </c>
      <c r="L57" s="6" t="s">
        <v>24</v>
      </c>
      <c r="M57" s="2" t="s">
        <v>213</v>
      </c>
      <c r="N57" s="6" t="s">
        <v>38</v>
      </c>
      <c r="Q57" s="8" t="s">
        <v>215</v>
      </c>
    </row>
    <row r="58">
      <c r="A58" s="7">
        <v>44730.70748164352</v>
      </c>
      <c r="B58" s="6" t="s">
        <v>216</v>
      </c>
      <c r="D58" s="6" t="s">
        <v>18</v>
      </c>
      <c r="E58" s="6" t="s">
        <v>34</v>
      </c>
      <c r="F58" s="6" t="s">
        <v>60</v>
      </c>
      <c r="H58" s="6" t="s">
        <v>217</v>
      </c>
      <c r="J58" s="6" t="s">
        <v>51</v>
      </c>
      <c r="K58" s="6" t="s">
        <v>30</v>
      </c>
      <c r="L58" s="6" t="s">
        <v>24</v>
      </c>
      <c r="M58" s="2" t="s">
        <v>213</v>
      </c>
      <c r="N58" s="6" t="s">
        <v>38</v>
      </c>
      <c r="Q58" s="8" t="s">
        <v>218</v>
      </c>
    </row>
    <row r="59">
      <c r="A59" s="7">
        <v>44730.70899471064</v>
      </c>
      <c r="B59" s="6" t="s">
        <v>219</v>
      </c>
      <c r="D59" s="6" t="s">
        <v>18</v>
      </c>
      <c r="E59" s="6" t="s">
        <v>41</v>
      </c>
      <c r="F59" s="6" t="s">
        <v>42</v>
      </c>
      <c r="H59" s="6" t="s">
        <v>220</v>
      </c>
      <c r="J59" s="6" t="s">
        <v>37</v>
      </c>
      <c r="K59" s="6" t="s">
        <v>30</v>
      </c>
      <c r="L59" s="6" t="s">
        <v>24</v>
      </c>
      <c r="M59" s="2" t="s">
        <v>213</v>
      </c>
      <c r="N59" s="6" t="s">
        <v>38</v>
      </c>
      <c r="Q59" s="8" t="s">
        <v>221</v>
      </c>
    </row>
    <row r="60">
      <c r="A60" s="7">
        <v>44730.710912905095</v>
      </c>
      <c r="B60" s="6" t="s">
        <v>222</v>
      </c>
      <c r="D60" s="6" t="s">
        <v>18</v>
      </c>
      <c r="E60" s="6" t="s">
        <v>76</v>
      </c>
      <c r="F60" s="6" t="s">
        <v>42</v>
      </c>
      <c r="G60" s="6" t="s">
        <v>198</v>
      </c>
      <c r="J60" s="6" t="s">
        <v>37</v>
      </c>
      <c r="K60" s="6" t="s">
        <v>30</v>
      </c>
      <c r="L60" s="6" t="s">
        <v>24</v>
      </c>
      <c r="M60" s="2" t="s">
        <v>223</v>
      </c>
      <c r="N60" s="6" t="s">
        <v>38</v>
      </c>
      <c r="Q60" s="8" t="s">
        <v>224</v>
      </c>
    </row>
    <row r="61">
      <c r="A61" s="7">
        <v>44730.71485365741</v>
      </c>
      <c r="B61" s="6" t="s">
        <v>225</v>
      </c>
      <c r="D61" s="6" t="s">
        <v>18</v>
      </c>
      <c r="E61" s="6" t="s">
        <v>47</v>
      </c>
      <c r="F61" s="6" t="s">
        <v>47</v>
      </c>
      <c r="H61" s="6" t="s">
        <v>226</v>
      </c>
      <c r="J61" s="6" t="s">
        <v>37</v>
      </c>
      <c r="K61" s="6" t="s">
        <v>30</v>
      </c>
      <c r="L61" s="6" t="s">
        <v>24</v>
      </c>
      <c r="M61" s="2" t="s">
        <v>213</v>
      </c>
      <c r="N61" s="6" t="s">
        <v>38</v>
      </c>
      <c r="Q61" s="8" t="s">
        <v>227</v>
      </c>
    </row>
    <row r="62">
      <c r="A62" s="7">
        <v>44733.55170283565</v>
      </c>
      <c r="B62" s="6" t="s">
        <v>228</v>
      </c>
      <c r="D62" s="6" t="s">
        <v>75</v>
      </c>
      <c r="E62" s="6" t="s">
        <v>34</v>
      </c>
      <c r="F62" s="6" t="s">
        <v>20</v>
      </c>
      <c r="G62" s="6" t="s">
        <v>146</v>
      </c>
      <c r="H62" s="6" t="s">
        <v>199</v>
      </c>
      <c r="J62" s="6" t="s">
        <v>51</v>
      </c>
      <c r="K62" s="6" t="s">
        <v>30</v>
      </c>
      <c r="L62" s="6" t="s">
        <v>24</v>
      </c>
      <c r="M62" s="2" t="s">
        <v>229</v>
      </c>
      <c r="N62" s="6" t="s">
        <v>38</v>
      </c>
      <c r="Q62" s="8" t="s">
        <v>230</v>
      </c>
    </row>
    <row r="63">
      <c r="A63" s="7">
        <v>44741.75047413194</v>
      </c>
      <c r="B63" s="6" t="s">
        <v>231</v>
      </c>
      <c r="D63" s="6" t="s">
        <v>18</v>
      </c>
      <c r="E63" s="6" t="s">
        <v>41</v>
      </c>
      <c r="F63" s="6" t="s">
        <v>41</v>
      </c>
      <c r="J63" s="6" t="s">
        <v>37</v>
      </c>
      <c r="K63" s="6" t="s">
        <v>37</v>
      </c>
      <c r="L63" s="6" t="s">
        <v>24</v>
      </c>
      <c r="M63" s="2">
        <v>44688.0</v>
      </c>
      <c r="N63" s="6" t="s">
        <v>38</v>
      </c>
      <c r="Q63" s="8" t="s">
        <v>232</v>
      </c>
    </row>
    <row r="64">
      <c r="A64" s="7">
        <v>44741.75163284723</v>
      </c>
      <c r="B64" s="6" t="s">
        <v>233</v>
      </c>
      <c r="D64" s="6" t="s">
        <v>18</v>
      </c>
      <c r="E64" s="6" t="s">
        <v>55</v>
      </c>
      <c r="F64" s="6" t="s">
        <v>20</v>
      </c>
      <c r="J64" s="6" t="s">
        <v>37</v>
      </c>
      <c r="K64" s="6" t="s">
        <v>37</v>
      </c>
      <c r="L64" s="6" t="s">
        <v>24</v>
      </c>
      <c r="M64" s="2">
        <v>44749.0</v>
      </c>
      <c r="N64" s="6" t="s">
        <v>25</v>
      </c>
      <c r="Q64" s="8" t="s">
        <v>234</v>
      </c>
    </row>
    <row r="65">
      <c r="A65" s="7">
        <v>44743.57284453703</v>
      </c>
      <c r="B65" s="6" t="s">
        <v>235</v>
      </c>
      <c r="D65" s="6" t="s">
        <v>18</v>
      </c>
      <c r="E65" s="6" t="s">
        <v>55</v>
      </c>
      <c r="F65" s="6" t="s">
        <v>56</v>
      </c>
      <c r="J65" s="6" t="s">
        <v>51</v>
      </c>
      <c r="K65" s="6" t="s">
        <v>30</v>
      </c>
      <c r="L65" s="6" t="s">
        <v>24</v>
      </c>
      <c r="M65" s="2" t="s">
        <v>236</v>
      </c>
      <c r="N65" s="6" t="s">
        <v>38</v>
      </c>
      <c r="Q65" s="8" t="s">
        <v>237</v>
      </c>
    </row>
    <row r="66">
      <c r="A66" s="7">
        <v>44743.672299328704</v>
      </c>
      <c r="B66" s="6" t="s">
        <v>238</v>
      </c>
      <c r="D66" s="6" t="s">
        <v>18</v>
      </c>
      <c r="E66" s="6" t="s">
        <v>55</v>
      </c>
      <c r="F66" s="6" t="s">
        <v>79</v>
      </c>
      <c r="J66" s="6" t="s">
        <v>30</v>
      </c>
      <c r="K66" s="6" t="s">
        <v>30</v>
      </c>
      <c r="L66" s="6" t="s">
        <v>24</v>
      </c>
      <c r="M66" s="2" t="s">
        <v>236</v>
      </c>
      <c r="N66" s="6" t="s">
        <v>38</v>
      </c>
      <c r="Q66" s="8" t="s">
        <v>239</v>
      </c>
    </row>
    <row r="67">
      <c r="A67" s="7">
        <v>44744.65057268519</v>
      </c>
      <c r="B67" s="6" t="s">
        <v>240</v>
      </c>
      <c r="D67" s="6" t="s">
        <v>18</v>
      </c>
      <c r="E67" s="6" t="s">
        <v>55</v>
      </c>
      <c r="F67" s="6" t="s">
        <v>79</v>
      </c>
      <c r="H67" s="6" t="s">
        <v>241</v>
      </c>
      <c r="J67" s="6" t="s">
        <v>30</v>
      </c>
      <c r="K67" s="6" t="s">
        <v>30</v>
      </c>
      <c r="L67" s="6" t="s">
        <v>24</v>
      </c>
      <c r="M67" s="2" t="s">
        <v>242</v>
      </c>
      <c r="N67" s="6" t="s">
        <v>38</v>
      </c>
      <c r="Q67" s="8" t="s">
        <v>243</v>
      </c>
    </row>
    <row r="68">
      <c r="A68" s="7">
        <v>44745.765673263886</v>
      </c>
      <c r="B68" s="6" t="s">
        <v>244</v>
      </c>
      <c r="D68" s="6" t="s">
        <v>18</v>
      </c>
      <c r="E68" s="6" t="s">
        <v>34</v>
      </c>
      <c r="F68" s="6" t="s">
        <v>60</v>
      </c>
      <c r="G68" s="6" t="s">
        <v>166</v>
      </c>
      <c r="H68" s="6" t="s">
        <v>245</v>
      </c>
      <c r="J68" s="6" t="s">
        <v>30</v>
      </c>
      <c r="K68" s="6" t="s">
        <v>30</v>
      </c>
      <c r="L68" s="6" t="s">
        <v>24</v>
      </c>
      <c r="M68" s="2" t="s">
        <v>242</v>
      </c>
      <c r="N68" s="6" t="s">
        <v>210</v>
      </c>
      <c r="Q68" s="8" t="s">
        <v>246</v>
      </c>
    </row>
    <row r="69">
      <c r="A69" s="7">
        <v>44747.52466962963</v>
      </c>
      <c r="B69" s="6" t="s">
        <v>247</v>
      </c>
      <c r="D69" s="6" t="s">
        <v>18</v>
      </c>
      <c r="E69" s="6" t="s">
        <v>55</v>
      </c>
      <c r="F69" s="6" t="s">
        <v>56</v>
      </c>
      <c r="H69" s="6" t="s">
        <v>248</v>
      </c>
      <c r="J69" s="6" t="s">
        <v>37</v>
      </c>
      <c r="K69" s="6" t="s">
        <v>30</v>
      </c>
      <c r="L69" s="6" t="s">
        <v>24</v>
      </c>
      <c r="M69" s="2" t="s">
        <v>152</v>
      </c>
      <c r="N69" s="6" t="s">
        <v>38</v>
      </c>
      <c r="Q69" s="8" t="s">
        <v>249</v>
      </c>
    </row>
    <row r="70">
      <c r="A70" s="7">
        <v>44752.56354459491</v>
      </c>
      <c r="B70" s="6" t="s">
        <v>137</v>
      </c>
      <c r="D70" s="6" t="s">
        <v>18</v>
      </c>
      <c r="E70" s="6" t="s">
        <v>47</v>
      </c>
      <c r="F70" s="6" t="s">
        <v>47</v>
      </c>
      <c r="H70" s="6" t="s">
        <v>250</v>
      </c>
      <c r="J70" s="6" t="s">
        <v>51</v>
      </c>
      <c r="K70" s="6" t="s">
        <v>30</v>
      </c>
      <c r="L70" s="6" t="s">
        <v>24</v>
      </c>
      <c r="M70" s="2" t="s">
        <v>251</v>
      </c>
      <c r="N70" s="6" t="s">
        <v>38</v>
      </c>
      <c r="Q70" s="8" t="s">
        <v>252</v>
      </c>
    </row>
    <row r="71">
      <c r="A71" s="7">
        <v>44754.54739295139</v>
      </c>
      <c r="B71" s="6" t="s">
        <v>253</v>
      </c>
      <c r="D71" s="6" t="s">
        <v>18</v>
      </c>
      <c r="E71" s="6" t="s">
        <v>55</v>
      </c>
      <c r="F71" s="6" t="s">
        <v>42</v>
      </c>
      <c r="H71" s="6" t="s">
        <v>199</v>
      </c>
      <c r="J71" s="6" t="s">
        <v>51</v>
      </c>
      <c r="K71" s="6" t="s">
        <v>30</v>
      </c>
      <c r="L71" s="6" t="s">
        <v>24</v>
      </c>
      <c r="M71" s="2" t="s">
        <v>254</v>
      </c>
      <c r="N71" s="6" t="s">
        <v>38</v>
      </c>
      <c r="Q71" s="8" t="s">
        <v>255</v>
      </c>
    </row>
    <row r="72">
      <c r="A72" s="7">
        <v>44754.58265486111</v>
      </c>
      <c r="B72" s="6" t="s">
        <v>256</v>
      </c>
      <c r="D72" s="6" t="s">
        <v>18</v>
      </c>
      <c r="E72" s="6" t="s">
        <v>34</v>
      </c>
      <c r="F72" s="6" t="s">
        <v>79</v>
      </c>
      <c r="H72" s="6" t="s">
        <v>257</v>
      </c>
      <c r="J72" s="6" t="s">
        <v>51</v>
      </c>
      <c r="K72" s="6" t="s">
        <v>30</v>
      </c>
      <c r="L72" s="6" t="s">
        <v>24</v>
      </c>
      <c r="M72" s="2" t="s">
        <v>254</v>
      </c>
      <c r="N72" s="6" t="s">
        <v>38</v>
      </c>
      <c r="Q72" s="8" t="s">
        <v>258</v>
      </c>
    </row>
    <row r="73">
      <c r="A73" s="7">
        <v>44754.5835421875</v>
      </c>
      <c r="B73" s="6" t="s">
        <v>259</v>
      </c>
      <c r="D73" s="6" t="s">
        <v>18</v>
      </c>
      <c r="E73" s="6" t="s">
        <v>34</v>
      </c>
      <c r="F73" s="6" t="s">
        <v>188</v>
      </c>
      <c r="G73" s="6" t="s">
        <v>189</v>
      </c>
      <c r="J73" s="6" t="s">
        <v>30</v>
      </c>
      <c r="K73" s="6" t="s">
        <v>30</v>
      </c>
      <c r="L73" s="6" t="s">
        <v>24</v>
      </c>
      <c r="M73" s="2" t="s">
        <v>242</v>
      </c>
      <c r="N73" s="6" t="s">
        <v>38</v>
      </c>
      <c r="Q73" s="8" t="s">
        <v>260</v>
      </c>
    </row>
    <row r="74">
      <c r="A74" s="7">
        <v>44754.611883680554</v>
      </c>
      <c r="B74" s="6" t="s">
        <v>261</v>
      </c>
      <c r="D74" s="6" t="s">
        <v>18</v>
      </c>
      <c r="E74" s="6" t="s">
        <v>34</v>
      </c>
      <c r="F74" s="6" t="s">
        <v>101</v>
      </c>
      <c r="G74" s="6" t="s">
        <v>146</v>
      </c>
      <c r="J74" s="6" t="s">
        <v>37</v>
      </c>
      <c r="K74" s="6" t="s">
        <v>30</v>
      </c>
      <c r="L74" s="6" t="s">
        <v>24</v>
      </c>
      <c r="M74" s="2" t="s">
        <v>262</v>
      </c>
      <c r="N74" s="6" t="s">
        <v>25</v>
      </c>
      <c r="Q74" s="8" t="s">
        <v>263</v>
      </c>
    </row>
    <row r="75">
      <c r="A75" s="7">
        <v>44755.68266373842</v>
      </c>
      <c r="B75" s="6" t="s">
        <v>264</v>
      </c>
      <c r="D75" s="6" t="s">
        <v>18</v>
      </c>
      <c r="E75" s="6" t="s">
        <v>47</v>
      </c>
      <c r="F75" s="6" t="s">
        <v>47</v>
      </c>
      <c r="H75" s="6" t="s">
        <v>265</v>
      </c>
      <c r="J75" s="6" t="s">
        <v>51</v>
      </c>
      <c r="K75" s="6" t="s">
        <v>30</v>
      </c>
      <c r="L75" s="6" t="s">
        <v>24</v>
      </c>
      <c r="M75" s="2" t="s">
        <v>254</v>
      </c>
      <c r="N75" s="6" t="s">
        <v>38</v>
      </c>
      <c r="Q75" s="8" t="s">
        <v>266</v>
      </c>
    </row>
    <row r="76">
      <c r="A76" s="7">
        <v>44757.52115123843</v>
      </c>
      <c r="B76" s="6" t="s">
        <v>267</v>
      </c>
      <c r="D76" s="6" t="s">
        <v>18</v>
      </c>
      <c r="E76" s="6" t="s">
        <v>55</v>
      </c>
      <c r="F76" s="6" t="s">
        <v>56</v>
      </c>
      <c r="G76" s="6" t="s">
        <v>268</v>
      </c>
      <c r="H76" s="6" t="s">
        <v>269</v>
      </c>
      <c r="J76" s="6" t="s">
        <v>37</v>
      </c>
      <c r="K76" s="6" t="s">
        <v>37</v>
      </c>
      <c r="L76" s="6" t="s">
        <v>24</v>
      </c>
      <c r="M76" s="2" t="s">
        <v>270</v>
      </c>
      <c r="N76" s="6" t="s">
        <v>38</v>
      </c>
      <c r="Q76" s="8" t="s">
        <v>271</v>
      </c>
    </row>
    <row r="77">
      <c r="A77" s="7">
        <v>44758.59361398148</v>
      </c>
      <c r="B77" s="6" t="s">
        <v>272</v>
      </c>
      <c r="D77" s="6" t="s">
        <v>18</v>
      </c>
      <c r="E77" s="6" t="s">
        <v>34</v>
      </c>
      <c r="F77" s="6" t="s">
        <v>35</v>
      </c>
      <c r="H77" s="6" t="s">
        <v>273</v>
      </c>
      <c r="J77" s="6" t="s">
        <v>37</v>
      </c>
      <c r="K77" s="6" t="s">
        <v>37</v>
      </c>
      <c r="L77" s="6" t="s">
        <v>24</v>
      </c>
      <c r="M77" s="2" t="s">
        <v>274</v>
      </c>
      <c r="N77" s="6" t="s">
        <v>38</v>
      </c>
      <c r="Q77" s="8" t="s">
        <v>275</v>
      </c>
    </row>
    <row r="78">
      <c r="A78" s="7">
        <v>44761.51624570602</v>
      </c>
      <c r="B78" s="6" t="s">
        <v>276</v>
      </c>
      <c r="D78" s="6" t="s">
        <v>18</v>
      </c>
      <c r="E78" s="6" t="s">
        <v>47</v>
      </c>
      <c r="F78" s="6" t="s">
        <v>47</v>
      </c>
      <c r="H78" s="6" t="s">
        <v>277</v>
      </c>
      <c r="J78" s="6" t="s">
        <v>51</v>
      </c>
      <c r="K78" s="6" t="s">
        <v>30</v>
      </c>
      <c r="L78" s="6" t="s">
        <v>24</v>
      </c>
      <c r="M78" s="2" t="s">
        <v>251</v>
      </c>
      <c r="N78" s="6" t="s">
        <v>38</v>
      </c>
      <c r="Q78" s="8" t="s">
        <v>278</v>
      </c>
    </row>
    <row r="79">
      <c r="A79" s="7">
        <v>44763.50558091435</v>
      </c>
      <c r="B79" s="6" t="s">
        <v>279</v>
      </c>
      <c r="D79" s="6" t="s">
        <v>18</v>
      </c>
      <c r="E79" s="6" t="s">
        <v>64</v>
      </c>
      <c r="F79" s="6" t="s">
        <v>280</v>
      </c>
      <c r="G79" s="6" t="s">
        <v>146</v>
      </c>
      <c r="J79" s="6" t="s">
        <v>37</v>
      </c>
      <c r="K79" s="6" t="s">
        <v>30</v>
      </c>
      <c r="L79" s="6" t="s">
        <v>24</v>
      </c>
      <c r="M79" s="2" t="s">
        <v>281</v>
      </c>
      <c r="N79" s="6" t="s">
        <v>25</v>
      </c>
      <c r="Q79" s="8" t="s">
        <v>282</v>
      </c>
    </row>
    <row r="80">
      <c r="A80" s="7">
        <v>44764.50755541667</v>
      </c>
      <c r="B80" s="6" t="s">
        <v>283</v>
      </c>
      <c r="D80" s="6" t="s">
        <v>18</v>
      </c>
      <c r="E80" s="6" t="s">
        <v>55</v>
      </c>
      <c r="F80" s="6" t="s">
        <v>56</v>
      </c>
      <c r="G80" s="6" t="s">
        <v>268</v>
      </c>
      <c r="J80" s="6" t="s">
        <v>30</v>
      </c>
      <c r="K80" s="6" t="s">
        <v>30</v>
      </c>
      <c r="L80" s="6" t="s">
        <v>24</v>
      </c>
      <c r="M80" s="2" t="s">
        <v>284</v>
      </c>
      <c r="N80" s="6" t="s">
        <v>38</v>
      </c>
      <c r="Q80" s="8" t="s">
        <v>285</v>
      </c>
    </row>
    <row r="81">
      <c r="A81" s="7">
        <v>44766.62871347222</v>
      </c>
      <c r="B81" s="6" t="s">
        <v>286</v>
      </c>
      <c r="D81" s="6" t="s">
        <v>18</v>
      </c>
      <c r="E81" s="6" t="s">
        <v>28</v>
      </c>
      <c r="F81" s="6" t="s">
        <v>287</v>
      </c>
      <c r="J81" s="6" t="s">
        <v>37</v>
      </c>
      <c r="K81" s="6" t="s">
        <v>37</v>
      </c>
      <c r="L81" s="6" t="s">
        <v>24</v>
      </c>
      <c r="M81" s="2" t="s">
        <v>242</v>
      </c>
      <c r="N81" s="6" t="s">
        <v>38</v>
      </c>
      <c r="Q81" s="8" t="s">
        <v>288</v>
      </c>
    </row>
    <row r="82">
      <c r="A82" s="7">
        <v>44768.49016393519</v>
      </c>
      <c r="B82" s="6" t="s">
        <v>289</v>
      </c>
      <c r="D82" s="6" t="s">
        <v>18</v>
      </c>
      <c r="E82" s="6" t="s">
        <v>34</v>
      </c>
      <c r="F82" s="6" t="s">
        <v>290</v>
      </c>
      <c r="G82" s="6" t="s">
        <v>189</v>
      </c>
      <c r="H82" s="6" t="s">
        <v>291</v>
      </c>
      <c r="J82" s="6" t="s">
        <v>30</v>
      </c>
      <c r="K82" s="6" t="s">
        <v>30</v>
      </c>
      <c r="L82" s="6" t="s">
        <v>24</v>
      </c>
      <c r="M82" s="2" t="s">
        <v>242</v>
      </c>
      <c r="N82" s="6" t="s">
        <v>38</v>
      </c>
      <c r="Q82" s="8" t="s">
        <v>292</v>
      </c>
    </row>
    <row r="83">
      <c r="A83" s="7">
        <v>44768.49115574074</v>
      </c>
      <c r="B83" s="6" t="s">
        <v>293</v>
      </c>
      <c r="D83" s="6" t="s">
        <v>18</v>
      </c>
      <c r="E83" s="6" t="s">
        <v>55</v>
      </c>
      <c r="F83" s="6" t="s">
        <v>294</v>
      </c>
      <c r="G83" s="6" t="s">
        <v>166</v>
      </c>
      <c r="J83" s="6" t="s">
        <v>51</v>
      </c>
      <c r="K83" s="6" t="s">
        <v>51</v>
      </c>
      <c r="L83" s="6" t="s">
        <v>24</v>
      </c>
      <c r="M83" s="2" t="s">
        <v>295</v>
      </c>
      <c r="N83" s="6" t="s">
        <v>210</v>
      </c>
      <c r="Q83" s="8" t="s">
        <v>296</v>
      </c>
    </row>
    <row r="84">
      <c r="A84" s="7">
        <v>44769.721751944446</v>
      </c>
      <c r="B84" s="6" t="s">
        <v>297</v>
      </c>
      <c r="D84" s="6" t="s">
        <v>18</v>
      </c>
      <c r="E84" s="6" t="s">
        <v>47</v>
      </c>
      <c r="F84" s="6" t="s">
        <v>47</v>
      </c>
      <c r="G84" s="6" t="s">
        <v>166</v>
      </c>
      <c r="H84" s="6" t="s">
        <v>298</v>
      </c>
      <c r="J84" s="6" t="s">
        <v>37</v>
      </c>
      <c r="K84" s="6" t="s">
        <v>37</v>
      </c>
      <c r="L84" s="6" t="s">
        <v>24</v>
      </c>
      <c r="M84" s="2" t="s">
        <v>299</v>
      </c>
      <c r="N84" s="6" t="s">
        <v>38</v>
      </c>
      <c r="Q84" s="8" t="s">
        <v>300</v>
      </c>
    </row>
    <row r="85">
      <c r="A85" s="7">
        <v>44770.69829177084</v>
      </c>
      <c r="B85" s="6" t="s">
        <v>301</v>
      </c>
      <c r="D85" s="6" t="s">
        <v>18</v>
      </c>
      <c r="E85" s="6" t="s">
        <v>55</v>
      </c>
      <c r="F85" s="6" t="s">
        <v>302</v>
      </c>
      <c r="G85" s="6" t="s">
        <v>146</v>
      </c>
      <c r="J85" s="6" t="s">
        <v>51</v>
      </c>
      <c r="K85" s="6" t="s">
        <v>30</v>
      </c>
      <c r="L85" s="6" t="s">
        <v>24</v>
      </c>
      <c r="M85" s="2" t="s">
        <v>303</v>
      </c>
      <c r="N85" s="6" t="s">
        <v>38</v>
      </c>
      <c r="Q85" s="8" t="s">
        <v>304</v>
      </c>
    </row>
    <row r="86">
      <c r="A86" s="7">
        <v>44776.69932450232</v>
      </c>
      <c r="B86" s="6" t="s">
        <v>305</v>
      </c>
      <c r="C86" s="6" t="s">
        <v>306</v>
      </c>
      <c r="D86" s="6" t="s">
        <v>18</v>
      </c>
      <c r="E86" s="6" t="s">
        <v>123</v>
      </c>
      <c r="F86" s="6" t="s">
        <v>60</v>
      </c>
      <c r="G86" s="6" t="s">
        <v>166</v>
      </c>
      <c r="H86" s="6" t="s">
        <v>307</v>
      </c>
      <c r="J86" s="6" t="s">
        <v>37</v>
      </c>
      <c r="K86" s="6" t="s">
        <v>308</v>
      </c>
      <c r="L86" s="6" t="s">
        <v>24</v>
      </c>
      <c r="M86" s="2">
        <v>44790.0</v>
      </c>
      <c r="N86" s="6" t="s">
        <v>38</v>
      </c>
      <c r="Q86" s="8" t="s">
        <v>309</v>
      </c>
    </row>
    <row r="87">
      <c r="A87" s="7">
        <v>44776.70316872685</v>
      </c>
      <c r="B87" s="6" t="s">
        <v>310</v>
      </c>
      <c r="D87" s="6" t="s">
        <v>311</v>
      </c>
      <c r="E87" s="6" t="s">
        <v>312</v>
      </c>
      <c r="F87" s="6" t="s">
        <v>313</v>
      </c>
      <c r="H87" s="6" t="s">
        <v>314</v>
      </c>
      <c r="J87" s="6" t="s">
        <v>37</v>
      </c>
      <c r="K87" s="6" t="s">
        <v>37</v>
      </c>
      <c r="L87" s="6" t="s">
        <v>24</v>
      </c>
      <c r="M87" s="2">
        <v>44790.0</v>
      </c>
      <c r="N87" s="6" t="s">
        <v>38</v>
      </c>
      <c r="Q87" s="8" t="s">
        <v>315</v>
      </c>
    </row>
    <row r="88">
      <c r="A88" s="7">
        <v>44779.55356431713</v>
      </c>
      <c r="B88" s="6" t="s">
        <v>316</v>
      </c>
      <c r="D88" s="6" t="s">
        <v>18</v>
      </c>
      <c r="E88" s="6" t="s">
        <v>123</v>
      </c>
      <c r="F88" s="6" t="s">
        <v>60</v>
      </c>
      <c r="H88" s="6" t="s">
        <v>317</v>
      </c>
      <c r="J88" s="6" t="s">
        <v>51</v>
      </c>
      <c r="K88" s="6" t="s">
        <v>51</v>
      </c>
      <c r="L88" s="6" t="s">
        <v>24</v>
      </c>
      <c r="M88" s="2" t="s">
        <v>318</v>
      </c>
      <c r="N88" s="6" t="s">
        <v>38</v>
      </c>
      <c r="Q88" s="8" t="s">
        <v>319</v>
      </c>
    </row>
    <row r="89">
      <c r="A89" s="7">
        <v>44783.66246270834</v>
      </c>
      <c r="B89" s="6" t="s">
        <v>320</v>
      </c>
      <c r="C89" s="6">
        <v>9.953023858E9</v>
      </c>
      <c r="D89" s="6" t="s">
        <v>311</v>
      </c>
      <c r="E89" s="6" t="s">
        <v>34</v>
      </c>
      <c r="F89" s="6" t="s">
        <v>321</v>
      </c>
      <c r="H89" s="6" t="s">
        <v>322</v>
      </c>
      <c r="J89" s="6" t="s">
        <v>308</v>
      </c>
      <c r="K89" s="6" t="s">
        <v>308</v>
      </c>
      <c r="L89" s="6" t="s">
        <v>184</v>
      </c>
      <c r="M89" s="2">
        <v>44783.0</v>
      </c>
      <c r="N89" s="6" t="s">
        <v>38</v>
      </c>
      <c r="Q89" s="8" t="s">
        <v>323</v>
      </c>
    </row>
    <row r="90">
      <c r="A90" s="7">
        <v>44785.58831273148</v>
      </c>
      <c r="B90" s="6" t="s">
        <v>324</v>
      </c>
      <c r="D90" s="6" t="s">
        <v>18</v>
      </c>
      <c r="E90" s="6" t="s">
        <v>70</v>
      </c>
      <c r="F90" s="6" t="s">
        <v>20</v>
      </c>
      <c r="G90" s="6" t="s">
        <v>146</v>
      </c>
      <c r="H90" s="6" t="s">
        <v>325</v>
      </c>
      <c r="J90" s="6" t="s">
        <v>30</v>
      </c>
      <c r="K90" s="6" t="s">
        <v>30</v>
      </c>
      <c r="L90" s="6" t="s">
        <v>24</v>
      </c>
      <c r="M90" s="2" t="s">
        <v>326</v>
      </c>
      <c r="N90" s="6" t="s">
        <v>38</v>
      </c>
      <c r="Q90" s="8" t="s">
        <v>327</v>
      </c>
    </row>
    <row r="91">
      <c r="A91" s="7">
        <v>44786.78837459491</v>
      </c>
      <c r="B91" s="6" t="s">
        <v>328</v>
      </c>
      <c r="C91" s="6">
        <v>9.999776364E9</v>
      </c>
      <c r="D91" s="6" t="s">
        <v>18</v>
      </c>
      <c r="E91" s="6" t="s">
        <v>55</v>
      </c>
      <c r="F91" s="6" t="s">
        <v>79</v>
      </c>
      <c r="G91" s="6">
        <v>5.0</v>
      </c>
      <c r="J91" s="6" t="s">
        <v>308</v>
      </c>
      <c r="K91" s="6" t="s">
        <v>308</v>
      </c>
      <c r="L91" s="6" t="s">
        <v>184</v>
      </c>
      <c r="M91" s="2">
        <v>44787.0</v>
      </c>
      <c r="N91" s="6" t="s">
        <v>25</v>
      </c>
      <c r="Q91" s="8" t="s">
        <v>329</v>
      </c>
    </row>
    <row r="92">
      <c r="A92" s="7">
        <v>44790.47139261574</v>
      </c>
      <c r="B92" s="6" t="s">
        <v>330</v>
      </c>
      <c r="D92" s="6" t="s">
        <v>18</v>
      </c>
      <c r="E92" s="6" t="s">
        <v>47</v>
      </c>
      <c r="F92" s="6" t="s">
        <v>20</v>
      </c>
      <c r="H92" s="6" t="s">
        <v>331</v>
      </c>
      <c r="J92" s="6" t="s">
        <v>51</v>
      </c>
      <c r="K92" s="6" t="s">
        <v>51</v>
      </c>
      <c r="L92" s="6" t="s">
        <v>24</v>
      </c>
      <c r="M92" s="2" t="s">
        <v>332</v>
      </c>
      <c r="N92" s="6" t="s">
        <v>38</v>
      </c>
      <c r="Q92" s="8" t="s">
        <v>333</v>
      </c>
    </row>
    <row r="93">
      <c r="A93" s="7">
        <v>44793.51246164352</v>
      </c>
      <c r="B93" s="6" t="s">
        <v>334</v>
      </c>
      <c r="D93" s="6" t="s">
        <v>75</v>
      </c>
      <c r="E93" s="6" t="s">
        <v>47</v>
      </c>
      <c r="F93" s="6" t="s">
        <v>35</v>
      </c>
      <c r="G93" s="6" t="s">
        <v>208</v>
      </c>
      <c r="J93" s="6" t="s">
        <v>37</v>
      </c>
      <c r="K93" s="6" t="s">
        <v>37</v>
      </c>
      <c r="L93" s="6" t="s">
        <v>24</v>
      </c>
      <c r="M93" s="2">
        <v>44796.0</v>
      </c>
      <c r="N93" s="6" t="s">
        <v>25</v>
      </c>
      <c r="Q93" s="8" t="s">
        <v>335</v>
      </c>
    </row>
    <row r="94">
      <c r="A94" s="7">
        <v>44793.58235989584</v>
      </c>
      <c r="B94" s="6" t="s">
        <v>336</v>
      </c>
      <c r="C94" s="6">
        <v>9.811016739E9</v>
      </c>
      <c r="D94" s="6" t="s">
        <v>18</v>
      </c>
      <c r="E94" s="6" t="s">
        <v>55</v>
      </c>
      <c r="F94" s="6" t="s">
        <v>337</v>
      </c>
      <c r="G94" s="6">
        <v>5.0</v>
      </c>
      <c r="J94" s="6" t="s">
        <v>37</v>
      </c>
      <c r="K94" s="6" t="s">
        <v>37</v>
      </c>
      <c r="L94" s="6" t="s">
        <v>24</v>
      </c>
      <c r="M94" s="2">
        <v>44796.0</v>
      </c>
      <c r="N94" s="6" t="s">
        <v>38</v>
      </c>
      <c r="Q94" s="8" t="s">
        <v>338</v>
      </c>
    </row>
    <row r="95">
      <c r="A95" s="7">
        <v>44793.58531712963</v>
      </c>
      <c r="B95" s="6" t="s">
        <v>339</v>
      </c>
      <c r="C95" s="6">
        <v>9.911088852E9</v>
      </c>
      <c r="D95" s="6" t="s">
        <v>18</v>
      </c>
      <c r="E95" s="6" t="s">
        <v>34</v>
      </c>
      <c r="F95" s="6" t="s">
        <v>340</v>
      </c>
      <c r="G95" s="6">
        <v>5.0</v>
      </c>
      <c r="J95" s="6" t="s">
        <v>37</v>
      </c>
      <c r="K95" s="6" t="s">
        <v>37</v>
      </c>
      <c r="L95" s="6" t="s">
        <v>24</v>
      </c>
      <c r="M95" s="2">
        <v>44796.0</v>
      </c>
      <c r="N95" s="6" t="s">
        <v>38</v>
      </c>
      <c r="Q95" s="8" t="s">
        <v>341</v>
      </c>
    </row>
    <row r="96">
      <c r="A96" s="7">
        <v>44793.59721324074</v>
      </c>
      <c r="B96" s="6" t="s">
        <v>342</v>
      </c>
      <c r="C96" s="6">
        <v>9.782015737E9</v>
      </c>
      <c r="D96" s="6" t="s">
        <v>18</v>
      </c>
      <c r="E96" s="6" t="s">
        <v>70</v>
      </c>
      <c r="F96" s="6" t="s">
        <v>35</v>
      </c>
      <c r="G96" s="6">
        <v>5.0</v>
      </c>
      <c r="J96" s="6" t="s">
        <v>37</v>
      </c>
      <c r="K96" s="6" t="s">
        <v>37</v>
      </c>
      <c r="L96" s="6" t="s">
        <v>24</v>
      </c>
      <c r="M96" s="2">
        <v>44798.0</v>
      </c>
      <c r="N96" s="6" t="s">
        <v>38</v>
      </c>
      <c r="Q96" s="8" t="s">
        <v>343</v>
      </c>
    </row>
    <row r="97">
      <c r="A97" s="7">
        <v>44794.45179857639</v>
      </c>
      <c r="B97" s="6" t="s">
        <v>344</v>
      </c>
      <c r="C97" s="6">
        <v>9.91022501E9</v>
      </c>
      <c r="D97" s="6" t="s">
        <v>18</v>
      </c>
      <c r="E97" s="6" t="s">
        <v>345</v>
      </c>
      <c r="F97" s="6" t="s">
        <v>346</v>
      </c>
      <c r="G97" s="6">
        <v>5.0</v>
      </c>
      <c r="J97" s="6" t="s">
        <v>37</v>
      </c>
      <c r="K97" s="6" t="s">
        <v>37</v>
      </c>
      <c r="L97" s="6" t="s">
        <v>24</v>
      </c>
      <c r="M97" s="2">
        <v>44794.0</v>
      </c>
      <c r="N97" s="6" t="s">
        <v>38</v>
      </c>
      <c r="Q97" s="8" t="s">
        <v>347</v>
      </c>
    </row>
    <row r="98">
      <c r="A98" s="7">
        <v>44799.51714034722</v>
      </c>
      <c r="B98" s="6" t="s">
        <v>348</v>
      </c>
      <c r="C98" s="6">
        <v>9.797872525E9</v>
      </c>
      <c r="D98" s="6" t="s">
        <v>75</v>
      </c>
      <c r="E98" s="6" t="s">
        <v>76</v>
      </c>
      <c r="F98" s="6" t="s">
        <v>349</v>
      </c>
      <c r="G98" s="6">
        <v>5.0</v>
      </c>
      <c r="J98" s="6" t="s">
        <v>37</v>
      </c>
      <c r="K98" s="6" t="s">
        <v>37</v>
      </c>
      <c r="L98" s="6" t="s">
        <v>24</v>
      </c>
      <c r="M98" s="2">
        <v>44804.0</v>
      </c>
      <c r="N98" s="6" t="s">
        <v>38</v>
      </c>
      <c r="Q98" s="8" t="s">
        <v>350</v>
      </c>
    </row>
    <row r="99">
      <c r="A99" s="7">
        <v>44799.69036552083</v>
      </c>
      <c r="B99" s="6" t="s">
        <v>351</v>
      </c>
      <c r="D99" s="6" t="s">
        <v>18</v>
      </c>
      <c r="E99" s="6" t="s">
        <v>34</v>
      </c>
      <c r="F99" s="6" t="s">
        <v>50</v>
      </c>
      <c r="G99" s="6" t="s">
        <v>189</v>
      </c>
      <c r="H99" s="6" t="s">
        <v>352</v>
      </c>
      <c r="J99" s="6" t="s">
        <v>51</v>
      </c>
      <c r="K99" s="6" t="s">
        <v>51</v>
      </c>
      <c r="L99" s="6" t="s">
        <v>24</v>
      </c>
      <c r="M99" s="2" t="s">
        <v>353</v>
      </c>
      <c r="N99" s="6" t="s">
        <v>38</v>
      </c>
      <c r="Q99" s="8" t="s">
        <v>354</v>
      </c>
    </row>
    <row r="100">
      <c r="A100" s="7">
        <v>44800.580045509254</v>
      </c>
      <c r="B100" s="6" t="s">
        <v>355</v>
      </c>
      <c r="C100" s="6">
        <v>9.810086566E9</v>
      </c>
      <c r="D100" s="6" t="s">
        <v>75</v>
      </c>
      <c r="E100" s="6" t="s">
        <v>55</v>
      </c>
      <c r="F100" s="6" t="s">
        <v>35</v>
      </c>
      <c r="G100" s="6" t="s">
        <v>268</v>
      </c>
      <c r="J100" s="6" t="s">
        <v>30</v>
      </c>
      <c r="K100" s="6" t="s">
        <v>30</v>
      </c>
      <c r="L100" s="6" t="s">
        <v>24</v>
      </c>
      <c r="M100" s="2">
        <v>44804.0</v>
      </c>
      <c r="N100" s="6" t="s">
        <v>25</v>
      </c>
      <c r="Q100" s="8" t="s">
        <v>356</v>
      </c>
    </row>
    <row r="101">
      <c r="A101" s="7">
        <v>44800.58388002314</v>
      </c>
      <c r="B101" s="6" t="s">
        <v>357</v>
      </c>
      <c r="C101" s="6">
        <v>7.317311293E9</v>
      </c>
      <c r="D101" s="6" t="s">
        <v>75</v>
      </c>
      <c r="E101" s="6" t="s">
        <v>55</v>
      </c>
      <c r="F101" s="6" t="s">
        <v>358</v>
      </c>
      <c r="G101" s="6">
        <v>5.0</v>
      </c>
      <c r="J101" s="6" t="s">
        <v>71</v>
      </c>
      <c r="K101" s="6" t="s">
        <v>71</v>
      </c>
      <c r="L101" s="6" t="s">
        <v>24</v>
      </c>
      <c r="M101" s="2">
        <v>44824.0</v>
      </c>
      <c r="N101" s="6" t="s">
        <v>210</v>
      </c>
      <c r="Q101" s="8" t="s">
        <v>359</v>
      </c>
    </row>
    <row r="102">
      <c r="A102" s="7">
        <v>44800.5896018287</v>
      </c>
      <c r="B102" s="6" t="s">
        <v>360</v>
      </c>
      <c r="C102" s="6">
        <v>9.829452525E9</v>
      </c>
      <c r="D102" s="6" t="s">
        <v>75</v>
      </c>
      <c r="E102" s="6" t="s">
        <v>47</v>
      </c>
      <c r="F102" s="6" t="s">
        <v>47</v>
      </c>
      <c r="G102" s="6">
        <v>5.0</v>
      </c>
      <c r="J102" s="6" t="s">
        <v>37</v>
      </c>
      <c r="K102" s="6" t="s">
        <v>37</v>
      </c>
      <c r="L102" s="6" t="s">
        <v>24</v>
      </c>
      <c r="M102" s="2">
        <v>44808.0</v>
      </c>
      <c r="N102" s="6" t="s">
        <v>210</v>
      </c>
      <c r="Q102" s="8" t="s">
        <v>361</v>
      </c>
    </row>
    <row r="103">
      <c r="A103" s="7">
        <v>44800.6816653125</v>
      </c>
      <c r="B103" s="6" t="s">
        <v>362</v>
      </c>
      <c r="C103" s="6">
        <v>9.711110638E9</v>
      </c>
      <c r="D103" s="6" t="s">
        <v>18</v>
      </c>
      <c r="E103" s="6" t="s">
        <v>76</v>
      </c>
      <c r="F103" s="6" t="s">
        <v>363</v>
      </c>
      <c r="J103" s="6" t="s">
        <v>30</v>
      </c>
      <c r="K103" s="6" t="s">
        <v>30</v>
      </c>
      <c r="L103" s="6" t="s">
        <v>24</v>
      </c>
      <c r="M103" s="2">
        <v>44815.0</v>
      </c>
      <c r="N103" s="6" t="s">
        <v>210</v>
      </c>
      <c r="Q103" s="8" t="s">
        <v>364</v>
      </c>
    </row>
    <row r="104">
      <c r="A104" s="7">
        <v>44810.65610633102</v>
      </c>
      <c r="B104" s="6" t="s">
        <v>365</v>
      </c>
      <c r="D104" s="6" t="s">
        <v>18</v>
      </c>
      <c r="E104" s="6" t="s">
        <v>47</v>
      </c>
      <c r="F104" s="6" t="s">
        <v>47</v>
      </c>
      <c r="H104" s="6" t="s">
        <v>366</v>
      </c>
      <c r="J104" s="6" t="s">
        <v>37</v>
      </c>
      <c r="K104" s="6" t="s">
        <v>37</v>
      </c>
      <c r="L104" s="6" t="s">
        <v>24</v>
      </c>
      <c r="M104" s="2" t="s">
        <v>367</v>
      </c>
      <c r="N104" s="6" t="s">
        <v>210</v>
      </c>
      <c r="Q104" s="8" t="s">
        <v>368</v>
      </c>
    </row>
    <row r="105">
      <c r="A105" s="7">
        <v>44810.65718100694</v>
      </c>
      <c r="B105" s="6" t="s">
        <v>140</v>
      </c>
      <c r="D105" s="6" t="s">
        <v>18</v>
      </c>
      <c r="E105" s="6" t="s">
        <v>34</v>
      </c>
      <c r="F105" s="6" t="s">
        <v>79</v>
      </c>
      <c r="H105" s="6" t="s">
        <v>369</v>
      </c>
      <c r="J105" s="6" t="s">
        <v>37</v>
      </c>
      <c r="K105" s="6" t="s">
        <v>37</v>
      </c>
      <c r="L105" s="6" t="s">
        <v>24</v>
      </c>
      <c r="M105" s="2" t="s">
        <v>367</v>
      </c>
      <c r="N105" s="6" t="s">
        <v>210</v>
      </c>
      <c r="Q105" s="8" t="s">
        <v>370</v>
      </c>
    </row>
    <row r="106">
      <c r="A106" s="7">
        <v>44812.571766759254</v>
      </c>
      <c r="B106" s="6" t="s">
        <v>371</v>
      </c>
      <c r="C106" s="6">
        <v>9.810405454E9</v>
      </c>
      <c r="D106" s="6" t="s">
        <v>18</v>
      </c>
      <c r="E106" s="6" t="s">
        <v>19</v>
      </c>
      <c r="F106" s="6" t="s">
        <v>372</v>
      </c>
      <c r="G106" s="6" t="s">
        <v>208</v>
      </c>
      <c r="J106" s="6" t="s">
        <v>37</v>
      </c>
      <c r="K106" s="6" t="s">
        <v>37</v>
      </c>
      <c r="L106" s="6" t="s">
        <v>24</v>
      </c>
      <c r="M106" s="2">
        <v>44826.0</v>
      </c>
      <c r="N106" s="6" t="s">
        <v>38</v>
      </c>
      <c r="Q106" s="8" t="s">
        <v>373</v>
      </c>
    </row>
    <row r="107">
      <c r="A107" s="7">
        <v>44821.74800797454</v>
      </c>
      <c r="B107" s="6" t="s">
        <v>374</v>
      </c>
      <c r="D107" s="6" t="s">
        <v>18</v>
      </c>
      <c r="E107" s="6" t="s">
        <v>41</v>
      </c>
      <c r="F107" s="6" t="s">
        <v>41</v>
      </c>
      <c r="H107" s="6" t="s">
        <v>375</v>
      </c>
      <c r="J107" s="6" t="s">
        <v>37</v>
      </c>
      <c r="K107" s="6" t="s">
        <v>30</v>
      </c>
      <c r="L107" s="6" t="s">
        <v>24</v>
      </c>
      <c r="M107" s="2" t="s">
        <v>376</v>
      </c>
      <c r="N107" s="6" t="s">
        <v>38</v>
      </c>
      <c r="Q107" s="8" t="s">
        <v>377</v>
      </c>
    </row>
    <row r="108">
      <c r="A108" s="7">
        <v>44822.63233273148</v>
      </c>
      <c r="B108" s="6" t="s">
        <v>378</v>
      </c>
      <c r="C108" s="6">
        <v>9.999251803E9</v>
      </c>
      <c r="D108" s="6" t="s">
        <v>18</v>
      </c>
      <c r="E108" s="6" t="s">
        <v>34</v>
      </c>
      <c r="F108" s="6" t="s">
        <v>20</v>
      </c>
      <c r="G108" s="6" t="s">
        <v>189</v>
      </c>
      <c r="J108" s="6" t="s">
        <v>37</v>
      </c>
      <c r="K108" s="6" t="s">
        <v>30</v>
      </c>
      <c r="L108" s="6" t="s">
        <v>24</v>
      </c>
      <c r="M108" s="2" t="s">
        <v>379</v>
      </c>
      <c r="N108" s="6" t="s">
        <v>38</v>
      </c>
      <c r="Q108" s="8" t="s">
        <v>380</v>
      </c>
    </row>
    <row r="109">
      <c r="A109" s="7">
        <v>44825.447326354166</v>
      </c>
      <c r="B109" s="6" t="s">
        <v>381</v>
      </c>
      <c r="C109" s="6">
        <v>9.166844599E9</v>
      </c>
      <c r="D109" s="6" t="s">
        <v>18</v>
      </c>
      <c r="E109" s="6" t="s">
        <v>55</v>
      </c>
      <c r="F109" s="6" t="s">
        <v>79</v>
      </c>
      <c r="G109" s="6">
        <v>5.0</v>
      </c>
      <c r="J109" s="6" t="s">
        <v>37</v>
      </c>
      <c r="K109" s="6" t="s">
        <v>71</v>
      </c>
      <c r="L109" s="6" t="s">
        <v>24</v>
      </c>
      <c r="M109" s="2">
        <v>44834.0</v>
      </c>
      <c r="N109" s="6" t="s">
        <v>38</v>
      </c>
      <c r="Q109" s="8" t="s">
        <v>382</v>
      </c>
    </row>
    <row r="110">
      <c r="A110" s="7">
        <v>44825.44900121528</v>
      </c>
      <c r="B110" s="6" t="s">
        <v>383</v>
      </c>
      <c r="D110" s="6" t="s">
        <v>18</v>
      </c>
      <c r="E110" s="6" t="s">
        <v>34</v>
      </c>
      <c r="F110" s="6" t="s">
        <v>384</v>
      </c>
      <c r="G110" s="6" t="s">
        <v>208</v>
      </c>
      <c r="J110" s="6" t="s">
        <v>37</v>
      </c>
      <c r="K110" s="6" t="s">
        <v>71</v>
      </c>
      <c r="L110" s="6" t="s">
        <v>24</v>
      </c>
      <c r="M110" s="2">
        <v>44834.0</v>
      </c>
      <c r="N110" s="6" t="s">
        <v>38</v>
      </c>
      <c r="Q110" s="8" t="s">
        <v>385</v>
      </c>
    </row>
    <row r="111">
      <c r="A111" s="7">
        <v>44831.57758832176</v>
      </c>
      <c r="B111" s="6" t="s">
        <v>386</v>
      </c>
      <c r="D111" s="6" t="s">
        <v>18</v>
      </c>
      <c r="E111" s="6" t="s">
        <v>55</v>
      </c>
      <c r="F111" s="6" t="s">
        <v>67</v>
      </c>
      <c r="J111" s="6" t="s">
        <v>51</v>
      </c>
      <c r="K111" s="6" t="s">
        <v>30</v>
      </c>
      <c r="L111" s="6" t="s">
        <v>24</v>
      </c>
      <c r="M111" s="2" t="s">
        <v>387</v>
      </c>
      <c r="N111" s="6" t="s">
        <v>38</v>
      </c>
      <c r="Q111" s="8" t="s">
        <v>388</v>
      </c>
    </row>
    <row r="112">
      <c r="A112" s="7">
        <v>44833.77938108797</v>
      </c>
      <c r="B112" s="6" t="s">
        <v>389</v>
      </c>
      <c r="D112" s="6" t="s">
        <v>18</v>
      </c>
      <c r="E112" s="6" t="s">
        <v>47</v>
      </c>
      <c r="F112" s="6" t="s">
        <v>47</v>
      </c>
      <c r="G112" s="6" t="s">
        <v>166</v>
      </c>
      <c r="H112" s="6" t="s">
        <v>390</v>
      </c>
      <c r="J112" s="6" t="s">
        <v>51</v>
      </c>
      <c r="K112" s="6" t="s">
        <v>51</v>
      </c>
      <c r="L112" s="6" t="s">
        <v>24</v>
      </c>
      <c r="M112" s="2" t="s">
        <v>391</v>
      </c>
      <c r="N112" s="6" t="s">
        <v>210</v>
      </c>
      <c r="Q112" s="8" t="s">
        <v>392</v>
      </c>
    </row>
    <row r="113">
      <c r="A113" s="7">
        <v>44835.48457788194</v>
      </c>
      <c r="B113" s="6" t="s">
        <v>393</v>
      </c>
      <c r="D113" s="6" t="s">
        <v>18</v>
      </c>
      <c r="E113" s="6" t="s">
        <v>47</v>
      </c>
      <c r="F113" s="6" t="s">
        <v>47</v>
      </c>
      <c r="H113" s="6" t="s">
        <v>394</v>
      </c>
      <c r="J113" s="6" t="s">
        <v>51</v>
      </c>
      <c r="K113" s="6" t="s">
        <v>51</v>
      </c>
      <c r="L113" s="6" t="s">
        <v>24</v>
      </c>
      <c r="M113" s="2" t="s">
        <v>395</v>
      </c>
      <c r="N113" s="6" t="s">
        <v>38</v>
      </c>
      <c r="Q113" s="8" t="s">
        <v>396</v>
      </c>
    </row>
    <row r="114">
      <c r="A114" s="7">
        <v>44835.486165462964</v>
      </c>
      <c r="B114" s="6" t="s">
        <v>397</v>
      </c>
      <c r="D114" s="6" t="s">
        <v>18</v>
      </c>
      <c r="E114" s="6" t="s">
        <v>76</v>
      </c>
      <c r="F114" s="6" t="s">
        <v>398</v>
      </c>
      <c r="G114" s="6" t="s">
        <v>189</v>
      </c>
      <c r="J114" s="6" t="s">
        <v>37</v>
      </c>
      <c r="K114" s="6" t="s">
        <v>23</v>
      </c>
      <c r="L114" s="6" t="s">
        <v>24</v>
      </c>
      <c r="M114" s="2" t="s">
        <v>395</v>
      </c>
      <c r="N114" s="6" t="s">
        <v>38</v>
      </c>
      <c r="Q114" s="8" t="s">
        <v>399</v>
      </c>
    </row>
    <row r="115">
      <c r="A115" s="7">
        <v>44838.73876324074</v>
      </c>
      <c r="B115" s="6" t="s">
        <v>400</v>
      </c>
      <c r="D115" s="6" t="s">
        <v>18</v>
      </c>
      <c r="E115" s="6" t="s">
        <v>47</v>
      </c>
      <c r="F115" s="6" t="s">
        <v>20</v>
      </c>
      <c r="H115" s="6" t="s">
        <v>401</v>
      </c>
      <c r="J115" s="6" t="s">
        <v>31</v>
      </c>
      <c r="K115" s="6" t="s">
        <v>31</v>
      </c>
      <c r="L115" s="6" t="s">
        <v>24</v>
      </c>
      <c r="M115" s="2" t="s">
        <v>402</v>
      </c>
      <c r="N115" s="6" t="s">
        <v>38</v>
      </c>
      <c r="Q115" s="8" t="s">
        <v>403</v>
      </c>
    </row>
    <row r="116">
      <c r="A116" s="7">
        <v>44841.558055312504</v>
      </c>
      <c r="B116" s="6" t="s">
        <v>404</v>
      </c>
      <c r="D116" s="6" t="s">
        <v>18</v>
      </c>
      <c r="E116" s="6" t="s">
        <v>28</v>
      </c>
      <c r="F116" s="6" t="s">
        <v>405</v>
      </c>
      <c r="G116" s="6" t="s">
        <v>90</v>
      </c>
      <c r="J116" s="6" t="s">
        <v>37</v>
      </c>
      <c r="K116" s="6" t="s">
        <v>37</v>
      </c>
      <c r="L116" s="6" t="s">
        <v>24</v>
      </c>
      <c r="M116" s="2" t="s">
        <v>406</v>
      </c>
      <c r="N116" s="6" t="s">
        <v>38</v>
      </c>
      <c r="Q116" s="8" t="s">
        <v>407</v>
      </c>
    </row>
    <row r="117">
      <c r="A117" s="7">
        <v>44842.48541440972</v>
      </c>
      <c r="B117" s="6" t="s">
        <v>408</v>
      </c>
      <c r="D117" s="6" t="s">
        <v>18</v>
      </c>
      <c r="E117" s="6" t="s">
        <v>123</v>
      </c>
      <c r="F117" s="6" t="s">
        <v>60</v>
      </c>
      <c r="G117" s="6" t="s">
        <v>90</v>
      </c>
      <c r="H117" s="6" t="s">
        <v>409</v>
      </c>
      <c r="J117" s="6" t="s">
        <v>51</v>
      </c>
      <c r="K117" s="6" t="s">
        <v>30</v>
      </c>
      <c r="L117" s="6" t="s">
        <v>24</v>
      </c>
      <c r="M117" s="2" t="s">
        <v>410</v>
      </c>
      <c r="N117" s="6" t="s">
        <v>38</v>
      </c>
      <c r="Q117" s="8" t="s">
        <v>411</v>
      </c>
    </row>
    <row r="118">
      <c r="A118" s="7">
        <v>44843.777136944445</v>
      </c>
      <c r="B118" s="6" t="s">
        <v>412</v>
      </c>
      <c r="C118" s="6">
        <v>9.910943765E9</v>
      </c>
      <c r="D118" s="6" t="s">
        <v>18</v>
      </c>
      <c r="E118" s="6" t="s">
        <v>34</v>
      </c>
      <c r="F118" s="6" t="s">
        <v>35</v>
      </c>
      <c r="G118" s="6" t="s">
        <v>166</v>
      </c>
      <c r="J118" s="6" t="s">
        <v>37</v>
      </c>
      <c r="K118" s="6" t="s">
        <v>37</v>
      </c>
      <c r="L118" s="6" t="s">
        <v>24</v>
      </c>
      <c r="M118" s="2" t="s">
        <v>413</v>
      </c>
      <c r="N118" s="6" t="s">
        <v>38</v>
      </c>
      <c r="Q118" s="8" t="s">
        <v>414</v>
      </c>
    </row>
    <row r="119">
      <c r="A119" s="7">
        <v>44845.541185208334</v>
      </c>
      <c r="B119" s="6" t="s">
        <v>415</v>
      </c>
      <c r="D119" s="6" t="s">
        <v>18</v>
      </c>
      <c r="E119" s="6" t="s">
        <v>19</v>
      </c>
      <c r="F119" s="6" t="s">
        <v>79</v>
      </c>
      <c r="G119" s="6" t="s">
        <v>166</v>
      </c>
      <c r="J119" s="6" t="s">
        <v>31</v>
      </c>
      <c r="K119" s="6" t="s">
        <v>30</v>
      </c>
      <c r="L119" s="6" t="s">
        <v>24</v>
      </c>
      <c r="M119" s="2" t="s">
        <v>416</v>
      </c>
      <c r="N119" s="6" t="s">
        <v>38</v>
      </c>
      <c r="Q119" s="8" t="s">
        <v>417</v>
      </c>
    </row>
    <row r="120">
      <c r="A120" s="7">
        <v>44852.66667423611</v>
      </c>
      <c r="B120" s="6" t="s">
        <v>418</v>
      </c>
      <c r="D120" s="6" t="s">
        <v>18</v>
      </c>
      <c r="E120" s="6" t="s">
        <v>47</v>
      </c>
      <c r="F120" s="6" t="s">
        <v>20</v>
      </c>
      <c r="G120" s="6" t="s">
        <v>166</v>
      </c>
      <c r="H120" s="6" t="s">
        <v>419</v>
      </c>
      <c r="J120" s="6" t="s">
        <v>51</v>
      </c>
      <c r="K120" s="6" t="s">
        <v>51</v>
      </c>
      <c r="L120" s="6" t="s">
        <v>24</v>
      </c>
      <c r="M120" s="2" t="s">
        <v>420</v>
      </c>
      <c r="N120" s="6" t="s">
        <v>38</v>
      </c>
      <c r="Q120" s="8" t="s">
        <v>421</v>
      </c>
    </row>
    <row r="121">
      <c r="A121" s="7">
        <v>44855.42925376157</v>
      </c>
      <c r="B121" s="6" t="s">
        <v>422</v>
      </c>
      <c r="C121" s="6">
        <v>9.810405454E9</v>
      </c>
      <c r="D121" s="6" t="s">
        <v>75</v>
      </c>
      <c r="E121" s="6" t="s">
        <v>76</v>
      </c>
      <c r="F121" s="6" t="s">
        <v>423</v>
      </c>
      <c r="G121" s="6" t="s">
        <v>146</v>
      </c>
      <c r="J121" s="6" t="s">
        <v>37</v>
      </c>
      <c r="K121" s="6" t="s">
        <v>37</v>
      </c>
      <c r="L121" s="6" t="s">
        <v>24</v>
      </c>
      <c r="M121" s="2">
        <v>44856.0</v>
      </c>
      <c r="N121" s="6" t="s">
        <v>25</v>
      </c>
      <c r="Q121" s="8" t="s">
        <v>424</v>
      </c>
    </row>
    <row r="122">
      <c r="A122" s="7">
        <v>44855.43132403935</v>
      </c>
      <c r="B122" s="6" t="s">
        <v>425</v>
      </c>
      <c r="C122" s="6">
        <v>9.891000073E9</v>
      </c>
      <c r="D122" s="6" t="s">
        <v>75</v>
      </c>
      <c r="E122" s="6" t="s">
        <v>76</v>
      </c>
      <c r="F122" s="6" t="s">
        <v>426</v>
      </c>
      <c r="G122" s="6" t="s">
        <v>208</v>
      </c>
      <c r="J122" s="6" t="s">
        <v>30</v>
      </c>
      <c r="K122" s="6" t="s">
        <v>30</v>
      </c>
      <c r="L122" s="6" t="s">
        <v>24</v>
      </c>
      <c r="M122" s="2">
        <v>44856.0</v>
      </c>
      <c r="N122" s="6" t="s">
        <v>25</v>
      </c>
      <c r="Q122" s="8" t="s">
        <v>427</v>
      </c>
    </row>
    <row r="123">
      <c r="A123" s="7">
        <v>44855.43438521991</v>
      </c>
      <c r="B123" s="6" t="s">
        <v>428</v>
      </c>
      <c r="D123" s="6" t="s">
        <v>18</v>
      </c>
      <c r="E123" s="6" t="s">
        <v>34</v>
      </c>
      <c r="F123" s="6" t="s">
        <v>67</v>
      </c>
      <c r="G123" s="6" t="s">
        <v>268</v>
      </c>
      <c r="J123" s="6" t="s">
        <v>37</v>
      </c>
      <c r="K123" s="6" t="s">
        <v>37</v>
      </c>
      <c r="L123" s="6" t="s">
        <v>24</v>
      </c>
      <c r="M123" s="2">
        <v>44866.0</v>
      </c>
      <c r="N123" s="6" t="s">
        <v>210</v>
      </c>
      <c r="Q123" s="8" t="s">
        <v>429</v>
      </c>
    </row>
    <row r="124">
      <c r="A124" s="7">
        <v>44864.78708539352</v>
      </c>
      <c r="B124" s="6" t="s">
        <v>430</v>
      </c>
      <c r="C124" s="6">
        <v>9.811087973E9</v>
      </c>
      <c r="D124" s="6" t="s">
        <v>18</v>
      </c>
      <c r="E124" s="6" t="s">
        <v>431</v>
      </c>
      <c r="F124" s="6" t="s">
        <v>432</v>
      </c>
      <c r="J124" s="6" t="s">
        <v>161</v>
      </c>
      <c r="K124" s="6" t="s">
        <v>161</v>
      </c>
      <c r="L124" s="6" t="s">
        <v>24</v>
      </c>
      <c r="M124" s="2">
        <v>44895.0</v>
      </c>
      <c r="N124" s="6" t="s">
        <v>210</v>
      </c>
      <c r="Q124" s="8" t="s">
        <v>433</v>
      </c>
    </row>
    <row r="125">
      <c r="A125" s="7">
        <v>44866.70028559028</v>
      </c>
      <c r="B125" s="6" t="s">
        <v>434</v>
      </c>
      <c r="D125" s="6" t="s">
        <v>18</v>
      </c>
      <c r="E125" s="6" t="s">
        <v>435</v>
      </c>
      <c r="F125" s="6" t="s">
        <v>436</v>
      </c>
      <c r="J125" s="6" t="s">
        <v>37</v>
      </c>
      <c r="K125" s="6" t="s">
        <v>37</v>
      </c>
      <c r="L125" s="6" t="s">
        <v>24</v>
      </c>
      <c r="M125" s="2">
        <v>44925.0</v>
      </c>
      <c r="N125" s="6" t="s">
        <v>210</v>
      </c>
      <c r="Q125" s="8" t="s">
        <v>437</v>
      </c>
    </row>
    <row r="126">
      <c r="A126" s="7">
        <v>44866.702012395835</v>
      </c>
      <c r="B126" s="6" t="s">
        <v>438</v>
      </c>
      <c r="C126" s="6">
        <v>8.860001029E9</v>
      </c>
      <c r="D126" s="6" t="s">
        <v>18</v>
      </c>
      <c r="E126" s="6" t="s">
        <v>34</v>
      </c>
      <c r="F126" s="6" t="s">
        <v>79</v>
      </c>
      <c r="J126" s="6" t="s">
        <v>37</v>
      </c>
      <c r="K126" s="6" t="s">
        <v>37</v>
      </c>
      <c r="L126" s="6" t="s">
        <v>24</v>
      </c>
      <c r="M126" s="2">
        <v>44926.0</v>
      </c>
      <c r="N126" s="6" t="s">
        <v>210</v>
      </c>
      <c r="Q126" s="8" t="s">
        <v>439</v>
      </c>
    </row>
    <row r="127">
      <c r="A127" s="7">
        <v>44869.47152958333</v>
      </c>
      <c r="B127" s="6" t="s">
        <v>334</v>
      </c>
      <c r="D127" s="6" t="s">
        <v>311</v>
      </c>
      <c r="E127" s="6" t="s">
        <v>34</v>
      </c>
      <c r="F127" s="6" t="s">
        <v>60</v>
      </c>
      <c r="J127" s="6" t="s">
        <v>71</v>
      </c>
      <c r="K127" s="6" t="s">
        <v>71</v>
      </c>
      <c r="L127" s="6" t="s">
        <v>24</v>
      </c>
      <c r="M127" s="2">
        <v>44895.0</v>
      </c>
      <c r="N127" s="6" t="s">
        <v>210</v>
      </c>
      <c r="Q127" s="8" t="s">
        <v>440</v>
      </c>
    </row>
    <row r="128">
      <c r="A128" s="7">
        <v>44869.473721793984</v>
      </c>
      <c r="B128" s="6" t="s">
        <v>441</v>
      </c>
      <c r="D128" s="6" t="s">
        <v>18</v>
      </c>
      <c r="E128" s="6" t="s">
        <v>41</v>
      </c>
      <c r="F128" s="6" t="s">
        <v>442</v>
      </c>
      <c r="J128" s="6" t="s">
        <v>37</v>
      </c>
      <c r="K128" s="6" t="s">
        <v>37</v>
      </c>
      <c r="L128" s="6" t="s">
        <v>24</v>
      </c>
      <c r="M128" s="2">
        <v>44895.0</v>
      </c>
      <c r="N128" s="6" t="s">
        <v>38</v>
      </c>
      <c r="Q128" s="8" t="s">
        <v>443</v>
      </c>
    </row>
    <row r="129">
      <c r="A129" s="7">
        <v>44869.47592585648</v>
      </c>
      <c r="B129" s="6" t="s">
        <v>444</v>
      </c>
      <c r="D129" s="6" t="s">
        <v>18</v>
      </c>
      <c r="E129" s="6" t="s">
        <v>34</v>
      </c>
      <c r="F129" s="6" t="s">
        <v>445</v>
      </c>
      <c r="J129" s="6" t="s">
        <v>51</v>
      </c>
      <c r="K129" s="6" t="s">
        <v>51</v>
      </c>
      <c r="L129" s="6" t="s">
        <v>24</v>
      </c>
      <c r="M129" s="2">
        <v>44895.0</v>
      </c>
      <c r="N129" s="6" t="s">
        <v>38</v>
      </c>
      <c r="Q129" s="8" t="s">
        <v>446</v>
      </c>
    </row>
    <row r="130">
      <c r="A130" s="7">
        <v>44869.47775763889</v>
      </c>
      <c r="B130" s="6" t="s">
        <v>447</v>
      </c>
      <c r="D130" s="6" t="s">
        <v>18</v>
      </c>
      <c r="E130" s="6" t="s">
        <v>55</v>
      </c>
      <c r="F130" s="6" t="s">
        <v>159</v>
      </c>
      <c r="J130" s="6" t="s">
        <v>37</v>
      </c>
      <c r="K130" s="6" t="s">
        <v>37</v>
      </c>
      <c r="L130" s="6" t="s">
        <v>24</v>
      </c>
      <c r="M130" s="2">
        <v>44895.0</v>
      </c>
      <c r="N130" s="6" t="s">
        <v>38</v>
      </c>
      <c r="Q130" s="8" t="s">
        <v>448</v>
      </c>
    </row>
    <row r="131">
      <c r="A131" s="7">
        <v>44869.479070243055</v>
      </c>
      <c r="B131" s="6" t="s">
        <v>449</v>
      </c>
      <c r="D131" s="6" t="s">
        <v>311</v>
      </c>
      <c r="E131" s="6" t="s">
        <v>123</v>
      </c>
      <c r="F131" s="6" t="s">
        <v>60</v>
      </c>
      <c r="J131" s="6" t="s">
        <v>161</v>
      </c>
      <c r="K131" s="6" t="s">
        <v>161</v>
      </c>
      <c r="L131" s="6" t="s">
        <v>24</v>
      </c>
      <c r="M131" s="2">
        <v>44895.0</v>
      </c>
      <c r="N131" s="6" t="s">
        <v>210</v>
      </c>
      <c r="Q131" s="8" t="s">
        <v>450</v>
      </c>
    </row>
    <row r="132">
      <c r="A132" s="7">
        <v>44869.48124841435</v>
      </c>
      <c r="B132" s="6" t="s">
        <v>451</v>
      </c>
      <c r="D132" s="6" t="s">
        <v>18</v>
      </c>
      <c r="E132" s="6" t="s">
        <v>123</v>
      </c>
      <c r="F132" s="6" t="s">
        <v>452</v>
      </c>
      <c r="J132" s="6" t="s">
        <v>161</v>
      </c>
      <c r="K132" s="6" t="s">
        <v>161</v>
      </c>
      <c r="L132" s="6" t="s">
        <v>24</v>
      </c>
      <c r="M132" s="2">
        <v>44895.0</v>
      </c>
      <c r="N132" s="6" t="s">
        <v>210</v>
      </c>
      <c r="Q132" s="8" t="s">
        <v>453</v>
      </c>
    </row>
    <row r="133">
      <c r="A133" s="7">
        <v>44869.48332384259</v>
      </c>
      <c r="B133" s="6" t="s">
        <v>454</v>
      </c>
      <c r="D133" s="6" t="s">
        <v>18</v>
      </c>
      <c r="E133" s="6" t="s">
        <v>41</v>
      </c>
      <c r="F133" s="6" t="s">
        <v>455</v>
      </c>
      <c r="J133" s="6" t="s">
        <v>37</v>
      </c>
      <c r="K133" s="6" t="s">
        <v>308</v>
      </c>
      <c r="L133" s="6" t="s">
        <v>24</v>
      </c>
      <c r="M133" s="2">
        <v>44895.0</v>
      </c>
      <c r="N133" s="6" t="s">
        <v>210</v>
      </c>
      <c r="Q133" s="8" t="s">
        <v>456</v>
      </c>
    </row>
    <row r="134">
      <c r="A134" s="7">
        <v>44873.506436041665</v>
      </c>
      <c r="B134" s="6" t="s">
        <v>457</v>
      </c>
      <c r="D134" s="6" t="s">
        <v>18</v>
      </c>
      <c r="E134" s="6" t="s">
        <v>34</v>
      </c>
      <c r="F134" s="6" t="s">
        <v>35</v>
      </c>
      <c r="J134" s="6" t="s">
        <v>37</v>
      </c>
      <c r="K134" s="6" t="s">
        <v>37</v>
      </c>
      <c r="L134" s="6" t="s">
        <v>24</v>
      </c>
      <c r="M134" s="2">
        <v>44895.0</v>
      </c>
      <c r="N134" s="6" t="s">
        <v>210</v>
      </c>
      <c r="Q134" s="8" t="s">
        <v>458</v>
      </c>
    </row>
    <row r="135">
      <c r="A135" s="7">
        <v>44873.50752105324</v>
      </c>
      <c r="B135" s="6" t="s">
        <v>459</v>
      </c>
      <c r="D135" s="6" t="s">
        <v>18</v>
      </c>
      <c r="E135" s="6" t="s">
        <v>34</v>
      </c>
      <c r="F135" s="6" t="s">
        <v>79</v>
      </c>
      <c r="G135" s="6">
        <v>5.0</v>
      </c>
      <c r="J135" s="6" t="s">
        <v>37</v>
      </c>
      <c r="K135" s="6" t="s">
        <v>37</v>
      </c>
      <c r="L135" s="6" t="s">
        <v>24</v>
      </c>
      <c r="M135" s="2">
        <v>44895.0</v>
      </c>
      <c r="N135" s="6" t="s">
        <v>210</v>
      </c>
      <c r="Q135" s="8" t="s">
        <v>460</v>
      </c>
    </row>
    <row r="136">
      <c r="A136" s="7">
        <v>44873.50840438658</v>
      </c>
      <c r="B136" s="6" t="s">
        <v>461</v>
      </c>
      <c r="D136" s="6" t="s">
        <v>18</v>
      </c>
      <c r="E136" s="6" t="s">
        <v>34</v>
      </c>
      <c r="F136" s="6" t="s">
        <v>79</v>
      </c>
      <c r="G136" s="6" t="s">
        <v>208</v>
      </c>
      <c r="J136" s="6" t="s">
        <v>37</v>
      </c>
      <c r="K136" s="6" t="s">
        <v>37</v>
      </c>
      <c r="L136" s="6" t="s">
        <v>24</v>
      </c>
      <c r="M136" s="2">
        <v>44895.0</v>
      </c>
      <c r="N136" s="6" t="s">
        <v>210</v>
      </c>
      <c r="Q136" s="8" t="s">
        <v>462</v>
      </c>
    </row>
    <row r="137">
      <c r="A137" s="7">
        <v>44873.509584363426</v>
      </c>
      <c r="B137" s="6" t="s">
        <v>463</v>
      </c>
      <c r="D137" s="6" t="s">
        <v>18</v>
      </c>
      <c r="E137" s="6" t="s">
        <v>76</v>
      </c>
      <c r="F137" s="6" t="s">
        <v>464</v>
      </c>
      <c r="J137" s="6" t="s">
        <v>37</v>
      </c>
      <c r="K137" s="6" t="s">
        <v>37</v>
      </c>
      <c r="L137" s="6" t="s">
        <v>24</v>
      </c>
      <c r="M137" s="2">
        <v>44895.0</v>
      </c>
      <c r="N137" s="6" t="s">
        <v>210</v>
      </c>
      <c r="Q137" s="8" t="s">
        <v>465</v>
      </c>
    </row>
    <row r="138">
      <c r="A138" s="7">
        <v>44873.52351597222</v>
      </c>
      <c r="B138" s="6" t="s">
        <v>466</v>
      </c>
      <c r="D138" s="6" t="s">
        <v>18</v>
      </c>
      <c r="E138" s="6" t="s">
        <v>41</v>
      </c>
      <c r="F138" s="6" t="s">
        <v>467</v>
      </c>
      <c r="J138" s="6" t="s">
        <v>308</v>
      </c>
      <c r="K138" s="6" t="s">
        <v>37</v>
      </c>
      <c r="L138" s="6" t="s">
        <v>24</v>
      </c>
      <c r="M138" s="2">
        <v>44895.0</v>
      </c>
      <c r="N138" s="6" t="s">
        <v>38</v>
      </c>
      <c r="Q138" s="8" t="s">
        <v>468</v>
      </c>
    </row>
    <row r="139">
      <c r="A139" s="7">
        <v>44876.55136582176</v>
      </c>
      <c r="B139" s="6" t="s">
        <v>469</v>
      </c>
      <c r="D139" s="6" t="s">
        <v>18</v>
      </c>
      <c r="E139" s="6" t="s">
        <v>175</v>
      </c>
      <c r="F139" s="6" t="s">
        <v>470</v>
      </c>
      <c r="J139" s="6" t="s">
        <v>30</v>
      </c>
      <c r="K139" s="6" t="s">
        <v>30</v>
      </c>
      <c r="L139" s="6" t="s">
        <v>24</v>
      </c>
      <c r="M139" s="2">
        <v>44895.0</v>
      </c>
      <c r="N139" s="6" t="s">
        <v>210</v>
      </c>
      <c r="Q139" s="8" t="s">
        <v>471</v>
      </c>
    </row>
    <row r="140">
      <c r="A140" s="7">
        <v>44876.55274363426</v>
      </c>
      <c r="B140" s="6" t="s">
        <v>472</v>
      </c>
      <c r="C140" s="6">
        <v>9.810376386E9</v>
      </c>
      <c r="D140" s="6" t="s">
        <v>18</v>
      </c>
      <c r="E140" s="6" t="s">
        <v>41</v>
      </c>
      <c r="F140" s="6" t="s">
        <v>473</v>
      </c>
      <c r="J140" s="6" t="s">
        <v>30</v>
      </c>
      <c r="K140" s="6" t="s">
        <v>30</v>
      </c>
      <c r="L140" s="6" t="s">
        <v>24</v>
      </c>
      <c r="M140" s="2">
        <v>44895.0</v>
      </c>
      <c r="N140" s="6" t="s">
        <v>210</v>
      </c>
      <c r="Q140" s="8" t="s">
        <v>474</v>
      </c>
    </row>
    <row r="141">
      <c r="A141" s="7">
        <v>44877.48941255787</v>
      </c>
      <c r="B141" s="6" t="s">
        <v>475</v>
      </c>
      <c r="D141" s="6" t="s">
        <v>18</v>
      </c>
      <c r="E141" s="6" t="s">
        <v>34</v>
      </c>
      <c r="F141" s="6" t="s">
        <v>321</v>
      </c>
      <c r="G141" s="6" t="s">
        <v>189</v>
      </c>
      <c r="J141" s="6" t="s">
        <v>51</v>
      </c>
      <c r="K141" s="6" t="s">
        <v>51</v>
      </c>
      <c r="L141" s="6" t="s">
        <v>24</v>
      </c>
      <c r="M141" s="2">
        <v>44895.0</v>
      </c>
      <c r="N141" s="6" t="s">
        <v>210</v>
      </c>
      <c r="Q141" s="8" t="s">
        <v>476</v>
      </c>
    </row>
    <row r="142">
      <c r="A142" s="7">
        <v>44877.803925879634</v>
      </c>
      <c r="B142" s="6" t="s">
        <v>477</v>
      </c>
      <c r="D142" s="6" t="s">
        <v>75</v>
      </c>
      <c r="E142" s="6" t="s">
        <v>435</v>
      </c>
      <c r="F142" s="6" t="s">
        <v>60</v>
      </c>
      <c r="J142" s="6" t="s">
        <v>31</v>
      </c>
      <c r="K142" s="6" t="s">
        <v>31</v>
      </c>
      <c r="L142" s="6" t="s">
        <v>24</v>
      </c>
      <c r="M142" s="2">
        <v>44895.0</v>
      </c>
      <c r="N142" s="6" t="s">
        <v>210</v>
      </c>
      <c r="Q142" s="8" t="s">
        <v>478</v>
      </c>
    </row>
    <row r="143">
      <c r="A143" s="7">
        <v>44880.54485172454</v>
      </c>
      <c r="B143" s="6" t="s">
        <v>479</v>
      </c>
      <c r="D143" s="6" t="s">
        <v>18</v>
      </c>
      <c r="E143" s="6" t="s">
        <v>55</v>
      </c>
      <c r="F143" s="6" t="s">
        <v>480</v>
      </c>
      <c r="G143" s="6" t="s">
        <v>189</v>
      </c>
      <c r="J143" s="6" t="s">
        <v>30</v>
      </c>
      <c r="K143" s="6" t="s">
        <v>30</v>
      </c>
      <c r="L143" s="6" t="s">
        <v>24</v>
      </c>
      <c r="M143" s="2">
        <v>44895.0</v>
      </c>
      <c r="N143" s="6" t="s">
        <v>210</v>
      </c>
      <c r="Q143" s="8" t="s">
        <v>481</v>
      </c>
    </row>
    <row r="144">
      <c r="A144" s="7">
        <v>44880.772080625</v>
      </c>
      <c r="B144" s="6" t="s">
        <v>482</v>
      </c>
      <c r="D144" s="6" t="s">
        <v>18</v>
      </c>
      <c r="E144" s="6" t="s">
        <v>435</v>
      </c>
      <c r="F144" s="6" t="s">
        <v>60</v>
      </c>
      <c r="J144" s="6" t="s">
        <v>30</v>
      </c>
      <c r="K144" s="6" t="s">
        <v>30</v>
      </c>
      <c r="L144" s="6" t="s">
        <v>24</v>
      </c>
      <c r="M144" s="2">
        <v>44910.0</v>
      </c>
      <c r="N144" s="6" t="s">
        <v>210</v>
      </c>
      <c r="Q144" s="8" t="s">
        <v>483</v>
      </c>
    </row>
    <row r="145">
      <c r="A145" s="7">
        <v>44880.77314280093</v>
      </c>
      <c r="B145" s="6" t="s">
        <v>484</v>
      </c>
      <c r="D145" s="6" t="s">
        <v>18</v>
      </c>
      <c r="E145" s="6" t="s">
        <v>34</v>
      </c>
      <c r="F145" s="6" t="s">
        <v>485</v>
      </c>
      <c r="J145" s="6" t="s">
        <v>37</v>
      </c>
      <c r="K145" s="6" t="s">
        <v>37</v>
      </c>
      <c r="L145" s="6" t="s">
        <v>24</v>
      </c>
      <c r="M145" s="2">
        <v>44895.0</v>
      </c>
      <c r="N145" s="6" t="s">
        <v>210</v>
      </c>
      <c r="Q145" s="8" t="s">
        <v>486</v>
      </c>
    </row>
    <row r="146">
      <c r="A146" s="7">
        <v>44883.60046538194</v>
      </c>
      <c r="B146" s="6" t="s">
        <v>487</v>
      </c>
      <c r="D146" s="6" t="s">
        <v>18</v>
      </c>
      <c r="E146" s="6" t="s">
        <v>34</v>
      </c>
      <c r="F146" s="6" t="s">
        <v>488</v>
      </c>
      <c r="J146" s="6" t="s">
        <v>37</v>
      </c>
      <c r="K146" s="6" t="s">
        <v>37</v>
      </c>
      <c r="L146" s="6" t="s">
        <v>24</v>
      </c>
      <c r="M146" s="2">
        <v>44895.0</v>
      </c>
      <c r="N146" s="6" t="s">
        <v>210</v>
      </c>
      <c r="Q146" s="8" t="s">
        <v>489</v>
      </c>
    </row>
    <row r="147">
      <c r="A147" s="7">
        <v>44884.559236712965</v>
      </c>
      <c r="B147" s="6" t="s">
        <v>490</v>
      </c>
      <c r="D147" s="6" t="s">
        <v>18</v>
      </c>
      <c r="E147" s="6" t="s">
        <v>491</v>
      </c>
      <c r="F147" s="6" t="s">
        <v>492</v>
      </c>
      <c r="J147" s="6" t="s">
        <v>30</v>
      </c>
      <c r="K147" s="6" t="s">
        <v>37</v>
      </c>
      <c r="L147" s="6" t="s">
        <v>24</v>
      </c>
      <c r="M147" s="2">
        <v>44926.0</v>
      </c>
      <c r="N147" s="6" t="s">
        <v>210</v>
      </c>
      <c r="Q147" s="8" t="s">
        <v>493</v>
      </c>
    </row>
    <row r="148">
      <c r="A148" s="7">
        <v>44884.57114322917</v>
      </c>
      <c r="B148" s="6" t="s">
        <v>494</v>
      </c>
      <c r="C148" s="6" t="s">
        <v>495</v>
      </c>
      <c r="D148" s="6" t="s">
        <v>18</v>
      </c>
      <c r="E148" s="6" t="s">
        <v>47</v>
      </c>
      <c r="F148" s="6" t="s">
        <v>496</v>
      </c>
      <c r="J148" s="6" t="s">
        <v>37</v>
      </c>
      <c r="K148" s="6" t="s">
        <v>37</v>
      </c>
      <c r="L148" s="6" t="s">
        <v>24</v>
      </c>
      <c r="M148" s="2">
        <v>44905.0</v>
      </c>
      <c r="N148" s="6" t="s">
        <v>210</v>
      </c>
      <c r="Q148" s="8" t="s">
        <v>497</v>
      </c>
    </row>
    <row r="149">
      <c r="A149" s="7">
        <v>44884.57283962963</v>
      </c>
      <c r="B149" s="6" t="s">
        <v>498</v>
      </c>
      <c r="D149" s="6" t="s">
        <v>18</v>
      </c>
      <c r="E149" s="6" t="s">
        <v>55</v>
      </c>
      <c r="F149" s="6" t="s">
        <v>67</v>
      </c>
      <c r="J149" s="6" t="s">
        <v>30</v>
      </c>
      <c r="K149" s="6" t="s">
        <v>37</v>
      </c>
      <c r="L149" s="6" t="s">
        <v>24</v>
      </c>
      <c r="M149" s="2">
        <v>44895.0</v>
      </c>
      <c r="N149" s="6" t="s">
        <v>210</v>
      </c>
      <c r="Q149" s="8" t="s">
        <v>499</v>
      </c>
    </row>
    <row r="150">
      <c r="A150" s="7">
        <v>44884.5736787037</v>
      </c>
      <c r="B150" s="6" t="s">
        <v>500</v>
      </c>
      <c r="D150" s="6" t="s">
        <v>18</v>
      </c>
      <c r="E150" s="6" t="s">
        <v>34</v>
      </c>
      <c r="F150" s="6" t="s">
        <v>501</v>
      </c>
      <c r="J150" s="6" t="s">
        <v>31</v>
      </c>
      <c r="K150" s="6" t="s">
        <v>31</v>
      </c>
      <c r="L150" s="6" t="s">
        <v>24</v>
      </c>
      <c r="M150" s="2">
        <v>44925.0</v>
      </c>
      <c r="N150" s="6" t="s">
        <v>210</v>
      </c>
      <c r="Q150" s="8" t="s">
        <v>502</v>
      </c>
    </row>
    <row r="151">
      <c r="A151" s="7">
        <v>44884.646496863425</v>
      </c>
      <c r="B151" s="6" t="s">
        <v>503</v>
      </c>
      <c r="D151" s="6" t="s">
        <v>18</v>
      </c>
      <c r="E151" s="6" t="s">
        <v>55</v>
      </c>
      <c r="F151" s="6" t="s">
        <v>101</v>
      </c>
      <c r="J151" s="6" t="s">
        <v>30</v>
      </c>
      <c r="K151" s="6" t="s">
        <v>30</v>
      </c>
      <c r="L151" s="6" t="s">
        <v>24</v>
      </c>
      <c r="M151" s="2">
        <v>44895.0</v>
      </c>
      <c r="N151" s="6" t="s">
        <v>210</v>
      </c>
      <c r="Q151" s="8" t="s">
        <v>504</v>
      </c>
    </row>
    <row r="152">
      <c r="A152" s="7">
        <v>44887.45078572917</v>
      </c>
      <c r="B152" s="6" t="s">
        <v>505</v>
      </c>
      <c r="D152" s="6" t="s">
        <v>18</v>
      </c>
      <c r="E152" s="6" t="s">
        <v>41</v>
      </c>
      <c r="F152" s="6" t="s">
        <v>506</v>
      </c>
      <c r="J152" s="6" t="s">
        <v>37</v>
      </c>
      <c r="K152" s="6" t="s">
        <v>37</v>
      </c>
      <c r="L152" s="6" t="s">
        <v>24</v>
      </c>
      <c r="M152" s="2">
        <v>44895.0</v>
      </c>
      <c r="N152" s="6" t="s">
        <v>210</v>
      </c>
      <c r="Q152" s="8" t="s">
        <v>507</v>
      </c>
    </row>
    <row r="153">
      <c r="A153" s="7">
        <v>44887.56955421296</v>
      </c>
      <c r="B153" s="6" t="s">
        <v>508</v>
      </c>
      <c r="D153" s="6" t="s">
        <v>18</v>
      </c>
      <c r="E153" s="6" t="s">
        <v>47</v>
      </c>
      <c r="F153" s="6" t="s">
        <v>47</v>
      </c>
      <c r="J153" s="6" t="s">
        <v>37</v>
      </c>
      <c r="K153" s="6" t="s">
        <v>37</v>
      </c>
      <c r="L153" s="6" t="s">
        <v>24</v>
      </c>
      <c r="M153" s="2">
        <v>44895.0</v>
      </c>
      <c r="N153" s="6" t="s">
        <v>210</v>
      </c>
      <c r="Q153" s="8" t="s">
        <v>509</v>
      </c>
    </row>
    <row r="154">
      <c r="A154" s="7">
        <v>44890.49453783565</v>
      </c>
      <c r="B154" s="6" t="s">
        <v>510</v>
      </c>
      <c r="D154" s="6" t="s">
        <v>18</v>
      </c>
      <c r="E154" s="6" t="s">
        <v>47</v>
      </c>
      <c r="F154" s="6" t="s">
        <v>511</v>
      </c>
      <c r="J154" s="6" t="s">
        <v>30</v>
      </c>
      <c r="K154" s="6" t="s">
        <v>30</v>
      </c>
      <c r="L154" s="6" t="s">
        <v>24</v>
      </c>
      <c r="M154" s="2">
        <v>44925.0</v>
      </c>
      <c r="N154" s="6" t="s">
        <v>210</v>
      </c>
      <c r="Q154" s="8" t="s">
        <v>512</v>
      </c>
    </row>
    <row r="155">
      <c r="A155" s="7">
        <v>44891.74546582176</v>
      </c>
      <c r="B155" s="6" t="s">
        <v>513</v>
      </c>
      <c r="D155" s="6" t="s">
        <v>18</v>
      </c>
      <c r="E155" s="6" t="s">
        <v>28</v>
      </c>
      <c r="F155" s="6" t="s">
        <v>514</v>
      </c>
      <c r="J155" s="6" t="s">
        <v>37</v>
      </c>
      <c r="K155" s="6" t="s">
        <v>37</v>
      </c>
      <c r="L155" s="6" t="s">
        <v>24</v>
      </c>
      <c r="M155" s="2">
        <v>44925.0</v>
      </c>
      <c r="N155" s="6" t="s">
        <v>210</v>
      </c>
      <c r="Q155" s="8" t="s">
        <v>515</v>
      </c>
    </row>
    <row r="156">
      <c r="A156" s="7">
        <v>44895.65641516204</v>
      </c>
      <c r="B156" s="6" t="s">
        <v>516</v>
      </c>
      <c r="D156" s="6" t="s">
        <v>18</v>
      </c>
      <c r="E156" s="6" t="s">
        <v>41</v>
      </c>
      <c r="F156" s="6" t="s">
        <v>517</v>
      </c>
      <c r="J156" s="6" t="s">
        <v>51</v>
      </c>
      <c r="K156" s="6" t="s">
        <v>51</v>
      </c>
      <c r="L156" s="6" t="s">
        <v>24</v>
      </c>
      <c r="M156" s="2">
        <v>44925.0</v>
      </c>
      <c r="N156" s="6" t="s">
        <v>210</v>
      </c>
      <c r="Q156" s="8" t="s">
        <v>518</v>
      </c>
    </row>
    <row r="157">
      <c r="A157" s="7">
        <v>44901.494810081014</v>
      </c>
      <c r="B157" s="6" t="s">
        <v>334</v>
      </c>
      <c r="D157" s="6" t="s">
        <v>18</v>
      </c>
      <c r="E157" s="6" t="s">
        <v>34</v>
      </c>
      <c r="F157" s="6" t="s">
        <v>519</v>
      </c>
      <c r="J157" s="6" t="s">
        <v>71</v>
      </c>
      <c r="K157" s="6" t="s">
        <v>71</v>
      </c>
      <c r="L157" s="6" t="s">
        <v>24</v>
      </c>
      <c r="M157" s="2">
        <v>44926.0</v>
      </c>
      <c r="N157" s="6" t="s">
        <v>210</v>
      </c>
      <c r="Q157" s="8" t="s">
        <v>520</v>
      </c>
    </row>
    <row r="158">
      <c r="A158" s="7">
        <v>44901.49693206018</v>
      </c>
      <c r="B158" s="6" t="s">
        <v>521</v>
      </c>
      <c r="D158" s="6" t="s">
        <v>18</v>
      </c>
      <c r="E158" s="6" t="s">
        <v>55</v>
      </c>
      <c r="F158" s="6" t="s">
        <v>79</v>
      </c>
      <c r="I158" s="8" t="s">
        <v>522</v>
      </c>
      <c r="J158" s="6" t="s">
        <v>308</v>
      </c>
      <c r="K158" s="6" t="s">
        <v>308</v>
      </c>
      <c r="L158" s="6" t="s">
        <v>24</v>
      </c>
      <c r="M158" s="2">
        <v>44926.0</v>
      </c>
      <c r="N158" s="6" t="s">
        <v>210</v>
      </c>
      <c r="Q158" s="8" t="s">
        <v>523</v>
      </c>
    </row>
    <row r="159">
      <c r="A159" s="7">
        <v>44902.70434711805</v>
      </c>
      <c r="B159" s="6" t="s">
        <v>524</v>
      </c>
      <c r="D159" s="6" t="s">
        <v>18</v>
      </c>
      <c r="E159" s="6" t="s">
        <v>34</v>
      </c>
      <c r="F159" s="6" t="s">
        <v>525</v>
      </c>
      <c r="J159" s="6" t="s">
        <v>30</v>
      </c>
      <c r="K159" s="6" t="s">
        <v>30</v>
      </c>
      <c r="L159" s="6" t="s">
        <v>24</v>
      </c>
      <c r="M159" s="2">
        <v>44926.0</v>
      </c>
      <c r="N159" s="6" t="s">
        <v>210</v>
      </c>
      <c r="Q159" s="8" t="s">
        <v>526</v>
      </c>
    </row>
    <row r="160">
      <c r="A160" s="7">
        <v>44903.49353795139</v>
      </c>
      <c r="B160" s="6" t="s">
        <v>527</v>
      </c>
      <c r="D160" s="6" t="s">
        <v>18</v>
      </c>
      <c r="E160" s="6" t="s">
        <v>34</v>
      </c>
      <c r="F160" s="6" t="s">
        <v>79</v>
      </c>
      <c r="J160" s="6" t="s">
        <v>51</v>
      </c>
      <c r="K160" s="6" t="s">
        <v>51</v>
      </c>
      <c r="L160" s="6" t="s">
        <v>24</v>
      </c>
      <c r="M160" s="2">
        <v>44926.0</v>
      </c>
      <c r="N160" s="6" t="s">
        <v>210</v>
      </c>
      <c r="Q160" s="8" t="s">
        <v>528</v>
      </c>
    </row>
    <row r="161">
      <c r="A161" s="7">
        <v>44903.49480956019</v>
      </c>
      <c r="B161" s="6" t="s">
        <v>529</v>
      </c>
      <c r="D161" s="6" t="s">
        <v>18</v>
      </c>
      <c r="E161" s="6" t="s">
        <v>34</v>
      </c>
      <c r="F161" s="6" t="s">
        <v>530</v>
      </c>
      <c r="I161" s="8" t="s">
        <v>531</v>
      </c>
      <c r="J161" s="6" t="s">
        <v>37</v>
      </c>
      <c r="K161" s="6" t="s">
        <v>37</v>
      </c>
      <c r="L161" s="6" t="s">
        <v>24</v>
      </c>
      <c r="M161" s="2">
        <v>44926.0</v>
      </c>
      <c r="N161" s="6" t="s">
        <v>210</v>
      </c>
      <c r="Q161" s="8" t="s">
        <v>532</v>
      </c>
    </row>
    <row r="162">
      <c r="A162" s="7">
        <v>44903.79242989584</v>
      </c>
      <c r="B162" s="6" t="s">
        <v>533</v>
      </c>
      <c r="D162" s="6" t="s">
        <v>18</v>
      </c>
      <c r="E162" s="6" t="s">
        <v>34</v>
      </c>
      <c r="F162" s="6" t="s">
        <v>534</v>
      </c>
      <c r="J162" s="6" t="s">
        <v>37</v>
      </c>
      <c r="K162" s="6" t="s">
        <v>37</v>
      </c>
      <c r="L162" s="6" t="s">
        <v>24</v>
      </c>
      <c r="M162" s="2">
        <v>44926.0</v>
      </c>
      <c r="N162" s="6" t="s">
        <v>210</v>
      </c>
      <c r="Q162" s="8" t="s">
        <v>535</v>
      </c>
    </row>
    <row r="163">
      <c r="A163" s="7">
        <v>44908.7762522338</v>
      </c>
      <c r="B163" s="6" t="s">
        <v>27</v>
      </c>
      <c r="D163" s="6" t="s">
        <v>18</v>
      </c>
      <c r="E163" s="6" t="s">
        <v>55</v>
      </c>
      <c r="F163" s="6" t="s">
        <v>536</v>
      </c>
      <c r="J163" s="6" t="s">
        <v>37</v>
      </c>
      <c r="K163" s="6" t="s">
        <v>37</v>
      </c>
      <c r="L163" s="6" t="s">
        <v>24</v>
      </c>
      <c r="M163" s="2">
        <v>44926.0</v>
      </c>
      <c r="N163" s="6" t="s">
        <v>210</v>
      </c>
      <c r="Q163" s="8" t="s">
        <v>537</v>
      </c>
    </row>
    <row r="164">
      <c r="A164" s="7">
        <v>44908.77850373843</v>
      </c>
      <c r="B164" s="6" t="s">
        <v>538</v>
      </c>
      <c r="D164" s="6" t="s">
        <v>18</v>
      </c>
      <c r="E164" s="6" t="s">
        <v>41</v>
      </c>
      <c r="F164" s="6" t="s">
        <v>539</v>
      </c>
      <c r="J164" s="6" t="s">
        <v>37</v>
      </c>
      <c r="K164" s="6" t="s">
        <v>37</v>
      </c>
      <c r="L164" s="6" t="s">
        <v>24</v>
      </c>
      <c r="M164" s="2">
        <v>44926.0</v>
      </c>
      <c r="N164" s="6" t="s">
        <v>210</v>
      </c>
      <c r="Q164" s="8" t="s">
        <v>540</v>
      </c>
    </row>
    <row r="165">
      <c r="A165" s="7">
        <v>44908.80371424768</v>
      </c>
      <c r="B165" s="6" t="s">
        <v>541</v>
      </c>
      <c r="D165" s="6" t="s">
        <v>18</v>
      </c>
      <c r="E165" s="6" t="s">
        <v>34</v>
      </c>
      <c r="F165" s="6" t="s">
        <v>542</v>
      </c>
      <c r="J165" s="6" t="s">
        <v>30</v>
      </c>
      <c r="K165" s="6" t="s">
        <v>30</v>
      </c>
      <c r="L165" s="6" t="s">
        <v>24</v>
      </c>
      <c r="M165" s="2">
        <v>44926.0</v>
      </c>
      <c r="N165" s="6" t="s">
        <v>210</v>
      </c>
      <c r="Q165" s="8" t="s">
        <v>543</v>
      </c>
    </row>
    <row r="166">
      <c r="A166" s="7">
        <v>44908.807691967595</v>
      </c>
      <c r="B166" s="6" t="s">
        <v>544</v>
      </c>
      <c r="D166" s="6" t="s">
        <v>18</v>
      </c>
      <c r="E166" s="6" t="s">
        <v>55</v>
      </c>
      <c r="F166" s="6" t="s">
        <v>545</v>
      </c>
      <c r="J166" s="6" t="s">
        <v>30</v>
      </c>
      <c r="K166" s="6" t="s">
        <v>30</v>
      </c>
      <c r="L166" s="6" t="s">
        <v>24</v>
      </c>
      <c r="M166" s="2">
        <v>44926.0</v>
      </c>
      <c r="N166" s="6" t="s">
        <v>210</v>
      </c>
      <c r="Q166" s="8" t="s">
        <v>546</v>
      </c>
    </row>
    <row r="167">
      <c r="A167" s="7">
        <v>44912.62340542824</v>
      </c>
      <c r="B167" s="6" t="s">
        <v>547</v>
      </c>
      <c r="D167" s="6" t="s">
        <v>18</v>
      </c>
      <c r="E167" s="6" t="s">
        <v>55</v>
      </c>
      <c r="F167" s="6" t="s">
        <v>548</v>
      </c>
      <c r="J167" s="6" t="s">
        <v>30</v>
      </c>
      <c r="K167" s="6" t="s">
        <v>30</v>
      </c>
      <c r="L167" s="6" t="s">
        <v>24</v>
      </c>
      <c r="M167" s="2">
        <v>44926.0</v>
      </c>
      <c r="N167" s="6" t="s">
        <v>210</v>
      </c>
      <c r="Q167" s="8" t="s">
        <v>549</v>
      </c>
    </row>
    <row r="168">
      <c r="A168" s="7">
        <v>44915.53562688657</v>
      </c>
      <c r="B168" s="6" t="s">
        <v>550</v>
      </c>
      <c r="C168" s="6" t="s">
        <v>551</v>
      </c>
      <c r="D168" s="6" t="s">
        <v>18</v>
      </c>
      <c r="E168" s="6" t="s">
        <v>76</v>
      </c>
      <c r="F168" s="6" t="s">
        <v>188</v>
      </c>
      <c r="I168" s="8" t="s">
        <v>552</v>
      </c>
      <c r="J168" s="6" t="s">
        <v>37</v>
      </c>
      <c r="K168" s="6" t="s">
        <v>37</v>
      </c>
      <c r="L168" s="6" t="s">
        <v>24</v>
      </c>
      <c r="M168" s="2">
        <v>44933.0</v>
      </c>
      <c r="N168" s="6" t="s">
        <v>210</v>
      </c>
      <c r="Q168" s="8" t="s">
        <v>553</v>
      </c>
    </row>
    <row r="169">
      <c r="A169" s="7">
        <v>44915.53701262732</v>
      </c>
      <c r="B169" s="6" t="s">
        <v>554</v>
      </c>
      <c r="C169" s="6">
        <v>8.178787415E9</v>
      </c>
      <c r="D169" s="6" t="s">
        <v>18</v>
      </c>
      <c r="E169" s="6" t="s">
        <v>34</v>
      </c>
      <c r="F169" s="6" t="s">
        <v>555</v>
      </c>
      <c r="J169" s="6" t="s">
        <v>30</v>
      </c>
      <c r="K169" s="6" t="s">
        <v>30</v>
      </c>
      <c r="L169" s="6" t="s">
        <v>24</v>
      </c>
      <c r="M169" s="2">
        <v>44926.0</v>
      </c>
      <c r="N169" s="6" t="s">
        <v>210</v>
      </c>
      <c r="Q169" s="8" t="s">
        <v>556</v>
      </c>
    </row>
    <row r="170">
      <c r="A170" s="7">
        <v>44915.725867974536</v>
      </c>
      <c r="B170" s="6" t="s">
        <v>557</v>
      </c>
      <c r="D170" s="6" t="s">
        <v>18</v>
      </c>
      <c r="E170" s="6" t="s">
        <v>41</v>
      </c>
      <c r="F170" s="6" t="s">
        <v>558</v>
      </c>
      <c r="J170" s="6" t="s">
        <v>51</v>
      </c>
      <c r="K170" s="6" t="s">
        <v>51</v>
      </c>
      <c r="L170" s="6" t="s">
        <v>24</v>
      </c>
      <c r="M170" s="2">
        <v>44926.0</v>
      </c>
      <c r="N170" s="6" t="s">
        <v>210</v>
      </c>
      <c r="Q170" s="8" t="s">
        <v>559</v>
      </c>
    </row>
    <row r="171">
      <c r="A171" s="7">
        <v>44915.727137187496</v>
      </c>
      <c r="B171" s="6" t="s">
        <v>560</v>
      </c>
      <c r="D171" s="6" t="s">
        <v>18</v>
      </c>
      <c r="E171" s="6" t="s">
        <v>561</v>
      </c>
      <c r="F171" s="6" t="s">
        <v>562</v>
      </c>
      <c r="J171" s="6" t="s">
        <v>37</v>
      </c>
      <c r="K171" s="6" t="s">
        <v>37</v>
      </c>
      <c r="L171" s="6" t="s">
        <v>24</v>
      </c>
      <c r="M171" s="2">
        <v>44926.0</v>
      </c>
      <c r="N171" s="6" t="s">
        <v>210</v>
      </c>
      <c r="Q171" s="8" t="s">
        <v>563</v>
      </c>
    </row>
    <row r="172">
      <c r="A172" s="7">
        <v>44915.74354685185</v>
      </c>
      <c r="B172" s="6" t="s">
        <v>564</v>
      </c>
      <c r="D172" s="6" t="s">
        <v>18</v>
      </c>
      <c r="E172" s="6" t="s">
        <v>34</v>
      </c>
      <c r="F172" s="6" t="s">
        <v>565</v>
      </c>
      <c r="J172" s="6" t="s">
        <v>30</v>
      </c>
      <c r="K172" s="6" t="s">
        <v>30</v>
      </c>
      <c r="L172" s="6" t="s">
        <v>24</v>
      </c>
      <c r="M172" s="2">
        <v>44926.0</v>
      </c>
      <c r="N172" s="6" t="s">
        <v>210</v>
      </c>
      <c r="Q172" s="8" t="s">
        <v>566</v>
      </c>
    </row>
    <row r="173">
      <c r="A173" s="7">
        <v>44915.75439134259</v>
      </c>
      <c r="B173" s="6" t="s">
        <v>567</v>
      </c>
      <c r="D173" s="6" t="s">
        <v>18</v>
      </c>
      <c r="E173" s="6" t="s">
        <v>47</v>
      </c>
      <c r="F173" s="6" t="s">
        <v>568</v>
      </c>
      <c r="G173" s="6" t="s">
        <v>198</v>
      </c>
      <c r="J173" s="6" t="s">
        <v>30</v>
      </c>
      <c r="K173" s="6" t="s">
        <v>30</v>
      </c>
      <c r="L173" s="6" t="s">
        <v>24</v>
      </c>
      <c r="M173" s="2">
        <v>44926.0</v>
      </c>
      <c r="N173" s="6" t="s">
        <v>210</v>
      </c>
      <c r="Q173" s="8" t="s">
        <v>569</v>
      </c>
    </row>
    <row r="174">
      <c r="A174" s="7">
        <v>44916.71913375</v>
      </c>
      <c r="B174" s="6" t="s">
        <v>570</v>
      </c>
      <c r="D174" s="6" t="s">
        <v>18</v>
      </c>
      <c r="E174" s="6" t="s">
        <v>41</v>
      </c>
      <c r="F174" s="6" t="s">
        <v>571</v>
      </c>
      <c r="J174" s="6" t="s">
        <v>30</v>
      </c>
      <c r="K174" s="6" t="s">
        <v>30</v>
      </c>
      <c r="L174" s="6" t="s">
        <v>24</v>
      </c>
      <c r="M174" s="2">
        <v>44926.0</v>
      </c>
      <c r="N174" s="6" t="s">
        <v>38</v>
      </c>
      <c r="Q174" s="8" t="s">
        <v>572</v>
      </c>
    </row>
    <row r="175">
      <c r="A175" s="7">
        <v>44919.7737562963</v>
      </c>
      <c r="B175" s="6" t="s">
        <v>573</v>
      </c>
      <c r="D175" s="6" t="s">
        <v>18</v>
      </c>
      <c r="E175" s="6" t="s">
        <v>123</v>
      </c>
      <c r="F175" s="6" t="s">
        <v>574</v>
      </c>
      <c r="J175" s="6" t="s">
        <v>30</v>
      </c>
      <c r="K175" s="6" t="s">
        <v>30</v>
      </c>
      <c r="L175" s="6" t="s">
        <v>24</v>
      </c>
      <c r="M175" s="2">
        <v>44926.0</v>
      </c>
      <c r="N175" s="6" t="s">
        <v>38</v>
      </c>
      <c r="Q175" s="8" t="s">
        <v>575</v>
      </c>
    </row>
    <row r="176">
      <c r="A176" s="7">
        <v>44919.7745409375</v>
      </c>
      <c r="B176" s="6" t="s">
        <v>576</v>
      </c>
      <c r="D176" s="6" t="s">
        <v>18</v>
      </c>
      <c r="E176" s="6" t="s">
        <v>76</v>
      </c>
      <c r="F176" s="6" t="s">
        <v>577</v>
      </c>
      <c r="J176" s="6" t="s">
        <v>71</v>
      </c>
      <c r="K176" s="6" t="s">
        <v>71</v>
      </c>
      <c r="L176" s="6" t="s">
        <v>24</v>
      </c>
      <c r="M176" s="2">
        <v>44926.0</v>
      </c>
      <c r="N176" s="6" t="s">
        <v>38</v>
      </c>
      <c r="Q176" s="8" t="s">
        <v>578</v>
      </c>
    </row>
    <row r="177">
      <c r="A177" s="7">
        <v>44919.77517219908</v>
      </c>
      <c r="B177" s="6" t="s">
        <v>579</v>
      </c>
      <c r="D177" s="6" t="s">
        <v>18</v>
      </c>
      <c r="E177" s="6" t="s">
        <v>34</v>
      </c>
      <c r="F177" s="6" t="s">
        <v>525</v>
      </c>
      <c r="J177" s="6" t="s">
        <v>30</v>
      </c>
      <c r="K177" s="6" t="s">
        <v>30</v>
      </c>
      <c r="L177" s="6" t="s">
        <v>24</v>
      </c>
      <c r="M177" s="2">
        <v>44926.0</v>
      </c>
      <c r="N177" s="6" t="s">
        <v>38</v>
      </c>
      <c r="Q177" s="8" t="s">
        <v>580</v>
      </c>
    </row>
    <row r="178">
      <c r="A178" s="7">
        <v>44919.77655202546</v>
      </c>
      <c r="B178" s="6" t="s">
        <v>581</v>
      </c>
      <c r="D178" s="6" t="s">
        <v>18</v>
      </c>
      <c r="E178" s="6" t="s">
        <v>19</v>
      </c>
      <c r="F178" s="6" t="s">
        <v>35</v>
      </c>
      <c r="J178" s="6" t="s">
        <v>30</v>
      </c>
      <c r="K178" s="6" t="s">
        <v>30</v>
      </c>
      <c r="L178" s="6" t="s">
        <v>24</v>
      </c>
      <c r="M178" s="2">
        <v>44926.0</v>
      </c>
      <c r="N178" s="6" t="s">
        <v>38</v>
      </c>
      <c r="Q178" s="8" t="s">
        <v>582</v>
      </c>
    </row>
    <row r="179">
      <c r="A179" s="7">
        <v>44920.77365482639</v>
      </c>
      <c r="B179" s="6" t="s">
        <v>583</v>
      </c>
      <c r="D179" s="6" t="s">
        <v>18</v>
      </c>
      <c r="E179" s="6" t="s">
        <v>123</v>
      </c>
      <c r="F179" s="6" t="s">
        <v>584</v>
      </c>
      <c r="J179" s="6" t="s">
        <v>30</v>
      </c>
      <c r="K179" s="6" t="s">
        <v>30</v>
      </c>
      <c r="L179" s="6" t="s">
        <v>24</v>
      </c>
      <c r="M179" s="2">
        <v>44956.0</v>
      </c>
      <c r="N179" s="6" t="s">
        <v>210</v>
      </c>
      <c r="Q179" s="8" t="s">
        <v>585</v>
      </c>
    </row>
    <row r="180">
      <c r="A180" s="7">
        <v>44924.70756591435</v>
      </c>
      <c r="B180" s="6" t="s">
        <v>586</v>
      </c>
      <c r="D180" s="6" t="s">
        <v>18</v>
      </c>
      <c r="E180" s="6" t="s">
        <v>34</v>
      </c>
      <c r="F180" s="6" t="s">
        <v>587</v>
      </c>
      <c r="J180" s="6" t="s">
        <v>30</v>
      </c>
      <c r="K180" s="6" t="s">
        <v>30</v>
      </c>
      <c r="L180" s="6" t="s">
        <v>24</v>
      </c>
      <c r="M180" s="2">
        <v>44926.0</v>
      </c>
      <c r="N180" s="6" t="s">
        <v>38</v>
      </c>
      <c r="Q180" s="8" t="s">
        <v>588</v>
      </c>
    </row>
    <row r="181">
      <c r="A181" s="7">
        <v>44927.577745497685</v>
      </c>
      <c r="B181" s="6" t="s">
        <v>589</v>
      </c>
      <c r="D181" s="6" t="s">
        <v>18</v>
      </c>
      <c r="E181" s="6" t="s">
        <v>34</v>
      </c>
      <c r="F181" s="6" t="s">
        <v>590</v>
      </c>
      <c r="J181" s="6" t="s">
        <v>51</v>
      </c>
      <c r="K181" s="6" t="s">
        <v>30</v>
      </c>
      <c r="L181" s="6" t="s">
        <v>24</v>
      </c>
      <c r="M181" s="2">
        <v>44956.0</v>
      </c>
      <c r="N181" s="6" t="s">
        <v>38</v>
      </c>
      <c r="Q181" s="8" t="s">
        <v>591</v>
      </c>
    </row>
    <row r="182">
      <c r="A182" s="7">
        <v>44927.58028672454</v>
      </c>
      <c r="B182" s="6" t="s">
        <v>592</v>
      </c>
      <c r="D182" s="6" t="s">
        <v>18</v>
      </c>
      <c r="E182" s="6" t="s">
        <v>47</v>
      </c>
      <c r="F182" s="6" t="s">
        <v>593</v>
      </c>
      <c r="J182" s="6" t="s">
        <v>37</v>
      </c>
      <c r="K182" s="6" t="s">
        <v>30</v>
      </c>
      <c r="L182" s="6" t="s">
        <v>24</v>
      </c>
      <c r="M182" s="2">
        <v>44956.0</v>
      </c>
      <c r="N182" s="6" t="s">
        <v>38</v>
      </c>
      <c r="Q182" s="8" t="s">
        <v>594</v>
      </c>
    </row>
    <row r="183">
      <c r="A183" s="7">
        <v>44936.46354170139</v>
      </c>
      <c r="B183" s="6" t="s">
        <v>595</v>
      </c>
      <c r="D183" s="6" t="s">
        <v>18</v>
      </c>
      <c r="E183" s="6" t="s">
        <v>435</v>
      </c>
      <c r="F183" s="6" t="s">
        <v>596</v>
      </c>
      <c r="G183" s="6" t="s">
        <v>198</v>
      </c>
      <c r="J183" s="6" t="s">
        <v>37</v>
      </c>
      <c r="K183" s="6" t="s">
        <v>30</v>
      </c>
      <c r="L183" s="6" t="s">
        <v>24</v>
      </c>
      <c r="M183" s="2">
        <v>44947.0</v>
      </c>
      <c r="N183" s="6" t="s">
        <v>38</v>
      </c>
      <c r="Q183" s="8" t="s">
        <v>597</v>
      </c>
    </row>
    <row r="184">
      <c r="A184" s="7">
        <v>44936.46454961806</v>
      </c>
      <c r="B184" s="6" t="s">
        <v>598</v>
      </c>
      <c r="D184" s="6" t="s">
        <v>18</v>
      </c>
      <c r="E184" s="6" t="s">
        <v>76</v>
      </c>
      <c r="F184" s="6" t="s">
        <v>599</v>
      </c>
      <c r="J184" s="6" t="s">
        <v>30</v>
      </c>
      <c r="K184" s="6" t="s">
        <v>30</v>
      </c>
      <c r="L184" s="6" t="s">
        <v>24</v>
      </c>
      <c r="M184" s="2">
        <v>44947.0</v>
      </c>
      <c r="N184" s="6" t="s">
        <v>38</v>
      </c>
      <c r="Q184" s="8" t="s">
        <v>600</v>
      </c>
    </row>
    <row r="185">
      <c r="A185" s="7">
        <v>44936.46560909723</v>
      </c>
      <c r="B185" s="6" t="s">
        <v>601</v>
      </c>
      <c r="D185" s="6" t="s">
        <v>18</v>
      </c>
      <c r="E185" s="6" t="s">
        <v>123</v>
      </c>
      <c r="F185" s="6" t="s">
        <v>602</v>
      </c>
      <c r="J185" s="6" t="s">
        <v>30</v>
      </c>
      <c r="K185" s="6" t="s">
        <v>30</v>
      </c>
      <c r="L185" s="6" t="s">
        <v>24</v>
      </c>
      <c r="M185" s="2">
        <v>44947.0</v>
      </c>
      <c r="N185" s="6" t="s">
        <v>38</v>
      </c>
      <c r="Q185" s="8" t="s">
        <v>603</v>
      </c>
    </row>
    <row r="186">
      <c r="A186" s="7">
        <v>44936.51986458333</v>
      </c>
      <c r="B186" s="6" t="s">
        <v>604</v>
      </c>
      <c r="D186" s="6" t="s">
        <v>18</v>
      </c>
      <c r="E186" s="6" t="s">
        <v>55</v>
      </c>
      <c r="F186" s="6" t="s">
        <v>605</v>
      </c>
      <c r="J186" s="6" t="s">
        <v>37</v>
      </c>
      <c r="K186" s="6" t="s">
        <v>30</v>
      </c>
      <c r="L186" s="6" t="s">
        <v>24</v>
      </c>
      <c r="M186" s="2">
        <v>44947.0</v>
      </c>
      <c r="N186" s="6" t="s">
        <v>38</v>
      </c>
      <c r="Q186" s="8" t="s">
        <v>606</v>
      </c>
    </row>
    <row r="187">
      <c r="A187" s="7">
        <v>44936.53682934028</v>
      </c>
      <c r="B187" s="6" t="s">
        <v>607</v>
      </c>
      <c r="C187" s="6">
        <v>9.899796479E9</v>
      </c>
      <c r="D187" s="6" t="s">
        <v>18</v>
      </c>
      <c r="E187" s="6" t="s">
        <v>55</v>
      </c>
      <c r="F187" s="6" t="s">
        <v>79</v>
      </c>
      <c r="J187" s="6" t="s">
        <v>51</v>
      </c>
      <c r="K187" s="6" t="s">
        <v>30</v>
      </c>
      <c r="L187" s="6" t="s">
        <v>24</v>
      </c>
      <c r="M187" s="2">
        <v>44954.0</v>
      </c>
      <c r="N187" s="6" t="s">
        <v>38</v>
      </c>
      <c r="Q187" s="8" t="s">
        <v>608</v>
      </c>
    </row>
    <row r="188">
      <c r="A188" s="7">
        <v>44938.50462876157</v>
      </c>
      <c r="B188" s="6" t="s">
        <v>609</v>
      </c>
      <c r="D188" s="6" t="s">
        <v>18</v>
      </c>
      <c r="E188" s="6" t="s">
        <v>34</v>
      </c>
      <c r="F188" s="6" t="s">
        <v>610</v>
      </c>
      <c r="J188" s="6" t="s">
        <v>30</v>
      </c>
      <c r="K188" s="6" t="s">
        <v>30</v>
      </c>
      <c r="L188" s="6" t="s">
        <v>24</v>
      </c>
      <c r="M188" s="2">
        <v>44947.0</v>
      </c>
      <c r="N188" s="6" t="s">
        <v>38</v>
      </c>
      <c r="Q188" s="8" t="s">
        <v>611</v>
      </c>
    </row>
    <row r="189">
      <c r="A189" s="7">
        <v>44939.584778530094</v>
      </c>
      <c r="B189" s="6" t="s">
        <v>612</v>
      </c>
      <c r="D189" s="6" t="s">
        <v>18</v>
      </c>
      <c r="E189" s="6" t="s">
        <v>41</v>
      </c>
      <c r="F189" s="6" t="s">
        <v>613</v>
      </c>
      <c r="J189" s="6" t="s">
        <v>51</v>
      </c>
      <c r="K189" s="6" t="s">
        <v>30</v>
      </c>
      <c r="L189" s="6" t="s">
        <v>24</v>
      </c>
      <c r="M189" s="2">
        <v>44946.0</v>
      </c>
      <c r="N189" s="6" t="s">
        <v>38</v>
      </c>
      <c r="Q189" s="8" t="s">
        <v>614</v>
      </c>
    </row>
    <row r="190">
      <c r="A190" s="7">
        <v>44941.51070938657</v>
      </c>
      <c r="B190" s="6" t="s">
        <v>615</v>
      </c>
      <c r="D190" s="6" t="s">
        <v>18</v>
      </c>
      <c r="E190" s="6" t="s">
        <v>47</v>
      </c>
      <c r="F190" s="6" t="s">
        <v>616</v>
      </c>
      <c r="J190" s="6" t="s">
        <v>30</v>
      </c>
      <c r="K190" s="6" t="s">
        <v>30</v>
      </c>
      <c r="L190" s="6" t="s">
        <v>24</v>
      </c>
      <c r="M190" s="2">
        <v>44954.0</v>
      </c>
      <c r="N190" s="6" t="s">
        <v>38</v>
      </c>
      <c r="Q190" s="8" t="s">
        <v>617</v>
      </c>
    </row>
    <row r="191">
      <c r="A191" s="7">
        <v>44941.51137278935</v>
      </c>
      <c r="B191" s="6" t="s">
        <v>618</v>
      </c>
      <c r="D191" s="6" t="s">
        <v>18</v>
      </c>
      <c r="E191" s="6" t="s">
        <v>47</v>
      </c>
      <c r="F191" s="6" t="s">
        <v>619</v>
      </c>
      <c r="J191" s="6" t="s">
        <v>30</v>
      </c>
      <c r="K191" s="6" t="s">
        <v>30</v>
      </c>
      <c r="L191" s="6" t="s">
        <v>24</v>
      </c>
      <c r="M191" s="2">
        <v>44954.0</v>
      </c>
      <c r="N191" s="6" t="s">
        <v>38</v>
      </c>
      <c r="Q191" s="8" t="s">
        <v>620</v>
      </c>
    </row>
    <row r="192">
      <c r="A192" s="7">
        <v>44941.51438630787</v>
      </c>
      <c r="B192" s="6" t="s">
        <v>621</v>
      </c>
      <c r="D192" s="6" t="s">
        <v>18</v>
      </c>
      <c r="E192" s="6" t="s">
        <v>34</v>
      </c>
      <c r="F192" s="6" t="s">
        <v>622</v>
      </c>
      <c r="J192" s="6" t="s">
        <v>37</v>
      </c>
      <c r="K192" s="6" t="s">
        <v>30</v>
      </c>
      <c r="L192" s="6" t="s">
        <v>24</v>
      </c>
      <c r="M192" s="2">
        <v>44954.0</v>
      </c>
      <c r="N192" s="6" t="s">
        <v>38</v>
      </c>
      <c r="Q192" s="8" t="s">
        <v>623</v>
      </c>
    </row>
    <row r="193">
      <c r="A193" s="7">
        <v>44944.51892640046</v>
      </c>
      <c r="B193" s="6" t="s">
        <v>624</v>
      </c>
      <c r="D193" s="6" t="s">
        <v>625</v>
      </c>
      <c r="E193" s="6" t="s">
        <v>34</v>
      </c>
      <c r="F193" s="6" t="s">
        <v>626</v>
      </c>
      <c r="J193" s="6" t="s">
        <v>161</v>
      </c>
      <c r="K193" s="6" t="s">
        <v>161</v>
      </c>
      <c r="L193" s="6" t="s">
        <v>24</v>
      </c>
      <c r="M193" s="2">
        <v>44957.0</v>
      </c>
      <c r="N193" s="6" t="s">
        <v>38</v>
      </c>
      <c r="Q193" s="8" t="s">
        <v>627</v>
      </c>
    </row>
    <row r="194">
      <c r="A194" s="7">
        <v>44944.52391574074</v>
      </c>
      <c r="B194" s="6" t="s">
        <v>628</v>
      </c>
      <c r="D194" s="6" t="s">
        <v>112</v>
      </c>
      <c r="E194" s="6" t="s">
        <v>112</v>
      </c>
      <c r="F194" s="6" t="s">
        <v>629</v>
      </c>
      <c r="J194" s="6" t="s">
        <v>30</v>
      </c>
      <c r="K194" s="6" t="s">
        <v>30</v>
      </c>
      <c r="L194" s="6" t="s">
        <v>24</v>
      </c>
      <c r="M194" s="2">
        <v>44945.0</v>
      </c>
      <c r="N194" s="6" t="s">
        <v>38</v>
      </c>
      <c r="Q194" s="8" t="s">
        <v>630</v>
      </c>
    </row>
    <row r="195">
      <c r="A195" s="7">
        <v>44944.530666203704</v>
      </c>
      <c r="B195" s="6" t="s">
        <v>631</v>
      </c>
      <c r="D195" s="6" t="s">
        <v>18</v>
      </c>
      <c r="E195" s="6" t="s">
        <v>76</v>
      </c>
      <c r="F195" s="6" t="s">
        <v>632</v>
      </c>
      <c r="J195" s="6" t="s">
        <v>30</v>
      </c>
      <c r="K195" s="6" t="s">
        <v>30</v>
      </c>
      <c r="L195" s="6" t="s">
        <v>24</v>
      </c>
      <c r="M195" s="2">
        <v>44957.0</v>
      </c>
      <c r="N195" s="6" t="s">
        <v>25</v>
      </c>
      <c r="Q195" s="8" t="s">
        <v>633</v>
      </c>
    </row>
    <row r="196">
      <c r="A196" s="7">
        <v>44944.548686168986</v>
      </c>
      <c r="B196" s="6" t="s">
        <v>634</v>
      </c>
      <c r="D196" s="6" t="s">
        <v>18</v>
      </c>
      <c r="E196" s="6" t="s">
        <v>34</v>
      </c>
      <c r="F196" s="6" t="s">
        <v>635</v>
      </c>
      <c r="I196" s="8" t="s">
        <v>636</v>
      </c>
      <c r="J196" s="6" t="s">
        <v>31</v>
      </c>
      <c r="K196" s="6" t="s">
        <v>31</v>
      </c>
      <c r="L196" s="6" t="s">
        <v>24</v>
      </c>
      <c r="M196" s="2">
        <v>44951.0</v>
      </c>
      <c r="N196" s="6" t="s">
        <v>38</v>
      </c>
      <c r="Q196" s="8" t="s">
        <v>637</v>
      </c>
    </row>
    <row r="197">
      <c r="A197" s="7">
        <v>44985.67442454861</v>
      </c>
      <c r="B197" s="6" t="s">
        <v>638</v>
      </c>
      <c r="D197" s="6" t="s">
        <v>18</v>
      </c>
      <c r="E197" s="6" t="s">
        <v>47</v>
      </c>
      <c r="F197" s="6" t="s">
        <v>47</v>
      </c>
      <c r="J197" s="6" t="s">
        <v>30</v>
      </c>
      <c r="K197" s="6" t="s">
        <v>30</v>
      </c>
      <c r="L197" s="6" t="s">
        <v>24</v>
      </c>
      <c r="M197" s="2">
        <v>44995.0</v>
      </c>
      <c r="P197" s="6" t="s">
        <v>639</v>
      </c>
      <c r="Q197" s="8" t="s">
        <v>640</v>
      </c>
    </row>
    <row r="198">
      <c r="A198" s="7">
        <v>45039.96721311343</v>
      </c>
      <c r="B198" s="6" t="s">
        <v>641</v>
      </c>
      <c r="D198" s="6" t="s">
        <v>311</v>
      </c>
      <c r="E198" s="6" t="s">
        <v>642</v>
      </c>
      <c r="F198" s="6" t="s">
        <v>643</v>
      </c>
      <c r="G198" s="6" t="s">
        <v>90</v>
      </c>
      <c r="H198" s="6" t="s">
        <v>644</v>
      </c>
      <c r="J198" s="6" t="s">
        <v>37</v>
      </c>
      <c r="L198" s="6" t="s">
        <v>24</v>
      </c>
      <c r="M198" s="2">
        <v>45042.0</v>
      </c>
      <c r="N198" s="6" t="s">
        <v>25</v>
      </c>
      <c r="Q198" s="8" t="s">
        <v>645</v>
      </c>
    </row>
    <row r="199">
      <c r="A199" s="7">
        <v>45041.79532341435</v>
      </c>
      <c r="B199" s="6" t="s">
        <v>646</v>
      </c>
      <c r="D199" s="6" t="s">
        <v>18</v>
      </c>
      <c r="E199" s="6" t="s">
        <v>47</v>
      </c>
      <c r="F199" s="6" t="s">
        <v>20</v>
      </c>
      <c r="G199" s="6" t="s">
        <v>90</v>
      </c>
      <c r="H199" s="6" t="s">
        <v>647</v>
      </c>
      <c r="J199" s="6" t="s">
        <v>51</v>
      </c>
      <c r="L199" s="6" t="s">
        <v>24</v>
      </c>
      <c r="M199" s="2">
        <v>45045.0</v>
      </c>
      <c r="N199" s="6" t="s">
        <v>38</v>
      </c>
      <c r="Q199" s="8" t="s">
        <v>648</v>
      </c>
    </row>
    <row r="200">
      <c r="A200" s="7">
        <v>45042.542520613424</v>
      </c>
      <c r="B200" s="6" t="s">
        <v>649</v>
      </c>
      <c r="D200" s="6" t="s">
        <v>18</v>
      </c>
      <c r="E200" s="6" t="s">
        <v>28</v>
      </c>
      <c r="F200" s="6" t="s">
        <v>650</v>
      </c>
      <c r="G200" s="6" t="s">
        <v>651</v>
      </c>
      <c r="H200" s="6" t="s">
        <v>652</v>
      </c>
      <c r="J200" s="6" t="s">
        <v>51</v>
      </c>
      <c r="K200" s="6" t="s">
        <v>37</v>
      </c>
      <c r="L200" s="6" t="s">
        <v>24</v>
      </c>
      <c r="M200" s="2">
        <v>45048.0</v>
      </c>
      <c r="N200" s="6" t="s">
        <v>38</v>
      </c>
      <c r="Q200" s="8" t="s">
        <v>653</v>
      </c>
    </row>
    <row r="201">
      <c r="A201" s="7">
        <v>45042.58920341435</v>
      </c>
      <c r="B201" s="6" t="s">
        <v>654</v>
      </c>
      <c r="D201" s="6" t="s">
        <v>18</v>
      </c>
      <c r="E201" s="6" t="s">
        <v>47</v>
      </c>
      <c r="F201" s="6" t="s">
        <v>20</v>
      </c>
      <c r="G201" s="6" t="s">
        <v>90</v>
      </c>
      <c r="H201" s="6" t="s">
        <v>655</v>
      </c>
      <c r="J201" s="6" t="s">
        <v>37</v>
      </c>
      <c r="L201" s="6" t="s">
        <v>24</v>
      </c>
      <c r="M201" s="2">
        <v>45056.0</v>
      </c>
      <c r="Q201" s="8" t="s">
        <v>656</v>
      </c>
    </row>
    <row r="202">
      <c r="A202" s="7">
        <v>45042.62441503472</v>
      </c>
      <c r="B202" s="6" t="s">
        <v>641</v>
      </c>
      <c r="C202" s="6">
        <v>9.811400685E9</v>
      </c>
      <c r="D202" s="6" t="s">
        <v>18</v>
      </c>
      <c r="E202" s="6" t="s">
        <v>76</v>
      </c>
      <c r="F202" s="6" t="s">
        <v>657</v>
      </c>
      <c r="G202" s="6" t="s">
        <v>189</v>
      </c>
      <c r="H202" s="6" t="s">
        <v>658</v>
      </c>
      <c r="J202" s="6" t="s">
        <v>37</v>
      </c>
      <c r="K202" s="6" t="s">
        <v>37</v>
      </c>
      <c r="L202" s="6" t="s">
        <v>184</v>
      </c>
      <c r="M202" s="2">
        <v>45042.0</v>
      </c>
      <c r="N202" s="6" t="s">
        <v>25</v>
      </c>
      <c r="O202" s="6" t="s">
        <v>659</v>
      </c>
      <c r="P202" s="6" t="s">
        <v>660</v>
      </c>
      <c r="Q202" s="8" t="s">
        <v>661</v>
      </c>
    </row>
    <row r="203">
      <c r="A203" s="7">
        <v>45055.55306996527</v>
      </c>
      <c r="B203" s="6" t="s">
        <v>662</v>
      </c>
      <c r="C203" s="6">
        <v>9.810857727E9</v>
      </c>
      <c r="D203" s="6" t="s">
        <v>18</v>
      </c>
      <c r="E203" s="6" t="s">
        <v>642</v>
      </c>
      <c r="F203" s="6" t="s">
        <v>20</v>
      </c>
      <c r="G203" s="6" t="s">
        <v>90</v>
      </c>
      <c r="H203" s="6" t="s">
        <v>663</v>
      </c>
      <c r="J203" s="6" t="s">
        <v>37</v>
      </c>
      <c r="K203" s="6" t="s">
        <v>37</v>
      </c>
      <c r="L203" s="6" t="s">
        <v>24</v>
      </c>
      <c r="M203" s="2">
        <v>45056.0</v>
      </c>
      <c r="N203" s="6" t="s">
        <v>25</v>
      </c>
      <c r="Q203" s="8" t="s">
        <v>664</v>
      </c>
    </row>
    <row r="204">
      <c r="A204" s="7">
        <v>45055.554071562496</v>
      </c>
      <c r="B204" s="6" t="s">
        <v>87</v>
      </c>
      <c r="D204" s="6" t="s">
        <v>75</v>
      </c>
      <c r="E204" s="6" t="s">
        <v>64</v>
      </c>
      <c r="F204" s="6" t="s">
        <v>665</v>
      </c>
      <c r="G204" s="6" t="s">
        <v>189</v>
      </c>
      <c r="H204" s="6" t="s">
        <v>666</v>
      </c>
      <c r="J204" s="6" t="s">
        <v>37</v>
      </c>
      <c r="K204" s="6" t="s">
        <v>37</v>
      </c>
      <c r="L204" s="6" t="s">
        <v>24</v>
      </c>
      <c r="Q204" s="8" t="s">
        <v>667</v>
      </c>
    </row>
    <row r="205">
      <c r="A205" s="7">
        <v>45055.55488240741</v>
      </c>
      <c r="B205" s="6" t="s">
        <v>668</v>
      </c>
      <c r="D205" s="6" t="s">
        <v>18</v>
      </c>
      <c r="E205" s="6" t="s">
        <v>41</v>
      </c>
      <c r="F205" s="6" t="s">
        <v>41</v>
      </c>
      <c r="G205" s="6" t="s">
        <v>198</v>
      </c>
      <c r="H205" s="6" t="s">
        <v>669</v>
      </c>
      <c r="J205" s="6" t="s">
        <v>37</v>
      </c>
      <c r="K205" s="6" t="s">
        <v>37</v>
      </c>
      <c r="L205" s="6" t="s">
        <v>24</v>
      </c>
      <c r="N205" s="6" t="s">
        <v>25</v>
      </c>
      <c r="Q205" s="8" t="s">
        <v>670</v>
      </c>
    </row>
    <row r="206">
      <c r="A206" s="7">
        <v>45055.556175868056</v>
      </c>
      <c r="B206" s="6" t="s">
        <v>671</v>
      </c>
      <c r="C206" s="6">
        <v>9.811401787E9</v>
      </c>
      <c r="D206" s="6" t="s">
        <v>18</v>
      </c>
      <c r="E206" s="6" t="s">
        <v>47</v>
      </c>
      <c r="F206" s="6" t="s">
        <v>47</v>
      </c>
      <c r="G206" s="6" t="s">
        <v>651</v>
      </c>
      <c r="H206" s="6" t="s">
        <v>672</v>
      </c>
      <c r="J206" s="6" t="s">
        <v>37</v>
      </c>
      <c r="K206" s="6" t="s">
        <v>37</v>
      </c>
      <c r="L206" s="6" t="s">
        <v>72</v>
      </c>
      <c r="N206" s="6" t="s">
        <v>38</v>
      </c>
      <c r="O206" s="6" t="s">
        <v>673</v>
      </c>
      <c r="Q206" s="8" t="s">
        <v>674</v>
      </c>
    </row>
    <row r="207">
      <c r="A207" s="7">
        <v>45055.55690229167</v>
      </c>
      <c r="B207" s="6" t="s">
        <v>675</v>
      </c>
      <c r="D207" s="6" t="s">
        <v>18</v>
      </c>
      <c r="E207" s="6" t="s">
        <v>47</v>
      </c>
      <c r="F207" s="6" t="s">
        <v>106</v>
      </c>
      <c r="G207" s="6" t="s">
        <v>676</v>
      </c>
      <c r="H207" s="6" t="s">
        <v>677</v>
      </c>
      <c r="J207" s="6" t="s">
        <v>37</v>
      </c>
      <c r="K207" s="6" t="s">
        <v>37</v>
      </c>
      <c r="L207" s="6" t="s">
        <v>24</v>
      </c>
      <c r="N207" s="6" t="s">
        <v>38</v>
      </c>
      <c r="Q207" s="8" t="s">
        <v>678</v>
      </c>
    </row>
    <row r="208">
      <c r="A208" s="7">
        <v>45055.77022482639</v>
      </c>
      <c r="B208" s="6" t="s">
        <v>679</v>
      </c>
      <c r="C208" s="6">
        <v>9.95314635E9</v>
      </c>
      <c r="D208" s="6" t="s">
        <v>18</v>
      </c>
      <c r="E208" s="6" t="s">
        <v>34</v>
      </c>
      <c r="F208" s="6" t="s">
        <v>20</v>
      </c>
      <c r="G208" s="6" t="s">
        <v>189</v>
      </c>
      <c r="J208" s="6" t="s">
        <v>680</v>
      </c>
      <c r="L208" s="6" t="s">
        <v>681</v>
      </c>
      <c r="M208" s="2">
        <v>45032.0</v>
      </c>
      <c r="Q208" s="8" t="s">
        <v>682</v>
      </c>
    </row>
    <row r="209">
      <c r="A209" s="7">
        <v>45055.784783518524</v>
      </c>
      <c r="B209" s="6" t="s">
        <v>683</v>
      </c>
      <c r="C209" s="6">
        <v>8.587006281E9</v>
      </c>
      <c r="D209" s="6" t="s">
        <v>18</v>
      </c>
      <c r="E209" s="6" t="s">
        <v>19</v>
      </c>
      <c r="F209" s="6" t="s">
        <v>101</v>
      </c>
      <c r="J209" s="6" t="s">
        <v>680</v>
      </c>
      <c r="L209" s="6" t="s">
        <v>681</v>
      </c>
      <c r="Q209" s="8" t="s">
        <v>684</v>
      </c>
    </row>
    <row r="210">
      <c r="A210" s="7">
        <v>45055.78904334491</v>
      </c>
      <c r="B210" s="6" t="s">
        <v>685</v>
      </c>
      <c r="C210" s="6">
        <v>9.910758989E9</v>
      </c>
      <c r="D210" s="6" t="s">
        <v>18</v>
      </c>
      <c r="E210" s="6" t="s">
        <v>123</v>
      </c>
      <c r="F210" s="6" t="s">
        <v>60</v>
      </c>
      <c r="J210" s="6" t="s">
        <v>680</v>
      </c>
      <c r="K210" s="6" t="s">
        <v>161</v>
      </c>
      <c r="L210" s="6" t="s">
        <v>681</v>
      </c>
      <c r="Q210" s="8" t="s">
        <v>686</v>
      </c>
    </row>
    <row r="211">
      <c r="A211" s="7">
        <v>45055.79040221065</v>
      </c>
      <c r="B211" s="6" t="s">
        <v>687</v>
      </c>
      <c r="C211" s="6">
        <v>8.958990999E9</v>
      </c>
      <c r="D211" s="6" t="s">
        <v>18</v>
      </c>
      <c r="E211" s="6" t="s">
        <v>34</v>
      </c>
      <c r="F211" s="6" t="s">
        <v>688</v>
      </c>
      <c r="J211" s="6" t="s">
        <v>680</v>
      </c>
      <c r="K211" s="6" t="s">
        <v>161</v>
      </c>
      <c r="L211" s="6" t="s">
        <v>681</v>
      </c>
      <c r="Q211" s="8" t="s">
        <v>689</v>
      </c>
    </row>
    <row r="212">
      <c r="A212" s="7">
        <v>45055.79156537037</v>
      </c>
      <c r="B212" s="6" t="s">
        <v>690</v>
      </c>
      <c r="D212" s="6" t="s">
        <v>18</v>
      </c>
      <c r="E212" s="6" t="s">
        <v>123</v>
      </c>
      <c r="F212" s="6" t="s">
        <v>60</v>
      </c>
      <c r="J212" s="6" t="s">
        <v>680</v>
      </c>
      <c r="K212" s="6" t="s">
        <v>161</v>
      </c>
      <c r="L212" s="6" t="s">
        <v>681</v>
      </c>
      <c r="Q212" s="8" t="s">
        <v>691</v>
      </c>
    </row>
    <row r="213">
      <c r="A213" s="7">
        <v>45055.79622982639</v>
      </c>
      <c r="B213" s="6" t="s">
        <v>692</v>
      </c>
      <c r="C213" s="6">
        <v>9.891856666E9</v>
      </c>
      <c r="D213" s="6" t="s">
        <v>18</v>
      </c>
      <c r="E213" s="6" t="s">
        <v>34</v>
      </c>
      <c r="F213" s="6" t="s">
        <v>101</v>
      </c>
      <c r="J213" s="6" t="s">
        <v>680</v>
      </c>
      <c r="K213" s="6" t="s">
        <v>161</v>
      </c>
      <c r="L213" s="6" t="s">
        <v>681</v>
      </c>
      <c r="Q213" s="8" t="s">
        <v>693</v>
      </c>
    </row>
    <row r="214">
      <c r="A214" s="7">
        <v>45055.79734971064</v>
      </c>
      <c r="B214" s="6" t="s">
        <v>694</v>
      </c>
      <c r="C214" s="6">
        <v>9.899284144E9</v>
      </c>
      <c r="D214" s="6" t="s">
        <v>18</v>
      </c>
      <c r="E214" s="6" t="s">
        <v>55</v>
      </c>
      <c r="F214" s="6" t="s">
        <v>60</v>
      </c>
      <c r="J214" s="6" t="s">
        <v>680</v>
      </c>
      <c r="K214" s="6" t="s">
        <v>161</v>
      </c>
      <c r="L214" s="6" t="s">
        <v>681</v>
      </c>
      <c r="Q214" s="8" t="s">
        <v>695</v>
      </c>
    </row>
    <row r="215">
      <c r="A215" s="7">
        <v>45055.79888040509</v>
      </c>
      <c r="B215" s="6" t="s">
        <v>696</v>
      </c>
      <c r="D215" s="6" t="s">
        <v>18</v>
      </c>
      <c r="E215" s="6" t="s">
        <v>123</v>
      </c>
      <c r="F215" s="6" t="s">
        <v>60</v>
      </c>
      <c r="J215" s="6" t="s">
        <v>680</v>
      </c>
      <c r="K215" s="6" t="s">
        <v>161</v>
      </c>
      <c r="L215" s="6" t="s">
        <v>681</v>
      </c>
      <c r="Q215" s="8" t="s">
        <v>697</v>
      </c>
    </row>
    <row r="216">
      <c r="A216" s="7">
        <v>45056.50937980324</v>
      </c>
      <c r="B216" s="6" t="s">
        <v>698</v>
      </c>
      <c r="C216" s="6">
        <v>8.958990999E9</v>
      </c>
      <c r="D216" s="6" t="s">
        <v>18</v>
      </c>
      <c r="E216" s="6" t="s">
        <v>34</v>
      </c>
      <c r="F216" s="6" t="s">
        <v>159</v>
      </c>
      <c r="J216" s="6" t="s">
        <v>680</v>
      </c>
      <c r="K216" s="6" t="s">
        <v>161</v>
      </c>
      <c r="L216" s="6" t="s">
        <v>681</v>
      </c>
      <c r="Q216" s="8" t="s">
        <v>699</v>
      </c>
    </row>
    <row r="217">
      <c r="A217" s="7">
        <v>45058.53826450232</v>
      </c>
      <c r="B217" s="6" t="s">
        <v>700</v>
      </c>
      <c r="D217" s="6" t="s">
        <v>311</v>
      </c>
      <c r="E217" s="6" t="s">
        <v>64</v>
      </c>
      <c r="F217" s="6" t="s">
        <v>701</v>
      </c>
      <c r="G217" s="6" t="s">
        <v>146</v>
      </c>
      <c r="H217" s="6" t="s">
        <v>702</v>
      </c>
      <c r="J217" s="6" t="s">
        <v>37</v>
      </c>
      <c r="K217" s="6" t="s">
        <v>30</v>
      </c>
      <c r="L217" s="6" t="s">
        <v>24</v>
      </c>
      <c r="Q217" s="8" t="s">
        <v>703</v>
      </c>
    </row>
    <row r="218">
      <c r="A218" s="7">
        <v>45060.805926030094</v>
      </c>
      <c r="B218" s="6" t="s">
        <v>704</v>
      </c>
      <c r="C218" s="6">
        <v>9.828158871E9</v>
      </c>
      <c r="D218" s="6" t="s">
        <v>18</v>
      </c>
      <c r="E218" s="6" t="s">
        <v>34</v>
      </c>
      <c r="F218" s="6" t="s">
        <v>159</v>
      </c>
      <c r="G218" s="6" t="s">
        <v>705</v>
      </c>
      <c r="H218" s="6" t="s">
        <v>706</v>
      </c>
      <c r="J218" s="6" t="s">
        <v>37</v>
      </c>
      <c r="K218" s="6" t="s">
        <v>37</v>
      </c>
      <c r="L218" s="6" t="s">
        <v>24</v>
      </c>
      <c r="M218" s="2">
        <v>45062.0</v>
      </c>
      <c r="Q218" s="8" t="s">
        <v>707</v>
      </c>
    </row>
    <row r="219">
      <c r="A219" s="7">
        <v>45063.585097256946</v>
      </c>
      <c r="B219" s="6" t="s">
        <v>708</v>
      </c>
      <c r="D219" s="6" t="s">
        <v>75</v>
      </c>
      <c r="E219" s="6" t="s">
        <v>76</v>
      </c>
      <c r="F219" s="6" t="s">
        <v>709</v>
      </c>
      <c r="G219" s="6" t="s">
        <v>208</v>
      </c>
      <c r="H219" s="6" t="s">
        <v>710</v>
      </c>
      <c r="J219" s="6" t="s">
        <v>37</v>
      </c>
      <c r="K219" s="6" t="s">
        <v>711</v>
      </c>
      <c r="L219" s="6" t="s">
        <v>24</v>
      </c>
      <c r="M219" s="2">
        <v>45063.0</v>
      </c>
      <c r="N219" s="6" t="s">
        <v>25</v>
      </c>
      <c r="Q219" s="8" t="s">
        <v>712</v>
      </c>
    </row>
    <row r="220">
      <c r="A220" s="7">
        <v>45064.671935555554</v>
      </c>
      <c r="B220" s="6" t="s">
        <v>713</v>
      </c>
      <c r="D220" s="6" t="s">
        <v>18</v>
      </c>
      <c r="E220" s="6" t="s">
        <v>47</v>
      </c>
      <c r="F220" s="6" t="s">
        <v>20</v>
      </c>
      <c r="G220" s="6" t="s">
        <v>132</v>
      </c>
      <c r="H220" s="6" t="s">
        <v>714</v>
      </c>
      <c r="J220" s="6" t="s">
        <v>37</v>
      </c>
      <c r="K220" s="6" t="s">
        <v>30</v>
      </c>
      <c r="L220" s="6" t="s">
        <v>24</v>
      </c>
      <c r="M220" s="2">
        <v>45071.0</v>
      </c>
      <c r="N220" s="6" t="s">
        <v>38</v>
      </c>
      <c r="Q220" s="8" t="s">
        <v>715</v>
      </c>
    </row>
    <row r="221">
      <c r="A221" s="7">
        <v>45066.55505927083</v>
      </c>
      <c r="B221" s="6" t="s">
        <v>716</v>
      </c>
      <c r="D221" s="6" t="s">
        <v>18</v>
      </c>
      <c r="E221" s="6" t="s">
        <v>34</v>
      </c>
      <c r="F221" s="6" t="s">
        <v>35</v>
      </c>
      <c r="G221" s="6" t="s">
        <v>268</v>
      </c>
      <c r="H221" s="6" t="s">
        <v>717</v>
      </c>
      <c r="J221" s="6" t="s">
        <v>37</v>
      </c>
      <c r="L221" s="6" t="s">
        <v>24</v>
      </c>
      <c r="N221" s="6" t="s">
        <v>25</v>
      </c>
      <c r="Q221" s="8" t="s">
        <v>718</v>
      </c>
    </row>
    <row r="222">
      <c r="A222" s="7">
        <v>45066.578293425926</v>
      </c>
      <c r="B222" s="6" t="s">
        <v>719</v>
      </c>
      <c r="C222" s="6">
        <v>7.83895206E9</v>
      </c>
      <c r="D222" s="6" t="s">
        <v>18</v>
      </c>
      <c r="E222" s="6" t="s">
        <v>76</v>
      </c>
      <c r="F222" s="6" t="s">
        <v>720</v>
      </c>
      <c r="G222" s="6" t="s">
        <v>208</v>
      </c>
      <c r="J222" s="6" t="s">
        <v>30</v>
      </c>
      <c r="K222" s="6" t="s">
        <v>30</v>
      </c>
      <c r="L222" s="6" t="s">
        <v>24</v>
      </c>
      <c r="M222" s="2">
        <v>45066.0</v>
      </c>
      <c r="N222" s="6" t="s">
        <v>38</v>
      </c>
      <c r="Q222" s="8" t="s">
        <v>721</v>
      </c>
    </row>
    <row r="223">
      <c r="A223" s="7">
        <v>45067.61971796297</v>
      </c>
      <c r="B223" s="6" t="s">
        <v>722</v>
      </c>
      <c r="C223" s="6">
        <v>7.83895206E9</v>
      </c>
      <c r="D223" s="6" t="s">
        <v>18</v>
      </c>
      <c r="E223" s="6" t="s">
        <v>34</v>
      </c>
      <c r="F223" s="6" t="s">
        <v>20</v>
      </c>
      <c r="G223" s="6" t="s">
        <v>146</v>
      </c>
      <c r="J223" s="6" t="s">
        <v>30</v>
      </c>
      <c r="K223" s="6" t="s">
        <v>30</v>
      </c>
      <c r="L223" s="6" t="s">
        <v>24</v>
      </c>
      <c r="M223" s="2">
        <v>45067.0</v>
      </c>
      <c r="N223" s="6" t="s">
        <v>38</v>
      </c>
      <c r="Q223" s="8" t="s">
        <v>723</v>
      </c>
    </row>
    <row r="224">
      <c r="A224" s="7">
        <v>45067.70292571759</v>
      </c>
      <c r="B224" s="6" t="s">
        <v>724</v>
      </c>
      <c r="C224" s="6" t="s">
        <v>725</v>
      </c>
      <c r="D224" s="6" t="s">
        <v>18</v>
      </c>
      <c r="E224" s="6" t="s">
        <v>34</v>
      </c>
      <c r="F224" s="6" t="s">
        <v>35</v>
      </c>
      <c r="G224" s="6" t="s">
        <v>676</v>
      </c>
      <c r="H224" s="6" t="s">
        <v>726</v>
      </c>
      <c r="J224" s="6" t="s">
        <v>37</v>
      </c>
      <c r="K224" s="6" t="s">
        <v>37</v>
      </c>
      <c r="L224" s="6" t="s">
        <v>24</v>
      </c>
      <c r="N224" s="6" t="s">
        <v>38</v>
      </c>
      <c r="Q224" s="8" t="s">
        <v>727</v>
      </c>
    </row>
    <row r="225">
      <c r="A225" s="7">
        <v>45067.70377898148</v>
      </c>
      <c r="B225" s="6" t="s">
        <v>724</v>
      </c>
      <c r="C225" s="6" t="s">
        <v>725</v>
      </c>
      <c r="D225" s="6" t="s">
        <v>18</v>
      </c>
      <c r="E225" s="6" t="s">
        <v>34</v>
      </c>
      <c r="F225" s="6" t="s">
        <v>79</v>
      </c>
      <c r="G225" s="6" t="s">
        <v>166</v>
      </c>
      <c r="H225" s="6" t="s">
        <v>728</v>
      </c>
      <c r="J225" s="6" t="s">
        <v>37</v>
      </c>
      <c r="K225" s="6" t="s">
        <v>37</v>
      </c>
      <c r="L225" s="6" t="s">
        <v>24</v>
      </c>
      <c r="M225" s="2">
        <v>45107.0</v>
      </c>
      <c r="N225" s="6" t="s">
        <v>210</v>
      </c>
      <c r="Q225" s="8" t="s">
        <v>729</v>
      </c>
    </row>
    <row r="226">
      <c r="A226" s="7">
        <v>45067.70518362269</v>
      </c>
      <c r="B226" s="6" t="s">
        <v>730</v>
      </c>
      <c r="D226" s="6" t="s">
        <v>18</v>
      </c>
      <c r="E226" s="6" t="s">
        <v>47</v>
      </c>
      <c r="F226" s="6" t="s">
        <v>47</v>
      </c>
      <c r="G226" s="6" t="s">
        <v>651</v>
      </c>
      <c r="H226" s="6" t="s">
        <v>731</v>
      </c>
      <c r="J226" s="6" t="s">
        <v>37</v>
      </c>
      <c r="K226" s="6" t="s">
        <v>37</v>
      </c>
      <c r="L226" s="6" t="s">
        <v>24</v>
      </c>
      <c r="M226" s="2">
        <v>45070.0</v>
      </c>
      <c r="N226" s="6" t="s">
        <v>25</v>
      </c>
      <c r="Q226" s="8" t="s">
        <v>732</v>
      </c>
    </row>
    <row r="227">
      <c r="A227" s="7">
        <v>45071.511592106486</v>
      </c>
      <c r="B227" s="6" t="s">
        <v>733</v>
      </c>
      <c r="C227" s="6" t="s">
        <v>734</v>
      </c>
      <c r="D227" s="6" t="s">
        <v>18</v>
      </c>
      <c r="E227" s="6" t="s">
        <v>47</v>
      </c>
      <c r="F227" s="6" t="s">
        <v>735</v>
      </c>
      <c r="G227" s="6" t="s">
        <v>208</v>
      </c>
      <c r="J227" s="6" t="s">
        <v>37</v>
      </c>
      <c r="K227" s="6" t="s">
        <v>37</v>
      </c>
      <c r="L227" s="6" t="s">
        <v>24</v>
      </c>
      <c r="M227" s="2">
        <v>45071.0</v>
      </c>
      <c r="N227" s="6" t="s">
        <v>38</v>
      </c>
      <c r="Q227" s="8" t="s">
        <v>736</v>
      </c>
    </row>
    <row r="228">
      <c r="A228" s="7">
        <v>45081.63811962963</v>
      </c>
      <c r="B228" s="6" t="s">
        <v>737</v>
      </c>
      <c r="C228" s="6" t="s">
        <v>738</v>
      </c>
      <c r="D228" s="6" t="s">
        <v>18</v>
      </c>
      <c r="E228" s="6" t="s">
        <v>47</v>
      </c>
      <c r="F228" s="6" t="s">
        <v>739</v>
      </c>
      <c r="G228" s="6" t="s">
        <v>676</v>
      </c>
      <c r="H228" s="6" t="s">
        <v>740</v>
      </c>
      <c r="J228" s="6" t="s">
        <v>37</v>
      </c>
      <c r="K228" s="6" t="s">
        <v>37</v>
      </c>
      <c r="L228" s="6" t="s">
        <v>24</v>
      </c>
      <c r="M228" s="2">
        <v>45084.0</v>
      </c>
      <c r="N228" s="6" t="s">
        <v>25</v>
      </c>
      <c r="Q228" s="8" t="s">
        <v>741</v>
      </c>
    </row>
    <row r="229">
      <c r="A229" s="7">
        <v>45087.53627928241</v>
      </c>
      <c r="B229" s="6" t="s">
        <v>742</v>
      </c>
      <c r="C229" s="6">
        <v>9.818104462E9</v>
      </c>
      <c r="D229" s="6" t="s">
        <v>18</v>
      </c>
      <c r="E229" s="6" t="s">
        <v>55</v>
      </c>
      <c r="F229" s="6" t="s">
        <v>743</v>
      </c>
      <c r="J229" s="6" t="s">
        <v>30</v>
      </c>
      <c r="K229" s="6" t="s">
        <v>30</v>
      </c>
      <c r="L229" s="6" t="s">
        <v>24</v>
      </c>
      <c r="M229" s="2">
        <v>45079.0</v>
      </c>
      <c r="N229" s="6" t="s">
        <v>38</v>
      </c>
      <c r="O229" s="6" t="s">
        <v>744</v>
      </c>
      <c r="Q229" s="8" t="s">
        <v>745</v>
      </c>
    </row>
    <row r="230">
      <c r="A230" s="7">
        <v>45096.637912453705</v>
      </c>
      <c r="B230" s="6" t="s">
        <v>746</v>
      </c>
      <c r="D230" s="6" t="s">
        <v>18</v>
      </c>
      <c r="E230" s="6" t="s">
        <v>41</v>
      </c>
      <c r="F230" s="6" t="s">
        <v>41</v>
      </c>
      <c r="G230" s="6" t="s">
        <v>146</v>
      </c>
      <c r="H230" s="6" t="s">
        <v>747</v>
      </c>
      <c r="J230" s="6" t="s">
        <v>37</v>
      </c>
      <c r="K230" s="6" t="s">
        <v>30</v>
      </c>
      <c r="L230" s="6" t="s">
        <v>24</v>
      </c>
      <c r="M230" s="2">
        <v>45100.0</v>
      </c>
      <c r="Q230" s="8" t="s">
        <v>748</v>
      </c>
    </row>
    <row r="231">
      <c r="A231" s="7">
        <v>45106.60492349537</v>
      </c>
      <c r="B231" s="6" t="s">
        <v>749</v>
      </c>
      <c r="D231" s="6" t="s">
        <v>18</v>
      </c>
      <c r="E231" s="6" t="s">
        <v>47</v>
      </c>
      <c r="F231" s="6" t="s">
        <v>20</v>
      </c>
      <c r="G231" s="6" t="s">
        <v>189</v>
      </c>
      <c r="H231" s="6" t="s">
        <v>750</v>
      </c>
      <c r="J231" s="6" t="s">
        <v>37</v>
      </c>
      <c r="L231" s="6" t="s">
        <v>24</v>
      </c>
      <c r="M231" s="2">
        <v>45112.0</v>
      </c>
      <c r="Q231" s="8" t="s">
        <v>751</v>
      </c>
    </row>
    <row r="232">
      <c r="A232" s="7">
        <v>45113.7143981713</v>
      </c>
      <c r="B232" s="6" t="s">
        <v>752</v>
      </c>
      <c r="C232" s="6">
        <v>9.711990454E9</v>
      </c>
      <c r="D232" s="6" t="s">
        <v>18</v>
      </c>
      <c r="E232" s="6" t="s">
        <v>19</v>
      </c>
      <c r="F232" s="6" t="s">
        <v>753</v>
      </c>
      <c r="G232" s="6">
        <v>5.0</v>
      </c>
      <c r="H232" s="6" t="s">
        <v>753</v>
      </c>
      <c r="I232" s="8" t="s">
        <v>754</v>
      </c>
      <c r="J232" s="6" t="s">
        <v>37</v>
      </c>
      <c r="K232" s="6" t="s">
        <v>37</v>
      </c>
      <c r="L232" s="6" t="s">
        <v>24</v>
      </c>
      <c r="M232" s="2">
        <v>45112.0</v>
      </c>
      <c r="N232" s="6" t="s">
        <v>38</v>
      </c>
      <c r="O232" s="6" t="s">
        <v>755</v>
      </c>
      <c r="Q232" s="8" t="s">
        <v>756</v>
      </c>
    </row>
    <row r="233">
      <c r="A233" s="7">
        <v>45113.7035785301</v>
      </c>
      <c r="B233" s="6" t="s">
        <v>757</v>
      </c>
      <c r="D233" s="6" t="s">
        <v>18</v>
      </c>
      <c r="E233" s="6" t="s">
        <v>55</v>
      </c>
      <c r="F233" s="6" t="s">
        <v>101</v>
      </c>
      <c r="G233" s="6">
        <v>5.0</v>
      </c>
      <c r="H233" s="6" t="s">
        <v>758</v>
      </c>
      <c r="I233" s="8" t="s">
        <v>759</v>
      </c>
      <c r="J233" s="6" t="s">
        <v>30</v>
      </c>
      <c r="K233" s="6" t="s">
        <v>30</v>
      </c>
      <c r="L233" s="6" t="s">
        <v>72</v>
      </c>
      <c r="M233" s="2">
        <v>45112.0</v>
      </c>
      <c r="N233" s="6" t="s">
        <v>210</v>
      </c>
      <c r="O233" s="6" t="s">
        <v>760</v>
      </c>
      <c r="Q233" s="8" t="s">
        <v>761</v>
      </c>
    </row>
    <row r="234">
      <c r="A234" s="7">
        <v>45113.70238270833</v>
      </c>
      <c r="B234" s="6" t="s">
        <v>762</v>
      </c>
      <c r="C234" s="6">
        <v>9.810335225E9</v>
      </c>
      <c r="D234" s="6" t="s">
        <v>18</v>
      </c>
      <c r="E234" s="6" t="s">
        <v>55</v>
      </c>
      <c r="F234" s="6" t="s">
        <v>56</v>
      </c>
      <c r="G234" s="6">
        <v>5.0</v>
      </c>
      <c r="H234" s="6" t="s">
        <v>763</v>
      </c>
      <c r="I234" s="8" t="s">
        <v>764</v>
      </c>
      <c r="J234" s="6" t="s">
        <v>30</v>
      </c>
      <c r="K234" s="6" t="s">
        <v>30</v>
      </c>
      <c r="L234" s="6" t="s">
        <v>24</v>
      </c>
      <c r="M234" s="2">
        <v>45112.0</v>
      </c>
      <c r="N234" s="6" t="s">
        <v>38</v>
      </c>
      <c r="O234" s="6" t="s">
        <v>755</v>
      </c>
      <c r="Q234" s="8" t="s">
        <v>765</v>
      </c>
    </row>
    <row r="235">
      <c r="A235" s="7">
        <v>45113.7047011574</v>
      </c>
      <c r="B235" s="6" t="s">
        <v>766</v>
      </c>
      <c r="C235" s="6">
        <v>9.818424899E9</v>
      </c>
      <c r="D235" s="6" t="s">
        <v>18</v>
      </c>
      <c r="E235" s="6" t="s">
        <v>47</v>
      </c>
      <c r="F235" s="6" t="s">
        <v>188</v>
      </c>
      <c r="G235" s="6">
        <v>5.0</v>
      </c>
      <c r="H235" s="6" t="s">
        <v>767</v>
      </c>
      <c r="I235" s="8" t="s">
        <v>768</v>
      </c>
      <c r="J235" s="6" t="s">
        <v>30</v>
      </c>
      <c r="K235" s="6" t="s">
        <v>30</v>
      </c>
      <c r="L235" s="6" t="s">
        <v>24</v>
      </c>
      <c r="M235" s="2">
        <v>45112.0</v>
      </c>
      <c r="N235" s="6" t="s">
        <v>38</v>
      </c>
      <c r="O235" s="6" t="s">
        <v>24</v>
      </c>
      <c r="Q235" s="8" t="s">
        <v>769</v>
      </c>
    </row>
    <row r="236">
      <c r="A236" s="7">
        <v>45113.70105832176</v>
      </c>
      <c r="B236" s="6" t="s">
        <v>770</v>
      </c>
      <c r="C236" s="6">
        <v>9.891058644E9</v>
      </c>
      <c r="D236" s="6" t="s">
        <v>18</v>
      </c>
      <c r="E236" s="6" t="s">
        <v>55</v>
      </c>
      <c r="F236" s="6" t="s">
        <v>188</v>
      </c>
      <c r="G236" s="6">
        <v>5.0</v>
      </c>
      <c r="H236" s="6" t="s">
        <v>767</v>
      </c>
      <c r="I236" s="8" t="s">
        <v>771</v>
      </c>
      <c r="J236" s="6" t="s">
        <v>30</v>
      </c>
      <c r="K236" s="6" t="s">
        <v>30</v>
      </c>
      <c r="L236" s="6" t="s">
        <v>24</v>
      </c>
      <c r="M236" s="2">
        <v>45112.0</v>
      </c>
      <c r="N236" s="6" t="s">
        <v>38</v>
      </c>
      <c r="O236" s="6" t="s">
        <v>755</v>
      </c>
      <c r="Q236" s="8" t="s">
        <v>772</v>
      </c>
    </row>
    <row r="237">
      <c r="A237" s="7">
        <v>45112.67155194444</v>
      </c>
      <c r="B237" s="6" t="s">
        <v>87</v>
      </c>
      <c r="D237" s="6" t="s">
        <v>18</v>
      </c>
      <c r="E237" s="6" t="s">
        <v>64</v>
      </c>
      <c r="F237" s="6" t="s">
        <v>773</v>
      </c>
      <c r="G237" s="6" t="s">
        <v>189</v>
      </c>
      <c r="H237" s="6" t="s">
        <v>774</v>
      </c>
      <c r="J237" s="6" t="s">
        <v>37</v>
      </c>
      <c r="K237" s="6" t="s">
        <v>30</v>
      </c>
      <c r="L237" s="6" t="s">
        <v>24</v>
      </c>
      <c r="M237" s="2">
        <v>45112.0</v>
      </c>
      <c r="N237" s="6" t="s">
        <v>25</v>
      </c>
      <c r="O237" s="6" t="s">
        <v>755</v>
      </c>
      <c r="Q237" s="8" t="s">
        <v>775</v>
      </c>
    </row>
    <row r="238">
      <c r="A238" s="7">
        <v>45113.707171319445</v>
      </c>
      <c r="B238" s="6" t="s">
        <v>776</v>
      </c>
      <c r="C238" s="6">
        <v>9.971999499E9</v>
      </c>
      <c r="D238" s="6" t="s">
        <v>18</v>
      </c>
      <c r="E238" s="6" t="s">
        <v>47</v>
      </c>
      <c r="F238" s="6" t="s">
        <v>777</v>
      </c>
      <c r="G238" s="6" t="s">
        <v>146</v>
      </c>
      <c r="H238" s="6" t="s">
        <v>777</v>
      </c>
      <c r="I238" s="8" t="s">
        <v>778</v>
      </c>
      <c r="J238" s="6" t="s">
        <v>37</v>
      </c>
      <c r="K238" s="6" t="s">
        <v>30</v>
      </c>
      <c r="L238" s="6" t="s">
        <v>24</v>
      </c>
      <c r="M238" s="2"/>
      <c r="N238" s="6" t="s">
        <v>38</v>
      </c>
      <c r="O238" s="6" t="s">
        <v>755</v>
      </c>
      <c r="Q238" s="8" t="s">
        <v>779</v>
      </c>
    </row>
    <row r="239">
      <c r="A239" s="7">
        <v>45113.69959265046</v>
      </c>
      <c r="B239" s="6" t="s">
        <v>780</v>
      </c>
      <c r="C239" s="6">
        <v>8.375099831E9</v>
      </c>
      <c r="D239" s="6" t="s">
        <v>18</v>
      </c>
      <c r="E239" s="6" t="s">
        <v>55</v>
      </c>
      <c r="F239" s="6" t="s">
        <v>50</v>
      </c>
      <c r="G239" s="6" t="s">
        <v>146</v>
      </c>
      <c r="H239" s="6" t="s">
        <v>781</v>
      </c>
      <c r="I239" s="8" t="s">
        <v>782</v>
      </c>
      <c r="J239" s="6" t="s">
        <v>30</v>
      </c>
      <c r="K239" s="6" t="s">
        <v>30</v>
      </c>
      <c r="L239" s="6" t="s">
        <v>72</v>
      </c>
      <c r="M239" s="2">
        <v>45110.0</v>
      </c>
      <c r="N239" s="6" t="s">
        <v>38</v>
      </c>
      <c r="O239" s="6" t="s">
        <v>783</v>
      </c>
      <c r="Q239" s="8" t="s">
        <v>784</v>
      </c>
    </row>
    <row r="240">
      <c r="A240" s="7">
        <v>45115.55740716435</v>
      </c>
      <c r="B240" s="6" t="s">
        <v>785</v>
      </c>
      <c r="D240" s="6" t="s">
        <v>18</v>
      </c>
      <c r="E240" s="6" t="s">
        <v>47</v>
      </c>
      <c r="F240" s="6" t="s">
        <v>20</v>
      </c>
      <c r="G240" s="6" t="s">
        <v>132</v>
      </c>
      <c r="H240" s="6" t="s">
        <v>786</v>
      </c>
      <c r="I240" s="8" t="s">
        <v>787</v>
      </c>
      <c r="J240" s="6" t="s">
        <v>30</v>
      </c>
      <c r="K240" s="6" t="s">
        <v>30</v>
      </c>
      <c r="L240" s="6" t="s">
        <v>24</v>
      </c>
      <c r="M240" s="2">
        <v>45121.0</v>
      </c>
      <c r="N240" s="6" t="s">
        <v>38</v>
      </c>
      <c r="Q240" s="8" t="s">
        <v>788</v>
      </c>
    </row>
    <row r="241">
      <c r="A241" s="7">
        <v>45114.61066569445</v>
      </c>
      <c r="B241" s="6" t="s">
        <v>789</v>
      </c>
      <c r="C241" s="6">
        <v>9.318440048E9</v>
      </c>
      <c r="D241" s="6" t="s">
        <v>18</v>
      </c>
      <c r="E241" s="6" t="s">
        <v>19</v>
      </c>
      <c r="F241" s="6" t="s">
        <v>35</v>
      </c>
      <c r="G241" s="6" t="s">
        <v>189</v>
      </c>
      <c r="H241" s="6" t="s">
        <v>790</v>
      </c>
      <c r="I241" s="8" t="s">
        <v>791</v>
      </c>
      <c r="J241" s="6" t="s">
        <v>37</v>
      </c>
      <c r="K241" s="6" t="s">
        <v>30</v>
      </c>
      <c r="L241" s="6" t="s">
        <v>24</v>
      </c>
      <c r="M241" s="2">
        <v>45114.0</v>
      </c>
      <c r="N241" s="6" t="s">
        <v>38</v>
      </c>
      <c r="O241" s="6" t="s">
        <v>755</v>
      </c>
      <c r="Q241" s="8" t="s">
        <v>792</v>
      </c>
    </row>
    <row r="242">
      <c r="A242" s="7">
        <v>45115.578478773146</v>
      </c>
      <c r="B242" s="6" t="s">
        <v>793</v>
      </c>
      <c r="C242" s="6">
        <v>9.81062888E9</v>
      </c>
      <c r="D242" s="6" t="s">
        <v>18</v>
      </c>
      <c r="E242" s="6" t="s">
        <v>431</v>
      </c>
      <c r="F242" s="6" t="s">
        <v>20</v>
      </c>
      <c r="G242" s="6" t="s">
        <v>268</v>
      </c>
      <c r="H242" s="6" t="s">
        <v>794</v>
      </c>
      <c r="I242" s="8" t="s">
        <v>795</v>
      </c>
      <c r="J242" s="6" t="s">
        <v>30</v>
      </c>
      <c r="K242" s="6" t="s">
        <v>30</v>
      </c>
      <c r="L242" s="6" t="s">
        <v>24</v>
      </c>
      <c r="M242" s="2">
        <v>45115.0</v>
      </c>
      <c r="N242" s="6" t="s">
        <v>38</v>
      </c>
      <c r="O242" s="6" t="s">
        <v>755</v>
      </c>
      <c r="Q242" s="8" t="s">
        <v>796</v>
      </c>
    </row>
    <row r="243">
      <c r="A243" s="7">
        <v>45119.533983009256</v>
      </c>
      <c r="B243" s="6" t="s">
        <v>797</v>
      </c>
      <c r="D243" s="6" t="s">
        <v>18</v>
      </c>
      <c r="E243" s="6" t="s">
        <v>34</v>
      </c>
      <c r="F243" s="6" t="s">
        <v>60</v>
      </c>
      <c r="H243" s="6" t="s">
        <v>798</v>
      </c>
      <c r="I243" s="8" t="s">
        <v>799</v>
      </c>
      <c r="J243" s="6" t="s">
        <v>31</v>
      </c>
      <c r="K243" s="6" t="s">
        <v>30</v>
      </c>
      <c r="L243" s="6" t="s">
        <v>24</v>
      </c>
      <c r="M243" s="2">
        <v>45118.0</v>
      </c>
      <c r="N243" s="6" t="s">
        <v>38</v>
      </c>
      <c r="O243" s="6" t="s">
        <v>755</v>
      </c>
      <c r="Q243" s="8" t="s">
        <v>800</v>
      </c>
    </row>
    <row r="244">
      <c r="A244" s="7">
        <v>45119.63702692129</v>
      </c>
      <c r="B244" s="6" t="s">
        <v>801</v>
      </c>
      <c r="D244" s="6" t="s">
        <v>18</v>
      </c>
      <c r="E244" s="6" t="s">
        <v>76</v>
      </c>
      <c r="F244" s="6" t="s">
        <v>101</v>
      </c>
      <c r="H244" s="6" t="s">
        <v>802</v>
      </c>
      <c r="I244" s="8" t="s">
        <v>803</v>
      </c>
      <c r="J244" s="6" t="s">
        <v>30</v>
      </c>
      <c r="K244" s="6" t="s">
        <v>51</v>
      </c>
      <c r="L244" s="6" t="s">
        <v>24</v>
      </c>
      <c r="M244" s="2">
        <v>45119.0</v>
      </c>
      <c r="N244" s="6" t="s">
        <v>38</v>
      </c>
      <c r="O244" s="6" t="s">
        <v>804</v>
      </c>
      <c r="Q244" s="8" t="s">
        <v>805</v>
      </c>
    </row>
    <row r="245">
      <c r="A245" s="7">
        <v>45120.74850802083</v>
      </c>
      <c r="B245" s="6" t="s">
        <v>806</v>
      </c>
      <c r="C245" s="6">
        <v>9.811139377E9</v>
      </c>
      <c r="D245" s="6" t="s">
        <v>18</v>
      </c>
      <c r="E245" s="6" t="s">
        <v>19</v>
      </c>
      <c r="F245" s="6" t="s">
        <v>35</v>
      </c>
      <c r="H245" s="6" t="s">
        <v>807</v>
      </c>
      <c r="I245" s="8" t="s">
        <v>808</v>
      </c>
      <c r="J245" s="6" t="s">
        <v>30</v>
      </c>
      <c r="K245" s="6" t="s">
        <v>30</v>
      </c>
      <c r="L245" s="6" t="s">
        <v>24</v>
      </c>
      <c r="M245" s="2">
        <v>45114.0</v>
      </c>
      <c r="N245" s="6" t="s">
        <v>38</v>
      </c>
      <c r="O245" s="6" t="s">
        <v>755</v>
      </c>
      <c r="Q245" s="8" t="s">
        <v>809</v>
      </c>
    </row>
    <row r="246">
      <c r="A246" s="7">
        <v>45121.726081863424</v>
      </c>
      <c r="B246" s="6" t="s">
        <v>810</v>
      </c>
      <c r="C246" s="6">
        <v>9.891058644E9</v>
      </c>
      <c r="D246" s="6" t="s">
        <v>18</v>
      </c>
      <c r="E246" s="6" t="s">
        <v>76</v>
      </c>
      <c r="F246" s="6" t="s">
        <v>67</v>
      </c>
      <c r="G246" s="6" t="s">
        <v>208</v>
      </c>
      <c r="H246" s="6" t="s">
        <v>811</v>
      </c>
      <c r="J246" s="6" t="s">
        <v>30</v>
      </c>
      <c r="K246" s="6" t="s">
        <v>812</v>
      </c>
      <c r="L246" s="6" t="s">
        <v>24</v>
      </c>
      <c r="M246" s="2">
        <v>45121.0</v>
      </c>
      <c r="N246" s="6" t="s">
        <v>38</v>
      </c>
      <c r="O246" s="6" t="s">
        <v>755</v>
      </c>
      <c r="Q246" s="8" t="s">
        <v>813</v>
      </c>
    </row>
    <row r="247">
      <c r="A247" s="7">
        <v>45123.555528321755</v>
      </c>
      <c r="B247" s="6" t="s">
        <v>814</v>
      </c>
      <c r="C247" s="6">
        <v>9.968590224E9</v>
      </c>
      <c r="D247" s="6" t="s">
        <v>18</v>
      </c>
      <c r="E247" s="6" t="s">
        <v>815</v>
      </c>
      <c r="F247" s="6" t="s">
        <v>816</v>
      </c>
      <c r="G247" s="6" t="s">
        <v>189</v>
      </c>
      <c r="H247" s="6" t="s">
        <v>817</v>
      </c>
      <c r="J247" s="6" t="s">
        <v>30</v>
      </c>
      <c r="L247" s="6" t="s">
        <v>24</v>
      </c>
      <c r="M247" s="2">
        <v>45123.0</v>
      </c>
      <c r="N247" s="6" t="s">
        <v>210</v>
      </c>
      <c r="O247" s="6" t="s">
        <v>755</v>
      </c>
      <c r="Q247" s="8" t="s">
        <v>818</v>
      </c>
    </row>
    <row r="248">
      <c r="A248" s="7">
        <v>45123.558831180555</v>
      </c>
      <c r="B248" s="6" t="s">
        <v>814</v>
      </c>
      <c r="C248" s="6">
        <v>9.968590224E9</v>
      </c>
      <c r="D248" s="6" t="s">
        <v>311</v>
      </c>
      <c r="E248" s="6" t="s">
        <v>34</v>
      </c>
      <c r="F248" s="6" t="s">
        <v>321</v>
      </c>
      <c r="G248" s="6" t="s">
        <v>189</v>
      </c>
      <c r="H248" s="6" t="s">
        <v>819</v>
      </c>
      <c r="J248" s="6" t="s">
        <v>30</v>
      </c>
      <c r="K248" s="6" t="s">
        <v>30</v>
      </c>
      <c r="L248" s="6" t="s">
        <v>24</v>
      </c>
      <c r="M248" s="2">
        <v>45123.0</v>
      </c>
      <c r="N248" s="6" t="s">
        <v>38</v>
      </c>
      <c r="O248" s="6" t="s">
        <v>755</v>
      </c>
      <c r="Q248" s="8" t="s">
        <v>820</v>
      </c>
    </row>
    <row r="249">
      <c r="A249" s="7">
        <v>45125.550280173615</v>
      </c>
      <c r="B249" s="6" t="s">
        <v>821</v>
      </c>
      <c r="C249" s="6">
        <v>9.419155654E9</v>
      </c>
      <c r="D249" s="6" t="s">
        <v>18</v>
      </c>
      <c r="E249" s="6" t="s">
        <v>76</v>
      </c>
      <c r="F249" s="6" t="s">
        <v>822</v>
      </c>
      <c r="G249" s="6" t="s">
        <v>189</v>
      </c>
      <c r="H249" s="6" t="s">
        <v>823</v>
      </c>
      <c r="J249" s="6" t="s">
        <v>30</v>
      </c>
      <c r="K249" s="6" t="s">
        <v>30</v>
      </c>
      <c r="L249" s="6" t="s">
        <v>24</v>
      </c>
      <c r="M249" s="2">
        <v>45125.0</v>
      </c>
      <c r="O249" s="6" t="s">
        <v>755</v>
      </c>
      <c r="Q249" s="8" t="s">
        <v>824</v>
      </c>
    </row>
    <row r="250">
      <c r="A250" s="7">
        <v>45126.653232627315</v>
      </c>
      <c r="B250" s="6" t="s">
        <v>825</v>
      </c>
      <c r="C250" s="6">
        <v>9.810042634E9</v>
      </c>
      <c r="D250" s="6" t="s">
        <v>18</v>
      </c>
      <c r="E250" s="6" t="s">
        <v>826</v>
      </c>
      <c r="F250" s="6" t="s">
        <v>827</v>
      </c>
      <c r="G250" s="6" t="s">
        <v>268</v>
      </c>
      <c r="H250" s="6" t="s">
        <v>828</v>
      </c>
      <c r="J250" s="6" t="s">
        <v>30</v>
      </c>
      <c r="K250" s="6" t="s">
        <v>51</v>
      </c>
      <c r="L250" s="6" t="s">
        <v>72</v>
      </c>
      <c r="M250" s="2">
        <v>45126.0</v>
      </c>
      <c r="N250" s="6" t="s">
        <v>38</v>
      </c>
      <c r="O250" s="6" t="s">
        <v>783</v>
      </c>
      <c r="Q250" s="8" t="s">
        <v>829</v>
      </c>
    </row>
    <row r="251">
      <c r="A251" s="7">
        <v>45126.66096804398</v>
      </c>
      <c r="B251" s="6" t="s">
        <v>830</v>
      </c>
      <c r="C251" s="6" t="s">
        <v>831</v>
      </c>
      <c r="D251" s="6" t="s">
        <v>18</v>
      </c>
      <c r="E251" s="6" t="s">
        <v>64</v>
      </c>
      <c r="F251" s="6" t="s">
        <v>832</v>
      </c>
      <c r="G251" s="6" t="s">
        <v>268</v>
      </c>
      <c r="H251" s="6" t="s">
        <v>833</v>
      </c>
      <c r="J251" s="6" t="s">
        <v>37</v>
      </c>
      <c r="K251" s="6" t="s">
        <v>30</v>
      </c>
      <c r="L251" s="6" t="s">
        <v>24</v>
      </c>
      <c r="M251" s="2">
        <v>45126.0</v>
      </c>
      <c r="N251" s="6" t="s">
        <v>25</v>
      </c>
      <c r="O251" s="6" t="s">
        <v>755</v>
      </c>
      <c r="Q251" s="8" t="s">
        <v>834</v>
      </c>
    </row>
    <row r="252">
      <c r="A252" s="7">
        <v>45126.68817086806</v>
      </c>
      <c r="B252" s="6" t="s">
        <v>835</v>
      </c>
      <c r="C252" s="6">
        <v>9.828158871E9</v>
      </c>
      <c r="D252" s="6" t="s">
        <v>18</v>
      </c>
      <c r="E252" s="6" t="s">
        <v>19</v>
      </c>
      <c r="F252" s="6" t="s">
        <v>101</v>
      </c>
      <c r="G252" s="6" t="s">
        <v>268</v>
      </c>
      <c r="H252" s="6" t="s">
        <v>781</v>
      </c>
      <c r="J252" s="6" t="s">
        <v>37</v>
      </c>
      <c r="K252" s="6" t="s">
        <v>30</v>
      </c>
      <c r="L252" s="6" t="s">
        <v>24</v>
      </c>
      <c r="M252" s="2">
        <v>45126.0</v>
      </c>
      <c r="N252" s="6" t="s">
        <v>210</v>
      </c>
      <c r="O252" s="6" t="s">
        <v>755</v>
      </c>
      <c r="Q252" s="8" t="s">
        <v>836</v>
      </c>
    </row>
    <row r="253">
      <c r="A253" s="7">
        <v>45126.72326496527</v>
      </c>
      <c r="B253" s="6" t="s">
        <v>837</v>
      </c>
      <c r="C253" s="6">
        <v>8.800939462E9</v>
      </c>
      <c r="D253" s="6" t="s">
        <v>18</v>
      </c>
      <c r="E253" s="6" t="s">
        <v>41</v>
      </c>
      <c r="F253" s="6" t="s">
        <v>838</v>
      </c>
      <c r="G253" s="6" t="s">
        <v>208</v>
      </c>
      <c r="H253" s="6" t="s">
        <v>839</v>
      </c>
      <c r="J253" s="6" t="s">
        <v>30</v>
      </c>
      <c r="K253" s="6" t="s">
        <v>30</v>
      </c>
      <c r="L253" s="6" t="s">
        <v>24</v>
      </c>
      <c r="M253" s="2">
        <v>45126.0</v>
      </c>
      <c r="O253" s="6" t="s">
        <v>755</v>
      </c>
      <c r="Q253" s="8" t="s">
        <v>840</v>
      </c>
    </row>
    <row r="254">
      <c r="A254" s="7">
        <v>45127.6346346875</v>
      </c>
      <c r="B254" s="6" t="s">
        <v>841</v>
      </c>
      <c r="C254" s="6">
        <v>8.518882003E9</v>
      </c>
      <c r="D254" s="6" t="s">
        <v>311</v>
      </c>
      <c r="E254" s="6" t="s">
        <v>34</v>
      </c>
      <c r="F254" s="6" t="s">
        <v>842</v>
      </c>
      <c r="G254" s="6" t="s">
        <v>676</v>
      </c>
      <c r="H254" s="6" t="s">
        <v>843</v>
      </c>
      <c r="J254" s="6" t="s">
        <v>37</v>
      </c>
      <c r="K254" s="6" t="s">
        <v>37</v>
      </c>
      <c r="L254" s="6" t="s">
        <v>24</v>
      </c>
      <c r="N254" s="6" t="s">
        <v>25</v>
      </c>
      <c r="O254" s="6" t="s">
        <v>755</v>
      </c>
      <c r="Q254" s="8" t="s">
        <v>844</v>
      </c>
    </row>
    <row r="255">
      <c r="A255" s="7">
        <v>45129.62009832176</v>
      </c>
      <c r="B255" s="6" t="s">
        <v>845</v>
      </c>
      <c r="C255" s="6">
        <v>9.810442333E9</v>
      </c>
      <c r="D255" s="6" t="s">
        <v>18</v>
      </c>
      <c r="E255" s="6" t="s">
        <v>41</v>
      </c>
      <c r="F255" s="6" t="s">
        <v>846</v>
      </c>
      <c r="H255" s="6" t="s">
        <v>846</v>
      </c>
      <c r="J255" s="6" t="s">
        <v>847</v>
      </c>
      <c r="K255" s="6" t="s">
        <v>51</v>
      </c>
      <c r="L255" s="6" t="s">
        <v>24</v>
      </c>
      <c r="M255" s="2">
        <v>45128.0</v>
      </c>
      <c r="N255" s="6" t="s">
        <v>38</v>
      </c>
      <c r="O255" s="6" t="s">
        <v>755</v>
      </c>
      <c r="Q255" s="8" t="s">
        <v>848</v>
      </c>
    </row>
    <row r="256">
      <c r="A256" s="7">
        <v>45130.62402480324</v>
      </c>
      <c r="B256" s="6" t="s">
        <v>849</v>
      </c>
      <c r="C256" s="6">
        <v>9.560483319E9</v>
      </c>
      <c r="D256" s="6" t="s">
        <v>18</v>
      </c>
      <c r="E256" s="6" t="s">
        <v>55</v>
      </c>
      <c r="F256" s="6" t="s">
        <v>850</v>
      </c>
      <c r="H256" s="6" t="s">
        <v>851</v>
      </c>
      <c r="I256" s="8" t="s">
        <v>852</v>
      </c>
      <c r="J256" s="6" t="s">
        <v>847</v>
      </c>
      <c r="K256" s="6" t="s">
        <v>30</v>
      </c>
      <c r="L256" s="6" t="s">
        <v>24</v>
      </c>
      <c r="M256" s="2">
        <v>45130.0</v>
      </c>
      <c r="N256" s="6" t="s">
        <v>38</v>
      </c>
      <c r="O256" s="6" t="s">
        <v>755</v>
      </c>
      <c r="Q256" s="8" t="s">
        <v>853</v>
      </c>
    </row>
    <row r="257">
      <c r="A257" s="7">
        <v>45133.52893804398</v>
      </c>
      <c r="B257" s="6" t="s">
        <v>854</v>
      </c>
      <c r="D257" s="6" t="s">
        <v>18</v>
      </c>
      <c r="E257" s="6" t="s">
        <v>64</v>
      </c>
      <c r="F257" s="6" t="s">
        <v>773</v>
      </c>
      <c r="G257" s="6" t="s">
        <v>268</v>
      </c>
      <c r="H257" s="6" t="s">
        <v>855</v>
      </c>
      <c r="J257" s="6" t="s">
        <v>37</v>
      </c>
      <c r="K257" s="6" t="s">
        <v>37</v>
      </c>
      <c r="L257" s="6" t="s">
        <v>24</v>
      </c>
      <c r="M257" s="2">
        <v>45132.0</v>
      </c>
      <c r="N257" s="6" t="s">
        <v>38</v>
      </c>
      <c r="O257" s="6" t="s">
        <v>755</v>
      </c>
      <c r="Q257" s="8" t="s">
        <v>856</v>
      </c>
    </row>
    <row r="258">
      <c r="A258" s="7">
        <v>45133.75023895834</v>
      </c>
      <c r="B258" s="6" t="s">
        <v>857</v>
      </c>
      <c r="C258" s="6">
        <v>0.0</v>
      </c>
      <c r="D258" s="6" t="s">
        <v>18</v>
      </c>
      <c r="E258" s="6" t="s">
        <v>55</v>
      </c>
      <c r="F258" s="6" t="s">
        <v>858</v>
      </c>
      <c r="H258" s="6" t="s">
        <v>859</v>
      </c>
      <c r="J258" s="6" t="s">
        <v>37</v>
      </c>
      <c r="K258" s="6" t="s">
        <v>812</v>
      </c>
      <c r="L258" s="6" t="s">
        <v>24</v>
      </c>
      <c r="M258" s="2">
        <v>45133.0</v>
      </c>
      <c r="N258" s="6" t="s">
        <v>25</v>
      </c>
      <c r="O258" s="6" t="s">
        <v>755</v>
      </c>
      <c r="Q258" s="8" t="s">
        <v>860</v>
      </c>
    </row>
    <row r="259">
      <c r="A259" s="7">
        <v>45133.75353289352</v>
      </c>
      <c r="B259" s="6" t="s">
        <v>861</v>
      </c>
      <c r="C259" s="6">
        <v>9.811113706E9</v>
      </c>
      <c r="D259" s="6" t="s">
        <v>18</v>
      </c>
      <c r="E259" s="6" t="s">
        <v>55</v>
      </c>
      <c r="F259" s="6" t="s">
        <v>862</v>
      </c>
      <c r="H259" s="6" t="s">
        <v>863</v>
      </c>
      <c r="J259" s="6" t="s">
        <v>37</v>
      </c>
      <c r="K259" s="6" t="s">
        <v>37</v>
      </c>
      <c r="L259" s="6" t="s">
        <v>24</v>
      </c>
      <c r="M259" s="2">
        <v>45132.0</v>
      </c>
      <c r="N259" s="6" t="s">
        <v>25</v>
      </c>
      <c r="O259" s="6" t="s">
        <v>755</v>
      </c>
      <c r="Q259" s="8" t="s">
        <v>864</v>
      </c>
    </row>
    <row r="260">
      <c r="A260" s="7">
        <v>45133.76304049768</v>
      </c>
      <c r="B260" s="6" t="s">
        <v>865</v>
      </c>
      <c r="D260" s="6" t="s">
        <v>311</v>
      </c>
      <c r="E260" s="6" t="s">
        <v>19</v>
      </c>
      <c r="F260" s="6" t="s">
        <v>60</v>
      </c>
      <c r="G260" s="6" t="s">
        <v>268</v>
      </c>
      <c r="H260" s="6" t="s">
        <v>866</v>
      </c>
      <c r="J260" s="6" t="s">
        <v>37</v>
      </c>
      <c r="K260" s="6" t="s">
        <v>37</v>
      </c>
      <c r="L260" s="6" t="s">
        <v>24</v>
      </c>
      <c r="M260" s="2">
        <v>45133.0</v>
      </c>
      <c r="N260" s="6" t="s">
        <v>25</v>
      </c>
      <c r="O260" s="6" t="s">
        <v>755</v>
      </c>
      <c r="Q260" s="8" t="s">
        <v>867</v>
      </c>
    </row>
    <row r="261">
      <c r="A261" s="7">
        <v>45134.56391841435</v>
      </c>
      <c r="B261" s="6" t="s">
        <v>533</v>
      </c>
      <c r="C261" s="6">
        <v>9.899719222E9</v>
      </c>
      <c r="D261" s="6" t="s">
        <v>18</v>
      </c>
      <c r="E261" s="6" t="s">
        <v>19</v>
      </c>
      <c r="F261" s="6" t="s">
        <v>868</v>
      </c>
      <c r="G261" s="6" t="s">
        <v>268</v>
      </c>
      <c r="H261" s="6" t="s">
        <v>868</v>
      </c>
      <c r="J261" s="6" t="s">
        <v>37</v>
      </c>
      <c r="K261" s="6" t="s">
        <v>30</v>
      </c>
      <c r="L261" s="6" t="s">
        <v>24</v>
      </c>
      <c r="M261" s="2">
        <v>45132.0</v>
      </c>
      <c r="N261" s="6" t="s">
        <v>38</v>
      </c>
      <c r="O261" s="6" t="s">
        <v>869</v>
      </c>
      <c r="Q261" s="8" t="s">
        <v>870</v>
      </c>
    </row>
    <row r="262">
      <c r="A262" s="7">
        <v>45136.6156503588</v>
      </c>
      <c r="B262" s="6" t="s">
        <v>871</v>
      </c>
      <c r="D262" s="6" t="s">
        <v>18</v>
      </c>
      <c r="E262" s="6" t="s">
        <v>872</v>
      </c>
      <c r="F262" s="6" t="s">
        <v>873</v>
      </c>
      <c r="H262" s="6" t="s">
        <v>874</v>
      </c>
      <c r="I262" s="8" t="s">
        <v>875</v>
      </c>
      <c r="J262" s="6" t="s">
        <v>847</v>
      </c>
      <c r="K262" s="6" t="s">
        <v>51</v>
      </c>
      <c r="L262" s="6" t="s">
        <v>24</v>
      </c>
      <c r="M262" s="2">
        <v>45135.0</v>
      </c>
      <c r="N262" s="6" t="s">
        <v>25</v>
      </c>
      <c r="O262" s="6" t="s">
        <v>804</v>
      </c>
      <c r="Q262" s="8" t="s">
        <v>876</v>
      </c>
    </row>
    <row r="263">
      <c r="A263" s="7">
        <v>45136.62994597222</v>
      </c>
      <c r="B263" s="6" t="s">
        <v>877</v>
      </c>
      <c r="C263" s="6" t="s">
        <v>878</v>
      </c>
      <c r="D263" s="6" t="s">
        <v>18</v>
      </c>
      <c r="E263" s="6" t="s">
        <v>34</v>
      </c>
      <c r="F263" s="6" t="s">
        <v>79</v>
      </c>
      <c r="G263" s="6" t="s">
        <v>166</v>
      </c>
      <c r="H263" s="6" t="s">
        <v>879</v>
      </c>
      <c r="J263" s="6" t="s">
        <v>37</v>
      </c>
      <c r="K263" s="6" t="s">
        <v>37</v>
      </c>
      <c r="L263" s="6" t="s">
        <v>24</v>
      </c>
      <c r="M263" s="2">
        <v>45136.0</v>
      </c>
      <c r="N263" s="6" t="s">
        <v>38</v>
      </c>
      <c r="O263" s="6" t="s">
        <v>755</v>
      </c>
      <c r="Q263" s="8" t="s">
        <v>880</v>
      </c>
    </row>
    <row r="264">
      <c r="A264" s="7">
        <v>45139.62458520834</v>
      </c>
      <c r="B264" s="6" t="s">
        <v>881</v>
      </c>
      <c r="C264" s="6" t="s">
        <v>882</v>
      </c>
      <c r="D264" s="6" t="s">
        <v>18</v>
      </c>
      <c r="E264" s="6" t="s">
        <v>883</v>
      </c>
      <c r="F264" s="6" t="s">
        <v>884</v>
      </c>
      <c r="H264" s="6" t="s">
        <v>885</v>
      </c>
      <c r="J264" s="6" t="s">
        <v>30</v>
      </c>
      <c r="K264" s="6" t="s">
        <v>30</v>
      </c>
      <c r="L264" s="6" t="s">
        <v>24</v>
      </c>
      <c r="M264" s="2">
        <v>45139.0</v>
      </c>
      <c r="N264" s="6" t="s">
        <v>210</v>
      </c>
      <c r="O264" s="6" t="s">
        <v>755</v>
      </c>
      <c r="Q264" s="8" t="s">
        <v>886</v>
      </c>
    </row>
    <row r="265">
      <c r="A265" s="7">
        <v>45139.630877233794</v>
      </c>
      <c r="B265" s="6" t="s">
        <v>887</v>
      </c>
      <c r="C265" s="6">
        <v>8.800887615E9</v>
      </c>
      <c r="D265" s="6" t="s">
        <v>18</v>
      </c>
      <c r="E265" s="6" t="s">
        <v>888</v>
      </c>
      <c r="F265" s="6" t="s">
        <v>889</v>
      </c>
      <c r="H265" s="6" t="s">
        <v>890</v>
      </c>
      <c r="I265" s="8" t="s">
        <v>891</v>
      </c>
      <c r="J265" s="6" t="s">
        <v>31</v>
      </c>
      <c r="K265" s="6" t="s">
        <v>31</v>
      </c>
      <c r="L265" s="6" t="s">
        <v>24</v>
      </c>
      <c r="M265" s="2">
        <v>45139.0</v>
      </c>
      <c r="N265" s="6" t="s">
        <v>38</v>
      </c>
      <c r="O265" s="6" t="s">
        <v>755</v>
      </c>
      <c r="Q265" s="8" t="s">
        <v>892</v>
      </c>
    </row>
    <row r="266">
      <c r="A266" s="7">
        <v>45143.50144180555</v>
      </c>
      <c r="B266" s="6" t="s">
        <v>893</v>
      </c>
      <c r="C266" s="6">
        <v>9.811483836E9</v>
      </c>
      <c r="D266" s="6" t="s">
        <v>75</v>
      </c>
      <c r="E266" s="6" t="s">
        <v>76</v>
      </c>
      <c r="F266" s="6" t="s">
        <v>67</v>
      </c>
      <c r="H266" s="6" t="s">
        <v>894</v>
      </c>
      <c r="J266" s="6" t="s">
        <v>37</v>
      </c>
      <c r="L266" s="6" t="s">
        <v>24</v>
      </c>
      <c r="M266" s="2">
        <v>45143.0</v>
      </c>
      <c r="N266" s="6" t="s">
        <v>25</v>
      </c>
      <c r="O266" s="6" t="s">
        <v>755</v>
      </c>
      <c r="Q266" s="8" t="s">
        <v>895</v>
      </c>
    </row>
    <row r="267">
      <c r="A267" s="7">
        <v>45143.55674393519</v>
      </c>
      <c r="B267" s="6" t="s">
        <v>896</v>
      </c>
      <c r="C267" s="6">
        <v>9.811013803E9</v>
      </c>
      <c r="D267" s="6" t="s">
        <v>75</v>
      </c>
      <c r="E267" s="6" t="s">
        <v>19</v>
      </c>
      <c r="F267" s="6" t="s">
        <v>897</v>
      </c>
      <c r="G267" s="6" t="s">
        <v>268</v>
      </c>
      <c r="H267" s="6" t="s">
        <v>897</v>
      </c>
      <c r="J267" s="6" t="s">
        <v>847</v>
      </c>
      <c r="L267" s="6" t="s">
        <v>24</v>
      </c>
      <c r="M267" s="2">
        <v>45163.0</v>
      </c>
      <c r="N267" s="6" t="s">
        <v>38</v>
      </c>
      <c r="O267" s="6" t="s">
        <v>755</v>
      </c>
      <c r="Q267" s="8" t="s">
        <v>898</v>
      </c>
    </row>
    <row r="268">
      <c r="A268" s="7">
        <v>45143.68726925926</v>
      </c>
      <c r="B268" s="6" t="s">
        <v>899</v>
      </c>
      <c r="C268" s="6">
        <v>9.717998888E9</v>
      </c>
      <c r="D268" s="6" t="s">
        <v>18</v>
      </c>
      <c r="E268" s="6" t="s">
        <v>64</v>
      </c>
      <c r="F268" s="6" t="s">
        <v>773</v>
      </c>
      <c r="H268" s="6" t="s">
        <v>900</v>
      </c>
      <c r="J268" s="6" t="s">
        <v>30</v>
      </c>
      <c r="K268" s="6" t="s">
        <v>30</v>
      </c>
      <c r="L268" s="6" t="s">
        <v>24</v>
      </c>
      <c r="M268" s="2">
        <v>45158.0</v>
      </c>
      <c r="N268" s="6" t="s">
        <v>38</v>
      </c>
      <c r="O268" s="6" t="s">
        <v>755</v>
      </c>
      <c r="Q268" s="8" t="s">
        <v>901</v>
      </c>
    </row>
    <row r="269">
      <c r="A269" s="7">
        <v>45143.69402684028</v>
      </c>
      <c r="B269" s="6" t="s">
        <v>902</v>
      </c>
      <c r="C269" s="6">
        <v>9.782015737E9</v>
      </c>
      <c r="D269" s="6" t="s">
        <v>311</v>
      </c>
      <c r="E269" s="6" t="s">
        <v>47</v>
      </c>
      <c r="F269" s="6" t="s">
        <v>106</v>
      </c>
      <c r="G269" s="6" t="s">
        <v>268</v>
      </c>
      <c r="H269" s="6" t="s">
        <v>903</v>
      </c>
      <c r="J269" s="6" t="s">
        <v>30</v>
      </c>
      <c r="K269" s="6" t="s">
        <v>30</v>
      </c>
      <c r="L269" s="6" t="s">
        <v>24</v>
      </c>
      <c r="M269" s="2">
        <v>45163.0</v>
      </c>
      <c r="N269" s="6" t="s">
        <v>38</v>
      </c>
      <c r="O269" s="6" t="s">
        <v>755</v>
      </c>
      <c r="Q269" s="8" t="s">
        <v>904</v>
      </c>
    </row>
    <row r="270">
      <c r="A270" s="7">
        <v>45143.707891377315</v>
      </c>
      <c r="B270" s="6" t="s">
        <v>225</v>
      </c>
      <c r="D270" s="6" t="s">
        <v>18</v>
      </c>
      <c r="E270" s="6" t="s">
        <v>19</v>
      </c>
      <c r="F270" s="6" t="s">
        <v>159</v>
      </c>
      <c r="H270" s="6" t="s">
        <v>905</v>
      </c>
      <c r="J270" s="6" t="s">
        <v>37</v>
      </c>
      <c r="K270" s="6" t="s">
        <v>30</v>
      </c>
      <c r="L270" s="6" t="s">
        <v>24</v>
      </c>
      <c r="M270" s="2">
        <v>45163.0</v>
      </c>
      <c r="N270" s="6" t="s">
        <v>38</v>
      </c>
      <c r="O270" s="6" t="s">
        <v>755</v>
      </c>
      <c r="Q270" s="8" t="s">
        <v>906</v>
      </c>
    </row>
    <row r="271">
      <c r="A271" s="7">
        <v>45143.74074445602</v>
      </c>
      <c r="B271" s="6" t="s">
        <v>907</v>
      </c>
      <c r="D271" s="6" t="s">
        <v>18</v>
      </c>
      <c r="E271" s="6" t="s">
        <v>19</v>
      </c>
      <c r="F271" s="6" t="s">
        <v>908</v>
      </c>
      <c r="H271" s="6" t="s">
        <v>909</v>
      </c>
      <c r="J271" s="6" t="s">
        <v>31</v>
      </c>
      <c r="L271" s="6" t="s">
        <v>24</v>
      </c>
      <c r="M271" s="2">
        <v>45158.0</v>
      </c>
      <c r="N271" s="6" t="s">
        <v>38</v>
      </c>
      <c r="O271" s="6" t="s">
        <v>755</v>
      </c>
      <c r="Q271" s="8" t="s">
        <v>910</v>
      </c>
    </row>
    <row r="272">
      <c r="A272" s="7">
        <v>45144.53822113426</v>
      </c>
      <c r="B272" s="6" t="s">
        <v>911</v>
      </c>
      <c r="D272" s="6" t="s">
        <v>18</v>
      </c>
      <c r="E272" s="6" t="s">
        <v>19</v>
      </c>
      <c r="F272" s="6" t="s">
        <v>912</v>
      </c>
      <c r="H272" s="6" t="s">
        <v>913</v>
      </c>
      <c r="J272" s="6" t="s">
        <v>30</v>
      </c>
      <c r="K272" s="6" t="s">
        <v>51</v>
      </c>
      <c r="L272" s="6" t="s">
        <v>24</v>
      </c>
      <c r="M272" s="2">
        <v>45144.0</v>
      </c>
      <c r="O272" s="6" t="s">
        <v>755</v>
      </c>
      <c r="Q272" s="8" t="s">
        <v>914</v>
      </c>
    </row>
    <row r="273">
      <c r="A273" s="7">
        <v>45144.55352673611</v>
      </c>
      <c r="B273" s="6" t="s">
        <v>915</v>
      </c>
      <c r="C273" s="6" t="s">
        <v>882</v>
      </c>
      <c r="D273" s="6" t="s">
        <v>18</v>
      </c>
      <c r="E273" s="6" t="s">
        <v>19</v>
      </c>
      <c r="F273" s="6" t="s">
        <v>916</v>
      </c>
      <c r="H273" s="6" t="s">
        <v>917</v>
      </c>
      <c r="I273" s="8" t="s">
        <v>918</v>
      </c>
      <c r="J273" s="6" t="s">
        <v>30</v>
      </c>
      <c r="K273" s="6" t="s">
        <v>30</v>
      </c>
      <c r="L273" s="6" t="s">
        <v>24</v>
      </c>
      <c r="M273" s="2">
        <v>45169.0</v>
      </c>
      <c r="N273" s="6" t="s">
        <v>38</v>
      </c>
      <c r="O273" s="6" t="s">
        <v>755</v>
      </c>
      <c r="Q273" s="8" t="s">
        <v>919</v>
      </c>
    </row>
    <row r="274">
      <c r="A274" s="7">
        <v>45144.630054849535</v>
      </c>
      <c r="B274" s="6" t="s">
        <v>920</v>
      </c>
      <c r="C274" s="6">
        <v>9.818304747E9</v>
      </c>
      <c r="D274" s="6" t="s">
        <v>18</v>
      </c>
      <c r="E274" s="6" t="s">
        <v>921</v>
      </c>
      <c r="F274" s="6" t="s">
        <v>922</v>
      </c>
      <c r="H274" s="6" t="s">
        <v>922</v>
      </c>
      <c r="I274" s="6" t="s">
        <v>923</v>
      </c>
      <c r="J274" s="6" t="s">
        <v>37</v>
      </c>
      <c r="K274" s="6" t="s">
        <v>30</v>
      </c>
      <c r="L274" s="6" t="s">
        <v>24</v>
      </c>
      <c r="M274" s="2">
        <v>45169.0</v>
      </c>
      <c r="N274" s="6" t="s">
        <v>38</v>
      </c>
      <c r="O274" s="6" t="s">
        <v>755</v>
      </c>
      <c r="Q274" s="8" t="s">
        <v>924</v>
      </c>
    </row>
    <row r="275">
      <c r="A275" s="7">
        <v>45146.789551932874</v>
      </c>
      <c r="B275" s="6" t="s">
        <v>925</v>
      </c>
      <c r="C275" s="6">
        <v>9.971666977E9</v>
      </c>
      <c r="D275" s="6" t="s">
        <v>18</v>
      </c>
      <c r="E275" s="6" t="s">
        <v>19</v>
      </c>
      <c r="F275" s="6" t="s">
        <v>926</v>
      </c>
      <c r="H275" s="6" t="s">
        <v>927</v>
      </c>
      <c r="J275" s="6" t="s">
        <v>30</v>
      </c>
      <c r="L275" s="6" t="s">
        <v>24</v>
      </c>
      <c r="M275" s="2">
        <v>45165.0</v>
      </c>
      <c r="N275" s="6" t="s">
        <v>38</v>
      </c>
      <c r="O275" s="6" t="s">
        <v>755</v>
      </c>
      <c r="Q275" s="8" t="s">
        <v>928</v>
      </c>
    </row>
    <row r="276">
      <c r="A276" s="7">
        <v>45146.79242679398</v>
      </c>
      <c r="B276" s="6" t="s">
        <v>929</v>
      </c>
      <c r="D276" s="6" t="s">
        <v>18</v>
      </c>
      <c r="E276" s="6" t="s">
        <v>34</v>
      </c>
      <c r="F276" s="6" t="s">
        <v>930</v>
      </c>
      <c r="H276" s="6" t="s">
        <v>931</v>
      </c>
      <c r="I276" s="6" t="s">
        <v>932</v>
      </c>
      <c r="J276" s="6" t="s">
        <v>30</v>
      </c>
      <c r="L276" s="6" t="s">
        <v>24</v>
      </c>
      <c r="M276" s="2">
        <v>45169.0</v>
      </c>
      <c r="N276" s="6" t="s">
        <v>38</v>
      </c>
      <c r="O276" s="6" t="s">
        <v>755</v>
      </c>
      <c r="Q276" s="8" t="s">
        <v>933</v>
      </c>
    </row>
    <row r="277">
      <c r="A277" s="7">
        <v>45149.48434653935</v>
      </c>
      <c r="B277" s="6" t="s">
        <v>934</v>
      </c>
      <c r="D277" s="6" t="s">
        <v>18</v>
      </c>
      <c r="E277" s="6" t="s">
        <v>34</v>
      </c>
      <c r="F277" s="6" t="s">
        <v>935</v>
      </c>
      <c r="G277" s="6" t="s">
        <v>268</v>
      </c>
      <c r="H277" s="6" t="s">
        <v>936</v>
      </c>
      <c r="J277" s="6" t="s">
        <v>30</v>
      </c>
      <c r="K277" s="6" t="s">
        <v>30</v>
      </c>
      <c r="L277" s="6" t="s">
        <v>24</v>
      </c>
      <c r="M277" s="2">
        <v>45168.0</v>
      </c>
      <c r="N277" s="6" t="s">
        <v>38</v>
      </c>
      <c r="O277" s="6" t="s">
        <v>755</v>
      </c>
      <c r="Q277" s="8" t="s">
        <v>937</v>
      </c>
    </row>
    <row r="278">
      <c r="A278" s="7">
        <v>45149.656268356484</v>
      </c>
      <c r="B278" s="6" t="s">
        <v>938</v>
      </c>
      <c r="C278" s="6">
        <v>9.891058644E9</v>
      </c>
      <c r="D278" s="6" t="s">
        <v>18</v>
      </c>
      <c r="E278" s="6" t="s">
        <v>921</v>
      </c>
      <c r="F278" s="6" t="s">
        <v>939</v>
      </c>
      <c r="H278" s="6" t="s">
        <v>940</v>
      </c>
      <c r="I278" s="8" t="s">
        <v>941</v>
      </c>
      <c r="J278" s="6" t="s">
        <v>30</v>
      </c>
      <c r="K278" s="6" t="s">
        <v>30</v>
      </c>
      <c r="L278" s="6" t="s">
        <v>24</v>
      </c>
      <c r="M278" s="2">
        <v>45179.0</v>
      </c>
      <c r="N278" s="6" t="s">
        <v>210</v>
      </c>
      <c r="O278" s="6" t="s">
        <v>755</v>
      </c>
      <c r="Q278" s="8" t="s">
        <v>942</v>
      </c>
    </row>
    <row r="279">
      <c r="A279" s="7">
        <v>45150.62981391203</v>
      </c>
      <c r="B279" s="6" t="s">
        <v>943</v>
      </c>
      <c r="C279" s="6">
        <v>9.560483319E9</v>
      </c>
      <c r="D279" s="6" t="s">
        <v>18</v>
      </c>
      <c r="E279" s="6" t="s">
        <v>41</v>
      </c>
      <c r="F279" s="6" t="s">
        <v>41</v>
      </c>
      <c r="H279" s="6" t="s">
        <v>944</v>
      </c>
      <c r="J279" s="6" t="s">
        <v>812</v>
      </c>
      <c r="K279" s="6" t="s">
        <v>37</v>
      </c>
      <c r="L279" s="6" t="s">
        <v>24</v>
      </c>
      <c r="M279" s="2">
        <v>45158.0</v>
      </c>
      <c r="N279" s="6" t="s">
        <v>38</v>
      </c>
      <c r="O279" s="6" t="s">
        <v>755</v>
      </c>
      <c r="Q279" s="8" t="s">
        <v>945</v>
      </c>
    </row>
    <row r="280">
      <c r="A280" s="7">
        <v>45154.80569799768</v>
      </c>
      <c r="B280" s="6" t="s">
        <v>946</v>
      </c>
      <c r="C280" s="6">
        <v>9.810335225E9</v>
      </c>
      <c r="D280" s="6" t="s">
        <v>18</v>
      </c>
      <c r="E280" s="6" t="s">
        <v>41</v>
      </c>
      <c r="F280" s="6" t="s">
        <v>67</v>
      </c>
      <c r="I280" s="8" t="s">
        <v>947</v>
      </c>
      <c r="J280" s="6" t="s">
        <v>37</v>
      </c>
      <c r="K280" s="6" t="s">
        <v>30</v>
      </c>
      <c r="L280" s="6" t="s">
        <v>24</v>
      </c>
      <c r="M280" s="2">
        <v>45168.0</v>
      </c>
      <c r="N280" s="6" t="s">
        <v>38</v>
      </c>
      <c r="O280" s="6" t="s">
        <v>755</v>
      </c>
      <c r="Q280" s="8" t="s">
        <v>948</v>
      </c>
    </row>
    <row r="281">
      <c r="A281" s="7">
        <v>45154.80811006944</v>
      </c>
      <c r="B281" s="6" t="s">
        <v>949</v>
      </c>
      <c r="C281" s="6">
        <v>8.800939462E9</v>
      </c>
      <c r="D281" s="6" t="s">
        <v>18</v>
      </c>
      <c r="E281" s="6" t="s">
        <v>55</v>
      </c>
      <c r="F281" s="6" t="s">
        <v>35</v>
      </c>
      <c r="J281" s="6" t="s">
        <v>847</v>
      </c>
      <c r="K281" s="6" t="s">
        <v>30</v>
      </c>
      <c r="L281" s="6" t="s">
        <v>24</v>
      </c>
      <c r="M281" s="2">
        <v>45175.0</v>
      </c>
      <c r="N281" s="6" t="s">
        <v>44</v>
      </c>
      <c r="O281" s="6" t="s">
        <v>755</v>
      </c>
      <c r="Q281" s="8" t="s">
        <v>950</v>
      </c>
    </row>
    <row r="282">
      <c r="A282" s="7">
        <v>45154.81032626158</v>
      </c>
      <c r="B282" s="6" t="s">
        <v>951</v>
      </c>
      <c r="C282" s="6">
        <v>9.810093295E9</v>
      </c>
      <c r="D282" s="6" t="s">
        <v>18</v>
      </c>
      <c r="E282" s="6" t="s">
        <v>55</v>
      </c>
      <c r="F282" s="6" t="s">
        <v>952</v>
      </c>
      <c r="J282" s="6" t="s">
        <v>37</v>
      </c>
      <c r="K282" s="6" t="s">
        <v>30</v>
      </c>
      <c r="L282" s="6" t="s">
        <v>24</v>
      </c>
      <c r="M282" s="2">
        <v>45154.0</v>
      </c>
      <c r="O282" s="6" t="s">
        <v>755</v>
      </c>
      <c r="Q282" s="8" t="s">
        <v>953</v>
      </c>
    </row>
    <row r="283">
      <c r="A283" s="7">
        <v>45155.77813291667</v>
      </c>
      <c r="B283" s="6" t="s">
        <v>954</v>
      </c>
      <c r="C283" s="6">
        <v>9.811087973E9</v>
      </c>
      <c r="D283" s="6" t="s">
        <v>18</v>
      </c>
      <c r="E283" s="6" t="s">
        <v>76</v>
      </c>
      <c r="F283" s="6" t="s">
        <v>955</v>
      </c>
      <c r="H283" s="6" t="s">
        <v>955</v>
      </c>
      <c r="I283" s="8" t="s">
        <v>956</v>
      </c>
      <c r="J283" s="6" t="s">
        <v>37</v>
      </c>
      <c r="K283" s="6" t="s">
        <v>30</v>
      </c>
      <c r="L283" s="6" t="s">
        <v>24</v>
      </c>
      <c r="M283" s="2">
        <v>45186.0</v>
      </c>
      <c r="N283" s="6" t="s">
        <v>210</v>
      </c>
      <c r="O283" s="6" t="s">
        <v>957</v>
      </c>
      <c r="Q283" s="8" t="s">
        <v>958</v>
      </c>
    </row>
    <row r="284">
      <c r="A284" s="7">
        <v>45157.594336793976</v>
      </c>
      <c r="B284" s="6" t="s">
        <v>959</v>
      </c>
      <c r="C284" s="6">
        <v>8.700520404E9</v>
      </c>
      <c r="D284" s="6" t="s">
        <v>18</v>
      </c>
      <c r="E284" s="6" t="s">
        <v>76</v>
      </c>
      <c r="F284" s="6" t="s">
        <v>960</v>
      </c>
      <c r="H284" s="6" t="s">
        <v>960</v>
      </c>
      <c r="J284" s="6" t="s">
        <v>37</v>
      </c>
      <c r="K284" s="6" t="s">
        <v>812</v>
      </c>
      <c r="L284" s="6" t="s">
        <v>24</v>
      </c>
      <c r="M284" s="2">
        <v>45179.0</v>
      </c>
      <c r="N284" s="6" t="s">
        <v>210</v>
      </c>
      <c r="O284" s="6" t="s">
        <v>755</v>
      </c>
      <c r="Q284" s="8" t="s">
        <v>961</v>
      </c>
    </row>
    <row r="285">
      <c r="A285" s="7">
        <v>45158.489477916664</v>
      </c>
      <c r="B285" s="6" t="s">
        <v>962</v>
      </c>
      <c r="D285" s="6" t="s">
        <v>18</v>
      </c>
      <c r="E285" s="6" t="s">
        <v>41</v>
      </c>
      <c r="F285" s="6" t="s">
        <v>963</v>
      </c>
      <c r="H285" s="6" t="s">
        <v>963</v>
      </c>
      <c r="J285" s="6" t="s">
        <v>30</v>
      </c>
      <c r="K285" s="6" t="s">
        <v>30</v>
      </c>
      <c r="L285" s="6" t="s">
        <v>24</v>
      </c>
      <c r="M285" s="2">
        <v>45179.0</v>
      </c>
      <c r="N285" s="6" t="s">
        <v>38</v>
      </c>
      <c r="O285" s="6" t="s">
        <v>957</v>
      </c>
      <c r="Q285" s="8" t="s">
        <v>964</v>
      </c>
    </row>
    <row r="286">
      <c r="A286" s="7">
        <v>45160.61237954861</v>
      </c>
      <c r="B286" s="6" t="s">
        <v>965</v>
      </c>
      <c r="D286" s="6" t="s">
        <v>18</v>
      </c>
      <c r="E286" s="6" t="s">
        <v>55</v>
      </c>
      <c r="F286" s="6" t="s">
        <v>60</v>
      </c>
      <c r="H286" s="6" t="s">
        <v>966</v>
      </c>
      <c r="I286" s="8" t="s">
        <v>967</v>
      </c>
      <c r="J286" s="6" t="s">
        <v>30</v>
      </c>
      <c r="K286" s="6" t="s">
        <v>30</v>
      </c>
      <c r="L286" s="6" t="s">
        <v>24</v>
      </c>
      <c r="M286" s="2">
        <v>45199.0</v>
      </c>
      <c r="N286" s="6" t="s">
        <v>210</v>
      </c>
      <c r="O286" s="6" t="s">
        <v>957</v>
      </c>
      <c r="Q286" s="8" t="s">
        <v>968</v>
      </c>
    </row>
    <row r="287">
      <c r="A287" s="7">
        <v>45163.495249872685</v>
      </c>
      <c r="B287" s="6" t="s">
        <v>969</v>
      </c>
      <c r="C287" s="6">
        <v>9.81883788E9</v>
      </c>
      <c r="D287" s="6" t="s">
        <v>18</v>
      </c>
      <c r="E287" s="6" t="s">
        <v>41</v>
      </c>
      <c r="F287" s="6" t="s">
        <v>970</v>
      </c>
      <c r="G287" s="6" t="s">
        <v>651</v>
      </c>
      <c r="H287" s="6" t="s">
        <v>971</v>
      </c>
      <c r="J287" s="6" t="s">
        <v>30</v>
      </c>
      <c r="K287" s="6" t="s">
        <v>30</v>
      </c>
      <c r="L287" s="6" t="s">
        <v>24</v>
      </c>
      <c r="M287" s="2">
        <v>45199.0</v>
      </c>
      <c r="N287" s="6" t="s">
        <v>210</v>
      </c>
      <c r="O287" s="6" t="s">
        <v>957</v>
      </c>
      <c r="Q287" s="8" t="s">
        <v>972</v>
      </c>
    </row>
    <row r="288">
      <c r="A288" s="7">
        <v>45167.51876219908</v>
      </c>
      <c r="B288" s="6" t="s">
        <v>973</v>
      </c>
      <c r="C288" s="6">
        <v>9.811488999E9</v>
      </c>
      <c r="D288" s="6" t="s">
        <v>18</v>
      </c>
      <c r="E288" s="6" t="s">
        <v>123</v>
      </c>
      <c r="F288" s="6" t="s">
        <v>60</v>
      </c>
      <c r="H288" s="6" t="s">
        <v>974</v>
      </c>
      <c r="I288" s="8" t="s">
        <v>975</v>
      </c>
      <c r="J288" s="6" t="s">
        <v>847</v>
      </c>
      <c r="K288" s="6" t="s">
        <v>30</v>
      </c>
      <c r="L288" s="6" t="s">
        <v>24</v>
      </c>
      <c r="M288" s="2">
        <v>45199.0</v>
      </c>
      <c r="N288" s="6" t="s">
        <v>210</v>
      </c>
      <c r="O288" s="6" t="s">
        <v>957</v>
      </c>
      <c r="Q288" s="8" t="s">
        <v>976</v>
      </c>
    </row>
    <row r="289">
      <c r="A289" s="7">
        <v>45167.539175185186</v>
      </c>
      <c r="B289" s="6" t="s">
        <v>977</v>
      </c>
      <c r="C289" s="6">
        <v>9.968590224E9</v>
      </c>
      <c r="D289" s="6" t="s">
        <v>18</v>
      </c>
      <c r="E289" s="6" t="s">
        <v>888</v>
      </c>
      <c r="F289" s="6" t="s">
        <v>79</v>
      </c>
      <c r="H289" s="6" t="s">
        <v>978</v>
      </c>
      <c r="J289" s="6" t="s">
        <v>30</v>
      </c>
      <c r="K289" s="6" t="s">
        <v>30</v>
      </c>
      <c r="L289" s="6" t="s">
        <v>24</v>
      </c>
      <c r="M289" s="2">
        <v>45199.0</v>
      </c>
      <c r="N289" s="6" t="s">
        <v>210</v>
      </c>
      <c r="O289" s="6" t="s">
        <v>957</v>
      </c>
      <c r="Q289" s="8" t="s">
        <v>979</v>
      </c>
    </row>
    <row r="290">
      <c r="A290" s="7">
        <v>45167.55873478009</v>
      </c>
      <c r="B290" s="6" t="s">
        <v>980</v>
      </c>
      <c r="D290" s="6" t="s">
        <v>18</v>
      </c>
      <c r="E290" s="6" t="s">
        <v>41</v>
      </c>
      <c r="F290" s="6" t="s">
        <v>41</v>
      </c>
      <c r="G290" s="6" t="s">
        <v>198</v>
      </c>
      <c r="H290" s="6" t="s">
        <v>981</v>
      </c>
      <c r="J290" s="6" t="s">
        <v>847</v>
      </c>
      <c r="K290" s="6" t="s">
        <v>51</v>
      </c>
      <c r="L290" s="6" t="s">
        <v>24</v>
      </c>
      <c r="M290" s="2">
        <v>45168.0</v>
      </c>
      <c r="N290" s="6" t="s">
        <v>38</v>
      </c>
      <c r="O290" s="6" t="s">
        <v>957</v>
      </c>
      <c r="Q290" s="8" t="s">
        <v>982</v>
      </c>
    </row>
    <row r="291">
      <c r="A291" s="7">
        <v>45168.52831042824</v>
      </c>
      <c r="B291" s="6" t="s">
        <v>983</v>
      </c>
      <c r="C291" s="6">
        <v>9.899726672E9</v>
      </c>
      <c r="D291" s="6" t="s">
        <v>18</v>
      </c>
      <c r="E291" s="6" t="s">
        <v>41</v>
      </c>
      <c r="F291" s="6" t="s">
        <v>984</v>
      </c>
      <c r="H291" s="6" t="s">
        <v>984</v>
      </c>
      <c r="I291" s="8" t="s">
        <v>985</v>
      </c>
      <c r="J291" s="6" t="s">
        <v>37</v>
      </c>
      <c r="K291" s="6" t="s">
        <v>812</v>
      </c>
      <c r="L291" s="6" t="s">
        <v>24</v>
      </c>
      <c r="M291" s="2">
        <v>45169.0</v>
      </c>
      <c r="N291" s="6" t="s">
        <v>25</v>
      </c>
      <c r="O291" s="6" t="s">
        <v>957</v>
      </c>
      <c r="Q291" s="8" t="s">
        <v>986</v>
      </c>
    </row>
    <row r="292">
      <c r="A292" s="7">
        <v>45170.54131465278</v>
      </c>
      <c r="B292" s="6" t="s">
        <v>987</v>
      </c>
      <c r="C292" s="6">
        <v>9.818143019E9</v>
      </c>
      <c r="D292" s="6" t="s">
        <v>18</v>
      </c>
      <c r="E292" s="6" t="s">
        <v>70</v>
      </c>
      <c r="F292" s="6" t="s">
        <v>988</v>
      </c>
      <c r="H292" s="6" t="s">
        <v>989</v>
      </c>
      <c r="I292" s="8" t="s">
        <v>990</v>
      </c>
      <c r="J292" s="6" t="s">
        <v>37</v>
      </c>
      <c r="K292" s="6" t="s">
        <v>30</v>
      </c>
      <c r="L292" s="6" t="s">
        <v>24</v>
      </c>
      <c r="M292" s="2">
        <v>45199.0</v>
      </c>
      <c r="N292" s="6" t="s">
        <v>38</v>
      </c>
      <c r="O292" s="6" t="s">
        <v>957</v>
      </c>
      <c r="P292" s="6" t="s">
        <v>991</v>
      </c>
      <c r="Q292" s="8" t="s">
        <v>992</v>
      </c>
    </row>
    <row r="293">
      <c r="A293" s="7">
        <v>45174.7994840162</v>
      </c>
      <c r="B293" s="6" t="s">
        <v>993</v>
      </c>
      <c r="D293" s="6" t="s">
        <v>18</v>
      </c>
      <c r="E293" s="6" t="s">
        <v>41</v>
      </c>
      <c r="F293" s="6" t="s">
        <v>41</v>
      </c>
      <c r="H293" s="6" t="s">
        <v>994</v>
      </c>
      <c r="J293" s="6" t="s">
        <v>30</v>
      </c>
      <c r="K293" s="6" t="s">
        <v>37</v>
      </c>
      <c r="L293" s="6" t="s">
        <v>24</v>
      </c>
      <c r="M293" s="2">
        <v>45199.0</v>
      </c>
      <c r="N293" s="6" t="s">
        <v>38</v>
      </c>
      <c r="O293" s="6" t="s">
        <v>957</v>
      </c>
      <c r="Q293" s="8" t="s">
        <v>995</v>
      </c>
    </row>
    <row r="294">
      <c r="A294" s="7">
        <v>45175.72137157407</v>
      </c>
      <c r="B294" s="6" t="s">
        <v>996</v>
      </c>
      <c r="C294" s="6">
        <v>9.810113462E9</v>
      </c>
      <c r="D294" s="6" t="s">
        <v>18</v>
      </c>
      <c r="E294" s="6" t="s">
        <v>64</v>
      </c>
      <c r="F294" s="6" t="s">
        <v>997</v>
      </c>
      <c r="G294" s="6" t="s">
        <v>166</v>
      </c>
      <c r="H294" s="6" t="s">
        <v>998</v>
      </c>
      <c r="J294" s="6" t="s">
        <v>812</v>
      </c>
      <c r="K294" s="6" t="s">
        <v>812</v>
      </c>
      <c r="L294" s="6" t="s">
        <v>24</v>
      </c>
      <c r="M294" s="2">
        <v>45228.0</v>
      </c>
      <c r="N294" s="6" t="s">
        <v>210</v>
      </c>
      <c r="O294" s="6" t="s">
        <v>957</v>
      </c>
      <c r="Q294" s="8" t="s">
        <v>999</v>
      </c>
    </row>
    <row r="295">
      <c r="A295" s="7">
        <v>45184.5087656713</v>
      </c>
      <c r="B295" s="6" t="s">
        <v>1000</v>
      </c>
      <c r="C295" s="10" t="s">
        <v>1001</v>
      </c>
      <c r="D295" s="6" t="s">
        <v>18</v>
      </c>
      <c r="E295" s="6" t="s">
        <v>41</v>
      </c>
      <c r="F295" s="6" t="s">
        <v>41</v>
      </c>
      <c r="H295" s="6" t="s">
        <v>1002</v>
      </c>
      <c r="J295" s="6" t="s">
        <v>847</v>
      </c>
      <c r="L295" s="6" t="s">
        <v>24</v>
      </c>
      <c r="M295" s="2">
        <v>45199.0</v>
      </c>
      <c r="N295" s="6" t="s">
        <v>38</v>
      </c>
      <c r="O295" s="6" t="s">
        <v>755</v>
      </c>
      <c r="Q295" s="8" t="s">
        <v>1003</v>
      </c>
    </row>
    <row r="296">
      <c r="A296" s="7">
        <v>45184.519578217594</v>
      </c>
      <c r="B296" s="6" t="s">
        <v>1004</v>
      </c>
      <c r="C296" s="6">
        <v>9.818424899E9</v>
      </c>
      <c r="D296" s="6" t="s">
        <v>18</v>
      </c>
      <c r="E296" s="6" t="s">
        <v>19</v>
      </c>
      <c r="F296" s="6" t="s">
        <v>20</v>
      </c>
      <c r="H296" s="6" t="s">
        <v>1005</v>
      </c>
      <c r="J296" s="6" t="s">
        <v>30</v>
      </c>
      <c r="K296" s="6" t="s">
        <v>30</v>
      </c>
      <c r="L296" s="6" t="s">
        <v>24</v>
      </c>
      <c r="M296" s="2">
        <v>45214.0</v>
      </c>
      <c r="N296" s="6" t="s">
        <v>25</v>
      </c>
      <c r="O296" s="6" t="s">
        <v>957</v>
      </c>
      <c r="Q296" s="8" t="s">
        <v>1006</v>
      </c>
    </row>
    <row r="297">
      <c r="A297" s="7">
        <v>45184.52167609954</v>
      </c>
      <c r="B297" s="6" t="s">
        <v>1007</v>
      </c>
      <c r="D297" s="6" t="s">
        <v>18</v>
      </c>
      <c r="E297" s="6" t="s">
        <v>41</v>
      </c>
      <c r="F297" s="6" t="s">
        <v>41</v>
      </c>
      <c r="H297" s="6" t="s">
        <v>1008</v>
      </c>
      <c r="J297" s="6" t="s">
        <v>30</v>
      </c>
      <c r="K297" s="6" t="s">
        <v>30</v>
      </c>
      <c r="L297" s="6" t="s">
        <v>24</v>
      </c>
      <c r="M297" s="2">
        <v>45199.0</v>
      </c>
      <c r="N297" s="6" t="s">
        <v>38</v>
      </c>
      <c r="O297" s="6" t="s">
        <v>957</v>
      </c>
      <c r="Q297" s="8" t="s">
        <v>1009</v>
      </c>
    </row>
    <row r="298">
      <c r="A298" s="7">
        <v>45184.539257337965</v>
      </c>
      <c r="B298" s="6" t="s">
        <v>1010</v>
      </c>
      <c r="C298" s="6">
        <v>9.818304747E9</v>
      </c>
      <c r="D298" s="6" t="s">
        <v>18</v>
      </c>
      <c r="E298" s="6" t="s">
        <v>41</v>
      </c>
      <c r="F298" s="6" t="s">
        <v>41</v>
      </c>
      <c r="H298" s="6" t="s">
        <v>1011</v>
      </c>
      <c r="I298" s="8" t="s">
        <v>1012</v>
      </c>
      <c r="J298" s="6" t="s">
        <v>37</v>
      </c>
      <c r="K298" s="6" t="s">
        <v>30</v>
      </c>
      <c r="L298" s="6" t="s">
        <v>24</v>
      </c>
      <c r="M298" s="2">
        <v>45214.0</v>
      </c>
      <c r="N298" s="6" t="s">
        <v>210</v>
      </c>
      <c r="O298" s="6" t="s">
        <v>957</v>
      </c>
      <c r="Q298" s="8" t="s">
        <v>1013</v>
      </c>
    </row>
    <row r="299">
      <c r="A299" s="7">
        <v>45184.555018680556</v>
      </c>
      <c r="B299" s="6" t="s">
        <v>1014</v>
      </c>
      <c r="D299" s="6" t="s">
        <v>18</v>
      </c>
      <c r="E299" s="6" t="s">
        <v>41</v>
      </c>
      <c r="F299" s="6" t="s">
        <v>41</v>
      </c>
      <c r="H299" s="6" t="s">
        <v>1015</v>
      </c>
      <c r="J299" s="6" t="s">
        <v>847</v>
      </c>
      <c r="K299" s="6" t="s">
        <v>51</v>
      </c>
      <c r="L299" s="6" t="s">
        <v>24</v>
      </c>
      <c r="M299" s="2">
        <v>45184.0</v>
      </c>
      <c r="N299" s="6" t="s">
        <v>25</v>
      </c>
      <c r="O299" s="6" t="s">
        <v>957</v>
      </c>
      <c r="Q299" s="8" t="s">
        <v>1016</v>
      </c>
    </row>
    <row r="300">
      <c r="A300" s="7">
        <v>45184.55929478009</v>
      </c>
      <c r="B300" s="6" t="s">
        <v>1017</v>
      </c>
      <c r="D300" s="6" t="s">
        <v>18</v>
      </c>
      <c r="E300" s="6" t="s">
        <v>55</v>
      </c>
      <c r="F300" s="6" t="s">
        <v>56</v>
      </c>
      <c r="H300" s="6" t="s">
        <v>1018</v>
      </c>
      <c r="J300" s="6" t="s">
        <v>30</v>
      </c>
      <c r="K300" s="6" t="s">
        <v>30</v>
      </c>
      <c r="L300" s="6" t="s">
        <v>24</v>
      </c>
      <c r="M300" s="2">
        <v>45191.0</v>
      </c>
      <c r="N300" s="6" t="s">
        <v>25</v>
      </c>
      <c r="O300" s="6" t="s">
        <v>957</v>
      </c>
      <c r="Q300" s="8" t="s">
        <v>1019</v>
      </c>
    </row>
    <row r="301">
      <c r="A301" s="7">
        <v>45212.826936006946</v>
      </c>
      <c r="B301" s="6" t="s">
        <v>1020</v>
      </c>
      <c r="D301" s="6" t="s">
        <v>75</v>
      </c>
      <c r="E301" s="6" t="s">
        <v>34</v>
      </c>
      <c r="F301" s="6" t="s">
        <v>56</v>
      </c>
      <c r="G301" s="6" t="s">
        <v>189</v>
      </c>
      <c r="J301" s="6" t="s">
        <v>37</v>
      </c>
      <c r="L301" s="6" t="s">
        <v>24</v>
      </c>
      <c r="Q301" s="8" t="s">
        <v>1021</v>
      </c>
    </row>
    <row r="302">
      <c r="A302" s="7">
        <v>45231.65193384259</v>
      </c>
      <c r="B302" s="6" t="s">
        <v>1022</v>
      </c>
      <c r="C302" s="6">
        <v>9.999899615E9</v>
      </c>
      <c r="D302" s="6" t="s">
        <v>18</v>
      </c>
      <c r="E302" s="6" t="s">
        <v>34</v>
      </c>
      <c r="F302" s="6" t="s">
        <v>79</v>
      </c>
      <c r="G302" s="6">
        <v>5.0</v>
      </c>
      <c r="J302" s="6" t="s">
        <v>1023</v>
      </c>
      <c r="K302" s="6" t="s">
        <v>1023</v>
      </c>
      <c r="L302" s="6" t="s">
        <v>184</v>
      </c>
      <c r="M302" s="2">
        <v>45240.0</v>
      </c>
      <c r="N302" s="6" t="s">
        <v>38</v>
      </c>
      <c r="Q302" s="8" t="s">
        <v>1024</v>
      </c>
    </row>
    <row r="303">
      <c r="A303" s="7">
        <v>45231.66718464121</v>
      </c>
      <c r="B303" s="6" t="s">
        <v>1025</v>
      </c>
      <c r="C303" s="6">
        <v>9.811233455E9</v>
      </c>
      <c r="D303" s="6" t="s">
        <v>18</v>
      </c>
      <c r="E303" s="6" t="s">
        <v>1026</v>
      </c>
      <c r="F303" s="6" t="s">
        <v>1027</v>
      </c>
      <c r="J303" s="6" t="s">
        <v>1028</v>
      </c>
      <c r="K303" s="6" t="s">
        <v>1029</v>
      </c>
      <c r="L303" s="6" t="s">
        <v>24</v>
      </c>
      <c r="M303" s="2">
        <v>45240.0</v>
      </c>
      <c r="N303" s="6" t="s">
        <v>38</v>
      </c>
      <c r="Q303" s="8" t="s">
        <v>1030</v>
      </c>
    </row>
    <row r="304">
      <c r="A304" s="7">
        <v>45231.67400883102</v>
      </c>
      <c r="B304" s="6" t="s">
        <v>1031</v>
      </c>
      <c r="C304" s="6">
        <v>9.549544439E9</v>
      </c>
      <c r="D304" s="6" t="s">
        <v>18</v>
      </c>
      <c r="E304" s="6" t="s">
        <v>55</v>
      </c>
      <c r="F304" s="6" t="s">
        <v>1032</v>
      </c>
      <c r="J304" s="6" t="s">
        <v>1028</v>
      </c>
      <c r="K304" s="6" t="s">
        <v>1029</v>
      </c>
      <c r="L304" s="6" t="s">
        <v>24</v>
      </c>
      <c r="M304" s="2">
        <v>45245.0</v>
      </c>
      <c r="N304" s="6" t="s">
        <v>38</v>
      </c>
      <c r="Q304" s="8" t="s">
        <v>1033</v>
      </c>
    </row>
    <row r="305">
      <c r="A305" s="7">
        <v>45231.69381135417</v>
      </c>
      <c r="B305" s="6" t="s">
        <v>1034</v>
      </c>
      <c r="C305" s="6">
        <v>8.448295334E9</v>
      </c>
      <c r="D305" s="6" t="s">
        <v>18</v>
      </c>
      <c r="E305" s="6" t="s">
        <v>55</v>
      </c>
      <c r="F305" s="6" t="s">
        <v>79</v>
      </c>
      <c r="G305" s="6">
        <v>5.0</v>
      </c>
      <c r="J305" s="6" t="s">
        <v>1028</v>
      </c>
      <c r="K305" s="6" t="s">
        <v>1029</v>
      </c>
      <c r="L305" s="6" t="s">
        <v>24</v>
      </c>
      <c r="M305" s="2">
        <v>45240.0</v>
      </c>
      <c r="N305" s="6" t="s">
        <v>38</v>
      </c>
      <c r="Q305" s="8" t="s">
        <v>1035</v>
      </c>
    </row>
    <row r="306">
      <c r="A306" s="7">
        <v>45232.70373228009</v>
      </c>
      <c r="B306" s="6" t="s">
        <v>1036</v>
      </c>
      <c r="C306" s="6">
        <v>9.810100011E9</v>
      </c>
      <c r="D306" s="6" t="s">
        <v>18</v>
      </c>
      <c r="E306" s="6" t="s">
        <v>55</v>
      </c>
      <c r="F306" s="6" t="s">
        <v>1037</v>
      </c>
      <c r="J306" s="6" t="s">
        <v>1028</v>
      </c>
      <c r="K306" s="6" t="s">
        <v>1029</v>
      </c>
      <c r="L306" s="6" t="s">
        <v>24</v>
      </c>
      <c r="M306" s="2">
        <v>45245.0</v>
      </c>
      <c r="N306" s="6" t="s">
        <v>38</v>
      </c>
      <c r="Q306" s="8" t="s">
        <v>1038</v>
      </c>
    </row>
    <row r="307">
      <c r="A307" s="7">
        <v>45232.76113398148</v>
      </c>
      <c r="B307" s="6" t="s">
        <v>1039</v>
      </c>
      <c r="C307" s="6">
        <v>9.810605236E9</v>
      </c>
      <c r="D307" s="6" t="s">
        <v>18</v>
      </c>
      <c r="E307" s="6" t="s">
        <v>55</v>
      </c>
      <c r="F307" s="6" t="s">
        <v>1040</v>
      </c>
      <c r="J307" s="6" t="s">
        <v>1028</v>
      </c>
      <c r="K307" s="6" t="s">
        <v>1029</v>
      </c>
      <c r="L307" s="6" t="s">
        <v>24</v>
      </c>
      <c r="M307" s="2">
        <v>45250.0</v>
      </c>
      <c r="N307" s="6" t="s">
        <v>38</v>
      </c>
      <c r="Q307" s="8" t="s">
        <v>1041</v>
      </c>
    </row>
    <row r="308">
      <c r="A308" s="7">
        <v>45233.49117302083</v>
      </c>
      <c r="B308" s="6" t="s">
        <v>1042</v>
      </c>
      <c r="C308" s="6">
        <v>9.810093295E9</v>
      </c>
      <c r="D308" s="6" t="s">
        <v>18</v>
      </c>
      <c r="E308" s="6" t="s">
        <v>55</v>
      </c>
      <c r="F308" s="6" t="s">
        <v>1043</v>
      </c>
      <c r="J308" s="6" t="s">
        <v>1028</v>
      </c>
      <c r="K308" s="6" t="s">
        <v>1029</v>
      </c>
      <c r="L308" s="6" t="s">
        <v>24</v>
      </c>
      <c r="M308" s="2">
        <v>45253.0</v>
      </c>
      <c r="N308" s="6" t="s">
        <v>38</v>
      </c>
      <c r="Q308" s="8" t="s">
        <v>1044</v>
      </c>
    </row>
    <row r="309">
      <c r="A309" s="7">
        <v>45233.4942599537</v>
      </c>
      <c r="B309" s="6" t="s">
        <v>1045</v>
      </c>
      <c r="C309" s="6">
        <v>9.811016739E9</v>
      </c>
      <c r="D309" s="6" t="s">
        <v>18</v>
      </c>
      <c r="E309" s="6" t="s">
        <v>55</v>
      </c>
      <c r="F309" s="6" t="s">
        <v>79</v>
      </c>
      <c r="J309" s="6" t="s">
        <v>1028</v>
      </c>
      <c r="K309" s="6" t="s">
        <v>1029</v>
      </c>
      <c r="L309" s="6" t="s">
        <v>24</v>
      </c>
      <c r="M309" s="2">
        <v>45248.0</v>
      </c>
      <c r="N309" s="6" t="s">
        <v>38</v>
      </c>
      <c r="Q309" s="8" t="s">
        <v>1046</v>
      </c>
    </row>
    <row r="310">
      <c r="A310" s="7">
        <v>45233.49948655092</v>
      </c>
      <c r="B310" s="6" t="s">
        <v>1047</v>
      </c>
      <c r="C310" s="6">
        <v>9.810795882E9</v>
      </c>
      <c r="D310" s="6" t="s">
        <v>18</v>
      </c>
      <c r="E310" s="6" t="s">
        <v>55</v>
      </c>
      <c r="F310" s="6" t="s">
        <v>79</v>
      </c>
      <c r="J310" s="6" t="s">
        <v>1028</v>
      </c>
      <c r="K310" s="6" t="s">
        <v>1029</v>
      </c>
      <c r="L310" s="6" t="s">
        <v>24</v>
      </c>
      <c r="M310" s="2">
        <v>45255.0</v>
      </c>
      <c r="N310" s="6" t="s">
        <v>38</v>
      </c>
      <c r="Q310" s="8" t="s">
        <v>1048</v>
      </c>
    </row>
    <row r="311">
      <c r="A311" s="7">
        <v>45233.57308179398</v>
      </c>
      <c r="B311" s="6" t="s">
        <v>1049</v>
      </c>
      <c r="C311" s="6">
        <v>9.911082286E9</v>
      </c>
      <c r="D311" s="6" t="s">
        <v>18</v>
      </c>
      <c r="E311" s="6" t="s">
        <v>76</v>
      </c>
      <c r="F311" s="6" t="s">
        <v>1050</v>
      </c>
      <c r="J311" s="6" t="s">
        <v>1029</v>
      </c>
      <c r="K311" s="6" t="s">
        <v>1029</v>
      </c>
      <c r="L311" s="6" t="s">
        <v>24</v>
      </c>
      <c r="M311" s="2">
        <v>45249.0</v>
      </c>
      <c r="N311" s="6" t="s">
        <v>38</v>
      </c>
      <c r="Q311" s="8" t="s">
        <v>1051</v>
      </c>
    </row>
    <row r="312">
      <c r="A312" s="7">
        <v>45233.647371018524</v>
      </c>
      <c r="B312" s="6" t="s">
        <v>1052</v>
      </c>
      <c r="C312" s="6">
        <v>9.899633303E9</v>
      </c>
      <c r="D312" s="6" t="s">
        <v>18</v>
      </c>
      <c r="E312" s="6" t="s">
        <v>1026</v>
      </c>
      <c r="F312" s="6" t="s">
        <v>1053</v>
      </c>
      <c r="J312" s="6" t="s">
        <v>1028</v>
      </c>
      <c r="K312" s="6" t="s">
        <v>1029</v>
      </c>
      <c r="L312" s="6" t="s">
        <v>24</v>
      </c>
      <c r="M312" s="2">
        <v>45249.0</v>
      </c>
      <c r="N312" s="6" t="s">
        <v>38</v>
      </c>
      <c r="Q312" s="8" t="s">
        <v>1054</v>
      </c>
    </row>
    <row r="313">
      <c r="A313" s="7">
        <v>45233.64960077546</v>
      </c>
      <c r="B313" s="6" t="s">
        <v>1055</v>
      </c>
      <c r="C313" s="6">
        <v>9.811113706E9</v>
      </c>
      <c r="D313" s="6" t="s">
        <v>18</v>
      </c>
      <c r="E313" s="6" t="s">
        <v>76</v>
      </c>
      <c r="F313" s="6" t="s">
        <v>1056</v>
      </c>
      <c r="J313" s="6" t="s">
        <v>1057</v>
      </c>
      <c r="K313" s="6" t="s">
        <v>1029</v>
      </c>
      <c r="L313" s="6" t="s">
        <v>24</v>
      </c>
      <c r="M313" s="2">
        <v>45252.0</v>
      </c>
      <c r="N313" s="6" t="s">
        <v>38</v>
      </c>
      <c r="Q313" s="8" t="s">
        <v>1058</v>
      </c>
    </row>
    <row r="314">
      <c r="A314" s="7">
        <v>45233.65159188658</v>
      </c>
      <c r="B314" s="6" t="s">
        <v>1059</v>
      </c>
      <c r="C314" s="6">
        <v>9.810064063E9</v>
      </c>
      <c r="D314" s="6" t="s">
        <v>18</v>
      </c>
      <c r="E314" s="6" t="s">
        <v>76</v>
      </c>
      <c r="F314" s="6" t="s">
        <v>1060</v>
      </c>
      <c r="J314" s="6" t="s">
        <v>1057</v>
      </c>
      <c r="K314" s="6" t="s">
        <v>1029</v>
      </c>
      <c r="L314" s="6" t="s">
        <v>24</v>
      </c>
      <c r="M314" s="2">
        <v>45255.0</v>
      </c>
      <c r="N314" s="6" t="s">
        <v>38</v>
      </c>
      <c r="Q314" s="8" t="s">
        <v>1061</v>
      </c>
    </row>
    <row r="315">
      <c r="A315" s="7">
        <v>45233.65308631945</v>
      </c>
      <c r="B315" s="6" t="s">
        <v>1062</v>
      </c>
      <c r="C315" s="6">
        <v>9.910812E9</v>
      </c>
      <c r="D315" s="6" t="s">
        <v>18</v>
      </c>
      <c r="E315" s="6" t="s">
        <v>1026</v>
      </c>
      <c r="F315" s="6" t="s">
        <v>1063</v>
      </c>
      <c r="J315" s="6" t="s">
        <v>1029</v>
      </c>
      <c r="K315" s="6" t="s">
        <v>1029</v>
      </c>
      <c r="L315" s="6" t="s">
        <v>24</v>
      </c>
      <c r="M315" s="2">
        <v>45250.0</v>
      </c>
      <c r="N315" s="6" t="s">
        <v>38</v>
      </c>
      <c r="Q315" s="8" t="s">
        <v>1064</v>
      </c>
    </row>
    <row r="316">
      <c r="A316" s="7">
        <v>45233.668798391205</v>
      </c>
      <c r="B316" s="6" t="s">
        <v>1065</v>
      </c>
      <c r="C316" s="6">
        <v>9.650778004E9</v>
      </c>
      <c r="D316" s="6" t="s">
        <v>18</v>
      </c>
      <c r="E316" s="6" t="s">
        <v>34</v>
      </c>
      <c r="F316" s="6" t="s">
        <v>1066</v>
      </c>
      <c r="J316" s="6" t="s">
        <v>1023</v>
      </c>
      <c r="K316" s="6" t="s">
        <v>1023</v>
      </c>
      <c r="L316" s="6" t="s">
        <v>24</v>
      </c>
      <c r="M316" s="2">
        <v>45250.0</v>
      </c>
      <c r="N316" s="6" t="s">
        <v>38</v>
      </c>
      <c r="Q316" s="8" t="s">
        <v>1067</v>
      </c>
    </row>
    <row r="317">
      <c r="A317" s="7">
        <v>45233.67780953704</v>
      </c>
      <c r="B317" s="6" t="s">
        <v>1068</v>
      </c>
      <c r="C317" s="6">
        <v>9.350927827E9</v>
      </c>
      <c r="D317" s="6" t="s">
        <v>18</v>
      </c>
      <c r="E317" s="6" t="s">
        <v>41</v>
      </c>
      <c r="F317" s="6" t="s">
        <v>1069</v>
      </c>
      <c r="J317" s="6" t="s">
        <v>847</v>
      </c>
      <c r="K317" s="6" t="s">
        <v>51</v>
      </c>
      <c r="L317" s="6" t="s">
        <v>24</v>
      </c>
      <c r="M317" s="2">
        <v>45245.0</v>
      </c>
      <c r="N317" s="6" t="s">
        <v>38</v>
      </c>
      <c r="Q317" s="8" t="s">
        <v>1070</v>
      </c>
    </row>
    <row r="318">
      <c r="A318" s="7">
        <v>45233.68164461806</v>
      </c>
      <c r="B318" s="6" t="s">
        <v>1071</v>
      </c>
      <c r="C318" s="6">
        <v>9.91101495E9</v>
      </c>
      <c r="D318" s="6" t="s">
        <v>18</v>
      </c>
      <c r="E318" s="6" t="s">
        <v>1026</v>
      </c>
      <c r="F318" s="6" t="s">
        <v>1072</v>
      </c>
      <c r="J318" s="6" t="s">
        <v>1028</v>
      </c>
      <c r="K318" s="6" t="s">
        <v>1029</v>
      </c>
      <c r="L318" s="6" t="s">
        <v>24</v>
      </c>
      <c r="M318" s="2">
        <v>45250.0</v>
      </c>
      <c r="N318" s="6" t="s">
        <v>38</v>
      </c>
      <c r="Q318" s="8" t="s">
        <v>1073</v>
      </c>
    </row>
    <row r="319">
      <c r="A319" s="7">
        <v>45235.679489525464</v>
      </c>
      <c r="B319" s="6" t="s">
        <v>1074</v>
      </c>
      <c r="C319" s="6">
        <v>9.81182022E9</v>
      </c>
      <c r="D319" s="6" t="s">
        <v>18</v>
      </c>
      <c r="E319" s="6" t="s">
        <v>34</v>
      </c>
      <c r="F319" s="6" t="s">
        <v>79</v>
      </c>
      <c r="I319" s="8" t="s">
        <v>1075</v>
      </c>
      <c r="J319" s="6" t="s">
        <v>1023</v>
      </c>
      <c r="K319" s="6" t="s">
        <v>1023</v>
      </c>
      <c r="L319" s="6" t="s">
        <v>24</v>
      </c>
      <c r="M319" s="2">
        <v>45250.0</v>
      </c>
      <c r="N319" s="6" t="s">
        <v>38</v>
      </c>
      <c r="O319" s="6" t="s">
        <v>1076</v>
      </c>
      <c r="Q319" s="8" t="s">
        <v>1077</v>
      </c>
    </row>
    <row r="320">
      <c r="A320" s="7">
        <v>45237.572420798606</v>
      </c>
      <c r="B320" s="6" t="s">
        <v>1078</v>
      </c>
      <c r="C320" s="6">
        <v>8.860741616E9</v>
      </c>
      <c r="D320" s="6" t="s">
        <v>18</v>
      </c>
      <c r="E320" s="6" t="s">
        <v>76</v>
      </c>
      <c r="F320" s="6" t="s">
        <v>1079</v>
      </c>
      <c r="J320" s="6" t="s">
        <v>1029</v>
      </c>
      <c r="K320" s="6" t="s">
        <v>1029</v>
      </c>
      <c r="L320" s="6" t="s">
        <v>24</v>
      </c>
      <c r="M320" s="2">
        <v>45245.0</v>
      </c>
      <c r="N320" s="6" t="s">
        <v>38</v>
      </c>
      <c r="Q320" s="8" t="s">
        <v>1080</v>
      </c>
    </row>
    <row r="321">
      <c r="A321" s="7">
        <v>45239.52630586806</v>
      </c>
      <c r="B321" s="6" t="s">
        <v>1081</v>
      </c>
      <c r="C321" s="6">
        <v>9.999477102E9</v>
      </c>
      <c r="D321" s="6" t="s">
        <v>18</v>
      </c>
      <c r="E321" s="6" t="s">
        <v>55</v>
      </c>
      <c r="F321" s="6" t="s">
        <v>1082</v>
      </c>
      <c r="I321" s="8" t="s">
        <v>1083</v>
      </c>
      <c r="J321" s="6" t="s">
        <v>1084</v>
      </c>
      <c r="K321" s="6" t="s">
        <v>1084</v>
      </c>
      <c r="L321" s="6" t="s">
        <v>24</v>
      </c>
      <c r="M321" s="2">
        <v>45250.0</v>
      </c>
      <c r="N321" s="6" t="s">
        <v>38</v>
      </c>
      <c r="Q321" s="8" t="s">
        <v>1085</v>
      </c>
    </row>
    <row r="322">
      <c r="A322" s="7">
        <v>45239.52842027778</v>
      </c>
      <c r="B322" s="6" t="s">
        <v>1086</v>
      </c>
      <c r="C322" s="6">
        <v>9.810795881E9</v>
      </c>
      <c r="D322" s="6" t="s">
        <v>18</v>
      </c>
      <c r="E322" s="6" t="s">
        <v>1087</v>
      </c>
      <c r="F322" s="6" t="s">
        <v>1088</v>
      </c>
      <c r="J322" s="6" t="s">
        <v>1029</v>
      </c>
      <c r="K322" s="6" t="s">
        <v>1029</v>
      </c>
      <c r="L322" s="6" t="s">
        <v>24</v>
      </c>
      <c r="M322" s="2">
        <v>45255.0</v>
      </c>
      <c r="N322" s="6" t="s">
        <v>38</v>
      </c>
      <c r="Q322" s="8" t="s">
        <v>1089</v>
      </c>
    </row>
    <row r="323">
      <c r="A323" s="7">
        <v>45239.53191921297</v>
      </c>
      <c r="B323" s="6" t="s">
        <v>1090</v>
      </c>
      <c r="C323" s="6" t="s">
        <v>1091</v>
      </c>
      <c r="D323" s="6" t="s">
        <v>18</v>
      </c>
      <c r="E323" s="6" t="s">
        <v>76</v>
      </c>
      <c r="F323" s="6" t="s">
        <v>1092</v>
      </c>
      <c r="J323" s="6" t="s">
        <v>1029</v>
      </c>
      <c r="K323" s="6" t="s">
        <v>1029</v>
      </c>
      <c r="L323" s="6" t="s">
        <v>24</v>
      </c>
      <c r="M323" s="2">
        <v>45255.0</v>
      </c>
      <c r="N323" s="6" t="s">
        <v>38</v>
      </c>
      <c r="Q323" s="8" t="s">
        <v>1093</v>
      </c>
    </row>
    <row r="324">
      <c r="A324" s="7">
        <v>45239.53466027778</v>
      </c>
      <c r="B324" s="6" t="s">
        <v>1042</v>
      </c>
      <c r="C324" s="6">
        <v>9.810093295E9</v>
      </c>
      <c r="D324" s="6" t="s">
        <v>18</v>
      </c>
      <c r="E324" s="6" t="s">
        <v>55</v>
      </c>
      <c r="F324" s="6" t="s">
        <v>101</v>
      </c>
      <c r="I324" s="8" t="s">
        <v>1094</v>
      </c>
      <c r="J324" s="6" t="s">
        <v>1028</v>
      </c>
      <c r="K324" s="6" t="s">
        <v>1028</v>
      </c>
      <c r="L324" s="6" t="s">
        <v>24</v>
      </c>
      <c r="M324" s="2">
        <v>45250.0</v>
      </c>
      <c r="N324" s="6" t="s">
        <v>38</v>
      </c>
      <c r="Q324" s="8" t="s">
        <v>1095</v>
      </c>
    </row>
    <row r="325">
      <c r="A325" s="7">
        <v>45239.5534047338</v>
      </c>
      <c r="B325" s="6" t="s">
        <v>1096</v>
      </c>
      <c r="C325" s="6">
        <v>9.811844156E9</v>
      </c>
      <c r="D325" s="6" t="s">
        <v>18</v>
      </c>
      <c r="E325" s="6" t="s">
        <v>76</v>
      </c>
      <c r="F325" s="6" t="s">
        <v>1097</v>
      </c>
      <c r="J325" s="6" t="s">
        <v>1028</v>
      </c>
      <c r="K325" s="6" t="s">
        <v>1028</v>
      </c>
      <c r="L325" s="6" t="s">
        <v>24</v>
      </c>
      <c r="M325" s="2">
        <v>45245.0</v>
      </c>
      <c r="N325" s="6" t="s">
        <v>38</v>
      </c>
      <c r="Q325" s="8" t="s">
        <v>1098</v>
      </c>
    </row>
    <row r="326">
      <c r="A326" s="7">
        <v>45246.64393061343</v>
      </c>
      <c r="B326" s="6" t="s">
        <v>1099</v>
      </c>
      <c r="C326" s="6">
        <v>9.891901557E9</v>
      </c>
      <c r="D326" s="6" t="s">
        <v>18</v>
      </c>
      <c r="E326" s="6" t="s">
        <v>34</v>
      </c>
      <c r="F326" s="6" t="s">
        <v>1100</v>
      </c>
      <c r="J326" s="6" t="s">
        <v>1023</v>
      </c>
      <c r="K326" s="6" t="s">
        <v>1023</v>
      </c>
      <c r="L326" s="6" t="s">
        <v>24</v>
      </c>
      <c r="M326" s="2">
        <v>45260.0</v>
      </c>
      <c r="N326" s="6" t="s">
        <v>38</v>
      </c>
      <c r="Q326" s="8" t="s">
        <v>1101</v>
      </c>
    </row>
    <row r="327">
      <c r="A327" s="7">
        <v>45246.706224375</v>
      </c>
      <c r="B327" s="6" t="s">
        <v>1102</v>
      </c>
      <c r="C327" s="6">
        <v>9.560428111E9</v>
      </c>
      <c r="D327" s="6" t="s">
        <v>18</v>
      </c>
      <c r="E327" s="6" t="s">
        <v>76</v>
      </c>
      <c r="F327" s="6" t="s">
        <v>1103</v>
      </c>
      <c r="J327" s="6" t="s">
        <v>1028</v>
      </c>
      <c r="K327" s="6" t="s">
        <v>1028</v>
      </c>
      <c r="L327" s="6" t="s">
        <v>24</v>
      </c>
      <c r="M327" s="2">
        <v>45260.0</v>
      </c>
      <c r="N327" s="6" t="s">
        <v>38</v>
      </c>
      <c r="Q327" s="8" t="s">
        <v>1104</v>
      </c>
    </row>
    <row r="328">
      <c r="A328" s="7">
        <v>45246.71356912037</v>
      </c>
      <c r="B328" s="6" t="s">
        <v>1105</v>
      </c>
      <c r="C328" s="6">
        <v>9.910107035E9</v>
      </c>
      <c r="D328" s="6" t="s">
        <v>18</v>
      </c>
      <c r="E328" s="6" t="s">
        <v>64</v>
      </c>
      <c r="F328" s="6" t="s">
        <v>1106</v>
      </c>
      <c r="J328" s="6" t="s">
        <v>1084</v>
      </c>
      <c r="K328" s="6" t="s">
        <v>1084</v>
      </c>
      <c r="L328" s="6" t="s">
        <v>24</v>
      </c>
      <c r="M328" s="2">
        <v>45260.0</v>
      </c>
      <c r="N328" s="6" t="s">
        <v>38</v>
      </c>
      <c r="Q328" s="8" t="s">
        <v>1107</v>
      </c>
    </row>
    <row r="329">
      <c r="A329" s="7">
        <v>45246.71487541667</v>
      </c>
      <c r="B329" s="6" t="s">
        <v>592</v>
      </c>
      <c r="C329" s="6">
        <v>9.899719222E9</v>
      </c>
      <c r="D329" s="6" t="s">
        <v>18</v>
      </c>
      <c r="E329" s="6" t="s">
        <v>76</v>
      </c>
      <c r="F329" s="6" t="s">
        <v>56</v>
      </c>
      <c r="J329" s="6" t="s">
        <v>1029</v>
      </c>
      <c r="K329" s="6" t="s">
        <v>1029</v>
      </c>
      <c r="L329" s="6" t="s">
        <v>24</v>
      </c>
      <c r="M329" s="2">
        <v>45260.0</v>
      </c>
      <c r="N329" s="6" t="s">
        <v>38</v>
      </c>
      <c r="Q329" s="8" t="s">
        <v>1108</v>
      </c>
    </row>
    <row r="330">
      <c r="A330" s="7">
        <v>45253.5247049537</v>
      </c>
      <c r="B330" s="6" t="s">
        <v>1109</v>
      </c>
      <c r="C330" s="6">
        <v>9.891567166E9</v>
      </c>
      <c r="D330" s="6" t="s">
        <v>18</v>
      </c>
      <c r="E330" s="6" t="s">
        <v>123</v>
      </c>
      <c r="F330" s="6" t="s">
        <v>1110</v>
      </c>
      <c r="J330" s="6" t="s">
        <v>1111</v>
      </c>
      <c r="K330" s="6" t="s">
        <v>1111</v>
      </c>
      <c r="L330" s="6" t="s">
        <v>24</v>
      </c>
      <c r="M330" s="2">
        <v>45260.0</v>
      </c>
      <c r="N330" s="6" t="s">
        <v>38</v>
      </c>
      <c r="O330" s="6" t="s">
        <v>1112</v>
      </c>
      <c r="Q330" s="8" t="s">
        <v>1113</v>
      </c>
    </row>
    <row r="331">
      <c r="A331" s="7">
        <v>45253.52654855324</v>
      </c>
      <c r="B331" s="6" t="s">
        <v>1114</v>
      </c>
      <c r="C331" s="6">
        <v>9.899771567E9</v>
      </c>
      <c r="D331" s="6" t="s">
        <v>18</v>
      </c>
      <c r="E331" s="6" t="s">
        <v>55</v>
      </c>
      <c r="F331" s="6" t="s">
        <v>1115</v>
      </c>
      <c r="J331" s="6" t="s">
        <v>1084</v>
      </c>
      <c r="K331" s="6" t="s">
        <v>1084</v>
      </c>
      <c r="L331" s="6" t="s">
        <v>24</v>
      </c>
      <c r="M331" s="2">
        <v>45260.0</v>
      </c>
      <c r="N331" s="6" t="s">
        <v>38</v>
      </c>
      <c r="Q331" s="8" t="s">
        <v>1116</v>
      </c>
    </row>
    <row r="332">
      <c r="A332" s="7">
        <v>45253.580052743055</v>
      </c>
      <c r="B332" s="6" t="s">
        <v>1042</v>
      </c>
      <c r="C332" s="6">
        <v>9.811844156E9</v>
      </c>
      <c r="D332" s="6" t="s">
        <v>18</v>
      </c>
      <c r="E332" s="6" t="s">
        <v>76</v>
      </c>
      <c r="F332" s="6" t="s">
        <v>1117</v>
      </c>
      <c r="J332" s="6" t="s">
        <v>1029</v>
      </c>
      <c r="K332" s="6" t="s">
        <v>1029</v>
      </c>
      <c r="L332" s="6" t="s">
        <v>24</v>
      </c>
      <c r="M332" s="2">
        <v>45260.0</v>
      </c>
      <c r="N332" s="6" t="s">
        <v>38</v>
      </c>
      <c r="Q332" s="8" t="s">
        <v>1118</v>
      </c>
    </row>
    <row r="333">
      <c r="A333" s="7">
        <v>45253.58287958334</v>
      </c>
      <c r="B333" s="6" t="s">
        <v>1119</v>
      </c>
      <c r="C333" s="6">
        <v>8.750047811E9</v>
      </c>
      <c r="D333" s="6" t="s">
        <v>18</v>
      </c>
      <c r="E333" s="6" t="s">
        <v>34</v>
      </c>
      <c r="F333" s="6" t="s">
        <v>1120</v>
      </c>
      <c r="J333" s="6" t="s">
        <v>1023</v>
      </c>
      <c r="K333" s="6" t="s">
        <v>1023</v>
      </c>
      <c r="L333" s="6" t="s">
        <v>24</v>
      </c>
      <c r="M333" s="2">
        <v>45260.0</v>
      </c>
      <c r="N333" s="6" t="s">
        <v>38</v>
      </c>
      <c r="Q333" s="8" t="s">
        <v>1121</v>
      </c>
    </row>
    <row r="334">
      <c r="A334" s="7">
        <v>45304.56911256944</v>
      </c>
      <c r="B334" s="6" t="s">
        <v>1122</v>
      </c>
      <c r="C334" s="6">
        <v>8.860087923E9</v>
      </c>
      <c r="D334" s="6" t="s">
        <v>18</v>
      </c>
      <c r="E334" s="6" t="s">
        <v>64</v>
      </c>
      <c r="F334" s="6" t="s">
        <v>1123</v>
      </c>
      <c r="J334" s="6" t="s">
        <v>1028</v>
      </c>
      <c r="K334" s="6" t="s">
        <v>1028</v>
      </c>
      <c r="L334" s="6" t="s">
        <v>24</v>
      </c>
      <c r="M334" s="2">
        <v>45322.0</v>
      </c>
      <c r="N334" s="6" t="s">
        <v>38</v>
      </c>
      <c r="Q334" s="8" t="s">
        <v>1124</v>
      </c>
    </row>
    <row r="335">
      <c r="A335" s="7">
        <v>45304.61002744213</v>
      </c>
      <c r="B335" s="6" t="s">
        <v>1125</v>
      </c>
      <c r="C335" s="6">
        <v>8.860741616E9</v>
      </c>
      <c r="D335" s="6" t="s">
        <v>18</v>
      </c>
      <c r="E335" s="6" t="s">
        <v>76</v>
      </c>
      <c r="F335" s="6" t="s">
        <v>20</v>
      </c>
      <c r="I335" s="8" t="s">
        <v>1126</v>
      </c>
      <c r="J335" s="6" t="s">
        <v>1084</v>
      </c>
      <c r="K335" s="6" t="s">
        <v>1084</v>
      </c>
      <c r="L335" s="6" t="s">
        <v>24</v>
      </c>
      <c r="M335" s="2">
        <v>45322.0</v>
      </c>
      <c r="N335" s="6" t="s">
        <v>38</v>
      </c>
      <c r="Q335" s="8" t="s">
        <v>1127</v>
      </c>
    </row>
    <row r="336">
      <c r="A336" s="7">
        <v>45304.65831341435</v>
      </c>
      <c r="B336" s="6" t="s">
        <v>1109</v>
      </c>
      <c r="C336" s="6">
        <v>9.801567166E9</v>
      </c>
      <c r="D336" s="6" t="s">
        <v>75</v>
      </c>
      <c r="E336" s="6" t="s">
        <v>55</v>
      </c>
      <c r="F336" s="6" t="s">
        <v>20</v>
      </c>
      <c r="H336" s="6" t="s">
        <v>1128</v>
      </c>
      <c r="I336" s="8" t="s">
        <v>1129</v>
      </c>
      <c r="J336" s="6" t="s">
        <v>1028</v>
      </c>
      <c r="K336" s="6" t="s">
        <v>1028</v>
      </c>
      <c r="L336" s="6" t="s">
        <v>24</v>
      </c>
      <c r="M336" s="2">
        <v>45322.0</v>
      </c>
      <c r="N336" s="6" t="s">
        <v>38</v>
      </c>
      <c r="Q336" s="8" t="s">
        <v>1130</v>
      </c>
    </row>
    <row r="337">
      <c r="A337" s="7">
        <v>45307.56068328704</v>
      </c>
      <c r="B337" s="6" t="s">
        <v>1131</v>
      </c>
      <c r="C337" s="6">
        <v>9.818948E9</v>
      </c>
      <c r="D337" s="6" t="s">
        <v>18</v>
      </c>
      <c r="E337" s="6" t="s">
        <v>123</v>
      </c>
      <c r="F337" s="6" t="s">
        <v>1132</v>
      </c>
      <c r="J337" s="6" t="s">
        <v>1111</v>
      </c>
      <c r="K337" s="6" t="s">
        <v>1111</v>
      </c>
      <c r="L337" s="6" t="s">
        <v>24</v>
      </c>
      <c r="M337" s="2">
        <v>45322.0</v>
      </c>
      <c r="N337" s="6" t="s">
        <v>38</v>
      </c>
      <c r="Q337" s="8" t="s">
        <v>1133</v>
      </c>
    </row>
    <row r="338">
      <c r="A338" s="7">
        <v>45307.56528631944</v>
      </c>
      <c r="B338" s="6" t="s">
        <v>1134</v>
      </c>
      <c r="C338" s="6">
        <v>9.312229038E9</v>
      </c>
      <c r="D338" s="6" t="s">
        <v>18</v>
      </c>
      <c r="E338" s="6" t="s">
        <v>34</v>
      </c>
      <c r="F338" s="6" t="s">
        <v>85</v>
      </c>
      <c r="J338" s="6" t="s">
        <v>1135</v>
      </c>
      <c r="K338" s="6" t="s">
        <v>1135</v>
      </c>
      <c r="L338" s="6" t="s">
        <v>24</v>
      </c>
      <c r="M338" s="2">
        <v>45322.0</v>
      </c>
      <c r="N338" s="6" t="s">
        <v>38</v>
      </c>
      <c r="Q338" s="8" t="s">
        <v>1136</v>
      </c>
    </row>
    <row r="339">
      <c r="A339" s="7">
        <v>45307.58408555556</v>
      </c>
      <c r="B339" s="6" t="s">
        <v>1137</v>
      </c>
      <c r="C339" s="6">
        <v>9.8100072943E10</v>
      </c>
      <c r="D339" s="6" t="s">
        <v>18</v>
      </c>
      <c r="E339" s="6" t="s">
        <v>123</v>
      </c>
      <c r="F339" s="6" t="s">
        <v>1138</v>
      </c>
      <c r="J339" s="6" t="s">
        <v>1111</v>
      </c>
      <c r="K339" s="6" t="s">
        <v>1111</v>
      </c>
      <c r="L339" s="6" t="s">
        <v>24</v>
      </c>
      <c r="M339" s="2">
        <v>45322.0</v>
      </c>
      <c r="N339" s="6" t="s">
        <v>38</v>
      </c>
      <c r="Q339" s="8" t="s">
        <v>1139</v>
      </c>
    </row>
    <row r="340">
      <c r="A340" s="7">
        <v>45307.6528974074</v>
      </c>
      <c r="B340" s="6" t="s">
        <v>1140</v>
      </c>
      <c r="C340" s="6">
        <v>8.860741616E9</v>
      </c>
      <c r="D340" s="6" t="s">
        <v>18</v>
      </c>
      <c r="E340" s="6" t="s">
        <v>55</v>
      </c>
      <c r="F340" s="6" t="s">
        <v>20</v>
      </c>
      <c r="J340" s="6" t="s">
        <v>1084</v>
      </c>
      <c r="K340" s="6" t="s">
        <v>1084</v>
      </c>
      <c r="L340" s="6" t="s">
        <v>24</v>
      </c>
      <c r="M340" s="2">
        <v>45322.0</v>
      </c>
      <c r="N340" s="6" t="s">
        <v>38</v>
      </c>
      <c r="Q340" s="8" t="s">
        <v>1141</v>
      </c>
    </row>
    <row r="341">
      <c r="A341" s="7">
        <v>45307.65876201389</v>
      </c>
      <c r="B341" s="6" t="s">
        <v>1142</v>
      </c>
      <c r="C341" s="6">
        <v>9.971700184E9</v>
      </c>
      <c r="D341" s="6" t="s">
        <v>18</v>
      </c>
      <c r="E341" s="6" t="s">
        <v>55</v>
      </c>
      <c r="F341" s="6" t="s">
        <v>188</v>
      </c>
      <c r="J341" s="6" t="s">
        <v>1028</v>
      </c>
      <c r="K341" s="6" t="s">
        <v>1028</v>
      </c>
      <c r="L341" s="6" t="s">
        <v>24</v>
      </c>
      <c r="M341" s="2">
        <v>45322.0</v>
      </c>
      <c r="N341" s="6" t="s">
        <v>38</v>
      </c>
      <c r="Q341" s="8" t="s">
        <v>1143</v>
      </c>
    </row>
    <row r="342">
      <c r="A342" s="7">
        <v>45307.66184528935</v>
      </c>
      <c r="B342" s="6" t="s">
        <v>1144</v>
      </c>
      <c r="C342" s="6">
        <v>8.800939462E9</v>
      </c>
      <c r="D342" s="6" t="s">
        <v>18</v>
      </c>
      <c r="E342" s="6" t="s">
        <v>55</v>
      </c>
      <c r="F342" s="6" t="s">
        <v>79</v>
      </c>
      <c r="J342" s="6" t="s">
        <v>1111</v>
      </c>
      <c r="K342" s="6" t="s">
        <v>1111</v>
      </c>
      <c r="L342" s="6" t="s">
        <v>24</v>
      </c>
      <c r="M342" s="2">
        <v>45322.0</v>
      </c>
      <c r="N342" s="6" t="s">
        <v>38</v>
      </c>
      <c r="Q342" s="8" t="s">
        <v>1145</v>
      </c>
    </row>
    <row r="343">
      <c r="A343" s="7">
        <v>45307.66729729167</v>
      </c>
      <c r="B343" s="6" t="s">
        <v>1146</v>
      </c>
      <c r="C343" s="6">
        <v>9.971315613E9</v>
      </c>
      <c r="D343" s="6" t="s">
        <v>18</v>
      </c>
      <c r="E343" s="6" t="s">
        <v>55</v>
      </c>
      <c r="F343" s="6" t="s">
        <v>56</v>
      </c>
      <c r="J343" s="6" t="s">
        <v>1028</v>
      </c>
      <c r="K343" s="6" t="s">
        <v>1028</v>
      </c>
      <c r="L343" s="6" t="s">
        <v>24</v>
      </c>
      <c r="M343" s="2">
        <v>45322.0</v>
      </c>
      <c r="N343" s="6" t="s">
        <v>38</v>
      </c>
      <c r="Q343" s="8" t="s">
        <v>1147</v>
      </c>
    </row>
    <row r="344">
      <c r="A344" s="7">
        <v>45307.673482060185</v>
      </c>
      <c r="B344" s="6" t="s">
        <v>1148</v>
      </c>
      <c r="C344" s="6">
        <v>9.911958928E9</v>
      </c>
      <c r="D344" s="6" t="s">
        <v>18</v>
      </c>
      <c r="E344" s="6" t="s">
        <v>76</v>
      </c>
      <c r="F344" s="6" t="s">
        <v>1149</v>
      </c>
      <c r="I344" s="8" t="s">
        <v>1150</v>
      </c>
      <c r="J344" s="6" t="s">
        <v>1028</v>
      </c>
      <c r="K344" s="6" t="s">
        <v>1028</v>
      </c>
      <c r="L344" s="6" t="s">
        <v>24</v>
      </c>
      <c r="M344" s="2">
        <v>45322.0</v>
      </c>
      <c r="N344" s="6" t="s">
        <v>38</v>
      </c>
      <c r="Q344" s="8" t="s">
        <v>1151</v>
      </c>
    </row>
    <row r="345">
      <c r="A345" s="7">
        <v>45307.67596811343</v>
      </c>
      <c r="B345" s="6" t="s">
        <v>1152</v>
      </c>
      <c r="C345" s="6">
        <v>4.379731914E9</v>
      </c>
      <c r="D345" s="6" t="s">
        <v>18</v>
      </c>
      <c r="E345" s="6" t="s">
        <v>34</v>
      </c>
      <c r="F345" s="6" t="s">
        <v>1153</v>
      </c>
      <c r="J345" s="6" t="s">
        <v>1084</v>
      </c>
      <c r="K345" s="6" t="s">
        <v>1084</v>
      </c>
      <c r="L345" s="6" t="s">
        <v>24</v>
      </c>
      <c r="M345" s="2">
        <v>45322.0</v>
      </c>
      <c r="N345" s="6" t="s">
        <v>38</v>
      </c>
      <c r="Q345" s="8" t="s">
        <v>1154</v>
      </c>
    </row>
    <row r="346">
      <c r="A346" s="7">
        <v>45307.67864856482</v>
      </c>
      <c r="B346" s="6" t="s">
        <v>1155</v>
      </c>
      <c r="C346" s="6">
        <v>9.810100011E9</v>
      </c>
      <c r="D346" s="6" t="s">
        <v>18</v>
      </c>
      <c r="E346" s="6" t="s">
        <v>55</v>
      </c>
      <c r="F346" s="6" t="s">
        <v>1156</v>
      </c>
      <c r="J346" s="6" t="s">
        <v>1111</v>
      </c>
      <c r="K346" s="6" t="s">
        <v>1111</v>
      </c>
      <c r="L346" s="6" t="s">
        <v>24</v>
      </c>
      <c r="M346" s="2">
        <v>45322.0</v>
      </c>
      <c r="N346" s="6" t="s">
        <v>38</v>
      </c>
      <c r="Q346" s="8" t="s">
        <v>1157</v>
      </c>
    </row>
    <row r="347">
      <c r="A347" s="7">
        <v>45307.68543820602</v>
      </c>
      <c r="B347" s="6" t="s">
        <v>1158</v>
      </c>
      <c r="C347" s="6">
        <v>9.891774474E9</v>
      </c>
      <c r="D347" s="6" t="s">
        <v>18</v>
      </c>
      <c r="E347" s="6" t="s">
        <v>34</v>
      </c>
      <c r="F347" s="6" t="s">
        <v>1159</v>
      </c>
      <c r="J347" s="6" t="s">
        <v>1135</v>
      </c>
      <c r="K347" s="6" t="s">
        <v>1135</v>
      </c>
      <c r="L347" s="6" t="s">
        <v>24</v>
      </c>
      <c r="M347" s="2">
        <v>45322.0</v>
      </c>
      <c r="N347" s="6" t="s">
        <v>38</v>
      </c>
      <c r="Q347" s="8" t="s">
        <v>1160</v>
      </c>
    </row>
    <row r="348">
      <c r="A348" s="7">
        <v>45307.74230608797</v>
      </c>
      <c r="B348" s="6" t="s">
        <v>1161</v>
      </c>
      <c r="C348" s="6">
        <v>8.448110443E9</v>
      </c>
      <c r="D348" s="6" t="s">
        <v>18</v>
      </c>
      <c r="E348" s="6" t="s">
        <v>55</v>
      </c>
      <c r="F348" s="6" t="s">
        <v>1162</v>
      </c>
      <c r="J348" s="6" t="s">
        <v>1028</v>
      </c>
      <c r="K348" s="6" t="s">
        <v>1028</v>
      </c>
      <c r="L348" s="6" t="s">
        <v>24</v>
      </c>
      <c r="M348" s="2">
        <v>45322.0</v>
      </c>
      <c r="N348" s="6" t="s">
        <v>38</v>
      </c>
      <c r="Q348" s="8" t="s">
        <v>1163</v>
      </c>
    </row>
    <row r="349">
      <c r="A349" s="7"/>
      <c r="M349" s="2"/>
      <c r="Q349" s="6"/>
    </row>
    <row r="350">
      <c r="A350" s="7">
        <v>45308.68636523148</v>
      </c>
      <c r="B350" s="6" t="s">
        <v>170</v>
      </c>
      <c r="C350" s="6">
        <v>8.860211768E9</v>
      </c>
      <c r="D350" s="6" t="s">
        <v>18</v>
      </c>
      <c r="E350" s="6" t="s">
        <v>55</v>
      </c>
      <c r="F350" s="6" t="s">
        <v>56</v>
      </c>
      <c r="J350" s="6" t="s">
        <v>1135</v>
      </c>
      <c r="K350" s="6" t="s">
        <v>1135</v>
      </c>
      <c r="L350" s="6" t="s">
        <v>24</v>
      </c>
      <c r="M350" s="2">
        <v>45322.0</v>
      </c>
      <c r="N350" s="6" t="s">
        <v>38</v>
      </c>
      <c r="Q350" s="8" t="s">
        <v>1164</v>
      </c>
    </row>
    <row r="351">
      <c r="A351" s="7">
        <v>45308.689778472224</v>
      </c>
      <c r="B351" s="6" t="s">
        <v>1165</v>
      </c>
      <c r="C351" s="6">
        <v>9.810068111E9</v>
      </c>
      <c r="D351" s="6" t="s">
        <v>18</v>
      </c>
      <c r="E351" s="6" t="s">
        <v>55</v>
      </c>
      <c r="F351" s="6" t="s">
        <v>1166</v>
      </c>
      <c r="J351" s="6" t="s">
        <v>37</v>
      </c>
      <c r="K351" s="6" t="s">
        <v>37</v>
      </c>
      <c r="L351" s="6" t="s">
        <v>24</v>
      </c>
      <c r="M351" s="2">
        <v>45309.0</v>
      </c>
      <c r="N351" s="6" t="s">
        <v>38</v>
      </c>
      <c r="Q351" s="8" t="s">
        <v>1167</v>
      </c>
    </row>
    <row r="352">
      <c r="A352" s="7">
        <v>45308.69872138889</v>
      </c>
      <c r="B352" s="6" t="s">
        <v>1168</v>
      </c>
      <c r="C352" s="6">
        <v>9.906900014E9</v>
      </c>
      <c r="D352" s="6" t="s">
        <v>18</v>
      </c>
      <c r="E352" s="6" t="s">
        <v>55</v>
      </c>
      <c r="F352" s="6" t="s">
        <v>1169</v>
      </c>
      <c r="J352" s="6" t="s">
        <v>1084</v>
      </c>
      <c r="K352" s="6" t="s">
        <v>1084</v>
      </c>
      <c r="L352" s="6" t="s">
        <v>24</v>
      </c>
      <c r="M352" s="2">
        <v>45321.0</v>
      </c>
      <c r="N352" s="6" t="s">
        <v>38</v>
      </c>
      <c r="Q352" s="8" t="s">
        <v>1170</v>
      </c>
    </row>
    <row r="353">
      <c r="A353" s="7">
        <v>45309.61803224537</v>
      </c>
      <c r="B353" s="6" t="s">
        <v>1171</v>
      </c>
      <c r="C353" s="6">
        <v>9.419194849E9</v>
      </c>
      <c r="D353" s="6" t="s">
        <v>18</v>
      </c>
      <c r="E353" s="6" t="s">
        <v>34</v>
      </c>
      <c r="F353" s="6" t="s">
        <v>1172</v>
      </c>
      <c r="J353" s="6" t="s">
        <v>1135</v>
      </c>
      <c r="K353" s="6" t="s">
        <v>1135</v>
      </c>
      <c r="L353" s="6" t="s">
        <v>24</v>
      </c>
      <c r="M353" s="2">
        <v>45322.0</v>
      </c>
      <c r="N353" s="6" t="s">
        <v>38</v>
      </c>
      <c r="Q353" s="8" t="s">
        <v>1173</v>
      </c>
    </row>
    <row r="354">
      <c r="A354" s="7">
        <v>45309.62376387732</v>
      </c>
      <c r="B354" s="6" t="s">
        <v>1174</v>
      </c>
      <c r="C354" s="6">
        <v>9.818695701E9</v>
      </c>
      <c r="D354" s="6" t="s">
        <v>18</v>
      </c>
      <c r="E354" s="6" t="s">
        <v>55</v>
      </c>
      <c r="F354" s="6" t="s">
        <v>1175</v>
      </c>
      <c r="J354" s="6" t="s">
        <v>1084</v>
      </c>
      <c r="K354" s="6" t="s">
        <v>1084</v>
      </c>
      <c r="L354" s="6" t="s">
        <v>24</v>
      </c>
      <c r="M354" s="2">
        <v>45322.0</v>
      </c>
      <c r="N354" s="6" t="s">
        <v>38</v>
      </c>
      <c r="Q354" s="8" t="s">
        <v>1176</v>
      </c>
    </row>
    <row r="355">
      <c r="A355" s="7">
        <v>45309.627992442125</v>
      </c>
      <c r="B355" s="6" t="s">
        <v>1177</v>
      </c>
      <c r="C355" s="6">
        <v>9.868338423E9</v>
      </c>
      <c r="D355" s="6" t="s">
        <v>18</v>
      </c>
      <c r="E355" s="6" t="s">
        <v>34</v>
      </c>
      <c r="F355" s="6" t="s">
        <v>1178</v>
      </c>
      <c r="J355" s="6" t="s">
        <v>1179</v>
      </c>
      <c r="K355" s="6" t="s">
        <v>1179</v>
      </c>
      <c r="L355" s="6" t="s">
        <v>24</v>
      </c>
      <c r="M355" s="2">
        <v>45322.0</v>
      </c>
      <c r="N355" s="6" t="s">
        <v>38</v>
      </c>
      <c r="Q355" s="8" t="s">
        <v>1180</v>
      </c>
    </row>
    <row r="356">
      <c r="A356" s="7">
        <v>45319.69412143518</v>
      </c>
      <c r="C356" s="6">
        <v>7.87609E8</v>
      </c>
      <c r="D356" s="6" t="s">
        <v>18</v>
      </c>
      <c r="E356" s="6" t="s">
        <v>55</v>
      </c>
      <c r="F356" s="6" t="s">
        <v>20</v>
      </c>
      <c r="J356" s="6" t="s">
        <v>1179</v>
      </c>
      <c r="K356" s="6" t="s">
        <v>1179</v>
      </c>
      <c r="L356" s="6" t="s">
        <v>24</v>
      </c>
      <c r="M356" s="2">
        <v>45307.0</v>
      </c>
      <c r="N356" s="6" t="s">
        <v>38</v>
      </c>
      <c r="Q356" s="8" t="s">
        <v>1181</v>
      </c>
    </row>
    <row r="357">
      <c r="A357" s="7">
        <v>45323.540669814814</v>
      </c>
      <c r="B357" s="6" t="s">
        <v>1182</v>
      </c>
      <c r="C357" s="6">
        <v>9.19910056771E11</v>
      </c>
      <c r="D357" s="6" t="s">
        <v>311</v>
      </c>
      <c r="E357" s="6" t="s">
        <v>55</v>
      </c>
      <c r="F357" s="6" t="s">
        <v>1183</v>
      </c>
      <c r="J357" s="6" t="s">
        <v>1179</v>
      </c>
      <c r="K357" s="6" t="s">
        <v>1179</v>
      </c>
      <c r="L357" s="6" t="s">
        <v>24</v>
      </c>
      <c r="M357" s="2">
        <v>45337.0</v>
      </c>
      <c r="N357" s="6" t="s">
        <v>38</v>
      </c>
      <c r="P357" s="6" t="s">
        <v>1184</v>
      </c>
      <c r="Q357" s="8" t="s">
        <v>1185</v>
      </c>
    </row>
    <row r="358">
      <c r="A358" s="7">
        <v>45323.54196569444</v>
      </c>
      <c r="B358" s="6" t="s">
        <v>1186</v>
      </c>
      <c r="C358" s="6">
        <v>9.18800374621E11</v>
      </c>
      <c r="D358" s="6" t="s">
        <v>311</v>
      </c>
      <c r="E358" s="6" t="s">
        <v>34</v>
      </c>
      <c r="F358" s="6" t="s">
        <v>1183</v>
      </c>
      <c r="J358" s="6" t="s">
        <v>1179</v>
      </c>
      <c r="K358" s="6" t="s">
        <v>1179</v>
      </c>
      <c r="L358" s="6" t="s">
        <v>24</v>
      </c>
      <c r="M358" s="2">
        <v>45337.0</v>
      </c>
      <c r="N358" s="6" t="s">
        <v>38</v>
      </c>
      <c r="P358" s="6" t="s">
        <v>1187</v>
      </c>
      <c r="Q358" s="8" t="s">
        <v>1188</v>
      </c>
    </row>
    <row r="359">
      <c r="A359" s="7">
        <v>45323.54333664352</v>
      </c>
      <c r="B359" s="6" t="s">
        <v>1189</v>
      </c>
      <c r="C359" s="6">
        <v>9.19582908403E11</v>
      </c>
      <c r="D359" s="6" t="s">
        <v>311</v>
      </c>
      <c r="E359" s="6" t="s">
        <v>34</v>
      </c>
      <c r="F359" s="6" t="s">
        <v>1183</v>
      </c>
      <c r="J359" s="6" t="s">
        <v>1179</v>
      </c>
      <c r="K359" s="6" t="s">
        <v>1179</v>
      </c>
      <c r="L359" s="6" t="s">
        <v>24</v>
      </c>
      <c r="M359" s="2">
        <v>45337.0</v>
      </c>
      <c r="N359" s="6" t="s">
        <v>38</v>
      </c>
      <c r="P359" s="6" t="s">
        <v>1190</v>
      </c>
      <c r="Q359" s="8" t="s">
        <v>1191</v>
      </c>
    </row>
    <row r="360">
      <c r="A360" s="7">
        <v>45323.54444766203</v>
      </c>
      <c r="B360" s="6" t="s">
        <v>1192</v>
      </c>
      <c r="C360" s="6">
        <v>9.1955972502E11</v>
      </c>
      <c r="D360" s="6" t="s">
        <v>311</v>
      </c>
      <c r="E360" s="6" t="s">
        <v>34</v>
      </c>
      <c r="F360" s="6" t="s">
        <v>1193</v>
      </c>
      <c r="J360" s="6" t="s">
        <v>1179</v>
      </c>
      <c r="K360" s="6" t="s">
        <v>1179</v>
      </c>
      <c r="L360" s="6" t="s">
        <v>184</v>
      </c>
      <c r="M360" s="2">
        <v>45344.0</v>
      </c>
      <c r="N360" s="6" t="s">
        <v>38</v>
      </c>
      <c r="P360" s="6" t="s">
        <v>1194</v>
      </c>
      <c r="Q360" s="8" t="s">
        <v>1195</v>
      </c>
    </row>
    <row r="361">
      <c r="A361" s="7">
        <v>45323.54543532408</v>
      </c>
      <c r="B361" s="6" t="s">
        <v>1196</v>
      </c>
      <c r="C361" s="6">
        <v>9.19870255623E11</v>
      </c>
      <c r="D361" s="6" t="s">
        <v>311</v>
      </c>
      <c r="E361" s="6" t="s">
        <v>34</v>
      </c>
      <c r="F361" s="6" t="s">
        <v>1183</v>
      </c>
      <c r="J361" s="6" t="s">
        <v>1179</v>
      </c>
      <c r="K361" s="6" t="s">
        <v>1179</v>
      </c>
      <c r="L361" s="6" t="s">
        <v>184</v>
      </c>
      <c r="M361" s="2">
        <v>45344.0</v>
      </c>
      <c r="N361" s="6" t="s">
        <v>38</v>
      </c>
      <c r="P361" s="6" t="s">
        <v>1197</v>
      </c>
      <c r="Q361" s="8" t="s">
        <v>1198</v>
      </c>
    </row>
    <row r="362">
      <c r="A362" s="7">
        <v>45323.54964293982</v>
      </c>
      <c r="B362" s="6" t="s">
        <v>1199</v>
      </c>
      <c r="C362" s="6">
        <v>9.19871276271E11</v>
      </c>
      <c r="D362" s="6" t="s">
        <v>311</v>
      </c>
      <c r="E362" s="6" t="s">
        <v>55</v>
      </c>
      <c r="F362" s="6" t="s">
        <v>1183</v>
      </c>
      <c r="J362" s="6" t="s">
        <v>1179</v>
      </c>
      <c r="K362" s="6" t="s">
        <v>1179</v>
      </c>
      <c r="L362" s="6" t="s">
        <v>184</v>
      </c>
      <c r="M362" s="2">
        <v>45337.0</v>
      </c>
      <c r="N362" s="6" t="s">
        <v>38</v>
      </c>
      <c r="P362" s="6" t="s">
        <v>1200</v>
      </c>
      <c r="Q362" s="8" t="s">
        <v>1201</v>
      </c>
    </row>
    <row r="363">
      <c r="A363" s="7">
        <v>45323.55085303241</v>
      </c>
      <c r="B363" s="6" t="s">
        <v>1202</v>
      </c>
      <c r="C363" s="6">
        <v>9.19971016813E11</v>
      </c>
      <c r="D363" s="6" t="s">
        <v>311</v>
      </c>
      <c r="E363" s="6" t="s">
        <v>34</v>
      </c>
      <c r="F363" s="6" t="s">
        <v>1183</v>
      </c>
      <c r="J363" s="6" t="s">
        <v>1179</v>
      </c>
      <c r="K363" s="6" t="s">
        <v>1179</v>
      </c>
      <c r="L363" s="6" t="s">
        <v>184</v>
      </c>
      <c r="M363" s="2">
        <v>45343.0</v>
      </c>
      <c r="N363" s="6" t="s">
        <v>38</v>
      </c>
      <c r="P363" s="6" t="s">
        <v>1203</v>
      </c>
      <c r="Q363" s="8" t="s">
        <v>1204</v>
      </c>
    </row>
    <row r="364">
      <c r="A364" s="7">
        <v>45323.55320094907</v>
      </c>
      <c r="B364" s="6" t="s">
        <v>1205</v>
      </c>
      <c r="C364" s="6">
        <v>9.18800141965E11</v>
      </c>
      <c r="D364" s="6" t="s">
        <v>311</v>
      </c>
      <c r="E364" s="6" t="s">
        <v>34</v>
      </c>
      <c r="F364" s="6" t="s">
        <v>1183</v>
      </c>
      <c r="J364" s="6" t="s">
        <v>1179</v>
      </c>
      <c r="K364" s="6" t="s">
        <v>1179</v>
      </c>
      <c r="L364" s="6" t="s">
        <v>184</v>
      </c>
      <c r="M364" s="2">
        <v>45344.0</v>
      </c>
      <c r="N364" s="6" t="s">
        <v>38</v>
      </c>
      <c r="P364" s="6" t="s">
        <v>1206</v>
      </c>
      <c r="Q364" s="8" t="s">
        <v>1207</v>
      </c>
    </row>
    <row r="365">
      <c r="A365" s="7">
        <v>45323.55414368055</v>
      </c>
      <c r="B365" s="6" t="s">
        <v>1208</v>
      </c>
      <c r="C365" s="6">
        <v>9.18882068999E11</v>
      </c>
      <c r="D365" s="6" t="s">
        <v>311</v>
      </c>
      <c r="E365" s="6" t="s">
        <v>34</v>
      </c>
      <c r="F365" s="6" t="s">
        <v>1209</v>
      </c>
      <c r="J365" s="6" t="s">
        <v>1179</v>
      </c>
      <c r="K365" s="6" t="s">
        <v>1179</v>
      </c>
      <c r="L365" s="6" t="s">
        <v>184</v>
      </c>
      <c r="M365" s="2">
        <v>45344.0</v>
      </c>
      <c r="N365" s="6" t="s">
        <v>38</v>
      </c>
      <c r="P365" s="6" t="s">
        <v>1210</v>
      </c>
      <c r="Q365" s="8" t="s">
        <v>1211</v>
      </c>
    </row>
    <row r="366">
      <c r="A366" s="7">
        <v>45323.55590050926</v>
      </c>
      <c r="B366" s="6" t="s">
        <v>1212</v>
      </c>
      <c r="C366" s="6">
        <v>9.19953083535E11</v>
      </c>
      <c r="D366" s="6" t="s">
        <v>311</v>
      </c>
      <c r="E366" s="6" t="s">
        <v>34</v>
      </c>
      <c r="F366" s="6" t="s">
        <v>1183</v>
      </c>
      <c r="J366" s="6" t="s">
        <v>1179</v>
      </c>
      <c r="K366" s="6" t="s">
        <v>1179</v>
      </c>
      <c r="L366" s="6" t="s">
        <v>184</v>
      </c>
      <c r="M366" s="2">
        <v>45344.0</v>
      </c>
      <c r="N366" s="6" t="s">
        <v>38</v>
      </c>
      <c r="P366" s="6" t="s">
        <v>1213</v>
      </c>
      <c r="Q366" s="8" t="s">
        <v>1214</v>
      </c>
    </row>
    <row r="367">
      <c r="A367" s="7">
        <v>45323.556901539356</v>
      </c>
      <c r="B367" s="6" t="s">
        <v>1215</v>
      </c>
      <c r="C367" s="6">
        <v>9.19810004128E11</v>
      </c>
      <c r="D367" s="6" t="s">
        <v>311</v>
      </c>
      <c r="E367" s="6" t="s">
        <v>34</v>
      </c>
      <c r="F367" s="6" t="s">
        <v>1183</v>
      </c>
      <c r="J367" s="6" t="s">
        <v>1179</v>
      </c>
      <c r="K367" s="6" t="s">
        <v>1179</v>
      </c>
      <c r="L367" s="6" t="s">
        <v>184</v>
      </c>
      <c r="M367" s="2">
        <v>45344.0</v>
      </c>
      <c r="N367" s="6" t="s">
        <v>38</v>
      </c>
      <c r="P367" s="6" t="s">
        <v>1216</v>
      </c>
      <c r="Q367" s="8" t="s">
        <v>1217</v>
      </c>
    </row>
    <row r="368">
      <c r="A368" s="7">
        <v>45323.55781680555</v>
      </c>
      <c r="B368" s="6" t="s">
        <v>1218</v>
      </c>
      <c r="C368" s="6">
        <v>9.19999848728E11</v>
      </c>
      <c r="D368" s="6" t="s">
        <v>311</v>
      </c>
      <c r="E368" s="6" t="s">
        <v>34</v>
      </c>
      <c r="F368" s="6" t="s">
        <v>1183</v>
      </c>
      <c r="J368" s="6" t="s">
        <v>1179</v>
      </c>
      <c r="K368" s="6" t="s">
        <v>1179</v>
      </c>
      <c r="L368" s="6" t="s">
        <v>184</v>
      </c>
      <c r="M368" s="2">
        <v>45344.0</v>
      </c>
      <c r="N368" s="6" t="s">
        <v>38</v>
      </c>
      <c r="P368" s="6" t="s">
        <v>1219</v>
      </c>
      <c r="Q368" s="8" t="s">
        <v>1220</v>
      </c>
    </row>
    <row r="369">
      <c r="A369" s="7">
        <v>45323.5597077662</v>
      </c>
      <c r="B369" s="6" t="s">
        <v>1221</v>
      </c>
      <c r="C369" s="6">
        <v>9.19313887076E11</v>
      </c>
      <c r="D369" s="6" t="s">
        <v>311</v>
      </c>
      <c r="E369" s="6" t="s">
        <v>34</v>
      </c>
      <c r="F369" s="6" t="s">
        <v>1183</v>
      </c>
      <c r="J369" s="6" t="s">
        <v>1179</v>
      </c>
      <c r="K369" s="6" t="s">
        <v>1179</v>
      </c>
      <c r="L369" s="6" t="s">
        <v>184</v>
      </c>
      <c r="M369" s="2">
        <v>45344.0</v>
      </c>
      <c r="N369" s="6" t="s">
        <v>38</v>
      </c>
      <c r="P369" s="6" t="s">
        <v>1222</v>
      </c>
      <c r="Q369" s="8" t="s">
        <v>1223</v>
      </c>
    </row>
    <row r="370">
      <c r="A370" s="7">
        <v>45323.56072903935</v>
      </c>
      <c r="B370" s="6" t="s">
        <v>1224</v>
      </c>
      <c r="C370" s="6">
        <v>9.19711308299E11</v>
      </c>
      <c r="D370" s="6" t="s">
        <v>311</v>
      </c>
      <c r="E370" s="6" t="s">
        <v>34</v>
      </c>
      <c r="F370" s="6" t="s">
        <v>1183</v>
      </c>
      <c r="J370" s="6" t="s">
        <v>1179</v>
      </c>
      <c r="K370" s="6" t="s">
        <v>1179</v>
      </c>
      <c r="L370" s="6" t="s">
        <v>184</v>
      </c>
      <c r="M370" s="2">
        <v>45343.0</v>
      </c>
      <c r="N370" s="6" t="s">
        <v>38</v>
      </c>
      <c r="P370" s="6" t="s">
        <v>1225</v>
      </c>
      <c r="Q370" s="8" t="s">
        <v>1226</v>
      </c>
    </row>
    <row r="371">
      <c r="A371" s="7">
        <v>45323.5616175926</v>
      </c>
      <c r="B371" s="6" t="s">
        <v>1227</v>
      </c>
      <c r="C371" s="6">
        <v>9.19350103745E11</v>
      </c>
      <c r="D371" s="6" t="s">
        <v>311</v>
      </c>
      <c r="E371" s="6" t="s">
        <v>34</v>
      </c>
      <c r="F371" s="6" t="s">
        <v>1183</v>
      </c>
      <c r="J371" s="6" t="s">
        <v>1179</v>
      </c>
      <c r="K371" s="6" t="s">
        <v>1179</v>
      </c>
      <c r="L371" s="6" t="s">
        <v>184</v>
      </c>
      <c r="M371" s="2">
        <v>45337.0</v>
      </c>
      <c r="N371" s="6" t="s">
        <v>38</v>
      </c>
      <c r="P371" s="6" t="s">
        <v>1228</v>
      </c>
      <c r="Q371" s="8" t="s">
        <v>1229</v>
      </c>
    </row>
    <row r="372">
      <c r="A372" s="7">
        <v>45323.562861701386</v>
      </c>
      <c r="C372" s="6">
        <v>9.17982962721E11</v>
      </c>
      <c r="D372" s="6" t="s">
        <v>75</v>
      </c>
      <c r="E372" s="6" t="s">
        <v>19</v>
      </c>
      <c r="F372" s="6" t="s">
        <v>1230</v>
      </c>
      <c r="J372" s="6" t="s">
        <v>1179</v>
      </c>
      <c r="K372" s="6" t="s">
        <v>1179</v>
      </c>
      <c r="L372" s="6" t="s">
        <v>184</v>
      </c>
      <c r="M372" s="2">
        <v>45344.0</v>
      </c>
      <c r="N372" s="6" t="s">
        <v>38</v>
      </c>
      <c r="Q372" s="8" t="s">
        <v>1231</v>
      </c>
    </row>
    <row r="373">
      <c r="A373" s="7">
        <v>45323.563475902774</v>
      </c>
      <c r="C373" s="6">
        <v>9.315558941E9</v>
      </c>
      <c r="D373" s="6" t="s">
        <v>75</v>
      </c>
      <c r="E373" s="6" t="s">
        <v>19</v>
      </c>
      <c r="F373" s="6" t="s">
        <v>1230</v>
      </c>
      <c r="J373" s="6" t="s">
        <v>1179</v>
      </c>
      <c r="K373" s="6" t="s">
        <v>1179</v>
      </c>
      <c r="L373" s="6" t="s">
        <v>184</v>
      </c>
      <c r="M373" s="2">
        <v>45337.0</v>
      </c>
      <c r="N373" s="6" t="s">
        <v>38</v>
      </c>
      <c r="Q373" s="8" t="s">
        <v>1232</v>
      </c>
    </row>
    <row r="374">
      <c r="A374" s="7">
        <v>45323.56423900463</v>
      </c>
      <c r="C374" s="6">
        <v>9.058267107E9</v>
      </c>
      <c r="D374" s="6" t="s">
        <v>75</v>
      </c>
      <c r="E374" s="6" t="s">
        <v>19</v>
      </c>
      <c r="F374" s="6" t="s">
        <v>1230</v>
      </c>
      <c r="J374" s="6" t="s">
        <v>1179</v>
      </c>
      <c r="K374" s="6" t="s">
        <v>1179</v>
      </c>
      <c r="L374" s="6" t="s">
        <v>184</v>
      </c>
      <c r="M374" s="2">
        <v>45344.0</v>
      </c>
      <c r="N374" s="6" t="s">
        <v>38</v>
      </c>
      <c r="Q374" s="8" t="s">
        <v>1233</v>
      </c>
    </row>
    <row r="375">
      <c r="A375" s="7">
        <v>45323.56498230324</v>
      </c>
      <c r="C375" s="6">
        <v>9.19999826865E11</v>
      </c>
      <c r="D375" s="6" t="s">
        <v>75</v>
      </c>
      <c r="E375" s="6" t="s">
        <v>921</v>
      </c>
      <c r="F375" s="6" t="s">
        <v>1234</v>
      </c>
      <c r="J375" s="6" t="s">
        <v>1179</v>
      </c>
      <c r="K375" s="6" t="s">
        <v>1179</v>
      </c>
      <c r="L375" s="6" t="s">
        <v>184</v>
      </c>
      <c r="M375" s="2">
        <v>45344.0</v>
      </c>
      <c r="N375" s="6" t="s">
        <v>38</v>
      </c>
      <c r="Q375" s="8" t="s">
        <v>1235</v>
      </c>
    </row>
    <row r="376">
      <c r="A376" s="7">
        <v>45323.5656952662</v>
      </c>
      <c r="C376" s="6">
        <v>9.187258113E11</v>
      </c>
      <c r="D376" s="6" t="s">
        <v>75</v>
      </c>
      <c r="E376" s="6" t="s">
        <v>19</v>
      </c>
      <c r="F376" s="6" t="s">
        <v>1236</v>
      </c>
      <c r="J376" s="6" t="s">
        <v>1179</v>
      </c>
      <c r="K376" s="6" t="s">
        <v>1179</v>
      </c>
      <c r="L376" s="6" t="s">
        <v>184</v>
      </c>
      <c r="M376" s="2">
        <v>45344.0</v>
      </c>
      <c r="N376" s="6" t="s">
        <v>38</v>
      </c>
      <c r="Q376" s="8" t="s">
        <v>1237</v>
      </c>
    </row>
    <row r="377">
      <c r="A377" s="7">
        <v>45323.56654965278</v>
      </c>
      <c r="C377" s="6">
        <v>8.851992945E9</v>
      </c>
      <c r="D377" s="6" t="s">
        <v>75</v>
      </c>
      <c r="E377" s="6" t="s">
        <v>19</v>
      </c>
      <c r="F377" s="6" t="s">
        <v>1238</v>
      </c>
      <c r="J377" s="6" t="s">
        <v>1179</v>
      </c>
      <c r="K377" s="6" t="s">
        <v>1179</v>
      </c>
      <c r="L377" s="6" t="s">
        <v>184</v>
      </c>
      <c r="M377" s="2">
        <v>45342.0</v>
      </c>
      <c r="N377" s="6" t="s">
        <v>38</v>
      </c>
      <c r="Q377" s="8" t="s">
        <v>1239</v>
      </c>
    </row>
    <row r="378">
      <c r="A378" s="7">
        <v>45323.56727151621</v>
      </c>
      <c r="C378" s="6">
        <v>9.17905832935E11</v>
      </c>
      <c r="D378" s="6" t="s">
        <v>75</v>
      </c>
      <c r="E378" s="6" t="s">
        <v>19</v>
      </c>
      <c r="F378" s="6" t="s">
        <v>1236</v>
      </c>
      <c r="J378" s="6" t="s">
        <v>1179</v>
      </c>
      <c r="K378" s="6" t="s">
        <v>1179</v>
      </c>
      <c r="L378" s="6" t="s">
        <v>184</v>
      </c>
      <c r="M378" s="2">
        <v>45344.0</v>
      </c>
      <c r="N378" s="6" t="s">
        <v>38</v>
      </c>
      <c r="Q378" s="8" t="s">
        <v>1240</v>
      </c>
    </row>
    <row r="379">
      <c r="A379" s="7">
        <v>45323.6978456713</v>
      </c>
      <c r="B379" s="6" t="s">
        <v>1241</v>
      </c>
      <c r="C379" s="6">
        <v>8.882965014E9</v>
      </c>
      <c r="D379" s="6" t="s">
        <v>18</v>
      </c>
      <c r="E379" s="6" t="s">
        <v>55</v>
      </c>
      <c r="F379" s="6" t="s">
        <v>1230</v>
      </c>
      <c r="J379" s="6" t="s">
        <v>1179</v>
      </c>
      <c r="K379" s="6" t="s">
        <v>1179</v>
      </c>
      <c r="L379" s="6" t="s">
        <v>184</v>
      </c>
      <c r="M379" s="2">
        <v>45337.0</v>
      </c>
      <c r="N379" s="6" t="s">
        <v>38</v>
      </c>
      <c r="Q379" s="8" t="s">
        <v>1242</v>
      </c>
    </row>
    <row r="380">
      <c r="A380" s="7">
        <v>45323.69937849537</v>
      </c>
      <c r="B380" s="6" t="s">
        <v>1243</v>
      </c>
      <c r="C380" s="6">
        <v>9.873237758E9</v>
      </c>
      <c r="D380" s="6" t="s">
        <v>18</v>
      </c>
      <c r="E380" s="6" t="s">
        <v>34</v>
      </c>
      <c r="F380" s="6" t="s">
        <v>1244</v>
      </c>
      <c r="J380" s="6" t="s">
        <v>1179</v>
      </c>
      <c r="K380" s="6" t="s">
        <v>1179</v>
      </c>
      <c r="L380" s="6" t="s">
        <v>184</v>
      </c>
      <c r="M380" s="2">
        <v>45344.0</v>
      </c>
      <c r="N380" s="6" t="s">
        <v>38</v>
      </c>
      <c r="Q380" s="8" t="s">
        <v>1245</v>
      </c>
    </row>
    <row r="381">
      <c r="A381" s="7">
        <v>45323.700378611116</v>
      </c>
      <c r="B381" s="6" t="s">
        <v>1246</v>
      </c>
      <c r="C381" s="6">
        <v>9.999179679E9</v>
      </c>
      <c r="D381" s="6" t="s">
        <v>18</v>
      </c>
      <c r="E381" s="6" t="s">
        <v>34</v>
      </c>
      <c r="F381" s="6" t="s">
        <v>101</v>
      </c>
      <c r="J381" s="6" t="s">
        <v>1179</v>
      </c>
      <c r="K381" s="6" t="s">
        <v>1179</v>
      </c>
      <c r="L381" s="6" t="s">
        <v>184</v>
      </c>
      <c r="M381" s="2">
        <v>45344.0</v>
      </c>
      <c r="N381" s="6" t="s">
        <v>38</v>
      </c>
      <c r="Q381" s="8" t="s">
        <v>1247</v>
      </c>
    </row>
    <row r="382">
      <c r="A382" s="7">
        <v>45323.70422804398</v>
      </c>
      <c r="B382" s="6" t="s">
        <v>1248</v>
      </c>
      <c r="C382" s="6">
        <v>9.818351405E9</v>
      </c>
      <c r="D382" s="6" t="s">
        <v>18</v>
      </c>
      <c r="E382" s="6" t="s">
        <v>34</v>
      </c>
      <c r="F382" s="6" t="s">
        <v>1249</v>
      </c>
      <c r="J382" s="6" t="s">
        <v>1179</v>
      </c>
      <c r="K382" s="6" t="s">
        <v>1179</v>
      </c>
      <c r="L382" s="6" t="s">
        <v>184</v>
      </c>
      <c r="M382" s="2">
        <v>45344.0</v>
      </c>
      <c r="N382" s="6" t="s">
        <v>38</v>
      </c>
      <c r="Q382" s="8" t="s">
        <v>1250</v>
      </c>
    </row>
    <row r="383">
      <c r="A383" s="7">
        <v>45325.70485834491</v>
      </c>
      <c r="B383" s="6" t="s">
        <v>1251</v>
      </c>
      <c r="C383" s="6">
        <v>7.838808945E9</v>
      </c>
      <c r="D383" s="6" t="s">
        <v>18</v>
      </c>
      <c r="E383" s="6" t="s">
        <v>34</v>
      </c>
      <c r="F383" s="6" t="s">
        <v>34</v>
      </c>
      <c r="J383" s="6" t="s">
        <v>1179</v>
      </c>
      <c r="K383" s="6" t="s">
        <v>1179</v>
      </c>
      <c r="L383" s="6" t="s">
        <v>184</v>
      </c>
      <c r="M383" s="2">
        <v>45339.0</v>
      </c>
      <c r="N383" s="6" t="s">
        <v>38</v>
      </c>
      <c r="Q383" s="8" t="s">
        <v>1252</v>
      </c>
    </row>
    <row r="384">
      <c r="A384" s="7">
        <v>45325.70662981481</v>
      </c>
      <c r="B384" s="6" t="s">
        <v>1253</v>
      </c>
      <c r="C384" s="6">
        <v>9.508950477E9</v>
      </c>
      <c r="D384" s="6" t="s">
        <v>18</v>
      </c>
      <c r="E384" s="6" t="s">
        <v>34</v>
      </c>
      <c r="F384" s="6" t="s">
        <v>34</v>
      </c>
      <c r="J384" s="6" t="s">
        <v>1179</v>
      </c>
      <c r="K384" s="6" t="s">
        <v>1179</v>
      </c>
      <c r="L384" s="6" t="s">
        <v>184</v>
      </c>
      <c r="M384" s="2">
        <v>45346.0</v>
      </c>
      <c r="N384" s="6" t="s">
        <v>38</v>
      </c>
      <c r="Q384" s="8" t="s">
        <v>1254</v>
      </c>
    </row>
    <row r="385">
      <c r="A385" s="7">
        <v>45325.707460509264</v>
      </c>
      <c r="B385" s="6" t="s">
        <v>1255</v>
      </c>
      <c r="C385" s="6">
        <v>7.982909025E9</v>
      </c>
      <c r="D385" s="6" t="s">
        <v>18</v>
      </c>
      <c r="E385" s="6" t="s">
        <v>34</v>
      </c>
      <c r="F385" s="6" t="s">
        <v>20</v>
      </c>
      <c r="J385" s="6" t="s">
        <v>1179</v>
      </c>
      <c r="K385" s="6" t="s">
        <v>1179</v>
      </c>
      <c r="L385" s="6" t="s">
        <v>184</v>
      </c>
      <c r="M385" s="2">
        <v>45342.0</v>
      </c>
      <c r="N385" s="6" t="s">
        <v>38</v>
      </c>
      <c r="P385" s="6" t="s">
        <v>1256</v>
      </c>
      <c r="Q385" s="8" t="s">
        <v>1257</v>
      </c>
    </row>
    <row r="386">
      <c r="A386" s="7">
        <v>45325.70842616898</v>
      </c>
      <c r="B386" s="6" t="s">
        <v>1258</v>
      </c>
      <c r="C386" s="6">
        <v>9.971997121E9</v>
      </c>
      <c r="D386" s="6" t="s">
        <v>18</v>
      </c>
      <c r="E386" s="6" t="s">
        <v>34</v>
      </c>
      <c r="F386" s="6" t="s">
        <v>34</v>
      </c>
      <c r="J386" s="6" t="s">
        <v>1179</v>
      </c>
      <c r="K386" s="6" t="s">
        <v>1179</v>
      </c>
      <c r="L386" s="6" t="s">
        <v>184</v>
      </c>
      <c r="M386" s="2">
        <v>45342.0</v>
      </c>
      <c r="N386" s="6" t="s">
        <v>38</v>
      </c>
      <c r="Q386" s="8" t="s">
        <v>1259</v>
      </c>
    </row>
    <row r="387">
      <c r="A387" s="7">
        <v>45325.709281284726</v>
      </c>
      <c r="B387" s="6" t="s">
        <v>1260</v>
      </c>
      <c r="C387" s="6">
        <v>9.310130869E9</v>
      </c>
      <c r="D387" s="6" t="s">
        <v>18</v>
      </c>
      <c r="E387" s="6" t="s">
        <v>34</v>
      </c>
      <c r="F387" s="6" t="s">
        <v>34</v>
      </c>
      <c r="J387" s="6" t="s">
        <v>1179</v>
      </c>
      <c r="K387" s="6" t="s">
        <v>1179</v>
      </c>
      <c r="L387" s="6" t="s">
        <v>184</v>
      </c>
      <c r="M387" s="2">
        <v>45342.0</v>
      </c>
      <c r="N387" s="6" t="s">
        <v>38</v>
      </c>
      <c r="Q387" s="8" t="s">
        <v>1261</v>
      </c>
    </row>
    <row r="388">
      <c r="A388" s="7">
        <v>45325.71065732639</v>
      </c>
      <c r="B388" s="6" t="s">
        <v>1262</v>
      </c>
      <c r="C388" s="6">
        <v>9.971103645E9</v>
      </c>
      <c r="D388" s="6" t="s">
        <v>18</v>
      </c>
      <c r="E388" s="6" t="s">
        <v>34</v>
      </c>
      <c r="F388" s="6" t="s">
        <v>34</v>
      </c>
      <c r="J388" s="6" t="s">
        <v>1179</v>
      </c>
      <c r="K388" s="6" t="s">
        <v>1179</v>
      </c>
      <c r="L388" s="6" t="s">
        <v>184</v>
      </c>
      <c r="M388" s="2">
        <v>45342.0</v>
      </c>
      <c r="N388" s="6" t="s">
        <v>38</v>
      </c>
      <c r="Q388" s="8" t="s">
        <v>1263</v>
      </c>
    </row>
    <row r="389">
      <c r="A389" s="7">
        <v>45325.714015868056</v>
      </c>
      <c r="B389" s="6" t="s">
        <v>1264</v>
      </c>
      <c r="C389" s="6">
        <v>9.811073069E9</v>
      </c>
      <c r="D389" s="6" t="s">
        <v>18</v>
      </c>
      <c r="E389" s="6" t="s">
        <v>34</v>
      </c>
      <c r="F389" s="6" t="s">
        <v>34</v>
      </c>
      <c r="J389" s="6" t="s">
        <v>1179</v>
      </c>
      <c r="K389" s="6" t="s">
        <v>1179</v>
      </c>
      <c r="L389" s="6" t="s">
        <v>184</v>
      </c>
      <c r="M389" s="2">
        <v>45345.0</v>
      </c>
      <c r="N389" s="6" t="s">
        <v>38</v>
      </c>
      <c r="Q389" s="8" t="s">
        <v>1265</v>
      </c>
    </row>
    <row r="390">
      <c r="A390" s="7">
        <v>45325.72334710648</v>
      </c>
      <c r="B390" s="6" t="s">
        <v>1266</v>
      </c>
      <c r="C390" s="6">
        <v>9.910228116E9</v>
      </c>
      <c r="D390" s="6" t="s">
        <v>18</v>
      </c>
      <c r="E390" s="6" t="s">
        <v>34</v>
      </c>
      <c r="F390" s="6" t="s">
        <v>1267</v>
      </c>
      <c r="J390" s="6" t="s">
        <v>1179</v>
      </c>
      <c r="K390" s="6" t="s">
        <v>1179</v>
      </c>
      <c r="L390" s="6" t="s">
        <v>184</v>
      </c>
      <c r="M390" s="2">
        <v>45346.0</v>
      </c>
      <c r="N390" s="6" t="s">
        <v>38</v>
      </c>
      <c r="Q390" s="8" t="s">
        <v>1268</v>
      </c>
    </row>
    <row r="391">
      <c r="A391" s="7">
        <v>45325.725131747684</v>
      </c>
      <c r="B391" s="6" t="s">
        <v>1269</v>
      </c>
      <c r="C391" s="6">
        <v>9.045677696E9</v>
      </c>
      <c r="D391" s="6" t="s">
        <v>18</v>
      </c>
      <c r="E391" s="6" t="s">
        <v>34</v>
      </c>
      <c r="F391" s="6" t="s">
        <v>34</v>
      </c>
      <c r="J391" s="6" t="s">
        <v>1179</v>
      </c>
      <c r="K391" s="6" t="s">
        <v>1179</v>
      </c>
      <c r="L391" s="6" t="s">
        <v>184</v>
      </c>
      <c r="M391" s="2">
        <v>45346.0</v>
      </c>
      <c r="N391" s="6" t="s">
        <v>38</v>
      </c>
      <c r="Q391" s="8" t="s">
        <v>1270</v>
      </c>
    </row>
    <row r="392">
      <c r="A392" s="7">
        <v>45325.72678045139</v>
      </c>
      <c r="B392" s="6" t="s">
        <v>1271</v>
      </c>
      <c r="C392" s="6">
        <v>9.997779146E9</v>
      </c>
      <c r="D392" s="6" t="s">
        <v>18</v>
      </c>
      <c r="E392" s="6" t="s">
        <v>34</v>
      </c>
      <c r="F392" s="6" t="s">
        <v>34</v>
      </c>
      <c r="J392" s="6" t="s">
        <v>1179</v>
      </c>
      <c r="K392" s="6" t="s">
        <v>1179</v>
      </c>
      <c r="L392" s="6" t="s">
        <v>184</v>
      </c>
      <c r="M392" s="2">
        <v>45345.0</v>
      </c>
      <c r="N392" s="6" t="s">
        <v>38</v>
      </c>
      <c r="Q392" s="8" t="s">
        <v>1272</v>
      </c>
    </row>
    <row r="393">
      <c r="A393" s="7">
        <v>45325.727821458335</v>
      </c>
      <c r="B393" s="6" t="s">
        <v>1273</v>
      </c>
      <c r="C393" s="6">
        <v>8.218135183E9</v>
      </c>
      <c r="D393" s="6" t="s">
        <v>18</v>
      </c>
      <c r="E393" s="6" t="s">
        <v>34</v>
      </c>
      <c r="F393" s="6" t="s">
        <v>34</v>
      </c>
      <c r="J393" s="6" t="s">
        <v>1179</v>
      </c>
      <c r="K393" s="6" t="s">
        <v>1179</v>
      </c>
      <c r="L393" s="6" t="s">
        <v>184</v>
      </c>
      <c r="M393" s="2">
        <v>45347.0</v>
      </c>
      <c r="N393" s="6" t="s">
        <v>38</v>
      </c>
      <c r="Q393" s="8" t="s">
        <v>1274</v>
      </c>
    </row>
    <row r="394">
      <c r="A394" s="7">
        <v>45325.72909898148</v>
      </c>
      <c r="B394" s="6" t="s">
        <v>1275</v>
      </c>
      <c r="C394" s="6">
        <v>9.65490719E9</v>
      </c>
      <c r="D394" s="6" t="s">
        <v>18</v>
      </c>
      <c r="E394" s="6" t="s">
        <v>34</v>
      </c>
      <c r="F394" s="6" t="s">
        <v>34</v>
      </c>
      <c r="J394" s="6" t="s">
        <v>1179</v>
      </c>
      <c r="K394" s="6" t="s">
        <v>1179</v>
      </c>
      <c r="L394" s="6" t="s">
        <v>184</v>
      </c>
      <c r="M394" s="2">
        <v>45347.0</v>
      </c>
      <c r="N394" s="6" t="s">
        <v>38</v>
      </c>
      <c r="Q394" s="8" t="s">
        <v>1276</v>
      </c>
    </row>
    <row r="395">
      <c r="A395" s="7">
        <v>45325.730128344905</v>
      </c>
      <c r="B395" s="6" t="s">
        <v>1277</v>
      </c>
      <c r="C395" s="6">
        <v>8.810266707E9</v>
      </c>
      <c r="D395" s="6" t="s">
        <v>18</v>
      </c>
      <c r="E395" s="6" t="s">
        <v>34</v>
      </c>
      <c r="F395" s="6" t="s">
        <v>34</v>
      </c>
      <c r="J395" s="6" t="s">
        <v>1179</v>
      </c>
      <c r="K395" s="6" t="s">
        <v>1179</v>
      </c>
      <c r="L395" s="6" t="s">
        <v>184</v>
      </c>
      <c r="M395" s="2">
        <v>45347.0</v>
      </c>
      <c r="N395" s="6" t="s">
        <v>38</v>
      </c>
      <c r="P395" s="6" t="s">
        <v>1278</v>
      </c>
      <c r="Q395" s="8" t="s">
        <v>1279</v>
      </c>
    </row>
    <row r="396">
      <c r="A396" s="7">
        <v>45325.7310190625</v>
      </c>
      <c r="B396" s="6" t="s">
        <v>1280</v>
      </c>
      <c r="C396" s="6">
        <v>8.130312E9</v>
      </c>
      <c r="D396" s="6" t="s">
        <v>18</v>
      </c>
      <c r="E396" s="6" t="s">
        <v>34</v>
      </c>
      <c r="F396" s="6" t="s">
        <v>34</v>
      </c>
      <c r="J396" s="6" t="s">
        <v>1179</v>
      </c>
      <c r="K396" s="6" t="s">
        <v>1179</v>
      </c>
      <c r="L396" s="6" t="s">
        <v>184</v>
      </c>
      <c r="M396" s="2">
        <v>45347.0</v>
      </c>
      <c r="N396" s="6" t="s">
        <v>38</v>
      </c>
      <c r="P396" s="6" t="s">
        <v>1281</v>
      </c>
      <c r="Q396" s="8" t="s">
        <v>1282</v>
      </c>
    </row>
    <row r="397">
      <c r="A397" s="7">
        <v>45325.73275473379</v>
      </c>
      <c r="B397" s="6" t="s">
        <v>1283</v>
      </c>
      <c r="C397" s="6">
        <v>9.899006886E9</v>
      </c>
      <c r="D397" s="6" t="s">
        <v>18</v>
      </c>
      <c r="E397" s="6" t="s">
        <v>34</v>
      </c>
      <c r="F397" s="6" t="s">
        <v>1284</v>
      </c>
      <c r="J397" s="6" t="s">
        <v>1179</v>
      </c>
      <c r="K397" s="6" t="s">
        <v>1179</v>
      </c>
      <c r="L397" s="6" t="s">
        <v>184</v>
      </c>
      <c r="M397" s="2">
        <v>45347.0</v>
      </c>
      <c r="N397" s="6" t="s">
        <v>38</v>
      </c>
      <c r="Q397" s="8" t="s">
        <v>1285</v>
      </c>
    </row>
    <row r="398">
      <c r="A398" s="7">
        <v>45325.73385427083</v>
      </c>
      <c r="B398" s="6" t="s">
        <v>1286</v>
      </c>
      <c r="C398" s="6">
        <v>9.810806625E9</v>
      </c>
      <c r="D398" s="6" t="s">
        <v>18</v>
      </c>
      <c r="E398" s="6" t="s">
        <v>34</v>
      </c>
      <c r="F398" s="6" t="s">
        <v>34</v>
      </c>
      <c r="J398" s="6" t="s">
        <v>1179</v>
      </c>
      <c r="K398" s="6" t="s">
        <v>1179</v>
      </c>
      <c r="L398" s="6" t="s">
        <v>184</v>
      </c>
      <c r="M398" s="2">
        <v>45347.0</v>
      </c>
      <c r="N398" s="6" t="s">
        <v>38</v>
      </c>
      <c r="Q398" s="8" t="s">
        <v>1287</v>
      </c>
    </row>
    <row r="399">
      <c r="A399" s="7">
        <v>45325.734662268515</v>
      </c>
      <c r="B399" s="6" t="s">
        <v>1288</v>
      </c>
      <c r="C399" s="6">
        <v>9.416212767E9</v>
      </c>
      <c r="D399" s="6" t="s">
        <v>18</v>
      </c>
      <c r="E399" s="6" t="s">
        <v>34</v>
      </c>
      <c r="F399" s="6" t="s">
        <v>34</v>
      </c>
      <c r="J399" s="6" t="s">
        <v>1179</v>
      </c>
      <c r="K399" s="6" t="s">
        <v>1179</v>
      </c>
      <c r="L399" s="6" t="s">
        <v>184</v>
      </c>
      <c r="M399" s="2">
        <v>45347.0</v>
      </c>
      <c r="N399" s="6" t="s">
        <v>38</v>
      </c>
      <c r="Q399" s="8" t="s">
        <v>1289</v>
      </c>
    </row>
    <row r="400">
      <c r="A400" s="7"/>
      <c r="M400" s="2"/>
    </row>
    <row r="401">
      <c r="A401" s="7">
        <v>45328.544887407406</v>
      </c>
      <c r="B401" s="6" t="s">
        <v>1290</v>
      </c>
      <c r="C401" s="6">
        <v>8.305061443E9</v>
      </c>
      <c r="D401" s="6" t="s">
        <v>18</v>
      </c>
      <c r="E401" s="6" t="s">
        <v>34</v>
      </c>
      <c r="F401" s="6" t="s">
        <v>34</v>
      </c>
      <c r="J401" s="6" t="s">
        <v>1179</v>
      </c>
      <c r="K401" s="6" t="s">
        <v>1179</v>
      </c>
      <c r="L401" s="6" t="s">
        <v>184</v>
      </c>
      <c r="M401" s="2">
        <v>45351.0</v>
      </c>
      <c r="N401" s="6" t="s">
        <v>38</v>
      </c>
      <c r="Q401" s="8" t="s">
        <v>1291</v>
      </c>
    </row>
    <row r="402">
      <c r="A402" s="7">
        <v>45328.54830722223</v>
      </c>
      <c r="B402" s="6" t="s">
        <v>1292</v>
      </c>
      <c r="C402" s="6">
        <v>9.868187296E9</v>
      </c>
      <c r="D402" s="6" t="s">
        <v>18</v>
      </c>
      <c r="E402" s="6" t="s">
        <v>34</v>
      </c>
      <c r="F402" s="6" t="s">
        <v>50</v>
      </c>
      <c r="J402" s="6" t="s">
        <v>1179</v>
      </c>
      <c r="K402" s="6" t="s">
        <v>1179</v>
      </c>
      <c r="L402" s="6" t="s">
        <v>184</v>
      </c>
      <c r="M402" s="2">
        <v>45351.0</v>
      </c>
      <c r="N402" s="6" t="s">
        <v>38</v>
      </c>
      <c r="Q402" s="8" t="s">
        <v>1293</v>
      </c>
    </row>
    <row r="403">
      <c r="A403" s="7">
        <v>45328.54964467592</v>
      </c>
      <c r="B403" s="6" t="s">
        <v>1294</v>
      </c>
      <c r="C403" s="6">
        <v>9.811202232E9</v>
      </c>
      <c r="D403" s="6" t="s">
        <v>18</v>
      </c>
      <c r="E403" s="6" t="s">
        <v>34</v>
      </c>
      <c r="F403" s="6" t="s">
        <v>34</v>
      </c>
      <c r="J403" s="6" t="s">
        <v>1179</v>
      </c>
      <c r="K403" s="6" t="s">
        <v>1179</v>
      </c>
      <c r="L403" s="6" t="s">
        <v>184</v>
      </c>
      <c r="M403" s="2">
        <v>45351.0</v>
      </c>
      <c r="N403" s="6" t="s">
        <v>38</v>
      </c>
      <c r="Q403" s="8" t="s">
        <v>1295</v>
      </c>
    </row>
    <row r="404">
      <c r="A404" s="7">
        <v>45328.55057707176</v>
      </c>
      <c r="B404" s="6" t="s">
        <v>1296</v>
      </c>
      <c r="C404" s="6">
        <v>8.587875959E9</v>
      </c>
      <c r="D404" s="6" t="s">
        <v>18</v>
      </c>
      <c r="E404" s="6" t="s">
        <v>34</v>
      </c>
      <c r="F404" s="6" t="s">
        <v>1297</v>
      </c>
      <c r="J404" s="6" t="s">
        <v>1179</v>
      </c>
      <c r="K404" s="6" t="s">
        <v>1179</v>
      </c>
      <c r="L404" s="6" t="s">
        <v>184</v>
      </c>
      <c r="M404" s="2">
        <v>45351.0</v>
      </c>
      <c r="N404" s="6" t="s">
        <v>38</v>
      </c>
      <c r="P404" s="6" t="s">
        <v>1298</v>
      </c>
      <c r="Q404" s="8" t="s">
        <v>1299</v>
      </c>
    </row>
    <row r="405">
      <c r="A405" s="7">
        <v>45328.55225064815</v>
      </c>
      <c r="B405" s="6" t="s">
        <v>1300</v>
      </c>
      <c r="C405" s="6">
        <v>9.811698569E9</v>
      </c>
      <c r="D405" s="6" t="s">
        <v>18</v>
      </c>
      <c r="E405" s="6" t="s">
        <v>34</v>
      </c>
      <c r="F405" s="6" t="s">
        <v>1301</v>
      </c>
      <c r="J405" s="6" t="s">
        <v>1179</v>
      </c>
      <c r="K405" s="6" t="s">
        <v>1179</v>
      </c>
      <c r="L405" s="6" t="s">
        <v>184</v>
      </c>
      <c r="M405" s="2">
        <v>45351.0</v>
      </c>
      <c r="N405" s="6" t="s">
        <v>38</v>
      </c>
      <c r="P405" s="6" t="s">
        <v>1302</v>
      </c>
      <c r="Q405" s="8" t="s">
        <v>1303</v>
      </c>
    </row>
    <row r="406">
      <c r="A406" s="7">
        <v>45328.55360400463</v>
      </c>
      <c r="B406" s="6" t="s">
        <v>1304</v>
      </c>
      <c r="C406" s="6">
        <v>9.868272424E9</v>
      </c>
      <c r="D406" s="6" t="s">
        <v>18</v>
      </c>
      <c r="E406" s="6" t="s">
        <v>34</v>
      </c>
      <c r="F406" s="6" t="s">
        <v>34</v>
      </c>
      <c r="J406" s="6" t="s">
        <v>1179</v>
      </c>
      <c r="K406" s="6" t="s">
        <v>1179</v>
      </c>
      <c r="L406" s="6" t="s">
        <v>184</v>
      </c>
      <c r="M406" s="2">
        <v>45351.0</v>
      </c>
      <c r="N406" s="6" t="s">
        <v>38</v>
      </c>
      <c r="Q406" s="8" t="s">
        <v>1305</v>
      </c>
    </row>
    <row r="407">
      <c r="A407" s="7">
        <v>45328.554642523144</v>
      </c>
      <c r="B407" s="6" t="s">
        <v>1306</v>
      </c>
      <c r="C407" s="6">
        <v>9.811471982E9</v>
      </c>
      <c r="D407" s="6" t="s">
        <v>18</v>
      </c>
      <c r="E407" s="6" t="s">
        <v>34</v>
      </c>
      <c r="F407" s="6" t="s">
        <v>34</v>
      </c>
      <c r="J407" s="6" t="s">
        <v>1179</v>
      </c>
      <c r="K407" s="6" t="s">
        <v>1179</v>
      </c>
      <c r="L407" s="6" t="s">
        <v>184</v>
      </c>
      <c r="M407" s="2">
        <v>45351.0</v>
      </c>
      <c r="N407" s="6" t="s">
        <v>38</v>
      </c>
      <c r="Q407" s="8" t="s">
        <v>1307</v>
      </c>
    </row>
    <row r="408">
      <c r="A408" s="7">
        <v>45328.55535555555</v>
      </c>
      <c r="B408" s="6" t="s">
        <v>1308</v>
      </c>
      <c r="C408" s="6">
        <v>9.810499331E9</v>
      </c>
      <c r="D408" s="6" t="s">
        <v>18</v>
      </c>
      <c r="E408" s="6" t="s">
        <v>34</v>
      </c>
      <c r="F408" s="6" t="s">
        <v>34</v>
      </c>
      <c r="J408" s="6" t="s">
        <v>1179</v>
      </c>
      <c r="K408" s="6" t="s">
        <v>1179</v>
      </c>
      <c r="L408" s="6" t="s">
        <v>184</v>
      </c>
      <c r="M408" s="2">
        <v>45351.0</v>
      </c>
      <c r="N408" s="6" t="s">
        <v>38</v>
      </c>
      <c r="Q408" s="8" t="s">
        <v>1309</v>
      </c>
    </row>
    <row r="409">
      <c r="A409" s="7">
        <v>45328.55634767361</v>
      </c>
      <c r="B409" s="6" t="s">
        <v>1310</v>
      </c>
      <c r="C409" s="6">
        <v>9.050618274E9</v>
      </c>
      <c r="D409" s="6" t="s">
        <v>18</v>
      </c>
      <c r="E409" s="6" t="s">
        <v>34</v>
      </c>
      <c r="F409" s="6" t="s">
        <v>101</v>
      </c>
      <c r="J409" s="6" t="s">
        <v>1179</v>
      </c>
      <c r="K409" s="6" t="s">
        <v>1179</v>
      </c>
      <c r="L409" s="6" t="s">
        <v>184</v>
      </c>
      <c r="M409" s="2">
        <v>45351.0</v>
      </c>
      <c r="N409" s="6" t="s">
        <v>38</v>
      </c>
      <c r="Q409" s="8" t="s">
        <v>1311</v>
      </c>
    </row>
    <row r="410">
      <c r="A410" s="7">
        <v>45328.55711829861</v>
      </c>
      <c r="B410" s="6" t="s">
        <v>1312</v>
      </c>
      <c r="C410" s="6">
        <v>9.718310272E9</v>
      </c>
      <c r="D410" s="6" t="s">
        <v>18</v>
      </c>
      <c r="E410" s="6" t="s">
        <v>34</v>
      </c>
      <c r="F410" s="6" t="s">
        <v>34</v>
      </c>
      <c r="J410" s="6" t="s">
        <v>1179</v>
      </c>
      <c r="K410" s="6" t="s">
        <v>1179</v>
      </c>
      <c r="L410" s="6" t="s">
        <v>184</v>
      </c>
      <c r="M410" s="2">
        <v>45351.0</v>
      </c>
      <c r="N410" s="6" t="s">
        <v>38</v>
      </c>
      <c r="P410" s="6" t="s">
        <v>1313</v>
      </c>
      <c r="Q410" s="8" t="s">
        <v>1314</v>
      </c>
    </row>
    <row r="411">
      <c r="A411" s="7">
        <v>45328.5579215162</v>
      </c>
      <c r="B411" s="6" t="s">
        <v>1315</v>
      </c>
      <c r="C411" s="6">
        <v>9.810072259E9</v>
      </c>
      <c r="D411" s="6" t="s">
        <v>18</v>
      </c>
      <c r="E411" s="6" t="s">
        <v>34</v>
      </c>
      <c r="F411" s="6" t="s">
        <v>1316</v>
      </c>
      <c r="J411" s="6" t="s">
        <v>1179</v>
      </c>
      <c r="K411" s="6" t="s">
        <v>1179</v>
      </c>
      <c r="L411" s="6" t="s">
        <v>184</v>
      </c>
      <c r="M411" s="2">
        <v>45351.0</v>
      </c>
      <c r="N411" s="6" t="s">
        <v>38</v>
      </c>
      <c r="P411" s="6" t="s">
        <v>1317</v>
      </c>
      <c r="Q411" s="8" t="s">
        <v>1318</v>
      </c>
    </row>
    <row r="412">
      <c r="A412" s="7">
        <v>45328.558806817135</v>
      </c>
      <c r="B412" s="6" t="s">
        <v>1319</v>
      </c>
      <c r="C412" s="6">
        <v>9.71102823E9</v>
      </c>
      <c r="D412" s="6" t="s">
        <v>18</v>
      </c>
      <c r="E412" s="6" t="s">
        <v>34</v>
      </c>
      <c r="F412" s="6" t="s">
        <v>1320</v>
      </c>
      <c r="J412" s="6" t="s">
        <v>1179</v>
      </c>
      <c r="K412" s="6" t="s">
        <v>1179</v>
      </c>
      <c r="L412" s="6" t="s">
        <v>184</v>
      </c>
      <c r="M412" s="2">
        <v>45351.0</v>
      </c>
      <c r="N412" s="6" t="s">
        <v>38</v>
      </c>
      <c r="Q412" s="8" t="s">
        <v>1321</v>
      </c>
    </row>
    <row r="413">
      <c r="A413" s="7">
        <v>45328.57963075231</v>
      </c>
      <c r="B413" s="6" t="s">
        <v>1322</v>
      </c>
      <c r="C413" s="6">
        <v>9.560515597E9</v>
      </c>
      <c r="D413" s="6" t="s">
        <v>18</v>
      </c>
      <c r="E413" s="6" t="s">
        <v>34</v>
      </c>
      <c r="F413" s="6" t="s">
        <v>1323</v>
      </c>
      <c r="J413" s="6" t="s">
        <v>1179</v>
      </c>
      <c r="K413" s="6" t="s">
        <v>1179</v>
      </c>
      <c r="L413" s="6" t="s">
        <v>184</v>
      </c>
      <c r="M413" s="2">
        <v>45351.0</v>
      </c>
      <c r="N413" s="6" t="s">
        <v>38</v>
      </c>
      <c r="P413" s="6" t="s">
        <v>1324</v>
      </c>
      <c r="Q413" s="8" t="s">
        <v>1325</v>
      </c>
    </row>
    <row r="414">
      <c r="A414" s="7">
        <v>45328.580644965274</v>
      </c>
      <c r="B414" s="6" t="s">
        <v>1326</v>
      </c>
      <c r="C414" s="6">
        <v>9.868150647E9</v>
      </c>
      <c r="D414" s="6" t="s">
        <v>18</v>
      </c>
      <c r="E414" s="6" t="s">
        <v>34</v>
      </c>
      <c r="F414" s="6" t="s">
        <v>34</v>
      </c>
      <c r="J414" s="6" t="s">
        <v>1179</v>
      </c>
      <c r="K414" s="6" t="s">
        <v>1179</v>
      </c>
      <c r="L414" s="6" t="s">
        <v>184</v>
      </c>
      <c r="M414" s="2">
        <v>45351.0</v>
      </c>
      <c r="N414" s="6" t="s">
        <v>38</v>
      </c>
      <c r="Q414" s="8" t="s">
        <v>1327</v>
      </c>
    </row>
    <row r="415">
      <c r="A415" s="7">
        <v>45328.58130554398</v>
      </c>
      <c r="B415" s="6" t="s">
        <v>1328</v>
      </c>
      <c r="C415" s="6">
        <v>7.862895786E9</v>
      </c>
      <c r="D415" s="6" t="s">
        <v>18</v>
      </c>
      <c r="E415" s="6" t="s">
        <v>34</v>
      </c>
      <c r="F415" s="6" t="s">
        <v>34</v>
      </c>
      <c r="J415" s="6" t="s">
        <v>1179</v>
      </c>
      <c r="K415" s="6" t="s">
        <v>1179</v>
      </c>
      <c r="L415" s="6" t="s">
        <v>184</v>
      </c>
      <c r="M415" s="2">
        <v>45351.0</v>
      </c>
      <c r="N415" s="6" t="s">
        <v>38</v>
      </c>
      <c r="Q415" s="8" t="s">
        <v>1329</v>
      </c>
    </row>
    <row r="416">
      <c r="A416" s="7">
        <v>45328.67058766204</v>
      </c>
      <c r="B416" s="6" t="s">
        <v>1283</v>
      </c>
      <c r="C416" s="6">
        <v>9.899006886E9</v>
      </c>
      <c r="D416" s="6" t="s">
        <v>18</v>
      </c>
      <c r="E416" s="6" t="s">
        <v>34</v>
      </c>
      <c r="F416" s="6" t="s">
        <v>1284</v>
      </c>
      <c r="J416" s="6" t="s">
        <v>1179</v>
      </c>
      <c r="K416" s="6" t="s">
        <v>1330</v>
      </c>
      <c r="L416" s="6" t="s">
        <v>184</v>
      </c>
      <c r="M416" s="2">
        <v>45351.0</v>
      </c>
      <c r="N416" s="6" t="s">
        <v>38</v>
      </c>
      <c r="Q416" s="8" t="s">
        <v>1331</v>
      </c>
    </row>
    <row r="417">
      <c r="A417" s="7">
        <v>45328.6731569213</v>
      </c>
      <c r="B417" s="6" t="s">
        <v>1286</v>
      </c>
      <c r="C417" s="6">
        <v>9.810806625E9</v>
      </c>
      <c r="D417" s="6" t="s">
        <v>18</v>
      </c>
      <c r="E417" s="6" t="s">
        <v>34</v>
      </c>
      <c r="F417" s="6" t="s">
        <v>34</v>
      </c>
      <c r="J417" s="6" t="s">
        <v>1179</v>
      </c>
      <c r="K417" s="6" t="s">
        <v>1330</v>
      </c>
      <c r="L417" s="6" t="s">
        <v>184</v>
      </c>
      <c r="M417" s="2">
        <v>45351.0</v>
      </c>
      <c r="N417" s="6" t="s">
        <v>38</v>
      </c>
      <c r="Q417" s="8" t="s">
        <v>1332</v>
      </c>
    </row>
    <row r="418">
      <c r="A418" s="7">
        <v>45328.68156358796</v>
      </c>
      <c r="B418" s="6" t="s">
        <v>1333</v>
      </c>
      <c r="C418" s="6">
        <v>8.953640314E9</v>
      </c>
      <c r="D418" s="6" t="s">
        <v>18</v>
      </c>
      <c r="E418" s="6" t="s">
        <v>34</v>
      </c>
      <c r="F418" s="6" t="s">
        <v>34</v>
      </c>
      <c r="J418" s="6" t="s">
        <v>1179</v>
      </c>
      <c r="K418" s="6" t="s">
        <v>1330</v>
      </c>
      <c r="L418" s="6" t="s">
        <v>184</v>
      </c>
      <c r="M418" s="2">
        <v>45351.0</v>
      </c>
      <c r="N418" s="6" t="s">
        <v>38</v>
      </c>
      <c r="Q418" s="8" t="s">
        <v>1334</v>
      </c>
    </row>
    <row r="419">
      <c r="A419" s="7">
        <v>45328.684269571764</v>
      </c>
      <c r="B419" s="6" t="s">
        <v>1335</v>
      </c>
      <c r="C419" s="6">
        <v>7.378847979E9</v>
      </c>
      <c r="D419" s="6" t="s">
        <v>18</v>
      </c>
      <c r="E419" s="6" t="s">
        <v>34</v>
      </c>
      <c r="F419" s="6" t="s">
        <v>34</v>
      </c>
      <c r="J419" s="6" t="s">
        <v>1179</v>
      </c>
      <c r="K419" s="6" t="s">
        <v>1330</v>
      </c>
      <c r="L419" s="6" t="s">
        <v>184</v>
      </c>
      <c r="M419" s="2">
        <v>45344.0</v>
      </c>
      <c r="N419" s="6" t="s">
        <v>38</v>
      </c>
      <c r="Q419" s="8" t="s">
        <v>1336</v>
      </c>
    </row>
    <row r="420">
      <c r="A420" s="7">
        <v>45328.692380312496</v>
      </c>
      <c r="B420" s="6" t="s">
        <v>1337</v>
      </c>
      <c r="C420" s="6">
        <v>9.717514559E9</v>
      </c>
      <c r="D420" s="6" t="s">
        <v>18</v>
      </c>
      <c r="E420" s="6" t="s">
        <v>34</v>
      </c>
      <c r="F420" s="6" t="s">
        <v>34</v>
      </c>
      <c r="J420" s="6" t="s">
        <v>1179</v>
      </c>
      <c r="K420" s="6" t="s">
        <v>1330</v>
      </c>
      <c r="L420" s="6" t="s">
        <v>184</v>
      </c>
      <c r="M420" s="2">
        <v>45351.0</v>
      </c>
      <c r="N420" s="6" t="s">
        <v>38</v>
      </c>
      <c r="Q420" s="8" t="s">
        <v>1338</v>
      </c>
    </row>
    <row r="421">
      <c r="A421" s="7">
        <v>45328.69414196759</v>
      </c>
      <c r="B421" s="6" t="s">
        <v>1339</v>
      </c>
      <c r="C421" s="6">
        <v>8.860211768E9</v>
      </c>
      <c r="D421" s="6" t="s">
        <v>18</v>
      </c>
      <c r="E421" s="6" t="s">
        <v>34</v>
      </c>
      <c r="F421" s="6" t="s">
        <v>34</v>
      </c>
      <c r="J421" s="6" t="s">
        <v>1179</v>
      </c>
      <c r="K421" s="6" t="s">
        <v>1330</v>
      </c>
      <c r="L421" s="6" t="s">
        <v>184</v>
      </c>
      <c r="M421" s="2">
        <v>45351.0</v>
      </c>
      <c r="N421" s="6" t="s">
        <v>38</v>
      </c>
      <c r="Q421" s="8" t="s">
        <v>1340</v>
      </c>
    </row>
    <row r="422">
      <c r="A422" s="7">
        <v>45328.695313495366</v>
      </c>
      <c r="B422" s="6" t="s">
        <v>1341</v>
      </c>
      <c r="C422" s="6">
        <v>8.13049915E9</v>
      </c>
      <c r="D422" s="6" t="s">
        <v>18</v>
      </c>
      <c r="E422" s="6" t="s">
        <v>34</v>
      </c>
      <c r="F422" s="6" t="s">
        <v>34</v>
      </c>
      <c r="J422" s="6" t="s">
        <v>1179</v>
      </c>
      <c r="K422" s="6" t="s">
        <v>1330</v>
      </c>
      <c r="L422" s="6" t="s">
        <v>184</v>
      </c>
      <c r="N422" s="6" t="s">
        <v>38</v>
      </c>
      <c r="Q422" s="8" t="s">
        <v>1342</v>
      </c>
    </row>
    <row r="423">
      <c r="A423" s="7">
        <v>45329.70899944444</v>
      </c>
      <c r="C423" s="6">
        <v>9.17456033646E11</v>
      </c>
      <c r="D423" s="6" t="s">
        <v>311</v>
      </c>
      <c r="E423" s="6" t="s">
        <v>921</v>
      </c>
      <c r="F423" s="6" t="s">
        <v>1343</v>
      </c>
      <c r="J423" s="6" t="s">
        <v>1111</v>
      </c>
      <c r="K423" s="6" t="s">
        <v>1111</v>
      </c>
      <c r="L423" s="6" t="s">
        <v>184</v>
      </c>
      <c r="M423" s="2">
        <v>45351.0</v>
      </c>
      <c r="N423" s="6" t="s">
        <v>38</v>
      </c>
      <c r="Q423" s="8" t="s">
        <v>1344</v>
      </c>
    </row>
    <row r="424">
      <c r="A424" s="7">
        <v>45329.710175995366</v>
      </c>
      <c r="C424" s="6">
        <v>9.17428274451E11</v>
      </c>
      <c r="D424" s="6" t="s">
        <v>18</v>
      </c>
      <c r="E424" s="6" t="s">
        <v>921</v>
      </c>
      <c r="F424" s="6" t="s">
        <v>1345</v>
      </c>
      <c r="J424" s="6" t="s">
        <v>1111</v>
      </c>
      <c r="K424" s="6" t="s">
        <v>1111</v>
      </c>
      <c r="L424" s="6" t="s">
        <v>184</v>
      </c>
      <c r="M424" s="2">
        <v>45351.0</v>
      </c>
      <c r="N424" s="6" t="s">
        <v>38</v>
      </c>
      <c r="Q424" s="8" t="s">
        <v>1346</v>
      </c>
    </row>
    <row r="425">
      <c r="A425" s="7">
        <v>45329.71150770833</v>
      </c>
      <c r="C425" s="6">
        <v>9.19045610159E11</v>
      </c>
      <c r="D425" s="6" t="s">
        <v>18</v>
      </c>
      <c r="E425" s="6" t="s">
        <v>1347</v>
      </c>
      <c r="F425" s="6" t="s">
        <v>1348</v>
      </c>
      <c r="J425" s="6" t="s">
        <v>1111</v>
      </c>
      <c r="K425" s="6" t="s">
        <v>1111</v>
      </c>
      <c r="L425" s="6" t="s">
        <v>184</v>
      </c>
      <c r="M425" s="2">
        <v>45351.0</v>
      </c>
      <c r="N425" s="6" t="s">
        <v>38</v>
      </c>
      <c r="Q425" s="8" t="s">
        <v>1349</v>
      </c>
    </row>
    <row r="426">
      <c r="A426" s="7">
        <v>45329.71257053241</v>
      </c>
      <c r="C426" s="6">
        <v>9.1707301086E11</v>
      </c>
      <c r="D426" s="6" t="s">
        <v>75</v>
      </c>
      <c r="E426" s="6" t="s">
        <v>921</v>
      </c>
      <c r="F426" s="6" t="s">
        <v>1348</v>
      </c>
      <c r="J426" s="6" t="s">
        <v>1111</v>
      </c>
      <c r="K426" s="6" t="s">
        <v>1111</v>
      </c>
      <c r="L426" s="6" t="s">
        <v>184</v>
      </c>
      <c r="M426" s="2">
        <v>45351.0</v>
      </c>
      <c r="N426" s="6" t="s">
        <v>38</v>
      </c>
      <c r="Q426" s="8" t="s">
        <v>1350</v>
      </c>
    </row>
    <row r="427">
      <c r="A427" s="7">
        <v>45329.71341560185</v>
      </c>
      <c r="C427" s="6">
        <v>8.13049915E9</v>
      </c>
      <c r="D427" s="6" t="s">
        <v>75</v>
      </c>
      <c r="E427" s="6" t="s">
        <v>921</v>
      </c>
      <c r="F427" s="6" t="s">
        <v>1348</v>
      </c>
      <c r="J427" s="6" t="s">
        <v>1111</v>
      </c>
      <c r="K427" s="6" t="s">
        <v>1111</v>
      </c>
      <c r="L427" s="6" t="s">
        <v>184</v>
      </c>
      <c r="M427" s="2">
        <v>45351.0</v>
      </c>
      <c r="N427" s="6" t="s">
        <v>38</v>
      </c>
      <c r="Q427" s="8" t="s">
        <v>1351</v>
      </c>
    </row>
    <row r="428">
      <c r="A428" s="7">
        <v>45329.71448228009</v>
      </c>
      <c r="C428" s="6">
        <v>9.18475072134E11</v>
      </c>
      <c r="D428" s="6" t="s">
        <v>75</v>
      </c>
      <c r="E428" s="6" t="s">
        <v>921</v>
      </c>
      <c r="F428" s="6" t="s">
        <v>1348</v>
      </c>
      <c r="J428" s="6" t="s">
        <v>1111</v>
      </c>
      <c r="K428" s="6" t="s">
        <v>1111</v>
      </c>
      <c r="L428" s="6" t="s">
        <v>184</v>
      </c>
      <c r="M428" s="2">
        <v>45351.0</v>
      </c>
      <c r="N428" s="6" t="s">
        <v>38</v>
      </c>
      <c r="Q428" s="8" t="s">
        <v>1352</v>
      </c>
    </row>
    <row r="429">
      <c r="A429" s="7">
        <v>45329.71551364583</v>
      </c>
      <c r="C429" s="6">
        <v>9.18178212608E11</v>
      </c>
      <c r="D429" s="6" t="s">
        <v>75</v>
      </c>
      <c r="E429" s="6" t="s">
        <v>921</v>
      </c>
      <c r="F429" s="6" t="s">
        <v>1348</v>
      </c>
      <c r="J429" s="6" t="s">
        <v>1111</v>
      </c>
      <c r="K429" s="6" t="s">
        <v>1111</v>
      </c>
      <c r="L429" s="6" t="s">
        <v>184</v>
      </c>
      <c r="M429" s="2">
        <v>45351.0</v>
      </c>
      <c r="N429" s="6" t="s">
        <v>38</v>
      </c>
      <c r="Q429" s="8" t="s">
        <v>1353</v>
      </c>
    </row>
    <row r="430">
      <c r="A430" s="7">
        <v>45329.71644804398</v>
      </c>
      <c r="C430" s="6">
        <v>9.18958732654E11</v>
      </c>
      <c r="D430" s="6" t="s">
        <v>75</v>
      </c>
      <c r="E430" s="6" t="s">
        <v>921</v>
      </c>
      <c r="F430" s="6" t="s">
        <v>1348</v>
      </c>
      <c r="J430" s="6" t="s">
        <v>1111</v>
      </c>
      <c r="K430" s="6" t="s">
        <v>1111</v>
      </c>
      <c r="L430" s="6" t="s">
        <v>184</v>
      </c>
      <c r="M430" s="2">
        <v>45351.0</v>
      </c>
      <c r="N430" s="6" t="s">
        <v>38</v>
      </c>
      <c r="Q430" s="8" t="s">
        <v>1354</v>
      </c>
    </row>
    <row r="431">
      <c r="A431" s="7">
        <v>45329.71751938657</v>
      </c>
      <c r="C431" s="6">
        <v>9.193771001E11</v>
      </c>
      <c r="D431" s="6" t="s">
        <v>75</v>
      </c>
      <c r="E431" s="6" t="s">
        <v>921</v>
      </c>
      <c r="F431" s="6" t="s">
        <v>1348</v>
      </c>
      <c r="J431" s="6" t="s">
        <v>1111</v>
      </c>
      <c r="K431" s="6" t="s">
        <v>1111</v>
      </c>
      <c r="L431" s="6" t="s">
        <v>184</v>
      </c>
      <c r="M431" s="2">
        <v>45351.0</v>
      </c>
      <c r="N431" s="6" t="s">
        <v>38</v>
      </c>
      <c r="Q431" s="8" t="s">
        <v>1355</v>
      </c>
    </row>
    <row r="432">
      <c r="A432" s="7">
        <v>45329.71825820602</v>
      </c>
      <c r="C432" s="6">
        <v>9.17999340144E11</v>
      </c>
      <c r="D432" s="6" t="s">
        <v>75</v>
      </c>
      <c r="E432" s="6" t="s">
        <v>921</v>
      </c>
      <c r="F432" s="6" t="s">
        <v>1348</v>
      </c>
      <c r="J432" s="6" t="s">
        <v>1111</v>
      </c>
      <c r="K432" s="6" t="s">
        <v>1111</v>
      </c>
      <c r="L432" s="6" t="s">
        <v>184</v>
      </c>
      <c r="M432" s="2">
        <v>45351.0</v>
      </c>
      <c r="N432" s="6" t="s">
        <v>38</v>
      </c>
      <c r="Q432" s="8" t="s">
        <v>1356</v>
      </c>
    </row>
    <row r="433">
      <c r="A433" s="7">
        <v>45329.719146724536</v>
      </c>
      <c r="C433" s="6">
        <v>9.19971736893E11</v>
      </c>
      <c r="D433" s="6" t="s">
        <v>75</v>
      </c>
      <c r="E433" s="6" t="s">
        <v>921</v>
      </c>
      <c r="F433" s="6" t="s">
        <v>1348</v>
      </c>
      <c r="J433" s="6" t="s">
        <v>1111</v>
      </c>
      <c r="K433" s="6" t="s">
        <v>1111</v>
      </c>
      <c r="L433" s="6" t="s">
        <v>184</v>
      </c>
      <c r="M433" s="2">
        <v>45351.0</v>
      </c>
      <c r="N433" s="6" t="s">
        <v>38</v>
      </c>
      <c r="Q433" s="8" t="s">
        <v>1357</v>
      </c>
    </row>
    <row r="434">
      <c r="A434" s="7">
        <v>45329.71994589121</v>
      </c>
      <c r="C434" s="6">
        <v>9.19453927824E11</v>
      </c>
      <c r="D434" s="6" t="s">
        <v>75</v>
      </c>
      <c r="E434" s="6" t="s">
        <v>921</v>
      </c>
      <c r="F434" s="6" t="s">
        <v>1348</v>
      </c>
      <c r="J434" s="6" t="s">
        <v>1111</v>
      </c>
      <c r="K434" s="6" t="s">
        <v>1111</v>
      </c>
      <c r="L434" s="6" t="s">
        <v>184</v>
      </c>
      <c r="M434" s="2">
        <v>45351.0</v>
      </c>
      <c r="N434" s="6" t="s">
        <v>38</v>
      </c>
      <c r="Q434" s="8" t="s">
        <v>1358</v>
      </c>
    </row>
    <row r="435">
      <c r="A435" s="7">
        <v>45329.72735385416</v>
      </c>
      <c r="C435" s="6">
        <v>9.19758368612E11</v>
      </c>
      <c r="D435" s="6" t="s">
        <v>75</v>
      </c>
      <c r="E435" s="6" t="s">
        <v>921</v>
      </c>
      <c r="F435" s="6" t="s">
        <v>1348</v>
      </c>
      <c r="J435" s="6" t="s">
        <v>1111</v>
      </c>
      <c r="K435" s="6" t="s">
        <v>1111</v>
      </c>
      <c r="L435" s="6" t="s">
        <v>184</v>
      </c>
      <c r="M435" s="2">
        <v>45351.0</v>
      </c>
      <c r="N435" s="6" t="s">
        <v>38</v>
      </c>
      <c r="Q435" s="8" t="s">
        <v>1359</v>
      </c>
    </row>
    <row r="436">
      <c r="A436" s="7">
        <v>45329.728500729165</v>
      </c>
      <c r="C436" s="6">
        <v>8.287249453E9</v>
      </c>
      <c r="D436" s="6" t="s">
        <v>75</v>
      </c>
      <c r="E436" s="6" t="s">
        <v>921</v>
      </c>
      <c r="F436" s="6" t="s">
        <v>1348</v>
      </c>
      <c r="J436" s="6" t="s">
        <v>1111</v>
      </c>
      <c r="K436" s="6" t="s">
        <v>1111</v>
      </c>
      <c r="L436" s="6" t="s">
        <v>184</v>
      </c>
      <c r="M436" s="2">
        <v>45351.0</v>
      </c>
      <c r="N436" s="6" t="s">
        <v>38</v>
      </c>
      <c r="Q436" s="8" t="s">
        <v>1360</v>
      </c>
    </row>
    <row r="437">
      <c r="A437" s="7">
        <v>45329.72926583333</v>
      </c>
      <c r="C437" s="6">
        <v>9.654380044E9</v>
      </c>
      <c r="D437" s="6" t="s">
        <v>75</v>
      </c>
      <c r="E437" s="6" t="s">
        <v>921</v>
      </c>
      <c r="F437" s="6" t="s">
        <v>1348</v>
      </c>
      <c r="J437" s="6" t="s">
        <v>1111</v>
      </c>
      <c r="K437" s="6" t="s">
        <v>1111</v>
      </c>
      <c r="L437" s="6" t="s">
        <v>184</v>
      </c>
      <c r="M437" s="2">
        <v>45351.0</v>
      </c>
      <c r="N437" s="6" t="s">
        <v>38</v>
      </c>
      <c r="Q437" s="8" t="s">
        <v>1361</v>
      </c>
    </row>
    <row r="438">
      <c r="A438" s="7">
        <v>45329.730538020835</v>
      </c>
      <c r="C438" s="6">
        <v>9.18527993781E11</v>
      </c>
      <c r="D438" s="6" t="s">
        <v>75</v>
      </c>
      <c r="E438" s="6" t="s">
        <v>921</v>
      </c>
      <c r="F438" s="6" t="s">
        <v>1348</v>
      </c>
      <c r="J438" s="6" t="s">
        <v>1111</v>
      </c>
      <c r="K438" s="6" t="s">
        <v>1111</v>
      </c>
      <c r="L438" s="6" t="s">
        <v>184</v>
      </c>
      <c r="M438" s="2">
        <v>45351.0</v>
      </c>
      <c r="N438" s="6" t="s">
        <v>38</v>
      </c>
      <c r="Q438" s="8" t="s">
        <v>1362</v>
      </c>
    </row>
    <row r="439">
      <c r="A439" s="7">
        <v>45329.73119560185</v>
      </c>
      <c r="C439" s="6">
        <v>9.19829004102E11</v>
      </c>
      <c r="D439" s="6" t="s">
        <v>75</v>
      </c>
      <c r="E439" s="6" t="s">
        <v>921</v>
      </c>
      <c r="F439" s="6" t="s">
        <v>1348</v>
      </c>
      <c r="J439" s="6" t="s">
        <v>1111</v>
      </c>
      <c r="K439" s="6" t="s">
        <v>1111</v>
      </c>
      <c r="L439" s="6" t="s">
        <v>184</v>
      </c>
      <c r="M439" s="2">
        <v>45351.0</v>
      </c>
      <c r="N439" s="6" t="s">
        <v>38</v>
      </c>
      <c r="Q439" s="8" t="s">
        <v>1363</v>
      </c>
    </row>
    <row r="440">
      <c r="A440" s="7">
        <v>45329.732004618054</v>
      </c>
      <c r="C440" s="6">
        <v>9.192052625E11</v>
      </c>
      <c r="D440" s="6" t="s">
        <v>75</v>
      </c>
      <c r="E440" s="6" t="s">
        <v>921</v>
      </c>
      <c r="F440" s="6" t="s">
        <v>1348</v>
      </c>
      <c r="J440" s="6" t="s">
        <v>1111</v>
      </c>
      <c r="K440" s="6" t="s">
        <v>1111</v>
      </c>
      <c r="L440" s="6" t="s">
        <v>184</v>
      </c>
      <c r="M440" s="2">
        <v>45351.0</v>
      </c>
      <c r="N440" s="6" t="s">
        <v>38</v>
      </c>
      <c r="Q440" s="8" t="s">
        <v>1364</v>
      </c>
    </row>
    <row r="441">
      <c r="A441" s="7">
        <v>45329.73317673611</v>
      </c>
      <c r="C441" s="6">
        <v>9.16395460655E11</v>
      </c>
      <c r="D441" s="6" t="s">
        <v>75</v>
      </c>
      <c r="E441" s="6" t="s">
        <v>921</v>
      </c>
      <c r="F441" s="6" t="s">
        <v>1348</v>
      </c>
      <c r="J441" s="6" t="s">
        <v>1111</v>
      </c>
      <c r="K441" s="6" t="s">
        <v>1111</v>
      </c>
      <c r="L441" s="6" t="s">
        <v>184</v>
      </c>
      <c r="M441" s="2">
        <v>45351.0</v>
      </c>
      <c r="N441" s="6" t="s">
        <v>38</v>
      </c>
      <c r="Q441" s="8" t="s">
        <v>1365</v>
      </c>
    </row>
    <row r="442">
      <c r="A442" s="7">
        <v>45329.73443783565</v>
      </c>
      <c r="C442" s="6">
        <v>9.19685607392E11</v>
      </c>
      <c r="D442" s="6" t="s">
        <v>75</v>
      </c>
      <c r="E442" s="6" t="s">
        <v>1347</v>
      </c>
      <c r="F442" s="6" t="s">
        <v>1348</v>
      </c>
      <c r="J442" s="6" t="s">
        <v>1111</v>
      </c>
      <c r="K442" s="6" t="s">
        <v>1111</v>
      </c>
      <c r="L442" s="6" t="s">
        <v>184</v>
      </c>
      <c r="M442" s="2">
        <v>45351.0</v>
      </c>
      <c r="N442" s="6" t="s">
        <v>38</v>
      </c>
      <c r="Q442" s="8" t="s">
        <v>1366</v>
      </c>
    </row>
    <row r="443">
      <c r="A443" s="7">
        <v>45329.735504282406</v>
      </c>
      <c r="C443" s="6">
        <v>9.18953640314E11</v>
      </c>
      <c r="D443" s="6" t="s">
        <v>75</v>
      </c>
      <c r="E443" s="6" t="s">
        <v>921</v>
      </c>
      <c r="F443" s="6" t="s">
        <v>1348</v>
      </c>
      <c r="J443" s="6" t="s">
        <v>1367</v>
      </c>
      <c r="K443" s="6" t="s">
        <v>1367</v>
      </c>
      <c r="L443" s="6" t="s">
        <v>184</v>
      </c>
      <c r="M443" s="2">
        <v>45351.0</v>
      </c>
      <c r="N443" s="6" t="s">
        <v>38</v>
      </c>
      <c r="Q443" s="8" t="s">
        <v>1368</v>
      </c>
    </row>
    <row r="444">
      <c r="A444" s="7">
        <v>45329.736409537036</v>
      </c>
      <c r="C444" s="6">
        <v>9.1998313523E11</v>
      </c>
      <c r="D444" s="6" t="s">
        <v>75</v>
      </c>
      <c r="E444" s="6" t="s">
        <v>921</v>
      </c>
      <c r="F444" s="6" t="s">
        <v>1348</v>
      </c>
      <c r="J444" s="6" t="s">
        <v>1367</v>
      </c>
      <c r="K444" s="6" t="s">
        <v>1367</v>
      </c>
      <c r="L444" s="6" t="s">
        <v>184</v>
      </c>
      <c r="M444" s="2">
        <v>45351.0</v>
      </c>
      <c r="N444" s="6" t="s">
        <v>38</v>
      </c>
      <c r="Q444" s="8" t="s">
        <v>1369</v>
      </c>
    </row>
    <row r="445">
      <c r="A445" s="7">
        <v>45329.737298645836</v>
      </c>
      <c r="C445" s="6">
        <v>9.18439294084E11</v>
      </c>
      <c r="D445" s="6" t="s">
        <v>75</v>
      </c>
      <c r="E445" s="6" t="s">
        <v>921</v>
      </c>
      <c r="F445" s="6" t="s">
        <v>1348</v>
      </c>
      <c r="J445" s="6" t="s">
        <v>1367</v>
      </c>
      <c r="K445" s="6" t="s">
        <v>1367</v>
      </c>
      <c r="L445" s="6" t="s">
        <v>184</v>
      </c>
      <c r="M445" s="2">
        <v>45351.0</v>
      </c>
      <c r="N445" s="6" t="s">
        <v>38</v>
      </c>
      <c r="Q445" s="8" t="s">
        <v>1370</v>
      </c>
    </row>
    <row r="446">
      <c r="A446" s="7">
        <v>45329.74287449074</v>
      </c>
      <c r="C446" s="6">
        <v>9.19599227783E11</v>
      </c>
      <c r="D446" s="6" t="s">
        <v>75</v>
      </c>
      <c r="E446" s="6" t="s">
        <v>921</v>
      </c>
      <c r="F446" s="6" t="s">
        <v>1348</v>
      </c>
      <c r="J446" s="6" t="s">
        <v>1367</v>
      </c>
      <c r="K446" s="6" t="s">
        <v>1367</v>
      </c>
      <c r="L446" s="6" t="s">
        <v>184</v>
      </c>
      <c r="M446" s="2">
        <v>45351.0</v>
      </c>
      <c r="N446" s="6" t="s">
        <v>38</v>
      </c>
      <c r="Q446" s="8" t="s">
        <v>1371</v>
      </c>
    </row>
    <row r="447">
      <c r="A447" s="7">
        <v>45329.74458483796</v>
      </c>
      <c r="C447" s="6">
        <v>9.18901035974E11</v>
      </c>
      <c r="D447" s="6" t="s">
        <v>75</v>
      </c>
      <c r="E447" s="6" t="s">
        <v>921</v>
      </c>
      <c r="F447" s="6" t="s">
        <v>1348</v>
      </c>
      <c r="J447" s="6" t="s">
        <v>1367</v>
      </c>
      <c r="K447" s="6" t="s">
        <v>1367</v>
      </c>
      <c r="L447" s="6" t="s">
        <v>184</v>
      </c>
      <c r="M447" s="2">
        <v>45351.0</v>
      </c>
      <c r="N447" s="6" t="s">
        <v>38</v>
      </c>
      <c r="Q447" s="8" t="s">
        <v>1372</v>
      </c>
    </row>
    <row r="448">
      <c r="A448" s="7">
        <v>45329.745304386575</v>
      </c>
      <c r="C448" s="6">
        <v>9.18057459326E11</v>
      </c>
      <c r="D448" s="6" t="s">
        <v>75</v>
      </c>
      <c r="E448" s="6" t="s">
        <v>921</v>
      </c>
      <c r="F448" s="6" t="s">
        <v>1348</v>
      </c>
      <c r="J448" s="6" t="s">
        <v>1367</v>
      </c>
      <c r="K448" s="6" t="s">
        <v>1367</v>
      </c>
      <c r="L448" s="6" t="s">
        <v>184</v>
      </c>
      <c r="M448" s="2">
        <v>45351.0</v>
      </c>
      <c r="N448" s="6" t="s">
        <v>38</v>
      </c>
      <c r="Q448" s="8" t="s">
        <v>1373</v>
      </c>
    </row>
    <row r="449">
      <c r="A449" s="7">
        <v>45329.74689015046</v>
      </c>
      <c r="C449" s="6">
        <v>9.453942096E9</v>
      </c>
      <c r="D449" s="6" t="s">
        <v>75</v>
      </c>
      <c r="E449" s="6" t="s">
        <v>921</v>
      </c>
      <c r="F449" s="6" t="s">
        <v>1348</v>
      </c>
      <c r="J449" s="6" t="s">
        <v>1367</v>
      </c>
      <c r="K449" s="6" t="s">
        <v>1367</v>
      </c>
      <c r="L449" s="6" t="s">
        <v>184</v>
      </c>
      <c r="M449" s="2">
        <v>45351.0</v>
      </c>
      <c r="N449" s="6" t="s">
        <v>38</v>
      </c>
      <c r="Q449" s="8" t="s">
        <v>1374</v>
      </c>
    </row>
    <row r="450">
      <c r="A450" s="7">
        <v>45329.749187256944</v>
      </c>
      <c r="C450" s="6">
        <v>9.18447150715E11</v>
      </c>
      <c r="D450" s="6" t="s">
        <v>75</v>
      </c>
      <c r="E450" s="6" t="s">
        <v>921</v>
      </c>
      <c r="F450" s="6" t="s">
        <v>1348</v>
      </c>
      <c r="J450" s="6" t="s">
        <v>1367</v>
      </c>
      <c r="K450" s="6" t="s">
        <v>1367</v>
      </c>
      <c r="L450" s="6" t="s">
        <v>184</v>
      </c>
      <c r="M450" s="2">
        <v>45351.0</v>
      </c>
      <c r="N450" s="6" t="s">
        <v>38</v>
      </c>
      <c r="Q450" s="8" t="s">
        <v>1375</v>
      </c>
    </row>
    <row r="451">
      <c r="A451" s="7">
        <v>45329.7499762963</v>
      </c>
      <c r="C451" s="6">
        <v>9.19654697142E11</v>
      </c>
      <c r="D451" s="6" t="s">
        <v>75</v>
      </c>
      <c r="E451" s="6" t="s">
        <v>1376</v>
      </c>
      <c r="F451" s="6" t="s">
        <v>1348</v>
      </c>
      <c r="J451" s="6" t="s">
        <v>1367</v>
      </c>
      <c r="K451" s="6" t="s">
        <v>1367</v>
      </c>
      <c r="L451" s="6" t="s">
        <v>184</v>
      </c>
      <c r="M451" s="2">
        <v>45351.0</v>
      </c>
      <c r="N451" s="6" t="s">
        <v>38</v>
      </c>
      <c r="Q451" s="8" t="s">
        <v>1377</v>
      </c>
    </row>
    <row r="452">
      <c r="A452" s="7">
        <v>45329.751687372685</v>
      </c>
      <c r="C452" s="6">
        <v>9.19910777479E11</v>
      </c>
      <c r="D452" s="6" t="s">
        <v>75</v>
      </c>
      <c r="E452" s="6" t="s">
        <v>921</v>
      </c>
      <c r="F452" s="6" t="s">
        <v>1348</v>
      </c>
      <c r="J452" s="6" t="s">
        <v>1367</v>
      </c>
      <c r="K452" s="6" t="s">
        <v>1367</v>
      </c>
      <c r="L452" s="6" t="s">
        <v>184</v>
      </c>
      <c r="M452" s="2">
        <v>45351.0</v>
      </c>
      <c r="N452" s="6" t="s">
        <v>38</v>
      </c>
      <c r="Q452" s="8" t="s">
        <v>1378</v>
      </c>
    </row>
    <row r="453">
      <c r="A453" s="7">
        <v>45329.75281954861</v>
      </c>
      <c r="C453" s="6">
        <v>9.029261718E9</v>
      </c>
      <c r="D453" s="6" t="s">
        <v>75</v>
      </c>
      <c r="E453" s="6" t="s">
        <v>921</v>
      </c>
      <c r="F453" s="6" t="s">
        <v>1348</v>
      </c>
      <c r="J453" s="6" t="s">
        <v>1367</v>
      </c>
      <c r="K453" s="6" t="s">
        <v>1367</v>
      </c>
      <c r="L453" s="6" t="s">
        <v>184</v>
      </c>
      <c r="M453" s="2">
        <v>45351.0</v>
      </c>
      <c r="N453" s="6" t="s">
        <v>38</v>
      </c>
      <c r="Q453" s="8" t="s">
        <v>1379</v>
      </c>
    </row>
    <row r="454">
      <c r="A454" s="7">
        <v>45329.75419361111</v>
      </c>
      <c r="C454" s="6">
        <v>9.19811646786E11</v>
      </c>
      <c r="D454" s="6" t="s">
        <v>75</v>
      </c>
      <c r="E454" s="6" t="s">
        <v>921</v>
      </c>
      <c r="F454" s="6" t="s">
        <v>1348</v>
      </c>
      <c r="J454" s="6" t="s">
        <v>1367</v>
      </c>
      <c r="K454" s="6" t="s">
        <v>1367</v>
      </c>
      <c r="L454" s="6" t="s">
        <v>184</v>
      </c>
      <c r="M454" s="2">
        <v>45351.0</v>
      </c>
      <c r="N454" s="6" t="s">
        <v>38</v>
      </c>
      <c r="Q454" s="8" t="s">
        <v>1380</v>
      </c>
    </row>
    <row r="455">
      <c r="A455" s="7">
        <v>45329.75496173611</v>
      </c>
      <c r="C455" s="6">
        <v>9.18979474348E11</v>
      </c>
      <c r="D455" s="6" t="s">
        <v>75</v>
      </c>
      <c r="E455" s="6" t="s">
        <v>921</v>
      </c>
      <c r="F455" s="6" t="s">
        <v>1348</v>
      </c>
      <c r="J455" s="6" t="s">
        <v>1367</v>
      </c>
      <c r="K455" s="6" t="s">
        <v>1367</v>
      </c>
      <c r="L455" s="6" t="s">
        <v>184</v>
      </c>
      <c r="M455" s="2">
        <v>45351.0</v>
      </c>
      <c r="N455" s="6" t="s">
        <v>38</v>
      </c>
      <c r="Q455" s="8" t="s">
        <v>1381</v>
      </c>
    </row>
    <row r="456">
      <c r="A456" s="7">
        <v>45329.7565766551</v>
      </c>
      <c r="C456" s="6">
        <v>9.19368009224E11</v>
      </c>
      <c r="D456" s="6" t="s">
        <v>75</v>
      </c>
      <c r="E456" s="6" t="s">
        <v>921</v>
      </c>
      <c r="F456" s="6" t="s">
        <v>1348</v>
      </c>
      <c r="J456" s="6" t="s">
        <v>1367</v>
      </c>
      <c r="K456" s="6" t="s">
        <v>1367</v>
      </c>
      <c r="L456" s="6" t="s">
        <v>184</v>
      </c>
      <c r="M456" s="2">
        <v>45351.0</v>
      </c>
      <c r="N456" s="6" t="s">
        <v>38</v>
      </c>
      <c r="Q456" s="8" t="s">
        <v>1382</v>
      </c>
    </row>
    <row r="457">
      <c r="A457" s="7">
        <v>45329.75724960648</v>
      </c>
      <c r="C457" s="6">
        <v>8.85166442E9</v>
      </c>
      <c r="D457" s="6" t="s">
        <v>75</v>
      </c>
      <c r="E457" s="6" t="s">
        <v>921</v>
      </c>
      <c r="F457" s="6" t="s">
        <v>1348</v>
      </c>
      <c r="J457" s="6" t="s">
        <v>1367</v>
      </c>
      <c r="K457" s="6" t="s">
        <v>1367</v>
      </c>
      <c r="L457" s="6" t="s">
        <v>184</v>
      </c>
      <c r="M457" s="2">
        <v>45351.0</v>
      </c>
      <c r="N457" s="6" t="s">
        <v>38</v>
      </c>
      <c r="Q457" s="8" t="s">
        <v>1383</v>
      </c>
    </row>
    <row r="458">
      <c r="A458" s="7">
        <v>45329.75795326389</v>
      </c>
      <c r="C458" s="6">
        <v>7.061132164E9</v>
      </c>
      <c r="D458" s="6" t="s">
        <v>75</v>
      </c>
      <c r="E458" s="6" t="s">
        <v>921</v>
      </c>
      <c r="F458" s="6" t="s">
        <v>1348</v>
      </c>
      <c r="J458" s="6" t="s">
        <v>1367</v>
      </c>
      <c r="K458" s="6" t="s">
        <v>1367</v>
      </c>
      <c r="L458" s="6" t="s">
        <v>184</v>
      </c>
      <c r="M458" s="2">
        <v>45351.0</v>
      </c>
      <c r="N458" s="6" t="s">
        <v>38</v>
      </c>
      <c r="Q458" s="8" t="s">
        <v>1384</v>
      </c>
    </row>
    <row r="459">
      <c r="A459" s="7">
        <v>45329.758543819444</v>
      </c>
      <c r="C459" s="6">
        <v>9.18860952808E11</v>
      </c>
      <c r="D459" s="6" t="s">
        <v>75</v>
      </c>
      <c r="E459" s="6" t="s">
        <v>921</v>
      </c>
      <c r="F459" s="6" t="s">
        <v>1348</v>
      </c>
      <c r="J459" s="6" t="s">
        <v>1367</v>
      </c>
      <c r="K459" s="6" t="s">
        <v>1367</v>
      </c>
      <c r="L459" s="6" t="s">
        <v>184</v>
      </c>
      <c r="M459" s="2">
        <v>45351.0</v>
      </c>
      <c r="N459" s="6" t="s">
        <v>38</v>
      </c>
      <c r="Q459" s="8" t="s">
        <v>1385</v>
      </c>
    </row>
    <row r="460">
      <c r="A460" s="7">
        <v>45330.58246019676</v>
      </c>
      <c r="B460" s="6" t="s">
        <v>1386</v>
      </c>
      <c r="C460" s="6" t="s">
        <v>1387</v>
      </c>
      <c r="D460" s="6" t="s">
        <v>18</v>
      </c>
      <c r="E460" s="6" t="s">
        <v>921</v>
      </c>
      <c r="F460" s="6" t="s">
        <v>34</v>
      </c>
      <c r="J460" s="6" t="s">
        <v>1367</v>
      </c>
      <c r="K460" s="6" t="s">
        <v>1367</v>
      </c>
      <c r="L460" s="6" t="s">
        <v>681</v>
      </c>
      <c r="M460" s="2">
        <v>45351.0</v>
      </c>
      <c r="N460" s="6" t="s">
        <v>38</v>
      </c>
      <c r="Q460" s="8" t="s">
        <v>1388</v>
      </c>
    </row>
    <row r="461">
      <c r="A461" s="7">
        <v>45330.58393171296</v>
      </c>
      <c r="B461" s="6" t="s">
        <v>1389</v>
      </c>
      <c r="C461" s="6" t="s">
        <v>1390</v>
      </c>
      <c r="D461" s="6" t="s">
        <v>18</v>
      </c>
      <c r="E461" s="6" t="s">
        <v>921</v>
      </c>
      <c r="F461" s="6" t="s">
        <v>34</v>
      </c>
      <c r="J461" s="6" t="s">
        <v>1367</v>
      </c>
      <c r="K461" s="6" t="s">
        <v>1367</v>
      </c>
      <c r="L461" s="6" t="s">
        <v>681</v>
      </c>
      <c r="M461" s="2">
        <v>45351.0</v>
      </c>
      <c r="N461" s="6" t="s">
        <v>38</v>
      </c>
      <c r="Q461" s="8" t="s">
        <v>1391</v>
      </c>
    </row>
    <row r="462">
      <c r="A462" s="7">
        <v>45330.58537240741</v>
      </c>
      <c r="B462" s="6" t="s">
        <v>1392</v>
      </c>
      <c r="C462" s="6" t="s">
        <v>1393</v>
      </c>
      <c r="D462" s="6" t="s">
        <v>18</v>
      </c>
      <c r="E462" s="6" t="s">
        <v>921</v>
      </c>
      <c r="F462" s="6" t="s">
        <v>55</v>
      </c>
      <c r="J462" s="6" t="s">
        <v>1367</v>
      </c>
      <c r="K462" s="6" t="s">
        <v>1367</v>
      </c>
      <c r="L462" s="6" t="s">
        <v>681</v>
      </c>
      <c r="M462" s="2">
        <v>45351.0</v>
      </c>
      <c r="N462" s="6" t="s">
        <v>38</v>
      </c>
      <c r="Q462" s="8" t="s">
        <v>1394</v>
      </c>
    </row>
    <row r="463">
      <c r="A463" s="7">
        <v>45330.58719605324</v>
      </c>
      <c r="B463" s="6" t="s">
        <v>1395</v>
      </c>
      <c r="C463" s="6" t="s">
        <v>1396</v>
      </c>
      <c r="D463" s="6" t="s">
        <v>18</v>
      </c>
      <c r="E463" s="6" t="s">
        <v>921</v>
      </c>
      <c r="F463" s="6" t="s">
        <v>34</v>
      </c>
      <c r="J463" s="6" t="s">
        <v>1367</v>
      </c>
      <c r="K463" s="6" t="s">
        <v>1367</v>
      </c>
      <c r="L463" s="6" t="s">
        <v>681</v>
      </c>
      <c r="M463" s="2">
        <v>45351.0</v>
      </c>
      <c r="N463" s="6" t="s">
        <v>38</v>
      </c>
      <c r="Q463" s="8" t="s">
        <v>1397</v>
      </c>
    </row>
    <row r="464">
      <c r="A464" s="7">
        <v>45330.60603285879</v>
      </c>
      <c r="B464" s="6" t="s">
        <v>1398</v>
      </c>
      <c r="C464" s="6" t="s">
        <v>1399</v>
      </c>
      <c r="D464" s="6" t="s">
        <v>18</v>
      </c>
      <c r="E464" s="6" t="s">
        <v>921</v>
      </c>
      <c r="F464" s="6" t="s">
        <v>34</v>
      </c>
      <c r="J464" s="6" t="s">
        <v>1367</v>
      </c>
      <c r="K464" s="6" t="s">
        <v>1367</v>
      </c>
      <c r="L464" s="6" t="s">
        <v>681</v>
      </c>
      <c r="M464" s="2">
        <v>45351.0</v>
      </c>
      <c r="N464" s="6" t="s">
        <v>38</v>
      </c>
      <c r="Q464" s="8" t="s">
        <v>1400</v>
      </c>
    </row>
    <row r="465">
      <c r="A465" s="7">
        <v>45330.60722706019</v>
      </c>
      <c r="B465" s="6" t="s">
        <v>1341</v>
      </c>
      <c r="C465" s="6" t="s">
        <v>1401</v>
      </c>
      <c r="D465" s="6" t="s">
        <v>18</v>
      </c>
      <c r="E465" s="6" t="s">
        <v>921</v>
      </c>
      <c r="F465" s="6" t="s">
        <v>34</v>
      </c>
      <c r="J465" s="6" t="s">
        <v>1367</v>
      </c>
      <c r="K465" s="6" t="s">
        <v>1367</v>
      </c>
      <c r="L465" s="6" t="s">
        <v>681</v>
      </c>
      <c r="M465" s="2">
        <v>45351.0</v>
      </c>
      <c r="N465" s="6" t="s">
        <v>38</v>
      </c>
      <c r="Q465" s="8" t="s">
        <v>1402</v>
      </c>
    </row>
    <row r="466">
      <c r="A466" s="7">
        <v>45330.608416539355</v>
      </c>
      <c r="B466" s="6" t="s">
        <v>1403</v>
      </c>
      <c r="C466" s="6" t="s">
        <v>1404</v>
      </c>
      <c r="D466" s="6" t="s">
        <v>18</v>
      </c>
      <c r="E466" s="6" t="s">
        <v>921</v>
      </c>
      <c r="F466" s="6" t="s">
        <v>34</v>
      </c>
      <c r="J466" s="6" t="s">
        <v>1367</v>
      </c>
      <c r="K466" s="6" t="s">
        <v>1111</v>
      </c>
      <c r="L466" s="6" t="s">
        <v>681</v>
      </c>
      <c r="M466" s="2">
        <v>45351.0</v>
      </c>
      <c r="N466" s="6" t="s">
        <v>38</v>
      </c>
      <c r="Q466" s="8" t="s">
        <v>1405</v>
      </c>
    </row>
    <row r="467">
      <c r="A467" s="7">
        <v>45330.609684814815</v>
      </c>
      <c r="B467" s="6" t="s">
        <v>1406</v>
      </c>
      <c r="C467" s="6" t="s">
        <v>1407</v>
      </c>
      <c r="D467" s="6" t="s">
        <v>18</v>
      </c>
      <c r="E467" s="6" t="s">
        <v>921</v>
      </c>
      <c r="F467" s="6" t="s">
        <v>34</v>
      </c>
      <c r="J467" s="6" t="s">
        <v>1111</v>
      </c>
      <c r="K467" s="6" t="s">
        <v>1111</v>
      </c>
      <c r="L467" s="6" t="s">
        <v>681</v>
      </c>
      <c r="M467" s="2">
        <v>45351.0</v>
      </c>
      <c r="N467" s="6" t="s">
        <v>38</v>
      </c>
      <c r="Q467" s="8" t="s">
        <v>1408</v>
      </c>
    </row>
    <row r="468">
      <c r="A468" s="7">
        <v>45330.61564618055</v>
      </c>
      <c r="B468" s="6" t="s">
        <v>1409</v>
      </c>
      <c r="C468" s="6" t="s">
        <v>1410</v>
      </c>
      <c r="D468" s="6" t="s">
        <v>18</v>
      </c>
      <c r="E468" s="6" t="s">
        <v>921</v>
      </c>
      <c r="F468" s="6" t="s">
        <v>34</v>
      </c>
      <c r="J468" s="6" t="s">
        <v>1111</v>
      </c>
      <c r="K468" s="6" t="s">
        <v>1111</v>
      </c>
      <c r="L468" s="6" t="s">
        <v>681</v>
      </c>
      <c r="M468" s="2">
        <v>45351.0</v>
      </c>
      <c r="N468" s="6" t="s">
        <v>38</v>
      </c>
      <c r="Q468" s="8" t="s">
        <v>1411</v>
      </c>
    </row>
    <row r="469">
      <c r="A469" s="7">
        <v>45330.61679424769</v>
      </c>
      <c r="B469" s="6" t="s">
        <v>1412</v>
      </c>
      <c r="C469" s="6" t="s">
        <v>1413</v>
      </c>
      <c r="D469" s="6" t="s">
        <v>18</v>
      </c>
      <c r="E469" s="6" t="s">
        <v>921</v>
      </c>
      <c r="F469" s="6" t="s">
        <v>34</v>
      </c>
      <c r="J469" s="6" t="s">
        <v>1111</v>
      </c>
      <c r="K469" s="6" t="s">
        <v>1111</v>
      </c>
      <c r="L469" s="6" t="s">
        <v>681</v>
      </c>
      <c r="M469" s="2">
        <v>45351.0</v>
      </c>
      <c r="N469" s="6" t="s">
        <v>38</v>
      </c>
      <c r="Q469" s="8" t="s">
        <v>1414</v>
      </c>
    </row>
    <row r="470">
      <c r="A470" s="7">
        <v>45330.61771597222</v>
      </c>
      <c r="B470" s="6" t="s">
        <v>1415</v>
      </c>
      <c r="C470" s="6" t="s">
        <v>1416</v>
      </c>
      <c r="D470" s="6" t="s">
        <v>18</v>
      </c>
      <c r="E470" s="6" t="s">
        <v>921</v>
      </c>
      <c r="F470" s="6" t="s">
        <v>34</v>
      </c>
      <c r="J470" s="6" t="s">
        <v>1111</v>
      </c>
      <c r="K470" s="6" t="s">
        <v>1111</v>
      </c>
      <c r="L470" s="6" t="s">
        <v>681</v>
      </c>
      <c r="M470" s="2">
        <v>45351.0</v>
      </c>
      <c r="N470" s="6" t="s">
        <v>210</v>
      </c>
      <c r="Q470" s="8" t="s">
        <v>1417</v>
      </c>
    </row>
    <row r="471">
      <c r="A471" s="7">
        <v>45330.618624317125</v>
      </c>
      <c r="B471" s="6" t="s">
        <v>1418</v>
      </c>
      <c r="C471" s="6" t="s">
        <v>1419</v>
      </c>
      <c r="D471" s="6" t="s">
        <v>18</v>
      </c>
      <c r="E471" s="6" t="s">
        <v>921</v>
      </c>
      <c r="F471" s="6" t="s">
        <v>34</v>
      </c>
      <c r="J471" s="6" t="s">
        <v>1111</v>
      </c>
      <c r="K471" s="6" t="s">
        <v>1111</v>
      </c>
      <c r="L471" s="6" t="s">
        <v>681</v>
      </c>
      <c r="M471" s="2">
        <v>45351.0</v>
      </c>
      <c r="N471" s="6" t="s">
        <v>38</v>
      </c>
      <c r="Q471" s="8" t="s">
        <v>1420</v>
      </c>
    </row>
    <row r="472">
      <c r="A472" s="7">
        <v>45330.61945034722</v>
      </c>
      <c r="B472" s="6" t="s">
        <v>1421</v>
      </c>
      <c r="C472" s="6" t="s">
        <v>1422</v>
      </c>
      <c r="D472" s="6" t="s">
        <v>18</v>
      </c>
      <c r="E472" s="6" t="s">
        <v>921</v>
      </c>
      <c r="F472" s="6" t="s">
        <v>55</v>
      </c>
      <c r="J472" s="6" t="s">
        <v>1111</v>
      </c>
      <c r="K472" s="6" t="s">
        <v>1111</v>
      </c>
      <c r="L472" s="6" t="s">
        <v>681</v>
      </c>
      <c r="M472" s="2">
        <v>45351.0</v>
      </c>
      <c r="N472" s="6" t="s">
        <v>38</v>
      </c>
      <c r="Q472" s="8" t="s">
        <v>1423</v>
      </c>
    </row>
    <row r="473">
      <c r="A473" s="7">
        <v>45330.62187939815</v>
      </c>
      <c r="B473" s="6" t="s">
        <v>1424</v>
      </c>
      <c r="C473" s="6" t="s">
        <v>1425</v>
      </c>
      <c r="D473" s="6" t="s">
        <v>18</v>
      </c>
      <c r="E473" s="6" t="s">
        <v>921</v>
      </c>
      <c r="F473" s="6" t="s">
        <v>55</v>
      </c>
      <c r="J473" s="6" t="s">
        <v>1111</v>
      </c>
      <c r="K473" s="6" t="s">
        <v>1111</v>
      </c>
      <c r="L473" s="6" t="s">
        <v>681</v>
      </c>
      <c r="M473" s="2">
        <v>45351.0</v>
      </c>
      <c r="N473" s="6" t="s">
        <v>38</v>
      </c>
      <c r="Q473" s="8" t="s">
        <v>1426</v>
      </c>
    </row>
    <row r="474">
      <c r="A474" s="7">
        <v>45330.65968019676</v>
      </c>
      <c r="B474" s="6" t="s">
        <v>1427</v>
      </c>
      <c r="C474" s="6" t="s">
        <v>1428</v>
      </c>
      <c r="D474" s="6" t="s">
        <v>18</v>
      </c>
      <c r="E474" s="6" t="s">
        <v>921</v>
      </c>
      <c r="F474" s="6" t="s">
        <v>34</v>
      </c>
      <c r="J474" s="6" t="s">
        <v>1111</v>
      </c>
      <c r="K474" s="6" t="s">
        <v>1111</v>
      </c>
      <c r="L474" s="6" t="s">
        <v>681</v>
      </c>
      <c r="M474" s="2">
        <v>45351.0</v>
      </c>
      <c r="N474" s="6" t="s">
        <v>38</v>
      </c>
      <c r="Q474" s="8" t="s">
        <v>1429</v>
      </c>
    </row>
    <row r="475">
      <c r="A475" s="7">
        <v>45330.66071924768</v>
      </c>
      <c r="B475" s="6" t="s">
        <v>1430</v>
      </c>
      <c r="C475" s="6" t="s">
        <v>1431</v>
      </c>
      <c r="D475" s="6" t="s">
        <v>18</v>
      </c>
      <c r="E475" s="6" t="s">
        <v>921</v>
      </c>
      <c r="F475" s="6" t="s">
        <v>34</v>
      </c>
      <c r="J475" s="6" t="s">
        <v>1111</v>
      </c>
      <c r="K475" s="6" t="s">
        <v>1111</v>
      </c>
      <c r="L475" s="6" t="s">
        <v>681</v>
      </c>
      <c r="M475" s="2">
        <v>45351.0</v>
      </c>
      <c r="N475" s="6" t="s">
        <v>38</v>
      </c>
      <c r="Q475" s="8" t="s">
        <v>1432</v>
      </c>
    </row>
    <row r="476">
      <c r="A476" s="7">
        <v>45330.66184612269</v>
      </c>
      <c r="B476" s="6" t="s">
        <v>1433</v>
      </c>
      <c r="C476" s="6" t="s">
        <v>1434</v>
      </c>
      <c r="D476" s="6" t="s">
        <v>18</v>
      </c>
      <c r="E476" s="6" t="s">
        <v>921</v>
      </c>
      <c r="F476" s="6" t="s">
        <v>34</v>
      </c>
      <c r="J476" s="6" t="s">
        <v>1111</v>
      </c>
      <c r="K476" s="6" t="s">
        <v>1111</v>
      </c>
      <c r="L476" s="6" t="s">
        <v>681</v>
      </c>
      <c r="M476" s="2">
        <v>45351.0</v>
      </c>
      <c r="N476" s="6" t="s">
        <v>38</v>
      </c>
      <c r="Q476" s="8" t="s">
        <v>1435</v>
      </c>
    </row>
    <row r="477">
      <c r="A477" s="7">
        <v>45330.662813020834</v>
      </c>
      <c r="B477" s="6" t="s">
        <v>1436</v>
      </c>
      <c r="C477" s="6" t="s">
        <v>1437</v>
      </c>
      <c r="D477" s="6" t="s">
        <v>18</v>
      </c>
      <c r="E477" s="6" t="s">
        <v>921</v>
      </c>
      <c r="F477" s="6" t="s">
        <v>34</v>
      </c>
      <c r="J477" s="6" t="s">
        <v>1367</v>
      </c>
      <c r="K477" s="6" t="s">
        <v>1367</v>
      </c>
      <c r="L477" s="6" t="s">
        <v>681</v>
      </c>
      <c r="M477" s="2">
        <v>45351.0</v>
      </c>
      <c r="N477" s="6" t="s">
        <v>38</v>
      </c>
      <c r="Q477" s="8" t="s">
        <v>1438</v>
      </c>
    </row>
    <row r="478">
      <c r="A478" s="7">
        <v>45330.66625787037</v>
      </c>
      <c r="B478" s="6" t="s">
        <v>1439</v>
      </c>
      <c r="C478" s="6" t="s">
        <v>1440</v>
      </c>
      <c r="D478" s="6" t="s">
        <v>18</v>
      </c>
      <c r="E478" s="6" t="s">
        <v>921</v>
      </c>
      <c r="F478" s="6" t="s">
        <v>34</v>
      </c>
      <c r="J478" s="6" t="s">
        <v>1367</v>
      </c>
      <c r="K478" s="6" t="s">
        <v>1367</v>
      </c>
      <c r="L478" s="6" t="s">
        <v>681</v>
      </c>
      <c r="M478" s="2">
        <v>45351.0</v>
      </c>
      <c r="N478" s="6" t="s">
        <v>38</v>
      </c>
      <c r="Q478" s="8" t="s">
        <v>1441</v>
      </c>
    </row>
    <row r="479">
      <c r="A479" s="7"/>
      <c r="M479" s="2"/>
    </row>
    <row r="480">
      <c r="A480" s="7">
        <v>45330.691911041664</v>
      </c>
      <c r="B480" s="6" t="s">
        <v>1442</v>
      </c>
      <c r="C480" s="6" t="s">
        <v>1443</v>
      </c>
      <c r="D480" s="6" t="s">
        <v>18</v>
      </c>
      <c r="E480" s="6" t="s">
        <v>1376</v>
      </c>
      <c r="F480" s="6" t="s">
        <v>34</v>
      </c>
      <c r="J480" s="6" t="s">
        <v>1367</v>
      </c>
      <c r="K480" s="6" t="s">
        <v>1367</v>
      </c>
      <c r="L480" s="6" t="s">
        <v>681</v>
      </c>
      <c r="M480" s="2">
        <v>45351.0</v>
      </c>
      <c r="N480" s="6" t="s">
        <v>38</v>
      </c>
      <c r="Q480" s="8" t="s">
        <v>1444</v>
      </c>
    </row>
    <row r="481">
      <c r="A481" s="7">
        <v>45330.69322393519</v>
      </c>
      <c r="B481" s="6" t="s">
        <v>1445</v>
      </c>
      <c r="C481" s="6" t="s">
        <v>1446</v>
      </c>
      <c r="D481" s="6" t="s">
        <v>18</v>
      </c>
      <c r="E481" s="6" t="s">
        <v>921</v>
      </c>
      <c r="F481" s="6" t="s">
        <v>34</v>
      </c>
      <c r="J481" s="6" t="s">
        <v>1367</v>
      </c>
      <c r="K481" s="6" t="s">
        <v>1367</v>
      </c>
      <c r="L481" s="6" t="s">
        <v>681</v>
      </c>
      <c r="M481" s="2">
        <v>45351.0</v>
      </c>
      <c r="N481" s="6" t="s">
        <v>38</v>
      </c>
      <c r="Q481" s="8" t="s">
        <v>1447</v>
      </c>
    </row>
    <row r="482">
      <c r="A482" s="7">
        <v>45330.69480196759</v>
      </c>
      <c r="B482" s="6" t="s">
        <v>1448</v>
      </c>
      <c r="C482" s="6" t="s">
        <v>1449</v>
      </c>
      <c r="D482" s="6" t="s">
        <v>18</v>
      </c>
      <c r="E482" s="6" t="s">
        <v>921</v>
      </c>
      <c r="F482" s="6" t="s">
        <v>55</v>
      </c>
      <c r="J482" s="6" t="s">
        <v>1367</v>
      </c>
      <c r="K482" s="6" t="s">
        <v>1367</v>
      </c>
      <c r="L482" s="6" t="s">
        <v>681</v>
      </c>
      <c r="M482" s="2">
        <v>45351.0</v>
      </c>
      <c r="N482" s="6" t="s">
        <v>38</v>
      </c>
      <c r="Q482" s="8" t="s">
        <v>1450</v>
      </c>
    </row>
    <row r="483">
      <c r="A483" s="7">
        <v>45330.697148796295</v>
      </c>
      <c r="B483" s="6" t="s">
        <v>1451</v>
      </c>
      <c r="C483" s="6" t="s">
        <v>1452</v>
      </c>
      <c r="D483" s="6" t="s">
        <v>18</v>
      </c>
      <c r="E483" s="6" t="s">
        <v>921</v>
      </c>
      <c r="F483" s="6" t="s">
        <v>55</v>
      </c>
      <c r="J483" s="6" t="s">
        <v>1367</v>
      </c>
      <c r="K483" s="6" t="s">
        <v>1367</v>
      </c>
      <c r="L483" s="6" t="s">
        <v>681</v>
      </c>
      <c r="M483" s="2">
        <v>45351.0</v>
      </c>
      <c r="N483" s="6" t="s">
        <v>38</v>
      </c>
      <c r="Q483" s="8" t="s">
        <v>1453</v>
      </c>
    </row>
    <row r="484">
      <c r="A484" s="7">
        <v>45330.69829771991</v>
      </c>
      <c r="B484" s="6" t="s">
        <v>1454</v>
      </c>
      <c r="C484" s="6" t="s">
        <v>1455</v>
      </c>
      <c r="D484" s="6" t="s">
        <v>18</v>
      </c>
      <c r="E484" s="6" t="s">
        <v>1347</v>
      </c>
      <c r="F484" s="6" t="s">
        <v>55</v>
      </c>
      <c r="J484" s="6" t="s">
        <v>1367</v>
      </c>
      <c r="K484" s="6" t="s">
        <v>1367</v>
      </c>
      <c r="L484" s="6" t="s">
        <v>681</v>
      </c>
      <c r="M484" s="2">
        <v>45351.0</v>
      </c>
      <c r="N484" s="6" t="s">
        <v>38</v>
      </c>
      <c r="Q484" s="8" t="s">
        <v>1456</v>
      </c>
    </row>
    <row r="485">
      <c r="A485" s="7">
        <v>45330.699226145836</v>
      </c>
      <c r="B485" s="6" t="s">
        <v>1457</v>
      </c>
      <c r="C485" s="6" t="s">
        <v>1458</v>
      </c>
      <c r="D485" s="6" t="s">
        <v>18</v>
      </c>
      <c r="E485" s="6" t="s">
        <v>921</v>
      </c>
      <c r="F485" s="6" t="s">
        <v>55</v>
      </c>
      <c r="J485" s="6" t="s">
        <v>1367</v>
      </c>
      <c r="K485" s="6" t="s">
        <v>1367</v>
      </c>
      <c r="L485" s="6" t="s">
        <v>681</v>
      </c>
      <c r="M485" s="2">
        <v>45351.0</v>
      </c>
      <c r="N485" s="6" t="s">
        <v>38</v>
      </c>
      <c r="Q485" s="8" t="s">
        <v>1459</v>
      </c>
    </row>
    <row r="486">
      <c r="A486" s="7">
        <v>45330.701600555556</v>
      </c>
      <c r="B486" s="6" t="s">
        <v>1460</v>
      </c>
      <c r="C486" s="6" t="s">
        <v>1461</v>
      </c>
      <c r="D486" s="6" t="s">
        <v>18</v>
      </c>
      <c r="E486" s="6" t="s">
        <v>921</v>
      </c>
      <c r="F486" s="6" t="s">
        <v>76</v>
      </c>
      <c r="J486" s="6" t="s">
        <v>1367</v>
      </c>
      <c r="K486" s="6" t="s">
        <v>1367</v>
      </c>
      <c r="L486" s="6" t="s">
        <v>681</v>
      </c>
      <c r="M486" s="2">
        <v>45351.0</v>
      </c>
      <c r="N486" s="6" t="s">
        <v>38</v>
      </c>
      <c r="Q486" s="8" t="s">
        <v>1462</v>
      </c>
    </row>
    <row r="487">
      <c r="A487" s="7">
        <v>45330.70263880787</v>
      </c>
      <c r="B487" s="6" t="s">
        <v>1463</v>
      </c>
      <c r="C487" s="6" t="s">
        <v>1464</v>
      </c>
      <c r="D487" s="6" t="s">
        <v>18</v>
      </c>
      <c r="E487" s="6" t="s">
        <v>921</v>
      </c>
      <c r="F487" s="6" t="s">
        <v>55</v>
      </c>
      <c r="J487" s="6" t="s">
        <v>1367</v>
      </c>
      <c r="K487" s="6" t="s">
        <v>1367</v>
      </c>
      <c r="L487" s="6" t="s">
        <v>681</v>
      </c>
      <c r="M487" s="2">
        <v>45351.0</v>
      </c>
      <c r="N487" s="6" t="s">
        <v>38</v>
      </c>
      <c r="Q487" s="8" t="s">
        <v>1465</v>
      </c>
    </row>
    <row r="488">
      <c r="A488" s="7">
        <v>45330.70351633102</v>
      </c>
      <c r="B488" s="6" t="s">
        <v>1466</v>
      </c>
      <c r="C488" s="6" t="s">
        <v>1467</v>
      </c>
      <c r="D488" s="6" t="s">
        <v>18</v>
      </c>
      <c r="E488" s="6" t="s">
        <v>1468</v>
      </c>
      <c r="F488" s="6" t="s">
        <v>55</v>
      </c>
      <c r="J488" s="6" t="s">
        <v>1367</v>
      </c>
      <c r="K488" s="6" t="s">
        <v>1367</v>
      </c>
      <c r="L488" s="6" t="s">
        <v>681</v>
      </c>
      <c r="M488" s="2">
        <v>45351.0</v>
      </c>
      <c r="N488" s="6" t="s">
        <v>38</v>
      </c>
      <c r="Q488" s="8" t="s">
        <v>1469</v>
      </c>
    </row>
    <row r="489">
      <c r="A489" s="7">
        <v>45331.559234976856</v>
      </c>
      <c r="B489" s="6" t="s">
        <v>1470</v>
      </c>
      <c r="C489" s="6">
        <v>8.076143164E9</v>
      </c>
      <c r="D489" s="6" t="s">
        <v>18</v>
      </c>
      <c r="E489" s="6" t="s">
        <v>55</v>
      </c>
      <c r="F489" s="6" t="s">
        <v>781</v>
      </c>
      <c r="J489" s="6" t="s">
        <v>1367</v>
      </c>
      <c r="K489" s="6" t="s">
        <v>1367</v>
      </c>
      <c r="L489" s="6" t="s">
        <v>184</v>
      </c>
      <c r="M489" s="2">
        <v>45351.0</v>
      </c>
      <c r="N489" s="6" t="s">
        <v>38</v>
      </c>
      <c r="P489" s="6" t="s">
        <v>1471</v>
      </c>
      <c r="Q489" s="8" t="s">
        <v>1472</v>
      </c>
    </row>
    <row r="490">
      <c r="A490" s="7">
        <v>45331.56000277778</v>
      </c>
      <c r="B490" s="6" t="s">
        <v>1473</v>
      </c>
      <c r="C490" s="6">
        <v>9.837445E9</v>
      </c>
      <c r="D490" s="6" t="s">
        <v>18</v>
      </c>
      <c r="E490" s="6" t="s">
        <v>34</v>
      </c>
      <c r="F490" s="6" t="s">
        <v>1474</v>
      </c>
      <c r="J490" s="6" t="s">
        <v>1367</v>
      </c>
      <c r="K490" s="6" t="s">
        <v>1367</v>
      </c>
      <c r="L490" s="6" t="s">
        <v>184</v>
      </c>
      <c r="M490" s="2">
        <v>45351.0</v>
      </c>
      <c r="N490" s="6" t="s">
        <v>38</v>
      </c>
      <c r="Q490" s="8" t="s">
        <v>1475</v>
      </c>
    </row>
    <row r="491">
      <c r="A491" s="7">
        <v>45331.56082331018</v>
      </c>
      <c r="B491" s="6" t="s">
        <v>1476</v>
      </c>
      <c r="C491" s="6">
        <v>9.837010736E9</v>
      </c>
      <c r="D491" s="6" t="s">
        <v>18</v>
      </c>
      <c r="E491" s="6" t="s">
        <v>34</v>
      </c>
      <c r="F491" s="6" t="s">
        <v>34</v>
      </c>
      <c r="J491" s="6" t="s">
        <v>1367</v>
      </c>
      <c r="K491" s="6" t="s">
        <v>1367</v>
      </c>
      <c r="L491" s="6" t="s">
        <v>184</v>
      </c>
      <c r="M491" s="2">
        <v>45351.0</v>
      </c>
      <c r="N491" s="6" t="s">
        <v>38</v>
      </c>
      <c r="Q491" s="8" t="s">
        <v>1477</v>
      </c>
    </row>
    <row r="492">
      <c r="A492" s="7">
        <v>45331.60312798611</v>
      </c>
      <c r="B492" s="6" t="s">
        <v>1478</v>
      </c>
      <c r="C492" s="6">
        <v>8.882856762E9</v>
      </c>
      <c r="D492" s="6" t="s">
        <v>18</v>
      </c>
      <c r="E492" s="6" t="s">
        <v>34</v>
      </c>
      <c r="F492" s="6" t="s">
        <v>34</v>
      </c>
      <c r="J492" s="6" t="s">
        <v>1367</v>
      </c>
      <c r="K492" s="6" t="s">
        <v>1367</v>
      </c>
      <c r="L492" s="6" t="s">
        <v>184</v>
      </c>
      <c r="M492" s="2">
        <v>45345.0</v>
      </c>
      <c r="N492" s="6" t="s">
        <v>38</v>
      </c>
      <c r="P492" s="6" t="s">
        <v>1479</v>
      </c>
      <c r="Q492" s="8" t="s">
        <v>1480</v>
      </c>
    </row>
    <row r="493">
      <c r="A493" s="7">
        <v>45331.60405297454</v>
      </c>
      <c r="B493" s="6" t="s">
        <v>1481</v>
      </c>
      <c r="C493" s="6">
        <v>9.818009247E9</v>
      </c>
      <c r="D493" s="6" t="s">
        <v>18</v>
      </c>
      <c r="E493" s="6" t="s">
        <v>55</v>
      </c>
      <c r="F493" s="6" t="s">
        <v>50</v>
      </c>
      <c r="J493" s="6" t="s">
        <v>1367</v>
      </c>
      <c r="K493" s="6" t="s">
        <v>1367</v>
      </c>
      <c r="L493" s="6" t="s">
        <v>184</v>
      </c>
      <c r="M493" s="2">
        <v>45351.0</v>
      </c>
      <c r="N493" s="6" t="s">
        <v>38</v>
      </c>
      <c r="Q493" s="8" t="s">
        <v>1482</v>
      </c>
    </row>
    <row r="494">
      <c r="A494" s="7">
        <v>45331.60490045139</v>
      </c>
      <c r="B494" s="6" t="s">
        <v>1483</v>
      </c>
      <c r="C494" s="6">
        <v>9.711170176E9</v>
      </c>
      <c r="D494" s="6" t="s">
        <v>18</v>
      </c>
      <c r="E494" s="6" t="s">
        <v>34</v>
      </c>
      <c r="F494" s="6" t="s">
        <v>1484</v>
      </c>
      <c r="J494" s="6" t="s">
        <v>1367</v>
      </c>
      <c r="K494" s="6" t="s">
        <v>1367</v>
      </c>
      <c r="L494" s="6" t="s">
        <v>184</v>
      </c>
      <c r="M494" s="2">
        <v>45345.0</v>
      </c>
      <c r="N494" s="6" t="s">
        <v>38</v>
      </c>
      <c r="P494" s="6" t="s">
        <v>1485</v>
      </c>
      <c r="Q494" s="8" t="s">
        <v>1486</v>
      </c>
    </row>
    <row r="495">
      <c r="A495" s="7">
        <v>45331.60783934028</v>
      </c>
      <c r="B495" s="6" t="s">
        <v>1487</v>
      </c>
      <c r="C495" s="6">
        <v>7.68306741E9</v>
      </c>
      <c r="D495" s="6" t="s">
        <v>18</v>
      </c>
      <c r="E495" s="6" t="s">
        <v>34</v>
      </c>
      <c r="F495" s="6" t="s">
        <v>34</v>
      </c>
      <c r="J495" s="6" t="s">
        <v>1367</v>
      </c>
      <c r="K495" s="6" t="s">
        <v>1367</v>
      </c>
      <c r="L495" s="6" t="s">
        <v>184</v>
      </c>
      <c r="M495" s="2">
        <v>45351.0</v>
      </c>
      <c r="N495" s="6" t="s">
        <v>38</v>
      </c>
      <c r="Q495" s="8" t="s">
        <v>1488</v>
      </c>
    </row>
    <row r="496">
      <c r="A496" s="7">
        <v>45331.609089351856</v>
      </c>
      <c r="B496" s="6" t="s">
        <v>1489</v>
      </c>
      <c r="C496" s="6">
        <v>9.671853414E9</v>
      </c>
      <c r="D496" s="6" t="s">
        <v>18</v>
      </c>
      <c r="E496" s="6" t="s">
        <v>55</v>
      </c>
      <c r="F496" s="6" t="s">
        <v>55</v>
      </c>
      <c r="J496" s="6" t="s">
        <v>1367</v>
      </c>
      <c r="K496" s="6" t="s">
        <v>1367</v>
      </c>
      <c r="L496" s="6" t="s">
        <v>184</v>
      </c>
      <c r="M496" s="2">
        <v>45345.0</v>
      </c>
      <c r="N496" s="6" t="s">
        <v>38</v>
      </c>
      <c r="Q496" s="8" t="s">
        <v>1490</v>
      </c>
    </row>
    <row r="497">
      <c r="A497" s="7">
        <v>45331.61150387731</v>
      </c>
      <c r="B497" s="6" t="s">
        <v>1491</v>
      </c>
      <c r="C497" s="6">
        <v>8.29540703E9</v>
      </c>
      <c r="D497" s="6" t="s">
        <v>18</v>
      </c>
      <c r="E497" s="6" t="s">
        <v>34</v>
      </c>
      <c r="F497" s="6" t="s">
        <v>34</v>
      </c>
      <c r="J497" s="6" t="s">
        <v>1367</v>
      </c>
      <c r="K497" s="6" t="s">
        <v>1367</v>
      </c>
      <c r="L497" s="6" t="s">
        <v>184</v>
      </c>
      <c r="M497" s="2">
        <v>45351.0</v>
      </c>
      <c r="N497" s="6" t="s">
        <v>38</v>
      </c>
      <c r="P497" s="6" t="s">
        <v>1492</v>
      </c>
      <c r="Q497" s="8" t="s">
        <v>1493</v>
      </c>
    </row>
    <row r="498">
      <c r="A498" s="7">
        <v>45331.61295487269</v>
      </c>
      <c r="B498" s="6" t="s">
        <v>1494</v>
      </c>
      <c r="C498" s="6">
        <v>8.826893089E9</v>
      </c>
      <c r="D498" s="6" t="s">
        <v>18</v>
      </c>
      <c r="E498" s="6" t="s">
        <v>34</v>
      </c>
      <c r="F498" s="6" t="s">
        <v>1495</v>
      </c>
      <c r="J498" s="6" t="s">
        <v>1367</v>
      </c>
      <c r="K498" s="6" t="s">
        <v>1367</v>
      </c>
      <c r="L498" s="6" t="s">
        <v>184</v>
      </c>
      <c r="M498" s="2">
        <v>45351.0</v>
      </c>
      <c r="N498" s="6" t="s">
        <v>38</v>
      </c>
      <c r="P498" s="6" t="s">
        <v>1496</v>
      </c>
      <c r="Q498" s="8" t="s">
        <v>1497</v>
      </c>
    </row>
    <row r="499">
      <c r="A499" s="7">
        <v>45331.61418395833</v>
      </c>
      <c r="B499" s="6" t="s">
        <v>1498</v>
      </c>
      <c r="C499" s="6">
        <v>9.72940152E9</v>
      </c>
      <c r="D499" s="6" t="s">
        <v>18</v>
      </c>
      <c r="E499" s="6" t="s">
        <v>34</v>
      </c>
      <c r="F499" s="6" t="s">
        <v>34</v>
      </c>
      <c r="J499" s="6" t="s">
        <v>1367</v>
      </c>
      <c r="K499" s="6" t="s">
        <v>1367</v>
      </c>
      <c r="L499" s="6" t="s">
        <v>184</v>
      </c>
      <c r="M499" s="2">
        <v>45351.0</v>
      </c>
      <c r="N499" s="6" t="s">
        <v>38</v>
      </c>
      <c r="P499" s="6" t="s">
        <v>1499</v>
      </c>
      <c r="Q499" s="8" t="s">
        <v>1500</v>
      </c>
    </row>
    <row r="500">
      <c r="A500" s="7">
        <v>45331.615502824076</v>
      </c>
      <c r="B500" s="6" t="s">
        <v>1501</v>
      </c>
      <c r="C500" s="6">
        <v>7.056037777E9</v>
      </c>
      <c r="D500" s="6" t="s">
        <v>18</v>
      </c>
      <c r="E500" s="6" t="s">
        <v>34</v>
      </c>
      <c r="F500" s="6" t="s">
        <v>20</v>
      </c>
      <c r="J500" s="6" t="s">
        <v>1367</v>
      </c>
      <c r="K500" s="6" t="s">
        <v>1367</v>
      </c>
      <c r="L500" s="6" t="s">
        <v>184</v>
      </c>
      <c r="M500" s="2">
        <v>45351.0</v>
      </c>
      <c r="N500" s="6" t="s">
        <v>38</v>
      </c>
      <c r="P500" s="6" t="s">
        <v>1502</v>
      </c>
      <c r="Q500" s="8" t="s">
        <v>1503</v>
      </c>
    </row>
    <row r="501">
      <c r="A501" s="7">
        <v>45331.61802060185</v>
      </c>
      <c r="B501" s="6" t="s">
        <v>1504</v>
      </c>
      <c r="C501" s="6">
        <v>7.827617333E9</v>
      </c>
      <c r="D501" s="6" t="s">
        <v>18</v>
      </c>
      <c r="E501" s="6" t="s">
        <v>34</v>
      </c>
      <c r="F501" s="6" t="s">
        <v>34</v>
      </c>
      <c r="J501" s="6" t="s">
        <v>1367</v>
      </c>
      <c r="K501" s="6" t="s">
        <v>1367</v>
      </c>
      <c r="L501" s="6" t="s">
        <v>184</v>
      </c>
      <c r="M501" s="2">
        <v>45345.0</v>
      </c>
      <c r="N501" s="6" t="s">
        <v>38</v>
      </c>
      <c r="P501" s="6" t="s">
        <v>1505</v>
      </c>
      <c r="Q501" s="8" t="s">
        <v>1506</v>
      </c>
    </row>
    <row r="502">
      <c r="A502" s="7">
        <v>45331.61885459491</v>
      </c>
      <c r="B502" s="6" t="s">
        <v>1507</v>
      </c>
      <c r="C502" s="6">
        <v>7.706904591E9</v>
      </c>
      <c r="D502" s="6" t="s">
        <v>18</v>
      </c>
      <c r="E502" s="6" t="s">
        <v>34</v>
      </c>
      <c r="F502" s="6" t="s">
        <v>34</v>
      </c>
      <c r="J502" s="6" t="s">
        <v>1367</v>
      </c>
      <c r="K502" s="6" t="s">
        <v>1367</v>
      </c>
      <c r="L502" s="6" t="s">
        <v>184</v>
      </c>
      <c r="M502" s="2">
        <v>45351.0</v>
      </c>
      <c r="N502" s="6" t="s">
        <v>38</v>
      </c>
      <c r="Q502" s="8" t="s">
        <v>1508</v>
      </c>
    </row>
    <row r="503">
      <c r="A503" s="7">
        <v>45331.61997375</v>
      </c>
      <c r="B503" s="6" t="s">
        <v>1509</v>
      </c>
      <c r="C503" s="6">
        <v>7.053086007E9</v>
      </c>
      <c r="D503" s="6" t="s">
        <v>18</v>
      </c>
      <c r="E503" s="6" t="s">
        <v>34</v>
      </c>
      <c r="F503" s="6" t="s">
        <v>34</v>
      </c>
      <c r="J503" s="6" t="s">
        <v>1367</v>
      </c>
      <c r="K503" s="6" t="s">
        <v>1367</v>
      </c>
      <c r="L503" s="6" t="s">
        <v>184</v>
      </c>
      <c r="M503" s="2">
        <v>45351.0</v>
      </c>
      <c r="N503" s="6" t="s">
        <v>38</v>
      </c>
      <c r="P503" s="6" t="s">
        <v>1510</v>
      </c>
      <c r="Q503" s="8" t="s">
        <v>1511</v>
      </c>
    </row>
    <row r="504">
      <c r="A504" s="7">
        <v>45331.62090982639</v>
      </c>
      <c r="B504" s="6" t="s">
        <v>1512</v>
      </c>
      <c r="C504" s="6">
        <v>9.217663281E9</v>
      </c>
      <c r="D504" s="6" t="s">
        <v>18</v>
      </c>
      <c r="E504" s="6" t="s">
        <v>34</v>
      </c>
      <c r="F504" s="6" t="s">
        <v>1320</v>
      </c>
      <c r="J504" s="6" t="s">
        <v>1367</v>
      </c>
      <c r="K504" s="6" t="s">
        <v>1367</v>
      </c>
      <c r="L504" s="6" t="s">
        <v>184</v>
      </c>
      <c r="M504" s="2">
        <v>45351.0</v>
      </c>
      <c r="N504" s="6" t="s">
        <v>38</v>
      </c>
      <c r="Q504" s="8" t="s">
        <v>1513</v>
      </c>
    </row>
    <row r="505">
      <c r="A505" s="7">
        <v>45331.62168418981</v>
      </c>
      <c r="B505" s="6" t="s">
        <v>1514</v>
      </c>
      <c r="C505" s="6">
        <v>8.398992983E9</v>
      </c>
      <c r="D505" s="6" t="s">
        <v>18</v>
      </c>
      <c r="E505" s="6" t="s">
        <v>34</v>
      </c>
      <c r="F505" s="6" t="s">
        <v>34</v>
      </c>
      <c r="J505" s="6" t="s">
        <v>1367</v>
      </c>
      <c r="K505" s="6" t="s">
        <v>1367</v>
      </c>
      <c r="L505" s="6" t="s">
        <v>184</v>
      </c>
      <c r="M505" s="2">
        <v>45351.0</v>
      </c>
      <c r="N505" s="6" t="s">
        <v>38</v>
      </c>
      <c r="Q505" s="8" t="s">
        <v>1515</v>
      </c>
    </row>
    <row r="506">
      <c r="A506" s="7">
        <v>45331.622585300924</v>
      </c>
      <c r="B506" s="6" t="s">
        <v>1294</v>
      </c>
      <c r="C506" s="6">
        <v>7.217655299E9</v>
      </c>
      <c r="D506" s="6" t="s">
        <v>18</v>
      </c>
      <c r="E506" s="6" t="s">
        <v>34</v>
      </c>
      <c r="F506" s="6" t="s">
        <v>34</v>
      </c>
      <c r="J506" s="6" t="s">
        <v>1367</v>
      </c>
      <c r="K506" s="6" t="s">
        <v>1367</v>
      </c>
      <c r="L506" s="6" t="s">
        <v>184</v>
      </c>
      <c r="M506" s="2">
        <v>45351.0</v>
      </c>
      <c r="N506" s="6" t="s">
        <v>38</v>
      </c>
      <c r="Q506" s="8" t="s">
        <v>1516</v>
      </c>
    </row>
    <row r="507">
      <c r="A507" s="7">
        <v>45331.624758125</v>
      </c>
      <c r="B507" s="6" t="s">
        <v>1517</v>
      </c>
      <c r="C507" s="6">
        <v>9.416080018E9</v>
      </c>
      <c r="D507" s="6" t="s">
        <v>18</v>
      </c>
      <c r="E507" s="6" t="s">
        <v>34</v>
      </c>
      <c r="F507" s="6" t="s">
        <v>34</v>
      </c>
      <c r="J507" s="6" t="s">
        <v>1367</v>
      </c>
      <c r="K507" s="6" t="s">
        <v>1367</v>
      </c>
      <c r="L507" s="6" t="s">
        <v>184</v>
      </c>
      <c r="M507" s="2">
        <v>45351.0</v>
      </c>
      <c r="N507" s="6" t="s">
        <v>38</v>
      </c>
      <c r="P507" s="6" t="s">
        <v>1518</v>
      </c>
      <c r="Q507" s="8" t="s">
        <v>1519</v>
      </c>
    </row>
    <row r="508">
      <c r="A508" s="7">
        <v>45331.627629571754</v>
      </c>
      <c r="B508" s="6" t="s">
        <v>1520</v>
      </c>
      <c r="C508" s="6">
        <v>9.560593114E9</v>
      </c>
      <c r="D508" s="6" t="s">
        <v>18</v>
      </c>
      <c r="E508" s="6" t="s">
        <v>34</v>
      </c>
      <c r="F508" s="6" t="s">
        <v>1495</v>
      </c>
      <c r="J508" s="6" t="s">
        <v>1367</v>
      </c>
      <c r="K508" s="6" t="s">
        <v>1367</v>
      </c>
      <c r="L508" s="6" t="s">
        <v>184</v>
      </c>
      <c r="M508" s="2">
        <v>45351.0</v>
      </c>
      <c r="N508" s="6" t="s">
        <v>38</v>
      </c>
      <c r="Q508" s="8" t="s">
        <v>1521</v>
      </c>
    </row>
    <row r="509">
      <c r="A509" s="7">
        <v>45335.65251262732</v>
      </c>
      <c r="C509" s="6">
        <v>9.389761759E9</v>
      </c>
      <c r="D509" s="6" t="s">
        <v>18</v>
      </c>
      <c r="E509" s="6" t="s">
        <v>34</v>
      </c>
      <c r="F509" s="6" t="s">
        <v>56</v>
      </c>
      <c r="J509" s="6" t="s">
        <v>1522</v>
      </c>
      <c r="K509" s="6" t="s">
        <v>1522</v>
      </c>
      <c r="L509" s="6" t="s">
        <v>681</v>
      </c>
      <c r="N509" s="6" t="s">
        <v>38</v>
      </c>
      <c r="Q509" s="8" t="s">
        <v>1523</v>
      </c>
    </row>
    <row r="510">
      <c r="A510" s="7">
        <v>45335.65360993055</v>
      </c>
      <c r="C510" s="6">
        <v>9.50853896E9</v>
      </c>
      <c r="D510" s="6" t="s">
        <v>75</v>
      </c>
      <c r="E510" s="6" t="s">
        <v>34</v>
      </c>
      <c r="F510" s="6" t="s">
        <v>321</v>
      </c>
      <c r="J510" s="6" t="s">
        <v>1367</v>
      </c>
      <c r="K510" s="6" t="s">
        <v>1367</v>
      </c>
      <c r="L510" s="6" t="s">
        <v>681</v>
      </c>
      <c r="M510" s="2">
        <v>45351.0</v>
      </c>
      <c r="N510" s="6" t="s">
        <v>38</v>
      </c>
      <c r="Q510" s="8" t="s">
        <v>1524</v>
      </c>
    </row>
    <row r="511">
      <c r="A511" s="7">
        <v>45335.655108923616</v>
      </c>
      <c r="C511" s="6">
        <v>9.760623078E9</v>
      </c>
      <c r="D511" s="6" t="s">
        <v>75</v>
      </c>
      <c r="E511" s="6" t="s">
        <v>34</v>
      </c>
      <c r="F511" s="6" t="s">
        <v>1120</v>
      </c>
      <c r="J511" s="6" t="s">
        <v>1522</v>
      </c>
      <c r="K511" s="6" t="s">
        <v>1522</v>
      </c>
      <c r="L511" s="6" t="s">
        <v>681</v>
      </c>
      <c r="M511" s="2">
        <v>45351.0</v>
      </c>
      <c r="N511" s="6" t="s">
        <v>38</v>
      </c>
      <c r="Q511" s="8" t="s">
        <v>1525</v>
      </c>
    </row>
    <row r="512">
      <c r="A512" s="7">
        <v>45335.656373136575</v>
      </c>
      <c r="C512" s="6">
        <v>8.690870032E9</v>
      </c>
      <c r="D512" s="6" t="s">
        <v>75</v>
      </c>
      <c r="E512" s="6" t="s">
        <v>34</v>
      </c>
      <c r="F512" s="6" t="s">
        <v>321</v>
      </c>
      <c r="J512" s="6" t="s">
        <v>1522</v>
      </c>
      <c r="K512" s="6" t="s">
        <v>1522</v>
      </c>
      <c r="L512" s="6" t="s">
        <v>681</v>
      </c>
      <c r="M512" s="2">
        <v>45351.0</v>
      </c>
      <c r="N512" s="6" t="s">
        <v>38</v>
      </c>
      <c r="Q512" s="8" t="s">
        <v>1526</v>
      </c>
    </row>
    <row r="513">
      <c r="A513" s="7">
        <v>45335.65727650463</v>
      </c>
      <c r="C513" s="6">
        <v>7.452817342E9</v>
      </c>
      <c r="D513" s="6" t="s">
        <v>75</v>
      </c>
      <c r="E513" s="6" t="s">
        <v>19</v>
      </c>
      <c r="F513" s="6" t="s">
        <v>1527</v>
      </c>
      <c r="J513" s="6" t="s">
        <v>1522</v>
      </c>
      <c r="K513" s="6" t="s">
        <v>1522</v>
      </c>
      <c r="L513" s="6" t="s">
        <v>681</v>
      </c>
      <c r="M513" s="2">
        <v>45351.0</v>
      </c>
      <c r="N513" s="6" t="s">
        <v>38</v>
      </c>
      <c r="Q513" s="8" t="s">
        <v>1528</v>
      </c>
    </row>
    <row r="514">
      <c r="A514" s="7">
        <v>45335.658815324074</v>
      </c>
      <c r="C514" s="6">
        <v>7.651991388E9</v>
      </c>
      <c r="D514" s="6" t="s">
        <v>75</v>
      </c>
      <c r="E514" s="6" t="s">
        <v>19</v>
      </c>
      <c r="F514" s="6" t="s">
        <v>1529</v>
      </c>
      <c r="J514" s="6" t="s">
        <v>1522</v>
      </c>
      <c r="K514" s="6" t="s">
        <v>1522</v>
      </c>
      <c r="L514" s="6" t="s">
        <v>681</v>
      </c>
      <c r="M514" s="2">
        <v>45351.0</v>
      </c>
      <c r="N514" s="6" t="s">
        <v>38</v>
      </c>
      <c r="Q514" s="8" t="s">
        <v>1530</v>
      </c>
    </row>
    <row r="515">
      <c r="A515" s="7">
        <v>45335.65975331019</v>
      </c>
      <c r="C515" s="6">
        <v>9.006308745E9</v>
      </c>
      <c r="D515" s="6" t="s">
        <v>75</v>
      </c>
      <c r="E515" s="6" t="s">
        <v>19</v>
      </c>
      <c r="F515" s="6" t="s">
        <v>1531</v>
      </c>
      <c r="J515" s="6" t="s">
        <v>1522</v>
      </c>
      <c r="K515" s="6" t="s">
        <v>1522</v>
      </c>
      <c r="L515" s="6" t="s">
        <v>681</v>
      </c>
      <c r="M515" s="2">
        <v>45351.0</v>
      </c>
      <c r="N515" s="6" t="s">
        <v>38</v>
      </c>
      <c r="Q515" s="8" t="s">
        <v>1532</v>
      </c>
    </row>
    <row r="516">
      <c r="A516" s="7">
        <v>45335.660818379634</v>
      </c>
      <c r="C516" s="6">
        <v>7.59101687E9</v>
      </c>
      <c r="D516" s="6" t="s">
        <v>75</v>
      </c>
      <c r="E516" s="6" t="s">
        <v>921</v>
      </c>
      <c r="F516" s="6" t="s">
        <v>1533</v>
      </c>
      <c r="J516" s="6" t="s">
        <v>1522</v>
      </c>
      <c r="K516" s="6" t="s">
        <v>1522</v>
      </c>
      <c r="L516" s="6" t="s">
        <v>681</v>
      </c>
      <c r="M516" s="2">
        <v>45351.0</v>
      </c>
      <c r="N516" s="6" t="s">
        <v>38</v>
      </c>
      <c r="Q516" s="8" t="s">
        <v>1534</v>
      </c>
    </row>
    <row r="517">
      <c r="A517" s="7">
        <v>45335.66209481482</v>
      </c>
      <c r="C517" s="6">
        <v>8.178237454E9</v>
      </c>
      <c r="D517" s="6" t="s">
        <v>75</v>
      </c>
      <c r="E517" s="6" t="s">
        <v>921</v>
      </c>
      <c r="F517" s="6" t="s">
        <v>1535</v>
      </c>
      <c r="J517" s="6" t="s">
        <v>1522</v>
      </c>
      <c r="K517" s="6" t="s">
        <v>1522</v>
      </c>
      <c r="L517" s="6" t="s">
        <v>681</v>
      </c>
      <c r="M517" s="2">
        <v>45351.0</v>
      </c>
      <c r="N517" s="6" t="s">
        <v>38</v>
      </c>
      <c r="Q517" s="8" t="s">
        <v>1536</v>
      </c>
    </row>
    <row r="518">
      <c r="A518" s="7">
        <v>45335.664103194445</v>
      </c>
      <c r="C518" s="6">
        <v>7.248525341E9</v>
      </c>
      <c r="D518" s="6" t="s">
        <v>75</v>
      </c>
      <c r="E518" s="6" t="s">
        <v>921</v>
      </c>
      <c r="F518" s="6" t="s">
        <v>1527</v>
      </c>
      <c r="J518" s="6" t="s">
        <v>1522</v>
      </c>
      <c r="K518" s="6" t="s">
        <v>1522</v>
      </c>
      <c r="L518" s="6" t="s">
        <v>681</v>
      </c>
      <c r="M518" s="2">
        <v>45351.0</v>
      </c>
      <c r="N518" s="6" t="s">
        <v>38</v>
      </c>
      <c r="Q518" s="8" t="s">
        <v>1537</v>
      </c>
    </row>
    <row r="519">
      <c r="A519" s="7">
        <v>45335.6648927662</v>
      </c>
      <c r="C519" s="6">
        <v>8.318075528E9</v>
      </c>
      <c r="D519" s="6" t="s">
        <v>75</v>
      </c>
      <c r="E519" s="6" t="s">
        <v>921</v>
      </c>
      <c r="F519" s="6" t="s">
        <v>1527</v>
      </c>
      <c r="J519" s="6" t="s">
        <v>1522</v>
      </c>
      <c r="K519" s="6" t="s">
        <v>1522</v>
      </c>
      <c r="L519" s="6" t="s">
        <v>681</v>
      </c>
      <c r="M519" s="2">
        <v>45351.0</v>
      </c>
      <c r="N519" s="6" t="s">
        <v>38</v>
      </c>
      <c r="Q519" s="8" t="s">
        <v>1538</v>
      </c>
    </row>
    <row r="520">
      <c r="A520" s="7">
        <v>45335.666230601855</v>
      </c>
      <c r="C520" s="6">
        <v>6.398422722E9</v>
      </c>
      <c r="D520" s="6" t="s">
        <v>75</v>
      </c>
      <c r="E520" s="6" t="s">
        <v>921</v>
      </c>
      <c r="F520" s="6" t="s">
        <v>1539</v>
      </c>
      <c r="J520" s="6" t="s">
        <v>1522</v>
      </c>
      <c r="K520" s="6" t="s">
        <v>1522</v>
      </c>
      <c r="L520" s="6" t="s">
        <v>681</v>
      </c>
      <c r="M520" s="2">
        <v>45351.0</v>
      </c>
      <c r="N520" s="6" t="s">
        <v>38</v>
      </c>
      <c r="Q520" s="8" t="s">
        <v>1540</v>
      </c>
    </row>
    <row r="521">
      <c r="A521" s="7">
        <v>45335.66693181713</v>
      </c>
      <c r="C521" s="6">
        <v>8.493821026E9</v>
      </c>
      <c r="D521" s="6" t="s">
        <v>75</v>
      </c>
      <c r="E521" s="6" t="s">
        <v>921</v>
      </c>
      <c r="F521" s="6" t="s">
        <v>1527</v>
      </c>
      <c r="J521" s="6" t="s">
        <v>1522</v>
      </c>
      <c r="K521" s="6" t="s">
        <v>1522</v>
      </c>
      <c r="L521" s="6" t="s">
        <v>681</v>
      </c>
      <c r="M521" s="2">
        <v>45351.0</v>
      </c>
      <c r="N521" s="6" t="s">
        <v>38</v>
      </c>
      <c r="Q521" s="8" t="s">
        <v>1541</v>
      </c>
    </row>
    <row r="522">
      <c r="A522" s="7">
        <v>45335.66789805556</v>
      </c>
      <c r="C522" s="6">
        <v>9.793576755E9</v>
      </c>
      <c r="D522" s="6" t="s">
        <v>75</v>
      </c>
      <c r="E522" s="6" t="s">
        <v>921</v>
      </c>
      <c r="F522" s="6" t="s">
        <v>1527</v>
      </c>
      <c r="J522" s="6" t="s">
        <v>1522</v>
      </c>
      <c r="K522" s="6" t="s">
        <v>1522</v>
      </c>
      <c r="L522" s="6" t="s">
        <v>681</v>
      </c>
      <c r="M522" s="2">
        <v>45351.0</v>
      </c>
      <c r="N522" s="6" t="s">
        <v>38</v>
      </c>
      <c r="Q522" s="8" t="s">
        <v>1542</v>
      </c>
    </row>
    <row r="523">
      <c r="A523" s="7">
        <v>45335.66931670139</v>
      </c>
      <c r="C523" s="6">
        <v>9.67529694E9</v>
      </c>
      <c r="D523" s="6" t="s">
        <v>75</v>
      </c>
      <c r="E523" s="6" t="s">
        <v>921</v>
      </c>
      <c r="F523" s="6" t="s">
        <v>1543</v>
      </c>
      <c r="J523" s="6" t="s">
        <v>1522</v>
      </c>
      <c r="K523" s="6" t="s">
        <v>1522</v>
      </c>
      <c r="L523" s="6" t="s">
        <v>681</v>
      </c>
      <c r="N523" s="6" t="s">
        <v>38</v>
      </c>
      <c r="Q523" s="8" t="s">
        <v>1544</v>
      </c>
    </row>
    <row r="524">
      <c r="A524" s="7">
        <v>45335.670171875</v>
      </c>
      <c r="C524" s="6">
        <v>6.399314221E9</v>
      </c>
      <c r="D524" s="6" t="s">
        <v>75</v>
      </c>
      <c r="E524" s="6" t="s">
        <v>921</v>
      </c>
      <c r="F524" s="6" t="s">
        <v>55</v>
      </c>
      <c r="J524" s="6" t="s">
        <v>1522</v>
      </c>
      <c r="K524" s="6" t="s">
        <v>1522</v>
      </c>
      <c r="L524" s="6" t="s">
        <v>681</v>
      </c>
      <c r="M524" s="2">
        <v>45351.0</v>
      </c>
      <c r="N524" s="6" t="s">
        <v>38</v>
      </c>
      <c r="Q524" s="8" t="s">
        <v>1545</v>
      </c>
    </row>
    <row r="525">
      <c r="A525" s="7">
        <v>45335.6715940625</v>
      </c>
      <c r="C525" s="6">
        <v>6.399535813E9</v>
      </c>
      <c r="D525" s="6" t="s">
        <v>75</v>
      </c>
      <c r="E525" s="6" t="s">
        <v>921</v>
      </c>
      <c r="F525" s="6" t="s">
        <v>55</v>
      </c>
      <c r="J525" s="6" t="s">
        <v>1522</v>
      </c>
      <c r="K525" s="6" t="s">
        <v>1522</v>
      </c>
      <c r="L525" s="6" t="s">
        <v>681</v>
      </c>
      <c r="M525" s="2">
        <v>45351.0</v>
      </c>
      <c r="N525" s="6" t="s">
        <v>38</v>
      </c>
      <c r="Q525" s="8" t="s">
        <v>1546</v>
      </c>
    </row>
    <row r="526">
      <c r="A526" s="7">
        <v>45335.673223715276</v>
      </c>
      <c r="C526" s="6">
        <v>8.875501748E9</v>
      </c>
      <c r="D526" s="6" t="s">
        <v>75</v>
      </c>
      <c r="E526" s="6" t="s">
        <v>19</v>
      </c>
      <c r="F526" s="6" t="s">
        <v>55</v>
      </c>
      <c r="J526" s="6" t="s">
        <v>1522</v>
      </c>
      <c r="K526" s="6" t="s">
        <v>1522</v>
      </c>
      <c r="L526" s="6" t="s">
        <v>681</v>
      </c>
      <c r="M526" s="2">
        <v>45351.0</v>
      </c>
      <c r="N526" s="6" t="s">
        <v>38</v>
      </c>
      <c r="Q526" s="8" t="s">
        <v>1547</v>
      </c>
    </row>
    <row r="527">
      <c r="A527" s="7">
        <v>45335.67439930556</v>
      </c>
      <c r="C527" s="6">
        <v>9.149355419E9</v>
      </c>
      <c r="D527" s="6" t="s">
        <v>75</v>
      </c>
      <c r="E527" s="6" t="s">
        <v>921</v>
      </c>
      <c r="F527" s="6" t="s">
        <v>55</v>
      </c>
      <c r="J527" s="6" t="s">
        <v>1522</v>
      </c>
      <c r="K527" s="6" t="s">
        <v>1522</v>
      </c>
      <c r="L527" s="6" t="s">
        <v>681</v>
      </c>
      <c r="M527" s="2">
        <v>45351.0</v>
      </c>
      <c r="N527" s="6" t="s">
        <v>38</v>
      </c>
      <c r="Q527" s="8" t="s">
        <v>1548</v>
      </c>
    </row>
    <row r="528">
      <c r="A528" s="7">
        <v>45335.67519996528</v>
      </c>
      <c r="C528" s="6">
        <v>8.077486398E9</v>
      </c>
      <c r="D528" s="6" t="s">
        <v>75</v>
      </c>
      <c r="E528" s="6" t="s">
        <v>921</v>
      </c>
      <c r="F528" s="6" t="s">
        <v>76</v>
      </c>
      <c r="J528" s="6" t="s">
        <v>1522</v>
      </c>
      <c r="K528" s="6" t="s">
        <v>1522</v>
      </c>
      <c r="L528" s="6" t="s">
        <v>681</v>
      </c>
      <c r="M528" s="2">
        <v>45351.0</v>
      </c>
      <c r="N528" s="6" t="s">
        <v>38</v>
      </c>
      <c r="Q528" s="8" t="s">
        <v>1549</v>
      </c>
    </row>
    <row r="529">
      <c r="A529" s="7">
        <v>45335.67605912037</v>
      </c>
      <c r="C529" s="6">
        <v>7.456033646E9</v>
      </c>
      <c r="D529" s="6" t="s">
        <v>75</v>
      </c>
      <c r="E529" s="6" t="s">
        <v>921</v>
      </c>
      <c r="F529" s="6" t="s">
        <v>1527</v>
      </c>
      <c r="J529" s="6" t="s">
        <v>1522</v>
      </c>
      <c r="K529" s="6" t="s">
        <v>1522</v>
      </c>
      <c r="L529" s="6" t="s">
        <v>681</v>
      </c>
      <c r="M529" s="2">
        <v>45351.0</v>
      </c>
      <c r="N529" s="6" t="s">
        <v>38</v>
      </c>
      <c r="Q529" s="8" t="s">
        <v>1550</v>
      </c>
    </row>
    <row r="530">
      <c r="A530" s="7">
        <v>45335.676838113424</v>
      </c>
      <c r="C530" s="6">
        <v>7.428274451E9</v>
      </c>
      <c r="D530" s="6" t="s">
        <v>75</v>
      </c>
      <c r="E530" s="6" t="s">
        <v>921</v>
      </c>
      <c r="F530" s="6" t="s">
        <v>34</v>
      </c>
      <c r="J530" s="6" t="s">
        <v>1522</v>
      </c>
      <c r="K530" s="6" t="s">
        <v>1522</v>
      </c>
      <c r="L530" s="6" t="s">
        <v>681</v>
      </c>
      <c r="M530" s="2">
        <v>45351.0</v>
      </c>
      <c r="N530" s="6" t="s">
        <v>38</v>
      </c>
      <c r="Q530" s="8" t="s">
        <v>1551</v>
      </c>
    </row>
    <row r="531">
      <c r="A531" s="7">
        <v>45335.6778156713</v>
      </c>
      <c r="C531" s="6">
        <v>9.045610159E9</v>
      </c>
      <c r="D531" s="6" t="s">
        <v>75</v>
      </c>
      <c r="E531" s="6" t="s">
        <v>921</v>
      </c>
      <c r="F531" s="6" t="s">
        <v>1552</v>
      </c>
      <c r="J531" s="6" t="s">
        <v>1522</v>
      </c>
      <c r="K531" s="6" t="s">
        <v>1522</v>
      </c>
      <c r="L531" s="6" t="s">
        <v>681</v>
      </c>
      <c r="M531" s="2">
        <v>45351.0</v>
      </c>
      <c r="N531" s="6" t="s">
        <v>38</v>
      </c>
      <c r="Q531" s="8" t="s">
        <v>1553</v>
      </c>
    </row>
    <row r="532">
      <c r="A532" s="7">
        <v>45335.678959490746</v>
      </c>
      <c r="C532" s="6">
        <v>7.07301086E9</v>
      </c>
      <c r="D532" s="6" t="s">
        <v>75</v>
      </c>
      <c r="E532" s="6" t="s">
        <v>921</v>
      </c>
      <c r="F532" s="6" t="s">
        <v>1527</v>
      </c>
      <c r="J532" s="6" t="s">
        <v>1522</v>
      </c>
      <c r="K532" s="6" t="s">
        <v>1522</v>
      </c>
      <c r="L532" s="6" t="s">
        <v>681</v>
      </c>
      <c r="M532" s="2">
        <v>45351.0</v>
      </c>
      <c r="N532" s="6" t="s">
        <v>38</v>
      </c>
      <c r="Q532" s="8" t="s">
        <v>1554</v>
      </c>
    </row>
    <row r="533">
      <c r="A533" s="7">
        <v>45335.67991057871</v>
      </c>
      <c r="C533" s="6">
        <v>8.13049915E9</v>
      </c>
      <c r="D533" s="6" t="s">
        <v>75</v>
      </c>
      <c r="E533" s="6" t="s">
        <v>921</v>
      </c>
      <c r="F533" s="6" t="s">
        <v>1555</v>
      </c>
      <c r="J533" s="6" t="s">
        <v>1522</v>
      </c>
      <c r="K533" s="6" t="s">
        <v>1522</v>
      </c>
      <c r="L533" s="6" t="s">
        <v>681</v>
      </c>
      <c r="M533" s="2">
        <v>45351.0</v>
      </c>
      <c r="N533" s="6" t="s">
        <v>38</v>
      </c>
      <c r="Q533" s="8" t="s">
        <v>1556</v>
      </c>
    </row>
    <row r="534">
      <c r="A534" s="7">
        <v>45335.68152438657</v>
      </c>
      <c r="C534" s="6">
        <v>8.475072134E9</v>
      </c>
      <c r="D534" s="6" t="s">
        <v>75</v>
      </c>
      <c r="E534" s="6" t="s">
        <v>921</v>
      </c>
      <c r="F534" s="6" t="s">
        <v>55</v>
      </c>
      <c r="J534" s="6" t="s">
        <v>1522</v>
      </c>
      <c r="K534" s="6" t="s">
        <v>1522</v>
      </c>
      <c r="L534" s="6" t="s">
        <v>681</v>
      </c>
      <c r="M534" s="2">
        <v>45351.0</v>
      </c>
      <c r="N534" s="6" t="s">
        <v>38</v>
      </c>
      <c r="Q534" s="8" t="s">
        <v>1557</v>
      </c>
    </row>
    <row r="535">
      <c r="A535" s="7">
        <v>45335.683187476854</v>
      </c>
      <c r="C535" s="6">
        <v>8.178212608E9</v>
      </c>
      <c r="D535" s="6" t="s">
        <v>75</v>
      </c>
      <c r="E535" s="6" t="s">
        <v>921</v>
      </c>
      <c r="F535" s="6" t="s">
        <v>1555</v>
      </c>
      <c r="J535" s="6" t="s">
        <v>1522</v>
      </c>
      <c r="K535" s="6" t="s">
        <v>1522</v>
      </c>
      <c r="L535" s="6" t="s">
        <v>681</v>
      </c>
      <c r="M535" s="2">
        <v>45351.0</v>
      </c>
      <c r="N535" s="6" t="s">
        <v>38</v>
      </c>
      <c r="Q535" s="8" t="s">
        <v>1558</v>
      </c>
    </row>
    <row r="536">
      <c r="A536" s="7">
        <v>45335.68395047454</v>
      </c>
      <c r="C536" s="6">
        <v>8.958732654E9</v>
      </c>
      <c r="D536" s="6" t="s">
        <v>75</v>
      </c>
      <c r="E536" s="6" t="s">
        <v>921</v>
      </c>
      <c r="F536" s="6" t="s">
        <v>55</v>
      </c>
      <c r="J536" s="6" t="s">
        <v>1522</v>
      </c>
      <c r="K536" s="6" t="s">
        <v>1522</v>
      </c>
      <c r="L536" s="6" t="s">
        <v>681</v>
      </c>
      <c r="M536" s="2">
        <v>45351.0</v>
      </c>
      <c r="N536" s="6" t="s">
        <v>38</v>
      </c>
      <c r="Q536" s="8" t="s">
        <v>1559</v>
      </c>
    </row>
    <row r="537">
      <c r="A537" s="7">
        <v>45335.68469071759</v>
      </c>
      <c r="C537" s="6">
        <v>9.3771001E9</v>
      </c>
      <c r="D537" s="6" t="s">
        <v>75</v>
      </c>
      <c r="E537" s="6" t="s">
        <v>921</v>
      </c>
      <c r="F537" s="6" t="s">
        <v>55</v>
      </c>
      <c r="J537" s="6" t="s">
        <v>1522</v>
      </c>
      <c r="K537" s="6" t="s">
        <v>1522</v>
      </c>
      <c r="L537" s="6" t="s">
        <v>681</v>
      </c>
      <c r="M537" s="2">
        <v>45351.0</v>
      </c>
      <c r="N537" s="6" t="s">
        <v>38</v>
      </c>
      <c r="Q537" s="8" t="s">
        <v>1560</v>
      </c>
    </row>
    <row r="538">
      <c r="A538" s="7">
        <v>45490.53777440972</v>
      </c>
      <c r="B538" s="6" t="s">
        <v>247</v>
      </c>
      <c r="D538" s="6" t="s">
        <v>18</v>
      </c>
      <c r="E538" s="6" t="s">
        <v>55</v>
      </c>
      <c r="F538" s="6" t="s">
        <v>188</v>
      </c>
      <c r="H538" s="6" t="s">
        <v>1561</v>
      </c>
      <c r="J538" s="6" t="s">
        <v>37</v>
      </c>
      <c r="K538" s="6" t="s">
        <v>30</v>
      </c>
      <c r="L538" s="6" t="s">
        <v>24</v>
      </c>
      <c r="M538" s="2">
        <v>45497.0</v>
      </c>
      <c r="N538" s="6" t="s">
        <v>38</v>
      </c>
      <c r="Q538" s="8" t="s">
        <v>1562</v>
      </c>
    </row>
    <row r="539">
      <c r="A539" s="7">
        <v>45490.53908756944</v>
      </c>
      <c r="B539" s="6" t="s">
        <v>1563</v>
      </c>
      <c r="D539" s="6" t="s">
        <v>18</v>
      </c>
      <c r="E539" s="6" t="s">
        <v>47</v>
      </c>
      <c r="F539" s="6" t="s">
        <v>47</v>
      </c>
      <c r="G539" s="6" t="s">
        <v>166</v>
      </c>
      <c r="H539" s="6" t="s">
        <v>1564</v>
      </c>
      <c r="J539" s="6" t="s">
        <v>847</v>
      </c>
      <c r="K539" s="6" t="s">
        <v>37</v>
      </c>
      <c r="L539" s="6" t="s">
        <v>24</v>
      </c>
      <c r="Q539" s="8" t="s">
        <v>1565</v>
      </c>
    </row>
    <row r="540">
      <c r="A540" s="7">
        <v>45490.540123506944</v>
      </c>
      <c r="B540" s="6" t="s">
        <v>1566</v>
      </c>
      <c r="D540" s="6" t="s">
        <v>75</v>
      </c>
      <c r="E540" s="6" t="s">
        <v>76</v>
      </c>
      <c r="F540" s="6" t="s">
        <v>1567</v>
      </c>
      <c r="H540" s="6" t="s">
        <v>1568</v>
      </c>
      <c r="J540" s="6" t="s">
        <v>37</v>
      </c>
      <c r="K540" s="6" t="s">
        <v>37</v>
      </c>
      <c r="L540" s="6" t="s">
        <v>24</v>
      </c>
      <c r="Q540" s="8" t="s">
        <v>1569</v>
      </c>
    </row>
    <row r="541">
      <c r="A541" s="7">
        <v>45490.542025532406</v>
      </c>
      <c r="B541" s="6" t="s">
        <v>1570</v>
      </c>
      <c r="D541" s="6" t="s">
        <v>18</v>
      </c>
      <c r="E541" s="6" t="s">
        <v>34</v>
      </c>
      <c r="F541" s="6" t="s">
        <v>79</v>
      </c>
      <c r="H541" s="6" t="s">
        <v>1571</v>
      </c>
      <c r="J541" s="6" t="s">
        <v>37</v>
      </c>
      <c r="K541" s="6" t="s">
        <v>30</v>
      </c>
      <c r="L541" s="6" t="s">
        <v>24</v>
      </c>
      <c r="M541" s="2">
        <v>45512.0</v>
      </c>
      <c r="Q541" s="8" t="s">
        <v>1572</v>
      </c>
    </row>
    <row r="542">
      <c r="A542" s="7">
        <v>45490.54294141204</v>
      </c>
      <c r="B542" s="6" t="s">
        <v>1573</v>
      </c>
      <c r="D542" s="6" t="s">
        <v>311</v>
      </c>
      <c r="E542" s="6" t="s">
        <v>431</v>
      </c>
      <c r="F542" s="6" t="s">
        <v>1574</v>
      </c>
      <c r="H542" s="6" t="s">
        <v>1575</v>
      </c>
      <c r="J542" s="6" t="s">
        <v>37</v>
      </c>
      <c r="K542" s="6" t="s">
        <v>30</v>
      </c>
      <c r="L542" s="6" t="s">
        <v>24</v>
      </c>
      <c r="M542" s="2">
        <v>45561.0</v>
      </c>
      <c r="N542" s="6" t="s">
        <v>210</v>
      </c>
      <c r="Q542" s="8" t="s">
        <v>1576</v>
      </c>
    </row>
    <row r="543">
      <c r="A543" s="7">
        <v>45496.51453450232</v>
      </c>
      <c r="B543" s="6" t="s">
        <v>1577</v>
      </c>
      <c r="C543" s="6">
        <v>9.821616596E9</v>
      </c>
      <c r="D543" s="6" t="s">
        <v>18</v>
      </c>
      <c r="E543" s="6" t="s">
        <v>55</v>
      </c>
      <c r="F543" s="6" t="s">
        <v>56</v>
      </c>
      <c r="H543" s="6" t="s">
        <v>1578</v>
      </c>
      <c r="J543" s="6" t="s">
        <v>847</v>
      </c>
      <c r="K543" s="6" t="s">
        <v>1084</v>
      </c>
      <c r="L543" s="6" t="s">
        <v>24</v>
      </c>
      <c r="M543" s="2">
        <v>45497.0</v>
      </c>
      <c r="N543" s="6" t="s">
        <v>25</v>
      </c>
      <c r="Q543" s="8" t="s">
        <v>1579</v>
      </c>
    </row>
    <row r="544">
      <c r="A544" s="7">
        <v>45496.52781185185</v>
      </c>
      <c r="B544" s="6" t="s">
        <v>1580</v>
      </c>
      <c r="C544" s="6">
        <v>9.166844599E9</v>
      </c>
      <c r="D544" s="6" t="s">
        <v>18</v>
      </c>
      <c r="E544" s="6" t="s">
        <v>41</v>
      </c>
      <c r="F544" s="6" t="s">
        <v>41</v>
      </c>
      <c r="G544" s="6" t="s">
        <v>268</v>
      </c>
      <c r="H544" s="6" t="s">
        <v>1581</v>
      </c>
      <c r="J544" s="6" t="s">
        <v>37</v>
      </c>
      <c r="L544" s="6" t="s">
        <v>24</v>
      </c>
      <c r="M544" s="2">
        <v>45505.0</v>
      </c>
      <c r="N544" s="6" t="s">
        <v>25</v>
      </c>
      <c r="Q544" s="8" t="s">
        <v>1582</v>
      </c>
    </row>
    <row r="545">
      <c r="A545" s="7">
        <v>45499.78636366898</v>
      </c>
      <c r="B545" s="6" t="s">
        <v>1583</v>
      </c>
      <c r="D545" s="6" t="s">
        <v>18</v>
      </c>
      <c r="E545" s="6" t="s">
        <v>41</v>
      </c>
      <c r="F545" s="6" t="s">
        <v>41</v>
      </c>
      <c r="G545" s="6" t="s">
        <v>268</v>
      </c>
      <c r="H545" s="6" t="s">
        <v>1584</v>
      </c>
      <c r="J545" s="6" t="s">
        <v>847</v>
      </c>
      <c r="K545" s="6" t="s">
        <v>789</v>
      </c>
      <c r="L545" s="6" t="s">
        <v>24</v>
      </c>
      <c r="M545" s="2">
        <v>45535.0</v>
      </c>
      <c r="N545" s="6" t="s">
        <v>44</v>
      </c>
      <c r="Q545" s="8" t="s">
        <v>1585</v>
      </c>
    </row>
    <row r="546">
      <c r="A546" s="7">
        <v>45501.61146274305</v>
      </c>
      <c r="B546" s="6" t="s">
        <v>1586</v>
      </c>
      <c r="C546" s="6">
        <v>9.212157824E9</v>
      </c>
      <c r="D546" s="6" t="s">
        <v>18</v>
      </c>
      <c r="E546" s="6" t="s">
        <v>76</v>
      </c>
      <c r="F546" s="6" t="s">
        <v>1587</v>
      </c>
      <c r="G546" s="6" t="s">
        <v>198</v>
      </c>
      <c r="H546" s="6" t="s">
        <v>1587</v>
      </c>
      <c r="J546" s="6" t="s">
        <v>847</v>
      </c>
      <c r="K546" s="6" t="s">
        <v>789</v>
      </c>
      <c r="L546" s="6" t="s">
        <v>24</v>
      </c>
      <c r="N546" s="6" t="s">
        <v>210</v>
      </c>
      <c r="Q546" s="8" t="s">
        <v>1588</v>
      </c>
    </row>
    <row r="547">
      <c r="A547" s="7">
        <v>45504.55864546297</v>
      </c>
      <c r="B547" s="6" t="s">
        <v>1589</v>
      </c>
      <c r="D547" s="6" t="s">
        <v>18</v>
      </c>
      <c r="E547" s="6" t="s">
        <v>47</v>
      </c>
      <c r="F547" s="6" t="s">
        <v>47</v>
      </c>
      <c r="G547" s="6" t="s">
        <v>676</v>
      </c>
      <c r="H547" s="6" t="s">
        <v>1590</v>
      </c>
      <c r="J547" s="6" t="s">
        <v>37</v>
      </c>
      <c r="K547" s="6" t="s">
        <v>789</v>
      </c>
      <c r="L547" s="6" t="s">
        <v>24</v>
      </c>
      <c r="N547" s="6" t="s">
        <v>25</v>
      </c>
      <c r="Q547" s="8" t="s">
        <v>1591</v>
      </c>
    </row>
    <row r="548">
      <c r="A548" s="7">
        <v>45504.56551927084</v>
      </c>
      <c r="B548" s="6" t="s">
        <v>1592</v>
      </c>
      <c r="D548" s="6" t="s">
        <v>18</v>
      </c>
      <c r="E548" s="6" t="s">
        <v>41</v>
      </c>
      <c r="F548" s="6" t="s">
        <v>41</v>
      </c>
      <c r="G548" s="6">
        <v>5.0</v>
      </c>
      <c r="H548" s="6" t="s">
        <v>1593</v>
      </c>
      <c r="J548" s="6" t="s">
        <v>847</v>
      </c>
      <c r="K548" s="6" t="s">
        <v>789</v>
      </c>
      <c r="L548" s="6" t="s">
        <v>24</v>
      </c>
      <c r="N548" s="6" t="s">
        <v>25</v>
      </c>
      <c r="Q548" s="8" t="s">
        <v>1594</v>
      </c>
    </row>
    <row r="549">
      <c r="A549" s="7">
        <v>45512.56613047454</v>
      </c>
      <c r="B549" s="6" t="s">
        <v>1595</v>
      </c>
      <c r="D549" s="6" t="s">
        <v>18</v>
      </c>
      <c r="E549" s="6" t="s">
        <v>55</v>
      </c>
      <c r="F549" s="6" t="s">
        <v>20</v>
      </c>
      <c r="H549" s="6" t="s">
        <v>1596</v>
      </c>
      <c r="J549" s="6" t="s">
        <v>37</v>
      </c>
      <c r="K549" s="6" t="s">
        <v>30</v>
      </c>
      <c r="L549" s="6" t="s">
        <v>24</v>
      </c>
      <c r="M549" s="2">
        <v>45526.0</v>
      </c>
      <c r="N549" s="6" t="s">
        <v>38</v>
      </c>
      <c r="Q549" s="8" t="s">
        <v>1597</v>
      </c>
    </row>
    <row r="550">
      <c r="A550" s="7">
        <v>45512.78827247686</v>
      </c>
      <c r="B550" s="6" t="s">
        <v>1598</v>
      </c>
      <c r="D550" s="6" t="s">
        <v>18</v>
      </c>
      <c r="E550" s="6" t="s">
        <v>34</v>
      </c>
      <c r="F550" s="6" t="s">
        <v>60</v>
      </c>
      <c r="H550" s="6" t="s">
        <v>1599</v>
      </c>
      <c r="J550" s="6" t="s">
        <v>847</v>
      </c>
      <c r="K550" s="6" t="s">
        <v>789</v>
      </c>
      <c r="L550" s="6" t="s">
        <v>24</v>
      </c>
      <c r="N550" s="6" t="s">
        <v>38</v>
      </c>
      <c r="Q550" s="8" t="s">
        <v>1600</v>
      </c>
    </row>
    <row r="551">
      <c r="A551" s="7">
        <v>45525.573758750004</v>
      </c>
      <c r="B551" s="6" t="s">
        <v>1601</v>
      </c>
      <c r="C551" s="6">
        <v>9.899284144E9</v>
      </c>
      <c r="D551" s="6" t="s">
        <v>18</v>
      </c>
      <c r="E551" s="6" t="s">
        <v>34</v>
      </c>
      <c r="F551" s="6" t="s">
        <v>20</v>
      </c>
      <c r="I551" s="8" t="s">
        <v>1602</v>
      </c>
      <c r="J551" s="6" t="s">
        <v>847</v>
      </c>
      <c r="K551" s="6" t="s">
        <v>30</v>
      </c>
      <c r="L551" s="6" t="s">
        <v>24</v>
      </c>
      <c r="N551" s="6" t="s">
        <v>38</v>
      </c>
      <c r="Q551" s="8" t="s">
        <v>1603</v>
      </c>
    </row>
    <row r="552">
      <c r="A552" s="7">
        <v>45536.69539365741</v>
      </c>
      <c r="B552" s="6" t="s">
        <v>1604</v>
      </c>
      <c r="D552" s="6" t="s">
        <v>18</v>
      </c>
      <c r="E552" s="6" t="s">
        <v>34</v>
      </c>
      <c r="F552" s="6" t="s">
        <v>1605</v>
      </c>
      <c r="J552" s="6" t="s">
        <v>847</v>
      </c>
      <c r="K552" s="6" t="s">
        <v>789</v>
      </c>
      <c r="L552" s="6" t="s">
        <v>72</v>
      </c>
      <c r="Q552" s="8" t="s">
        <v>1606</v>
      </c>
    </row>
    <row r="553">
      <c r="A553" s="7">
        <v>45536.69820811343</v>
      </c>
      <c r="B553" s="6" t="s">
        <v>1607</v>
      </c>
      <c r="D553" s="6" t="s">
        <v>18</v>
      </c>
      <c r="E553" s="6" t="s">
        <v>34</v>
      </c>
      <c r="F553" s="6" t="s">
        <v>159</v>
      </c>
      <c r="J553" s="6" t="s">
        <v>1084</v>
      </c>
      <c r="K553" s="6" t="s">
        <v>789</v>
      </c>
      <c r="L553" s="6" t="s">
        <v>72</v>
      </c>
      <c r="Q553" s="8" t="s">
        <v>1608</v>
      </c>
    </row>
    <row r="554">
      <c r="A554" s="7">
        <v>45536.6994552199</v>
      </c>
      <c r="B554" s="6" t="s">
        <v>1609</v>
      </c>
      <c r="D554" s="6" t="s">
        <v>18</v>
      </c>
      <c r="E554" s="6" t="s">
        <v>47</v>
      </c>
      <c r="F554" s="6" t="s">
        <v>47</v>
      </c>
      <c r="J554" s="6" t="s">
        <v>37</v>
      </c>
      <c r="K554" s="6" t="s">
        <v>789</v>
      </c>
      <c r="L554" s="6" t="s">
        <v>72</v>
      </c>
      <c r="Q554" s="8" t="s">
        <v>1610</v>
      </c>
    </row>
    <row r="555">
      <c r="A555" s="7">
        <v>45536.70163039352</v>
      </c>
      <c r="B555" s="6" t="s">
        <v>1611</v>
      </c>
      <c r="D555" s="6" t="s">
        <v>18</v>
      </c>
      <c r="E555" s="6" t="s">
        <v>34</v>
      </c>
      <c r="F555" s="6" t="s">
        <v>1612</v>
      </c>
      <c r="J555" s="6" t="s">
        <v>37</v>
      </c>
      <c r="K555" s="6" t="s">
        <v>789</v>
      </c>
      <c r="L555" s="6" t="s">
        <v>24</v>
      </c>
      <c r="Q555" s="8" t="s">
        <v>1613</v>
      </c>
    </row>
    <row r="556">
      <c r="A556" s="7">
        <v>45541.49722269676</v>
      </c>
      <c r="B556" s="6" t="s">
        <v>1614</v>
      </c>
      <c r="D556" s="6" t="s">
        <v>311</v>
      </c>
      <c r="E556" s="6" t="s">
        <v>34</v>
      </c>
      <c r="F556" s="6" t="s">
        <v>79</v>
      </c>
      <c r="J556" s="6" t="s">
        <v>37</v>
      </c>
      <c r="K556" s="6" t="s">
        <v>789</v>
      </c>
      <c r="L556" s="6" t="s">
        <v>72</v>
      </c>
      <c r="Q556" s="8" t="s">
        <v>1615</v>
      </c>
    </row>
    <row r="557">
      <c r="A557" s="7">
        <v>45541.499944675925</v>
      </c>
      <c r="B557" s="6" t="s">
        <v>1616</v>
      </c>
      <c r="D557" s="6" t="s">
        <v>18</v>
      </c>
      <c r="E557" s="6" t="s">
        <v>34</v>
      </c>
      <c r="F557" s="6" t="s">
        <v>1617</v>
      </c>
      <c r="J557" s="6" t="s">
        <v>37</v>
      </c>
      <c r="K557" s="6" t="s">
        <v>789</v>
      </c>
      <c r="L557" s="6" t="s">
        <v>72</v>
      </c>
      <c r="Q557" s="8" t="s">
        <v>1618</v>
      </c>
    </row>
    <row r="558">
      <c r="A558" s="7">
        <v>45556.62494822917</v>
      </c>
      <c r="B558" s="6" t="s">
        <v>1619</v>
      </c>
      <c r="D558" s="6" t="s">
        <v>18</v>
      </c>
      <c r="E558" s="6" t="s">
        <v>76</v>
      </c>
      <c r="F558" s="6" t="s">
        <v>188</v>
      </c>
      <c r="J558" s="6" t="s">
        <v>847</v>
      </c>
      <c r="K558" s="6" t="s">
        <v>30</v>
      </c>
      <c r="L558" s="6" t="s">
        <v>24</v>
      </c>
      <c r="Q558" s="8" t="s">
        <v>1620</v>
      </c>
    </row>
    <row r="559">
      <c r="A559" s="7">
        <v>45556.62787509259</v>
      </c>
      <c r="B559" s="6" t="s">
        <v>1621</v>
      </c>
      <c r="D559" s="6" t="s">
        <v>18</v>
      </c>
      <c r="E559" s="6" t="s">
        <v>41</v>
      </c>
      <c r="F559" s="6" t="s">
        <v>1622</v>
      </c>
      <c r="J559" s="6" t="s">
        <v>847</v>
      </c>
      <c r="K559" s="6" t="s">
        <v>789</v>
      </c>
      <c r="L559" s="6" t="s">
        <v>24</v>
      </c>
      <c r="Q559" s="8" t="s">
        <v>1623</v>
      </c>
    </row>
    <row r="560">
      <c r="A560" s="7">
        <v>45556.630143622686</v>
      </c>
      <c r="B560" s="6" t="s">
        <v>1624</v>
      </c>
      <c r="D560" s="6" t="s">
        <v>75</v>
      </c>
      <c r="E560" s="6" t="s">
        <v>64</v>
      </c>
      <c r="F560" s="6" t="s">
        <v>1625</v>
      </c>
      <c r="J560" s="6" t="s">
        <v>847</v>
      </c>
      <c r="K560" s="6" t="s">
        <v>30</v>
      </c>
      <c r="L560" s="6" t="s">
        <v>24</v>
      </c>
      <c r="Q560" s="8" t="s">
        <v>1626</v>
      </c>
    </row>
    <row r="561">
      <c r="A561" s="7">
        <v>45556.6362168287</v>
      </c>
      <c r="B561" s="6" t="s">
        <v>1627</v>
      </c>
      <c r="D561" s="6" t="s">
        <v>18</v>
      </c>
      <c r="E561" s="6" t="s">
        <v>64</v>
      </c>
      <c r="F561" s="6" t="s">
        <v>1628</v>
      </c>
      <c r="J561" s="6" t="s">
        <v>847</v>
      </c>
      <c r="K561" s="6" t="s">
        <v>30</v>
      </c>
      <c r="L561" s="6" t="s">
        <v>24</v>
      </c>
      <c r="Q561" s="8" t="s">
        <v>1629</v>
      </c>
    </row>
    <row r="562">
      <c r="A562" s="7">
        <v>45560.51512964121</v>
      </c>
      <c r="B562" s="6" t="s">
        <v>1630</v>
      </c>
      <c r="D562" s="6" t="s">
        <v>18</v>
      </c>
      <c r="E562" s="6" t="s">
        <v>76</v>
      </c>
      <c r="F562" s="6" t="s">
        <v>1631</v>
      </c>
      <c r="J562" s="6" t="s">
        <v>847</v>
      </c>
      <c r="K562" s="6" t="s">
        <v>51</v>
      </c>
      <c r="L562" s="6" t="s">
        <v>24</v>
      </c>
      <c r="Q562" s="8" t="s">
        <v>1632</v>
      </c>
    </row>
    <row r="563">
      <c r="A563" s="7">
        <v>45561.66120125</v>
      </c>
      <c r="B563" s="6" t="s">
        <v>1633</v>
      </c>
      <c r="D563" s="6" t="s">
        <v>18</v>
      </c>
      <c r="E563" s="6" t="s">
        <v>41</v>
      </c>
      <c r="F563" s="6" t="s">
        <v>1634</v>
      </c>
      <c r="J563" s="6" t="s">
        <v>847</v>
      </c>
      <c r="K563" s="6" t="s">
        <v>789</v>
      </c>
      <c r="L563" s="6" t="s">
        <v>184</v>
      </c>
      <c r="Q563" s="8" t="s">
        <v>1635</v>
      </c>
    </row>
    <row r="564">
      <c r="A564" s="7">
        <v>45563.64611533565</v>
      </c>
      <c r="B564" s="6" t="s">
        <v>1636</v>
      </c>
      <c r="C564" s="6">
        <v>9.419181155E9</v>
      </c>
      <c r="D564" s="6" t="s">
        <v>18</v>
      </c>
      <c r="E564" s="6" t="s">
        <v>815</v>
      </c>
      <c r="F564" s="6" t="s">
        <v>1637</v>
      </c>
      <c r="J564" s="6" t="s">
        <v>37</v>
      </c>
      <c r="K564" s="6" t="s">
        <v>30</v>
      </c>
      <c r="L564" s="6" t="s">
        <v>72</v>
      </c>
      <c r="Q564" s="8" t="s">
        <v>1638</v>
      </c>
    </row>
    <row r="565">
      <c r="A565" s="7">
        <v>45563.71384561343</v>
      </c>
      <c r="B565" s="6" t="s">
        <v>1639</v>
      </c>
      <c r="C565" s="6">
        <v>9.811381713E9</v>
      </c>
      <c r="D565" s="6" t="s">
        <v>18</v>
      </c>
      <c r="E565" s="6" t="s">
        <v>55</v>
      </c>
      <c r="F565" s="6" t="s">
        <v>1640</v>
      </c>
      <c r="J565" s="6" t="s">
        <v>37</v>
      </c>
      <c r="K565" s="6" t="s">
        <v>1641</v>
      </c>
      <c r="L565" s="6" t="s">
        <v>24</v>
      </c>
      <c r="Q565" s="8" t="s">
        <v>1642</v>
      </c>
    </row>
    <row r="566">
      <c r="A566" s="7">
        <v>45563.75472326389</v>
      </c>
      <c r="B566" s="6" t="s">
        <v>1643</v>
      </c>
      <c r="C566" s="6">
        <v>7.999477378E9</v>
      </c>
      <c r="D566" s="6" t="s">
        <v>18</v>
      </c>
      <c r="E566" s="6" t="s">
        <v>41</v>
      </c>
      <c r="F566" s="6" t="s">
        <v>41</v>
      </c>
      <c r="J566" s="6" t="s">
        <v>37</v>
      </c>
      <c r="K566" s="6" t="s">
        <v>789</v>
      </c>
      <c r="L566" s="6" t="s">
        <v>72</v>
      </c>
      <c r="Q566" s="8" t="s">
        <v>1644</v>
      </c>
    </row>
    <row r="567">
      <c r="A567" s="7">
        <v>45563.77998452546</v>
      </c>
      <c r="B567" s="6" t="s">
        <v>1645</v>
      </c>
      <c r="C567" s="6">
        <v>9.08088989E9</v>
      </c>
      <c r="D567" s="6" t="s">
        <v>18</v>
      </c>
      <c r="E567" s="6" t="s">
        <v>41</v>
      </c>
      <c r="F567" s="6" t="s">
        <v>41</v>
      </c>
      <c r="J567" s="6" t="s">
        <v>789</v>
      </c>
      <c r="K567" s="6" t="s">
        <v>789</v>
      </c>
      <c r="L567" s="6" t="s">
        <v>184</v>
      </c>
      <c r="Q567" s="8" t="s">
        <v>1646</v>
      </c>
    </row>
    <row r="568">
      <c r="A568" s="7">
        <v>45566.77695196759</v>
      </c>
      <c r="B568" s="6" t="s">
        <v>1647</v>
      </c>
      <c r="D568" s="6" t="s">
        <v>18</v>
      </c>
      <c r="E568" s="6" t="s">
        <v>34</v>
      </c>
      <c r="F568" s="6" t="s">
        <v>20</v>
      </c>
      <c r="J568" s="6" t="s">
        <v>37</v>
      </c>
      <c r="K568" s="6" t="s">
        <v>37</v>
      </c>
      <c r="L568" s="6" t="s">
        <v>72</v>
      </c>
      <c r="Q568" s="8" t="s">
        <v>1648</v>
      </c>
    </row>
    <row r="569">
      <c r="A569" s="7">
        <v>45573.64941116898</v>
      </c>
      <c r="B569" s="6" t="s">
        <v>1649</v>
      </c>
      <c r="D569" s="6" t="s">
        <v>18</v>
      </c>
      <c r="E569" s="6" t="s">
        <v>64</v>
      </c>
      <c r="F569" s="6" t="s">
        <v>1123</v>
      </c>
      <c r="J569" s="6" t="s">
        <v>37</v>
      </c>
      <c r="K569" s="6" t="s">
        <v>789</v>
      </c>
      <c r="L569" s="6" t="s">
        <v>72</v>
      </c>
      <c r="Q569" s="8" t="s">
        <v>1650</v>
      </c>
    </row>
    <row r="570">
      <c r="A570" s="7">
        <v>45573.652469085646</v>
      </c>
      <c r="B570" s="6" t="s">
        <v>1651</v>
      </c>
      <c r="D570" s="6" t="s">
        <v>18</v>
      </c>
      <c r="E570" s="6" t="s">
        <v>34</v>
      </c>
      <c r="F570" s="6" t="s">
        <v>1652</v>
      </c>
      <c r="J570" s="6" t="s">
        <v>847</v>
      </c>
      <c r="K570" s="6" t="s">
        <v>30</v>
      </c>
      <c r="L570" s="6" t="s">
        <v>24</v>
      </c>
      <c r="Q570" s="8" t="s">
        <v>1653</v>
      </c>
    </row>
    <row r="571">
      <c r="A571" s="7">
        <v>45573.65337483796</v>
      </c>
      <c r="B571" s="6" t="s">
        <v>1654</v>
      </c>
      <c r="D571" s="6" t="s">
        <v>18</v>
      </c>
      <c r="E571" s="6" t="s">
        <v>123</v>
      </c>
      <c r="F571" s="6" t="s">
        <v>20</v>
      </c>
      <c r="J571" s="6" t="s">
        <v>847</v>
      </c>
      <c r="K571" s="6" t="s">
        <v>1023</v>
      </c>
      <c r="L571" s="6" t="s">
        <v>24</v>
      </c>
      <c r="Q571" s="8" t="s">
        <v>1655</v>
      </c>
    </row>
    <row r="572">
      <c r="A572" s="7">
        <v>45581.70692840278</v>
      </c>
      <c r="B572" s="6" t="s">
        <v>1656</v>
      </c>
      <c r="D572" s="6" t="s">
        <v>18</v>
      </c>
      <c r="E572" s="6" t="s">
        <v>47</v>
      </c>
      <c r="F572" s="6" t="s">
        <v>47</v>
      </c>
      <c r="J572" s="6" t="s">
        <v>37</v>
      </c>
      <c r="K572" s="6" t="s">
        <v>789</v>
      </c>
      <c r="L572" s="6" t="s">
        <v>24</v>
      </c>
      <c r="Q572" s="8" t="s">
        <v>1657</v>
      </c>
    </row>
    <row r="573">
      <c r="A573" s="7">
        <v>45581.71528358797</v>
      </c>
      <c r="B573" s="6" t="s">
        <v>1658</v>
      </c>
      <c r="D573" s="6" t="s">
        <v>18</v>
      </c>
      <c r="E573" s="6" t="s">
        <v>76</v>
      </c>
      <c r="F573" s="6" t="s">
        <v>1659</v>
      </c>
      <c r="J573" s="6" t="s">
        <v>847</v>
      </c>
      <c r="K573" s="6" t="s">
        <v>789</v>
      </c>
      <c r="L573" s="6" t="s">
        <v>24</v>
      </c>
      <c r="Q573" s="8" t="s">
        <v>1660</v>
      </c>
    </row>
    <row r="574">
      <c r="A574" s="7">
        <v>45586.628311134264</v>
      </c>
      <c r="B574" s="6" t="s">
        <v>1661</v>
      </c>
      <c r="D574" s="6" t="s">
        <v>18</v>
      </c>
      <c r="E574" s="6" t="s">
        <v>41</v>
      </c>
      <c r="F574" s="6" t="s">
        <v>1662</v>
      </c>
      <c r="J574" s="6" t="s">
        <v>847</v>
      </c>
      <c r="K574" s="6" t="s">
        <v>789</v>
      </c>
      <c r="L574" s="6" t="s">
        <v>72</v>
      </c>
      <c r="Q574" s="8" t="s">
        <v>1663</v>
      </c>
    </row>
    <row r="575">
      <c r="A575" s="7">
        <v>45586.63013628472</v>
      </c>
      <c r="B575" s="6" t="s">
        <v>1664</v>
      </c>
      <c r="D575" s="6" t="s">
        <v>18</v>
      </c>
      <c r="E575" s="6" t="s">
        <v>64</v>
      </c>
      <c r="F575" s="6" t="s">
        <v>1665</v>
      </c>
      <c r="J575" s="6" t="s">
        <v>847</v>
      </c>
      <c r="K575" s="6" t="s">
        <v>30</v>
      </c>
      <c r="L575" s="6" t="s">
        <v>24</v>
      </c>
      <c r="Q575" s="8" t="s">
        <v>1666</v>
      </c>
    </row>
    <row r="576">
      <c r="A576" s="7">
        <v>45586.632364930556</v>
      </c>
      <c r="B576" s="6" t="s">
        <v>1667</v>
      </c>
      <c r="D576" s="6" t="s">
        <v>18</v>
      </c>
      <c r="E576" s="6" t="s">
        <v>64</v>
      </c>
      <c r="F576" s="6" t="s">
        <v>1668</v>
      </c>
      <c r="J576" s="6" t="s">
        <v>847</v>
      </c>
      <c r="K576" s="6" t="s">
        <v>30</v>
      </c>
      <c r="L576" s="6" t="s">
        <v>24</v>
      </c>
      <c r="Q576" s="8" t="s">
        <v>1669</v>
      </c>
    </row>
    <row r="577">
      <c r="A577" s="7">
        <v>45586.6910837037</v>
      </c>
      <c r="B577" s="6" t="s">
        <v>1670</v>
      </c>
      <c r="D577" s="6" t="s">
        <v>18</v>
      </c>
      <c r="E577" s="6" t="s">
        <v>64</v>
      </c>
      <c r="F577" s="6" t="s">
        <v>1671</v>
      </c>
      <c r="J577" s="6" t="s">
        <v>37</v>
      </c>
      <c r="K577" s="6" t="s">
        <v>789</v>
      </c>
      <c r="L577" s="6" t="s">
        <v>72</v>
      </c>
      <c r="Q577" s="8" t="s">
        <v>1672</v>
      </c>
    </row>
    <row r="578">
      <c r="A578" s="7">
        <v>45586.695186261575</v>
      </c>
      <c r="B578" s="6" t="s">
        <v>1673</v>
      </c>
      <c r="D578" s="6" t="s">
        <v>18</v>
      </c>
      <c r="E578" s="6" t="s">
        <v>55</v>
      </c>
      <c r="F578" s="6" t="s">
        <v>1674</v>
      </c>
      <c r="J578" s="6" t="s">
        <v>37</v>
      </c>
      <c r="K578" s="6" t="s">
        <v>789</v>
      </c>
      <c r="L578" s="6" t="s">
        <v>72</v>
      </c>
      <c r="Q578" s="8" t="s">
        <v>1675</v>
      </c>
    </row>
    <row r="579">
      <c r="A579" s="7">
        <v>45586.696716527775</v>
      </c>
      <c r="B579" s="6" t="s">
        <v>954</v>
      </c>
      <c r="D579" s="6" t="s">
        <v>18</v>
      </c>
      <c r="E579" s="6" t="s">
        <v>123</v>
      </c>
      <c r="F579" s="6" t="s">
        <v>1676</v>
      </c>
      <c r="J579" s="6" t="s">
        <v>37</v>
      </c>
      <c r="K579" s="6" t="s">
        <v>789</v>
      </c>
      <c r="L579" s="6" t="s">
        <v>72</v>
      </c>
      <c r="Q579" s="8" t="s">
        <v>1677</v>
      </c>
    </row>
    <row r="580">
      <c r="A580" s="7">
        <v>45586.70012678241</v>
      </c>
      <c r="B580" s="6" t="s">
        <v>1678</v>
      </c>
      <c r="D580" s="6" t="s">
        <v>18</v>
      </c>
      <c r="E580" s="6" t="s">
        <v>123</v>
      </c>
      <c r="F580" s="6" t="s">
        <v>1679</v>
      </c>
      <c r="J580" s="6" t="s">
        <v>37</v>
      </c>
      <c r="K580" s="6" t="s">
        <v>789</v>
      </c>
      <c r="L580" s="6" t="s">
        <v>24</v>
      </c>
      <c r="Q580" s="8" t="s">
        <v>1680</v>
      </c>
    </row>
    <row r="581">
      <c r="A581" s="7">
        <v>45587.628233483796</v>
      </c>
      <c r="B581" s="6" t="s">
        <v>1681</v>
      </c>
      <c r="D581" s="6" t="s">
        <v>18</v>
      </c>
      <c r="E581" s="6" t="s">
        <v>34</v>
      </c>
      <c r="F581" s="6" t="s">
        <v>1682</v>
      </c>
      <c r="J581" s="6" t="s">
        <v>37</v>
      </c>
      <c r="K581" s="6" t="s">
        <v>30</v>
      </c>
      <c r="L581" s="6" t="s">
        <v>24</v>
      </c>
      <c r="Q581" s="8" t="s">
        <v>1683</v>
      </c>
    </row>
    <row r="582">
      <c r="A582" s="7">
        <v>45589.66779212963</v>
      </c>
      <c r="B582" s="6" t="s">
        <v>1684</v>
      </c>
      <c r="D582" s="6" t="s">
        <v>18</v>
      </c>
      <c r="E582" s="6" t="s">
        <v>55</v>
      </c>
      <c r="F582" s="6" t="s">
        <v>1685</v>
      </c>
      <c r="I582" s="8" t="s">
        <v>1686</v>
      </c>
      <c r="J582" s="6" t="s">
        <v>30</v>
      </c>
      <c r="K582" s="6" t="s">
        <v>1028</v>
      </c>
      <c r="L582" s="6" t="s">
        <v>24</v>
      </c>
      <c r="Q582" s="8" t="s">
        <v>1687</v>
      </c>
    </row>
    <row r="583">
      <c r="A583" s="7">
        <v>45591.61053747685</v>
      </c>
      <c r="B583" s="6" t="s">
        <v>1688</v>
      </c>
      <c r="C583" s="6">
        <v>9.810159179E9</v>
      </c>
      <c r="D583" s="6" t="s">
        <v>18</v>
      </c>
      <c r="E583" s="6" t="s">
        <v>76</v>
      </c>
      <c r="F583" s="6" t="s">
        <v>1689</v>
      </c>
      <c r="J583" s="6" t="s">
        <v>37</v>
      </c>
      <c r="K583" s="6" t="s">
        <v>789</v>
      </c>
      <c r="L583" s="6" t="s">
        <v>24</v>
      </c>
      <c r="Q583" s="8" t="s">
        <v>1690</v>
      </c>
    </row>
    <row r="584">
      <c r="A584" s="7">
        <v>45591.767281168984</v>
      </c>
      <c r="B584" s="6" t="s">
        <v>1691</v>
      </c>
      <c r="C584" s="6">
        <v>9.66533231372E11</v>
      </c>
      <c r="D584" s="6" t="s">
        <v>18</v>
      </c>
      <c r="E584" s="6" t="s">
        <v>872</v>
      </c>
      <c r="F584" s="6" t="s">
        <v>1692</v>
      </c>
      <c r="J584" s="6" t="s">
        <v>37</v>
      </c>
      <c r="K584" s="6" t="s">
        <v>789</v>
      </c>
      <c r="L584" s="6" t="s">
        <v>24</v>
      </c>
      <c r="Q584" s="8" t="s">
        <v>1693</v>
      </c>
    </row>
    <row r="585">
      <c r="A585" s="7">
        <v>45591.76888857639</v>
      </c>
      <c r="B585" s="6" t="s">
        <v>1694</v>
      </c>
      <c r="C585" s="6">
        <v>9.810166092E9</v>
      </c>
      <c r="D585" s="6" t="s">
        <v>18</v>
      </c>
      <c r="E585" s="6" t="s">
        <v>76</v>
      </c>
      <c r="F585" s="6" t="s">
        <v>1695</v>
      </c>
      <c r="J585" s="6" t="s">
        <v>37</v>
      </c>
      <c r="K585" s="6" t="s">
        <v>789</v>
      </c>
      <c r="L585" s="6" t="s">
        <v>24</v>
      </c>
      <c r="Q585" s="8" t="s">
        <v>1696</v>
      </c>
    </row>
    <row r="586">
      <c r="A586" s="7">
        <v>45591.769745046295</v>
      </c>
      <c r="B586" s="6" t="s">
        <v>1697</v>
      </c>
      <c r="D586" s="6" t="s">
        <v>18</v>
      </c>
      <c r="E586" s="6" t="s">
        <v>1698</v>
      </c>
      <c r="F586" s="6" t="s">
        <v>1699</v>
      </c>
      <c r="J586" s="6" t="s">
        <v>37</v>
      </c>
      <c r="K586" s="6" t="s">
        <v>789</v>
      </c>
      <c r="L586" s="6" t="s">
        <v>24</v>
      </c>
      <c r="Q586" s="8" t="s">
        <v>1700</v>
      </c>
    </row>
    <row r="587">
      <c r="A587" s="7">
        <v>45591.771093194446</v>
      </c>
      <c r="B587" s="6" t="s">
        <v>1701</v>
      </c>
      <c r="C587" s="6" t="s">
        <v>1702</v>
      </c>
      <c r="D587" s="6" t="s">
        <v>18</v>
      </c>
      <c r="E587" s="6" t="s">
        <v>47</v>
      </c>
      <c r="F587" s="6" t="s">
        <v>47</v>
      </c>
      <c r="J587" s="6" t="s">
        <v>37</v>
      </c>
      <c r="K587" s="6" t="s">
        <v>789</v>
      </c>
      <c r="L587" s="6" t="s">
        <v>72</v>
      </c>
      <c r="Q587" s="8" t="s">
        <v>1703</v>
      </c>
    </row>
    <row r="588">
      <c r="A588" s="7">
        <v>45591.77307539352</v>
      </c>
      <c r="B588" s="6" t="s">
        <v>1704</v>
      </c>
      <c r="C588" s="6">
        <v>9.899655488E9</v>
      </c>
      <c r="D588" s="6" t="s">
        <v>18</v>
      </c>
      <c r="E588" s="6" t="s">
        <v>64</v>
      </c>
      <c r="F588" s="6" t="s">
        <v>1705</v>
      </c>
      <c r="J588" s="6" t="s">
        <v>37</v>
      </c>
      <c r="K588" s="6" t="s">
        <v>789</v>
      </c>
      <c r="L588" s="6" t="s">
        <v>24</v>
      </c>
      <c r="Q588" s="8" t="s">
        <v>1706</v>
      </c>
    </row>
    <row r="589">
      <c r="A589" s="7">
        <v>45591.77453643519</v>
      </c>
      <c r="B589" s="6" t="s">
        <v>1707</v>
      </c>
      <c r="C589" s="6">
        <v>9.810064063E9</v>
      </c>
      <c r="D589" s="6" t="s">
        <v>18</v>
      </c>
      <c r="E589" s="6" t="s">
        <v>34</v>
      </c>
      <c r="F589" s="6" t="s">
        <v>35</v>
      </c>
      <c r="J589" s="6" t="s">
        <v>37</v>
      </c>
      <c r="K589" s="6" t="s">
        <v>789</v>
      </c>
      <c r="L589" s="6" t="s">
        <v>24</v>
      </c>
      <c r="Q589" s="8" t="s">
        <v>1708</v>
      </c>
    </row>
    <row r="590">
      <c r="A590" s="7">
        <v>45591.77644670139</v>
      </c>
      <c r="B590" s="6" t="s">
        <v>1709</v>
      </c>
      <c r="C590" s="6">
        <v>9.81801839E9</v>
      </c>
      <c r="D590" s="6" t="s">
        <v>18</v>
      </c>
      <c r="E590" s="6" t="s">
        <v>64</v>
      </c>
      <c r="F590" s="6" t="s">
        <v>1710</v>
      </c>
      <c r="J590" s="6" t="s">
        <v>37</v>
      </c>
      <c r="K590" s="6" t="s">
        <v>789</v>
      </c>
      <c r="L590" s="6" t="s">
        <v>72</v>
      </c>
      <c r="Q590" s="8" t="s">
        <v>1711</v>
      </c>
    </row>
    <row r="591">
      <c r="A591" s="7">
        <v>45591.77843561342</v>
      </c>
      <c r="B591" s="6" t="s">
        <v>1712</v>
      </c>
      <c r="C591" s="6">
        <v>9.212798449E9</v>
      </c>
      <c r="D591" s="6" t="s">
        <v>18</v>
      </c>
      <c r="E591" s="6" t="s">
        <v>76</v>
      </c>
      <c r="F591" s="6" t="s">
        <v>1713</v>
      </c>
      <c r="J591" s="6" t="s">
        <v>37</v>
      </c>
      <c r="K591" s="6" t="s">
        <v>789</v>
      </c>
      <c r="L591" s="6" t="s">
        <v>24</v>
      </c>
      <c r="Q591" s="8" t="s">
        <v>1714</v>
      </c>
    </row>
    <row r="592">
      <c r="A592" s="7">
        <v>45591.781356527776</v>
      </c>
      <c r="B592" s="6" t="s">
        <v>1715</v>
      </c>
      <c r="D592" s="6" t="s">
        <v>18</v>
      </c>
      <c r="E592" s="6" t="s">
        <v>64</v>
      </c>
      <c r="F592" s="6" t="s">
        <v>1716</v>
      </c>
      <c r="J592" s="6" t="s">
        <v>37</v>
      </c>
      <c r="K592" s="6" t="s">
        <v>789</v>
      </c>
      <c r="L592" s="6" t="s">
        <v>24</v>
      </c>
      <c r="Q592" s="8" t="s">
        <v>1717</v>
      </c>
    </row>
    <row r="593">
      <c r="A593" s="7">
        <v>45601.68034673611</v>
      </c>
      <c r="B593" s="6" t="s">
        <v>1718</v>
      </c>
      <c r="D593" s="6" t="s">
        <v>18</v>
      </c>
      <c r="E593" s="6" t="s">
        <v>55</v>
      </c>
      <c r="F593" s="6" t="s">
        <v>1719</v>
      </c>
      <c r="J593" s="6" t="s">
        <v>847</v>
      </c>
      <c r="K593" s="6" t="s">
        <v>789</v>
      </c>
      <c r="L593" s="6" t="s">
        <v>24</v>
      </c>
      <c r="Q593" s="8" t="s">
        <v>1720</v>
      </c>
    </row>
    <row r="594">
      <c r="A594" s="7">
        <v>45601.685212372686</v>
      </c>
      <c r="B594" s="6" t="s">
        <v>1721</v>
      </c>
      <c r="D594" s="6" t="s">
        <v>18</v>
      </c>
      <c r="E594" s="6" t="s">
        <v>55</v>
      </c>
      <c r="F594" s="6" t="s">
        <v>1722</v>
      </c>
      <c r="J594" s="6" t="s">
        <v>847</v>
      </c>
      <c r="K594" s="6" t="s">
        <v>1641</v>
      </c>
      <c r="L594" s="6" t="s">
        <v>24</v>
      </c>
      <c r="Q594" s="8" t="s">
        <v>1723</v>
      </c>
    </row>
    <row r="595">
      <c r="A595" s="7">
        <v>45601.686889351855</v>
      </c>
      <c r="B595" s="6" t="s">
        <v>1724</v>
      </c>
      <c r="C595" s="6">
        <v>9.818300118E9</v>
      </c>
      <c r="D595" s="6" t="s">
        <v>18</v>
      </c>
      <c r="E595" s="6" t="s">
        <v>55</v>
      </c>
      <c r="F595" s="6" t="s">
        <v>56</v>
      </c>
      <c r="J595" s="6" t="s">
        <v>37</v>
      </c>
      <c r="K595" s="6" t="s">
        <v>1641</v>
      </c>
      <c r="L595" s="6" t="s">
        <v>24</v>
      </c>
      <c r="Q595" s="8" t="s">
        <v>1725</v>
      </c>
    </row>
    <row r="596">
      <c r="A596" s="7">
        <v>45601.69073596065</v>
      </c>
      <c r="B596" s="6" t="s">
        <v>1726</v>
      </c>
      <c r="D596" s="6" t="s">
        <v>18</v>
      </c>
      <c r="E596" s="6" t="s">
        <v>76</v>
      </c>
      <c r="F596" s="6" t="s">
        <v>1727</v>
      </c>
      <c r="J596" s="6" t="s">
        <v>847</v>
      </c>
      <c r="K596" s="6" t="s">
        <v>789</v>
      </c>
      <c r="L596" s="6" t="s">
        <v>24</v>
      </c>
      <c r="Q596" s="8" t="s">
        <v>1728</v>
      </c>
    </row>
    <row r="597">
      <c r="A597" s="7">
        <v>45601.69707445602</v>
      </c>
      <c r="B597" s="6" t="s">
        <v>1729</v>
      </c>
      <c r="D597" s="6" t="s">
        <v>18</v>
      </c>
      <c r="E597" s="6" t="s">
        <v>41</v>
      </c>
      <c r="F597" s="6" t="s">
        <v>1730</v>
      </c>
      <c r="J597" s="6" t="s">
        <v>847</v>
      </c>
      <c r="K597" s="6" t="s">
        <v>789</v>
      </c>
      <c r="L597" s="6" t="s">
        <v>24</v>
      </c>
      <c r="Q597" s="8" t="s">
        <v>1731</v>
      </c>
    </row>
    <row r="598">
      <c r="A598" s="7">
        <v>45601.69980938657</v>
      </c>
      <c r="B598" s="6" t="s">
        <v>1732</v>
      </c>
      <c r="C598" s="6">
        <v>9.999008756E9</v>
      </c>
      <c r="D598" s="6" t="s">
        <v>311</v>
      </c>
      <c r="E598" s="6" t="s">
        <v>123</v>
      </c>
      <c r="F598" s="6" t="s">
        <v>1733</v>
      </c>
      <c r="J598" s="6" t="s">
        <v>37</v>
      </c>
      <c r="K598" s="6" t="s">
        <v>30</v>
      </c>
      <c r="L598" s="6" t="s">
        <v>24</v>
      </c>
      <c r="Q598" s="8" t="s">
        <v>1734</v>
      </c>
    </row>
    <row r="599">
      <c r="A599" s="7">
        <v>45601.70118047454</v>
      </c>
      <c r="B599" s="6" t="s">
        <v>1735</v>
      </c>
      <c r="C599" s="6">
        <v>9.999887268E9</v>
      </c>
      <c r="D599" s="6" t="s">
        <v>18</v>
      </c>
      <c r="E599" s="6" t="s">
        <v>76</v>
      </c>
      <c r="F599" s="6" t="s">
        <v>1736</v>
      </c>
      <c r="J599" s="6" t="s">
        <v>37</v>
      </c>
      <c r="K599" s="6" t="s">
        <v>789</v>
      </c>
      <c r="L599" s="6" t="s">
        <v>24</v>
      </c>
      <c r="Q599" s="8" t="s">
        <v>1737</v>
      </c>
    </row>
    <row r="600">
      <c r="A600" s="7">
        <v>45602.54024030092</v>
      </c>
      <c r="B600" s="6" t="s">
        <v>1738</v>
      </c>
      <c r="D600" s="6" t="s">
        <v>18</v>
      </c>
      <c r="E600" s="6" t="s">
        <v>34</v>
      </c>
      <c r="F600" s="6" t="s">
        <v>67</v>
      </c>
      <c r="J600" s="6" t="s">
        <v>37</v>
      </c>
      <c r="K600" s="6" t="s">
        <v>789</v>
      </c>
      <c r="L600" s="6" t="s">
        <v>24</v>
      </c>
      <c r="Q600" s="8" t="s">
        <v>1739</v>
      </c>
    </row>
    <row r="601">
      <c r="A601" s="7">
        <v>45603.630199363426</v>
      </c>
      <c r="B601" s="6" t="s">
        <v>1740</v>
      </c>
      <c r="C601" s="6">
        <v>9.811483836E9</v>
      </c>
      <c r="D601" s="6" t="s">
        <v>18</v>
      </c>
      <c r="E601" s="6" t="s">
        <v>76</v>
      </c>
      <c r="F601" s="6" t="s">
        <v>1741</v>
      </c>
      <c r="J601" s="6" t="s">
        <v>37</v>
      </c>
      <c r="K601" s="6" t="s">
        <v>789</v>
      </c>
      <c r="L601" s="6" t="s">
        <v>24</v>
      </c>
      <c r="Q601" s="8" t="s">
        <v>1742</v>
      </c>
    </row>
    <row r="602">
      <c r="A602" s="7">
        <v>45609.70254067129</v>
      </c>
      <c r="B602" s="6" t="s">
        <v>1743</v>
      </c>
      <c r="C602" s="6">
        <v>9.953605544E9</v>
      </c>
      <c r="D602" s="6" t="s">
        <v>18</v>
      </c>
      <c r="E602" s="6" t="s">
        <v>34</v>
      </c>
      <c r="F602" s="6" t="s">
        <v>35</v>
      </c>
      <c r="J602" s="6" t="s">
        <v>37</v>
      </c>
      <c r="K602" s="6" t="s">
        <v>1023</v>
      </c>
      <c r="L602" s="6" t="s">
        <v>24</v>
      </c>
      <c r="Q602" s="8" t="s">
        <v>1744</v>
      </c>
    </row>
    <row r="603">
      <c r="A603" s="7">
        <v>45609.705399768514</v>
      </c>
      <c r="B603" s="6" t="s">
        <v>1745</v>
      </c>
      <c r="D603" s="6" t="s">
        <v>18</v>
      </c>
      <c r="E603" s="6" t="s">
        <v>34</v>
      </c>
      <c r="F603" s="6" t="s">
        <v>35</v>
      </c>
      <c r="J603" s="6" t="s">
        <v>37</v>
      </c>
      <c r="K603" s="6" t="s">
        <v>789</v>
      </c>
      <c r="L603" s="6" t="s">
        <v>24</v>
      </c>
      <c r="Q603" s="8" t="s">
        <v>1746</v>
      </c>
    </row>
    <row r="604">
      <c r="A604" s="7">
        <v>45609.709468877314</v>
      </c>
      <c r="B604" s="6" t="s">
        <v>1747</v>
      </c>
      <c r="D604" s="6" t="s">
        <v>311</v>
      </c>
      <c r="E604" s="6" t="s">
        <v>55</v>
      </c>
      <c r="F604" s="6" t="s">
        <v>60</v>
      </c>
      <c r="J604" s="6" t="s">
        <v>37</v>
      </c>
      <c r="K604" s="6" t="s">
        <v>1641</v>
      </c>
      <c r="L604" s="6" t="s">
        <v>24</v>
      </c>
      <c r="Q604" s="8" t="s">
        <v>1748</v>
      </c>
    </row>
    <row r="605">
      <c r="A605" s="7">
        <v>45609.71834503472</v>
      </c>
      <c r="B605" s="6" t="s">
        <v>1749</v>
      </c>
      <c r="D605" s="6" t="s">
        <v>18</v>
      </c>
      <c r="E605" s="6" t="s">
        <v>55</v>
      </c>
      <c r="F605" s="6" t="s">
        <v>101</v>
      </c>
      <c r="I605" s="8" t="s">
        <v>1750</v>
      </c>
      <c r="J605" s="6" t="s">
        <v>30</v>
      </c>
      <c r="K605" s="6" t="s">
        <v>1023</v>
      </c>
      <c r="L605" s="6" t="s">
        <v>24</v>
      </c>
      <c r="Q605" s="8" t="s">
        <v>1751</v>
      </c>
    </row>
    <row r="606">
      <c r="A606" s="7">
        <v>45609.72139946759</v>
      </c>
      <c r="B606" s="6" t="s">
        <v>1752</v>
      </c>
      <c r="C606" s="6">
        <v>9.213557107E9</v>
      </c>
      <c r="D606" s="6" t="s">
        <v>311</v>
      </c>
      <c r="E606" s="6" t="s">
        <v>19</v>
      </c>
      <c r="F606" s="6" t="s">
        <v>1753</v>
      </c>
      <c r="G606" s="6" t="s">
        <v>676</v>
      </c>
      <c r="J606" s="6" t="s">
        <v>30</v>
      </c>
      <c r="K606" s="6" t="s">
        <v>789</v>
      </c>
      <c r="L606" s="6" t="s">
        <v>24</v>
      </c>
      <c r="Q606" s="8" t="s">
        <v>1754</v>
      </c>
    </row>
    <row r="607">
      <c r="A607" s="7">
        <v>45609.72432230324</v>
      </c>
      <c r="B607" s="6" t="s">
        <v>1649</v>
      </c>
      <c r="D607" s="6" t="s">
        <v>18</v>
      </c>
      <c r="E607" s="6" t="s">
        <v>64</v>
      </c>
      <c r="F607" s="6" t="s">
        <v>1755</v>
      </c>
      <c r="J607" s="6" t="s">
        <v>37</v>
      </c>
      <c r="K607" s="6" t="s">
        <v>789</v>
      </c>
      <c r="L607" s="6" t="s">
        <v>24</v>
      </c>
      <c r="Q607" s="8" t="s">
        <v>1756</v>
      </c>
    </row>
    <row r="608">
      <c r="A608" s="7">
        <v>45611.69938417824</v>
      </c>
      <c r="B608" s="6" t="s">
        <v>1757</v>
      </c>
      <c r="C608" s="6">
        <v>9.810155337E9</v>
      </c>
      <c r="D608" s="6" t="s">
        <v>18</v>
      </c>
      <c r="E608" s="6" t="s">
        <v>47</v>
      </c>
      <c r="F608" s="6" t="s">
        <v>47</v>
      </c>
      <c r="J608" s="6" t="s">
        <v>847</v>
      </c>
      <c r="K608" s="6" t="s">
        <v>30</v>
      </c>
      <c r="L608" s="6" t="s">
        <v>24</v>
      </c>
      <c r="Q608" s="8" t="s">
        <v>1758</v>
      </c>
    </row>
    <row r="609">
      <c r="A609" s="7">
        <v>45611.716393622686</v>
      </c>
      <c r="B609" s="6" t="s">
        <v>1759</v>
      </c>
      <c r="D609" s="6" t="s">
        <v>18</v>
      </c>
      <c r="E609" s="6" t="s">
        <v>55</v>
      </c>
      <c r="F609" s="6" t="s">
        <v>1760</v>
      </c>
      <c r="I609" s="8" t="s">
        <v>1761</v>
      </c>
      <c r="J609" s="6" t="s">
        <v>37</v>
      </c>
      <c r="K609" s="6" t="s">
        <v>789</v>
      </c>
      <c r="L609" s="6" t="s">
        <v>72</v>
      </c>
      <c r="Q609" s="8" t="s">
        <v>1762</v>
      </c>
    </row>
    <row r="610">
      <c r="A610" s="7">
        <v>45611.724998564816</v>
      </c>
      <c r="B610" s="6" t="s">
        <v>1763</v>
      </c>
      <c r="D610" s="6" t="s">
        <v>18</v>
      </c>
      <c r="E610" s="6" t="s">
        <v>64</v>
      </c>
      <c r="F610" s="6" t="s">
        <v>1764</v>
      </c>
      <c r="J610" s="6" t="s">
        <v>847</v>
      </c>
      <c r="K610" s="6" t="s">
        <v>30</v>
      </c>
      <c r="L610" s="6" t="s">
        <v>24</v>
      </c>
      <c r="Q610" s="8" t="s">
        <v>1765</v>
      </c>
    </row>
    <row r="611">
      <c r="A611" s="7">
        <v>45611.7260241551</v>
      </c>
      <c r="B611" s="6" t="s">
        <v>1766</v>
      </c>
      <c r="D611" s="6" t="s">
        <v>18</v>
      </c>
      <c r="E611" s="6" t="s">
        <v>1767</v>
      </c>
      <c r="F611" s="6" t="s">
        <v>1768</v>
      </c>
      <c r="J611" s="6" t="s">
        <v>847</v>
      </c>
      <c r="K611" s="6" t="s">
        <v>30</v>
      </c>
      <c r="L611" s="6" t="s">
        <v>24</v>
      </c>
      <c r="Q611" s="8" t="s">
        <v>1769</v>
      </c>
    </row>
    <row r="612">
      <c r="A612" s="7">
        <v>45611.72720094907</v>
      </c>
      <c r="B612" s="6" t="s">
        <v>1770</v>
      </c>
      <c r="D612" s="6" t="s">
        <v>18</v>
      </c>
      <c r="E612" s="6" t="s">
        <v>34</v>
      </c>
      <c r="F612" s="6" t="s">
        <v>188</v>
      </c>
      <c r="I612" s="8" t="s">
        <v>1771</v>
      </c>
      <c r="J612" s="6" t="s">
        <v>847</v>
      </c>
      <c r="K612" s="6" t="s">
        <v>30</v>
      </c>
      <c r="L612" s="6" t="s">
        <v>24</v>
      </c>
      <c r="Q612" s="8" t="s">
        <v>1772</v>
      </c>
    </row>
    <row r="613">
      <c r="A613" s="7">
        <v>45611.72843216435</v>
      </c>
      <c r="B613" s="6" t="s">
        <v>1773</v>
      </c>
      <c r="D613" s="6" t="s">
        <v>18</v>
      </c>
      <c r="E613" s="6" t="s">
        <v>55</v>
      </c>
      <c r="F613" s="6" t="s">
        <v>1774</v>
      </c>
      <c r="I613" s="8" t="s">
        <v>1775</v>
      </c>
      <c r="J613" s="6" t="s">
        <v>847</v>
      </c>
      <c r="K613" s="6" t="s">
        <v>789</v>
      </c>
      <c r="L613" s="6" t="s">
        <v>72</v>
      </c>
      <c r="Q613" s="8" t="s">
        <v>1776</v>
      </c>
    </row>
    <row r="614">
      <c r="A614" s="7">
        <v>45612.67533467592</v>
      </c>
      <c r="B614" s="6" t="s">
        <v>1777</v>
      </c>
      <c r="D614" s="6" t="s">
        <v>18</v>
      </c>
      <c r="E614" s="6" t="s">
        <v>47</v>
      </c>
      <c r="F614" s="6" t="s">
        <v>1778</v>
      </c>
      <c r="J614" s="6" t="s">
        <v>37</v>
      </c>
      <c r="K614" s="6" t="s">
        <v>789</v>
      </c>
      <c r="L614" s="6" t="s">
        <v>72</v>
      </c>
      <c r="Q614" s="8" t="s">
        <v>1779</v>
      </c>
    </row>
    <row r="615">
      <c r="A615" s="7">
        <v>45612.73374935186</v>
      </c>
      <c r="B615" s="6" t="s">
        <v>1691</v>
      </c>
      <c r="D615" s="6" t="s">
        <v>18</v>
      </c>
      <c r="E615" s="6" t="s">
        <v>47</v>
      </c>
      <c r="F615" s="6" t="s">
        <v>1780</v>
      </c>
      <c r="J615" s="6" t="s">
        <v>37</v>
      </c>
      <c r="K615" s="6" t="s">
        <v>789</v>
      </c>
      <c r="L615" s="6" t="s">
        <v>24</v>
      </c>
      <c r="Q615" s="8" t="s">
        <v>1781</v>
      </c>
    </row>
    <row r="616">
      <c r="A616" s="7">
        <v>45617.70137001158</v>
      </c>
      <c r="B616" s="6" t="s">
        <v>1782</v>
      </c>
      <c r="D616" s="6" t="s">
        <v>311</v>
      </c>
      <c r="E616" s="6" t="s">
        <v>34</v>
      </c>
      <c r="F616" s="6" t="s">
        <v>1120</v>
      </c>
      <c r="G616" s="6">
        <v>5.0</v>
      </c>
      <c r="I616" s="8" t="s">
        <v>1783</v>
      </c>
      <c r="J616" s="6" t="s">
        <v>30</v>
      </c>
      <c r="K616" s="6" t="s">
        <v>30</v>
      </c>
      <c r="L616" s="6" t="s">
        <v>24</v>
      </c>
      <c r="Q616" s="8" t="s">
        <v>1784</v>
      </c>
    </row>
    <row r="617">
      <c r="A617" s="7">
        <v>45617.70756703704</v>
      </c>
      <c r="B617" s="6" t="s">
        <v>1785</v>
      </c>
      <c r="D617" s="6" t="s">
        <v>18</v>
      </c>
      <c r="E617" s="6" t="s">
        <v>34</v>
      </c>
      <c r="F617" s="6" t="s">
        <v>1786</v>
      </c>
      <c r="J617" s="6" t="s">
        <v>847</v>
      </c>
      <c r="K617" s="6" t="s">
        <v>789</v>
      </c>
      <c r="L617" s="6" t="s">
        <v>24</v>
      </c>
      <c r="Q617" s="8" t="s">
        <v>1787</v>
      </c>
    </row>
    <row r="618">
      <c r="A618" s="7">
        <v>45618.768173819444</v>
      </c>
      <c r="B618" s="6" t="s">
        <v>1788</v>
      </c>
      <c r="D618" s="6" t="s">
        <v>18</v>
      </c>
      <c r="E618" s="6" t="s">
        <v>47</v>
      </c>
      <c r="F618" s="6" t="s">
        <v>1789</v>
      </c>
      <c r="J618" s="6" t="s">
        <v>37</v>
      </c>
      <c r="K618" s="6" t="s">
        <v>789</v>
      </c>
      <c r="L618" s="6" t="s">
        <v>24</v>
      </c>
      <c r="Q618" s="8" t="s">
        <v>1790</v>
      </c>
    </row>
    <row r="619">
      <c r="A619" s="7">
        <v>45619.67263444445</v>
      </c>
      <c r="B619" s="6" t="s">
        <v>1791</v>
      </c>
      <c r="C619" s="6">
        <v>9.868877018E9</v>
      </c>
      <c r="D619" s="6" t="s">
        <v>18</v>
      </c>
      <c r="E619" s="6" t="s">
        <v>19</v>
      </c>
      <c r="F619" s="6" t="s">
        <v>159</v>
      </c>
      <c r="J619" s="6" t="s">
        <v>37</v>
      </c>
      <c r="K619" s="6" t="s">
        <v>1023</v>
      </c>
      <c r="L619" s="6" t="s">
        <v>72</v>
      </c>
      <c r="Q619" s="8" t="s">
        <v>1792</v>
      </c>
    </row>
    <row r="620">
      <c r="A620" s="7">
        <v>45624.71567738426</v>
      </c>
      <c r="B620" s="6" t="s">
        <v>1793</v>
      </c>
      <c r="C620" s="6">
        <v>9.971001415E9</v>
      </c>
      <c r="D620" s="6" t="s">
        <v>18</v>
      </c>
      <c r="E620" s="6" t="s">
        <v>435</v>
      </c>
      <c r="F620" s="6" t="s">
        <v>60</v>
      </c>
      <c r="J620" s="6" t="s">
        <v>847</v>
      </c>
      <c r="K620" s="6" t="s">
        <v>30</v>
      </c>
      <c r="L620" s="6" t="s">
        <v>24</v>
      </c>
      <c r="Q620" s="8" t="s">
        <v>1794</v>
      </c>
    </row>
    <row r="621">
      <c r="A621" s="7">
        <v>45625.66311248843</v>
      </c>
      <c r="B621" s="6" t="s">
        <v>1795</v>
      </c>
      <c r="D621" s="6" t="s">
        <v>18</v>
      </c>
      <c r="E621" s="6" t="s">
        <v>34</v>
      </c>
      <c r="F621" s="6" t="s">
        <v>1796</v>
      </c>
      <c r="J621" s="6" t="s">
        <v>847</v>
      </c>
      <c r="K621" s="6" t="s">
        <v>789</v>
      </c>
      <c r="L621" s="6" t="s">
        <v>24</v>
      </c>
      <c r="Q621" s="8" t="s">
        <v>1797</v>
      </c>
    </row>
    <row r="622">
      <c r="A622" s="7">
        <v>45626.77135793981</v>
      </c>
      <c r="B622" s="6" t="s">
        <v>954</v>
      </c>
      <c r="D622" s="6" t="s">
        <v>18</v>
      </c>
      <c r="E622" s="6" t="s">
        <v>34</v>
      </c>
      <c r="F622" s="6" t="s">
        <v>35</v>
      </c>
      <c r="J622" s="6" t="s">
        <v>37</v>
      </c>
      <c r="K622" s="6" t="s">
        <v>789</v>
      </c>
      <c r="L622" s="6" t="s">
        <v>24</v>
      </c>
      <c r="Q622" s="8" t="s">
        <v>1798</v>
      </c>
    </row>
    <row r="623">
      <c r="A623" s="7">
        <v>45630.67738761574</v>
      </c>
      <c r="B623" s="6" t="s">
        <v>1799</v>
      </c>
      <c r="D623" s="6" t="s">
        <v>18</v>
      </c>
      <c r="E623" s="6" t="s">
        <v>34</v>
      </c>
      <c r="F623" s="6" t="s">
        <v>1800</v>
      </c>
      <c r="J623" s="6" t="s">
        <v>37</v>
      </c>
      <c r="K623" s="6" t="s">
        <v>789</v>
      </c>
      <c r="L623" s="6" t="s">
        <v>24</v>
      </c>
      <c r="Q623" s="8" t="s">
        <v>1801</v>
      </c>
    </row>
    <row r="624">
      <c r="A624" s="7">
        <v>45630.68613288194</v>
      </c>
      <c r="B624" s="6" t="s">
        <v>1802</v>
      </c>
      <c r="D624" s="6" t="s">
        <v>18</v>
      </c>
      <c r="E624" s="6" t="s">
        <v>55</v>
      </c>
      <c r="F624" s="6" t="s">
        <v>1753</v>
      </c>
      <c r="I624" s="8" t="s">
        <v>1803</v>
      </c>
      <c r="J624" s="6" t="s">
        <v>847</v>
      </c>
      <c r="K624" s="6" t="s">
        <v>1804</v>
      </c>
      <c r="L624" s="6" t="s">
        <v>72</v>
      </c>
      <c r="Q624" s="8" t="s">
        <v>1805</v>
      </c>
    </row>
    <row r="625">
      <c r="A625" s="7">
        <v>45630.690677997685</v>
      </c>
      <c r="B625" s="6" t="s">
        <v>1806</v>
      </c>
      <c r="D625" s="6" t="s">
        <v>18</v>
      </c>
      <c r="E625" s="6" t="s">
        <v>123</v>
      </c>
      <c r="F625" s="6" t="s">
        <v>60</v>
      </c>
      <c r="I625" s="8" t="s">
        <v>1807</v>
      </c>
      <c r="J625" s="6" t="s">
        <v>30</v>
      </c>
      <c r="K625" s="6" t="s">
        <v>789</v>
      </c>
      <c r="L625" s="6" t="s">
        <v>24</v>
      </c>
      <c r="Q625" s="8" t="s">
        <v>1808</v>
      </c>
    </row>
    <row r="626">
      <c r="A626" s="7">
        <v>45630.69297643518</v>
      </c>
      <c r="B626" s="6" t="s">
        <v>1809</v>
      </c>
      <c r="D626" s="6" t="s">
        <v>311</v>
      </c>
      <c r="E626" s="6" t="s">
        <v>55</v>
      </c>
      <c r="F626" s="6" t="s">
        <v>1810</v>
      </c>
      <c r="J626" s="6" t="s">
        <v>37</v>
      </c>
      <c r="K626" s="6" t="s">
        <v>30</v>
      </c>
      <c r="L626" s="6" t="s">
        <v>24</v>
      </c>
      <c r="Q626" s="8" t="s">
        <v>1811</v>
      </c>
    </row>
    <row r="627">
      <c r="A627" s="7">
        <v>45630.69673940972</v>
      </c>
      <c r="B627" s="6" t="s">
        <v>1812</v>
      </c>
      <c r="D627" s="6" t="s">
        <v>18</v>
      </c>
      <c r="E627" s="6" t="s">
        <v>34</v>
      </c>
      <c r="F627" s="6" t="s">
        <v>60</v>
      </c>
      <c r="J627" s="6" t="s">
        <v>30</v>
      </c>
      <c r="K627" s="6" t="s">
        <v>30</v>
      </c>
      <c r="L627" s="6" t="s">
        <v>24</v>
      </c>
      <c r="Q627" s="8" t="s">
        <v>1813</v>
      </c>
    </row>
    <row r="628">
      <c r="A628" s="7">
        <v>45634.801441793985</v>
      </c>
      <c r="B628" s="6" t="s">
        <v>1814</v>
      </c>
      <c r="C628" s="6">
        <v>9.717998888E9</v>
      </c>
      <c r="D628" s="6" t="s">
        <v>18</v>
      </c>
      <c r="E628" s="6" t="s">
        <v>64</v>
      </c>
      <c r="F628" s="6" t="s">
        <v>1815</v>
      </c>
      <c r="J628" s="6" t="s">
        <v>37</v>
      </c>
      <c r="K628" s="6" t="s">
        <v>789</v>
      </c>
      <c r="L628" s="6" t="s">
        <v>24</v>
      </c>
      <c r="Q628" s="8" t="s">
        <v>1816</v>
      </c>
    </row>
    <row r="629">
      <c r="A629" s="7">
        <v>45636.66005820602</v>
      </c>
      <c r="B629" s="6" t="s">
        <v>1817</v>
      </c>
      <c r="C629" s="6">
        <v>7.018837878E9</v>
      </c>
      <c r="D629" s="6" t="s">
        <v>18</v>
      </c>
      <c r="E629" s="6" t="s">
        <v>34</v>
      </c>
      <c r="F629" s="6" t="s">
        <v>1818</v>
      </c>
      <c r="J629" s="6" t="s">
        <v>37</v>
      </c>
      <c r="K629" s="6" t="s">
        <v>1023</v>
      </c>
      <c r="L629" s="6" t="s">
        <v>72</v>
      </c>
      <c r="Q629" s="8" t="s">
        <v>1819</v>
      </c>
    </row>
    <row r="630">
      <c r="A630" s="7">
        <v>45636.66197480324</v>
      </c>
      <c r="B630" s="6" t="s">
        <v>1820</v>
      </c>
      <c r="C630" s="6">
        <v>9.810033403E9</v>
      </c>
      <c r="D630" s="6" t="s">
        <v>18</v>
      </c>
      <c r="E630" s="6" t="s">
        <v>34</v>
      </c>
      <c r="F630" s="6" t="s">
        <v>1821</v>
      </c>
      <c r="J630" s="6" t="s">
        <v>37</v>
      </c>
      <c r="K630" s="6" t="s">
        <v>789</v>
      </c>
      <c r="L630" s="6" t="s">
        <v>24</v>
      </c>
      <c r="Q630" s="8" t="s">
        <v>1822</v>
      </c>
    </row>
    <row r="631">
      <c r="A631" s="7">
        <v>45636.663293425925</v>
      </c>
      <c r="B631" s="6" t="s">
        <v>231</v>
      </c>
      <c r="D631" s="6" t="s">
        <v>18</v>
      </c>
      <c r="E631" s="6" t="s">
        <v>64</v>
      </c>
      <c r="F631" s="6" t="s">
        <v>1823</v>
      </c>
      <c r="J631" s="6" t="s">
        <v>37</v>
      </c>
      <c r="K631" s="6" t="s">
        <v>789</v>
      </c>
      <c r="L631" s="6" t="s">
        <v>24</v>
      </c>
      <c r="Q631" s="8" t="s">
        <v>1824</v>
      </c>
    </row>
    <row r="632">
      <c r="A632" s="7">
        <v>45655.709603599535</v>
      </c>
      <c r="B632" s="6" t="s">
        <v>1825</v>
      </c>
      <c r="D632" s="6" t="s">
        <v>18</v>
      </c>
      <c r="E632" s="6" t="s">
        <v>34</v>
      </c>
      <c r="F632" s="6" t="s">
        <v>1826</v>
      </c>
      <c r="J632" s="6" t="s">
        <v>847</v>
      </c>
      <c r="K632" s="6" t="s">
        <v>789</v>
      </c>
      <c r="L632" s="6" t="s">
        <v>24</v>
      </c>
      <c r="Q632" s="8" t="s">
        <v>1827</v>
      </c>
    </row>
    <row r="633">
      <c r="A633" s="7">
        <v>45655.710649479166</v>
      </c>
      <c r="B633" s="6" t="s">
        <v>1828</v>
      </c>
      <c r="D633" s="6" t="s">
        <v>18</v>
      </c>
      <c r="E633" s="6" t="s">
        <v>34</v>
      </c>
      <c r="F633" s="6" t="s">
        <v>1829</v>
      </c>
      <c r="I633" s="8" t="s">
        <v>1830</v>
      </c>
      <c r="J633" s="6" t="s">
        <v>30</v>
      </c>
      <c r="K633" s="6" t="s">
        <v>30</v>
      </c>
      <c r="L633" s="6" t="s">
        <v>24</v>
      </c>
      <c r="Q633" s="8" t="s">
        <v>1831</v>
      </c>
    </row>
    <row r="634">
      <c r="A634" s="7">
        <v>45704.599190567125</v>
      </c>
      <c r="B634" s="6" t="s">
        <v>1832</v>
      </c>
      <c r="C634" s="6">
        <v>9.999887268E9</v>
      </c>
      <c r="D634" s="6" t="s">
        <v>75</v>
      </c>
      <c r="E634" s="6" t="s">
        <v>1698</v>
      </c>
      <c r="F634" s="6" t="s">
        <v>1833</v>
      </c>
      <c r="J634" s="6" t="s">
        <v>37</v>
      </c>
      <c r="K634" s="6" t="s">
        <v>789</v>
      </c>
      <c r="L634" s="6" t="s">
        <v>24</v>
      </c>
      <c r="Q634" s="8" t="s">
        <v>1834</v>
      </c>
    </row>
    <row r="635">
      <c r="A635" s="7">
        <v>45711.77508305556</v>
      </c>
      <c r="B635" s="6" t="s">
        <v>1835</v>
      </c>
      <c r="C635" s="6" t="s">
        <v>1836</v>
      </c>
      <c r="D635" s="6" t="s">
        <v>18</v>
      </c>
      <c r="E635" s="6" t="s">
        <v>123</v>
      </c>
      <c r="F635" s="6" t="s">
        <v>60</v>
      </c>
      <c r="I635" s="8" t="s">
        <v>1837</v>
      </c>
      <c r="J635" s="6" t="s">
        <v>37</v>
      </c>
      <c r="K635" s="6" t="s">
        <v>30</v>
      </c>
      <c r="L635" s="6" t="s">
        <v>24</v>
      </c>
      <c r="Q635" s="8" t="s">
        <v>1838</v>
      </c>
    </row>
    <row r="636">
      <c r="A636" s="7">
        <v>45711.77634748843</v>
      </c>
      <c r="B636" s="6" t="s">
        <v>1839</v>
      </c>
      <c r="D636" s="6" t="s">
        <v>18</v>
      </c>
      <c r="E636" s="6" t="s">
        <v>34</v>
      </c>
      <c r="F636" s="6" t="s">
        <v>1120</v>
      </c>
      <c r="J636" s="6" t="s">
        <v>847</v>
      </c>
      <c r="K636" s="6" t="s">
        <v>1023</v>
      </c>
      <c r="L636" s="6" t="s">
        <v>24</v>
      </c>
      <c r="Q636" s="8" t="s">
        <v>1840</v>
      </c>
    </row>
    <row r="637">
      <c r="A637" s="7">
        <v>45711.77793788194</v>
      </c>
      <c r="B637" s="6" t="s">
        <v>1841</v>
      </c>
      <c r="D637" s="6" t="s">
        <v>18</v>
      </c>
      <c r="E637" s="6" t="s">
        <v>55</v>
      </c>
      <c r="F637" s="6" t="s">
        <v>1842</v>
      </c>
      <c r="J637" s="6" t="s">
        <v>847</v>
      </c>
      <c r="K637" s="6" t="s">
        <v>30</v>
      </c>
      <c r="L637" s="6" t="s">
        <v>24</v>
      </c>
      <c r="Q637" s="8" t="s">
        <v>1843</v>
      </c>
    </row>
    <row r="638">
      <c r="A638" s="7">
        <v>45711.7798912963</v>
      </c>
      <c r="B638" s="6" t="s">
        <v>1844</v>
      </c>
      <c r="D638" s="6" t="s">
        <v>18</v>
      </c>
      <c r="E638" s="6" t="s">
        <v>34</v>
      </c>
      <c r="F638" s="6" t="s">
        <v>1845</v>
      </c>
      <c r="J638" s="6" t="s">
        <v>847</v>
      </c>
      <c r="K638" s="6" t="s">
        <v>1023</v>
      </c>
      <c r="L638" s="6" t="s">
        <v>24</v>
      </c>
      <c r="Q638" s="8" t="s">
        <v>1846</v>
      </c>
    </row>
    <row r="639">
      <c r="A639" s="7">
        <v>45711.78377572917</v>
      </c>
      <c r="B639" s="6" t="s">
        <v>1847</v>
      </c>
      <c r="D639" s="6" t="s">
        <v>75</v>
      </c>
      <c r="E639" s="6" t="s">
        <v>55</v>
      </c>
      <c r="F639" s="6" t="s">
        <v>56</v>
      </c>
      <c r="J639" s="6" t="s">
        <v>30</v>
      </c>
      <c r="K639" s="6" t="s">
        <v>1804</v>
      </c>
      <c r="L639" s="6" t="s">
        <v>24</v>
      </c>
      <c r="Q639" s="8" t="s">
        <v>1848</v>
      </c>
    </row>
    <row r="640">
      <c r="A640" s="7">
        <v>45715.671858194444</v>
      </c>
      <c r="B640" s="6" t="s">
        <v>1849</v>
      </c>
      <c r="C640" s="6">
        <v>9.899726672E9</v>
      </c>
      <c r="D640" s="6" t="s">
        <v>18</v>
      </c>
      <c r="E640" s="6" t="s">
        <v>76</v>
      </c>
      <c r="F640" s="6" t="s">
        <v>1850</v>
      </c>
      <c r="I640" s="8" t="s">
        <v>1851</v>
      </c>
      <c r="J640" s="6" t="s">
        <v>789</v>
      </c>
      <c r="K640" s="6" t="s">
        <v>789</v>
      </c>
      <c r="L640" s="6" t="s">
        <v>24</v>
      </c>
      <c r="Q640" s="8" t="s">
        <v>1852</v>
      </c>
    </row>
    <row r="641">
      <c r="A641" s="7">
        <v>45715.67656490741</v>
      </c>
      <c r="B641" s="6" t="s">
        <v>336</v>
      </c>
      <c r="C641" s="6">
        <v>9.811016739E9</v>
      </c>
      <c r="D641" s="6" t="s">
        <v>18</v>
      </c>
      <c r="E641" s="6" t="s">
        <v>55</v>
      </c>
      <c r="F641" s="6" t="s">
        <v>79</v>
      </c>
      <c r="I641" s="8" t="s">
        <v>1853</v>
      </c>
      <c r="J641" s="6" t="s">
        <v>37</v>
      </c>
      <c r="K641" s="6" t="s">
        <v>30</v>
      </c>
      <c r="L641" s="6" t="s">
        <v>24</v>
      </c>
      <c r="Q641" s="8" t="s">
        <v>1854</v>
      </c>
    </row>
    <row r="642">
      <c r="A642" s="7">
        <v>45721.70481887732</v>
      </c>
      <c r="B642" s="6" t="s">
        <v>1855</v>
      </c>
      <c r="D642" s="6" t="s">
        <v>18</v>
      </c>
      <c r="E642" s="6" t="s">
        <v>34</v>
      </c>
      <c r="F642" s="6" t="s">
        <v>1856</v>
      </c>
      <c r="J642" s="6" t="s">
        <v>37</v>
      </c>
      <c r="K642" s="6" t="s">
        <v>789</v>
      </c>
      <c r="L642" s="6" t="s">
        <v>24</v>
      </c>
      <c r="Q642" s="8" t="s">
        <v>1857</v>
      </c>
    </row>
    <row r="643">
      <c r="A643" s="7">
        <v>45723.697857210645</v>
      </c>
      <c r="B643" s="6" t="s">
        <v>1858</v>
      </c>
      <c r="C643" s="6">
        <v>9.810413272E9</v>
      </c>
      <c r="D643" s="6" t="s">
        <v>18</v>
      </c>
      <c r="E643" s="6" t="s">
        <v>435</v>
      </c>
      <c r="F643" s="6" t="s">
        <v>1859</v>
      </c>
      <c r="J643" s="6" t="s">
        <v>37</v>
      </c>
      <c r="K643" s="6" t="s">
        <v>1023</v>
      </c>
      <c r="L643" s="6" t="s">
        <v>24</v>
      </c>
      <c r="Q643" s="8" t="s">
        <v>1860</v>
      </c>
    </row>
    <row r="644">
      <c r="A644" s="7">
        <v>45723.70490146991</v>
      </c>
      <c r="B644" s="6" t="s">
        <v>1861</v>
      </c>
      <c r="C644" s="6">
        <v>0.0</v>
      </c>
      <c r="D644" s="6" t="s">
        <v>18</v>
      </c>
      <c r="E644" s="6" t="s">
        <v>34</v>
      </c>
      <c r="F644" s="6" t="s">
        <v>35</v>
      </c>
      <c r="I644" s="8" t="s">
        <v>1862</v>
      </c>
      <c r="J644" s="6" t="s">
        <v>37</v>
      </c>
      <c r="K644" s="6" t="s">
        <v>789</v>
      </c>
      <c r="L644" s="6" t="s">
        <v>24</v>
      </c>
      <c r="Q644" s="8" t="s">
        <v>1863</v>
      </c>
    </row>
    <row r="645">
      <c r="A645" s="7">
        <v>45727.7316980787</v>
      </c>
      <c r="B645" s="6" t="s">
        <v>1864</v>
      </c>
      <c r="C645" s="6">
        <v>7.982859496E9</v>
      </c>
      <c r="D645" s="6" t="s">
        <v>18</v>
      </c>
      <c r="E645" s="6" t="s">
        <v>64</v>
      </c>
      <c r="F645" s="6" t="s">
        <v>1865</v>
      </c>
      <c r="H645" s="6" t="s">
        <v>1866</v>
      </c>
      <c r="J645" s="6" t="s">
        <v>1867</v>
      </c>
      <c r="K645" s="6" t="s">
        <v>1867</v>
      </c>
      <c r="L645" s="6" t="s">
        <v>184</v>
      </c>
      <c r="M645" s="2" t="s">
        <v>1868</v>
      </c>
      <c r="N645" s="6" t="s">
        <v>25</v>
      </c>
      <c r="Q645" s="8" t="s">
        <v>1869</v>
      </c>
    </row>
    <row r="646">
      <c r="A646" s="7">
        <v>45727.74250353009</v>
      </c>
      <c r="B646" s="6" t="s">
        <v>1870</v>
      </c>
      <c r="C646" s="6">
        <v>9.811113838E9</v>
      </c>
      <c r="D646" s="6" t="s">
        <v>18</v>
      </c>
      <c r="E646" s="6" t="s">
        <v>55</v>
      </c>
      <c r="F646" s="6" t="s">
        <v>60</v>
      </c>
      <c r="H646" s="6" t="s">
        <v>1871</v>
      </c>
      <c r="J646" s="6" t="s">
        <v>1867</v>
      </c>
      <c r="K646" s="6" t="s">
        <v>1867</v>
      </c>
      <c r="L646" s="6" t="s">
        <v>72</v>
      </c>
      <c r="M646" s="2" t="s">
        <v>1872</v>
      </c>
      <c r="Q646" s="8" t="s">
        <v>1873</v>
      </c>
    </row>
    <row r="647">
      <c r="A647" s="7">
        <v>45729.535630694445</v>
      </c>
      <c r="B647" s="6" t="s">
        <v>1874</v>
      </c>
      <c r="C647" s="6">
        <v>9.811543555E9</v>
      </c>
      <c r="D647" s="6" t="s">
        <v>18</v>
      </c>
      <c r="E647" s="6" t="s">
        <v>64</v>
      </c>
      <c r="F647" s="6" t="s">
        <v>774</v>
      </c>
      <c r="J647" s="6" t="s">
        <v>37</v>
      </c>
      <c r="K647" s="6" t="s">
        <v>789</v>
      </c>
      <c r="L647" s="6" t="s">
        <v>24</v>
      </c>
      <c r="Q647" s="8" t="s">
        <v>1875</v>
      </c>
    </row>
    <row r="648">
      <c r="A648" s="7">
        <v>45737.507457291664</v>
      </c>
      <c r="B648" s="6" t="s">
        <v>1876</v>
      </c>
      <c r="C648" s="6" t="s">
        <v>1877</v>
      </c>
      <c r="D648" s="6" t="s">
        <v>18</v>
      </c>
      <c r="E648" s="6" t="s">
        <v>34</v>
      </c>
      <c r="F648" s="6" t="s">
        <v>35</v>
      </c>
      <c r="I648" s="8" t="s">
        <v>1878</v>
      </c>
      <c r="J648" s="6" t="s">
        <v>37</v>
      </c>
      <c r="K648" s="6" t="s">
        <v>1023</v>
      </c>
      <c r="L648" s="6" t="s">
        <v>24</v>
      </c>
      <c r="Q648" s="8" t="s">
        <v>1879</v>
      </c>
    </row>
    <row r="649">
      <c r="A649" s="7">
        <v>45737.63729546296</v>
      </c>
      <c r="B649" s="6" t="s">
        <v>1880</v>
      </c>
      <c r="C649" s="6">
        <v>0.0</v>
      </c>
      <c r="D649" s="6" t="s">
        <v>18</v>
      </c>
      <c r="E649" s="6" t="s">
        <v>64</v>
      </c>
      <c r="F649" s="6" t="s">
        <v>1881</v>
      </c>
      <c r="J649" s="6" t="s">
        <v>37</v>
      </c>
      <c r="K649" s="6" t="s">
        <v>789</v>
      </c>
      <c r="L649" s="6" t="s">
        <v>24</v>
      </c>
      <c r="Q649" s="8" t="s">
        <v>1882</v>
      </c>
    </row>
    <row r="650">
      <c r="A650" s="7">
        <v>45742.60968710648</v>
      </c>
      <c r="B650" s="6" t="s">
        <v>1883</v>
      </c>
      <c r="C650" s="6">
        <v>9.958125139E9</v>
      </c>
      <c r="D650" s="6" t="s">
        <v>18</v>
      </c>
      <c r="E650" s="6" t="s">
        <v>41</v>
      </c>
      <c r="F650" s="6" t="s">
        <v>41</v>
      </c>
      <c r="J650" s="6" t="s">
        <v>847</v>
      </c>
      <c r="K650" s="6" t="s">
        <v>789</v>
      </c>
      <c r="L650" s="6" t="s">
        <v>72</v>
      </c>
      <c r="Q650" s="8" t="s">
        <v>1884</v>
      </c>
    </row>
    <row r="651">
      <c r="A651" s="7">
        <v>45742.62317315972</v>
      </c>
      <c r="B651" s="6" t="s">
        <v>1885</v>
      </c>
      <c r="D651" s="6" t="s">
        <v>18</v>
      </c>
      <c r="E651" s="6" t="s">
        <v>64</v>
      </c>
      <c r="F651" s="6" t="s">
        <v>1886</v>
      </c>
      <c r="J651" s="6" t="s">
        <v>847</v>
      </c>
      <c r="K651" s="6" t="s">
        <v>789</v>
      </c>
      <c r="L651" s="6" t="s">
        <v>24</v>
      </c>
      <c r="Q651" s="8" t="s">
        <v>1887</v>
      </c>
    </row>
    <row r="652">
      <c r="A652" s="7">
        <v>45742.627344884255</v>
      </c>
      <c r="B652" s="6" t="s">
        <v>1888</v>
      </c>
      <c r="C652" s="6">
        <v>9.99932322E9</v>
      </c>
      <c r="D652" s="6" t="s">
        <v>18</v>
      </c>
      <c r="E652" s="6" t="s">
        <v>55</v>
      </c>
      <c r="F652" s="6" t="s">
        <v>1889</v>
      </c>
      <c r="J652" s="6" t="s">
        <v>30</v>
      </c>
      <c r="K652" s="6" t="s">
        <v>1804</v>
      </c>
      <c r="L652" s="6" t="s">
        <v>24</v>
      </c>
      <c r="Q652" s="8" t="s">
        <v>1890</v>
      </c>
    </row>
    <row r="653">
      <c r="A653" s="7">
        <v>45745.80031135416</v>
      </c>
      <c r="B653" s="6" t="s">
        <v>1891</v>
      </c>
      <c r="C653" s="6">
        <v>9.899719222E9</v>
      </c>
      <c r="D653" s="6" t="s">
        <v>18</v>
      </c>
      <c r="E653" s="6" t="s">
        <v>34</v>
      </c>
      <c r="F653" s="6">
        <v>9.899719222E9</v>
      </c>
      <c r="J653" s="6" t="s">
        <v>37</v>
      </c>
      <c r="K653" s="6" t="s">
        <v>789</v>
      </c>
      <c r="L653" s="6" t="s">
        <v>24</v>
      </c>
      <c r="Q653" s="8" t="s">
        <v>1892</v>
      </c>
    </row>
    <row r="654">
      <c r="A654" s="7">
        <v>45746.786444259254</v>
      </c>
      <c r="B654" s="6" t="s">
        <v>1893</v>
      </c>
      <c r="C654" s="6">
        <v>9.811172888E9</v>
      </c>
      <c r="D654" s="6" t="s">
        <v>18</v>
      </c>
      <c r="E654" s="6" t="s">
        <v>34</v>
      </c>
      <c r="F654" s="6" t="s">
        <v>1894</v>
      </c>
      <c r="J654" s="6" t="s">
        <v>847</v>
      </c>
      <c r="K654" s="6" t="s">
        <v>30</v>
      </c>
      <c r="L654" s="6" t="s">
        <v>24</v>
      </c>
      <c r="Q654" s="8" t="s">
        <v>1895</v>
      </c>
    </row>
    <row r="655">
      <c r="A655" s="7">
        <v>45756.56836965278</v>
      </c>
      <c r="B655" s="6" t="s">
        <v>1896</v>
      </c>
      <c r="C655" s="6">
        <v>8.800608987E9</v>
      </c>
      <c r="D655" s="6" t="s">
        <v>311</v>
      </c>
      <c r="E655" s="6" t="s">
        <v>34</v>
      </c>
      <c r="F655" s="6" t="s">
        <v>1897</v>
      </c>
      <c r="J655" s="6" t="s">
        <v>30</v>
      </c>
      <c r="K655" s="6" t="s">
        <v>1023</v>
      </c>
      <c r="L655" s="6" t="s">
        <v>24</v>
      </c>
      <c r="Q655" s="8" t="s">
        <v>1898</v>
      </c>
    </row>
    <row r="656">
      <c r="A656" s="7">
        <v>45756.67019167824</v>
      </c>
      <c r="B656" s="6" t="s">
        <v>1899</v>
      </c>
      <c r="C656" s="6">
        <v>9.419187344E9</v>
      </c>
      <c r="D656" s="6" t="s">
        <v>18</v>
      </c>
      <c r="E656" s="6" t="s">
        <v>19</v>
      </c>
      <c r="F656" s="6" t="s">
        <v>1900</v>
      </c>
      <c r="J656" s="6" t="s">
        <v>37</v>
      </c>
      <c r="K656" s="6" t="s">
        <v>30</v>
      </c>
      <c r="L656" s="6" t="s">
        <v>24</v>
      </c>
      <c r="Q656" s="8" t="s">
        <v>1901</v>
      </c>
    </row>
    <row r="657">
      <c r="A657" s="7">
        <v>45756.673297650465</v>
      </c>
      <c r="B657" s="6" t="s">
        <v>1902</v>
      </c>
      <c r="C657" s="6">
        <v>9.622976789E9</v>
      </c>
      <c r="D657" s="6" t="s">
        <v>18</v>
      </c>
      <c r="E657" s="6" t="s">
        <v>41</v>
      </c>
      <c r="F657" s="6" t="s">
        <v>41</v>
      </c>
      <c r="J657" s="6" t="s">
        <v>31</v>
      </c>
      <c r="K657" s="6" t="s">
        <v>30</v>
      </c>
      <c r="L657" s="6" t="s">
        <v>24</v>
      </c>
      <c r="Q657" s="8" t="s">
        <v>1903</v>
      </c>
    </row>
    <row r="658">
      <c r="A658" s="7">
        <v>45756.67577902778</v>
      </c>
      <c r="B658" s="6" t="s">
        <v>1904</v>
      </c>
      <c r="C658" s="6">
        <v>7.838154252E9</v>
      </c>
      <c r="D658" s="6" t="s">
        <v>18</v>
      </c>
      <c r="E658" s="6" t="s">
        <v>41</v>
      </c>
      <c r="F658" s="6" t="s">
        <v>41</v>
      </c>
      <c r="J658" s="6" t="s">
        <v>31</v>
      </c>
      <c r="K658" s="6" t="s">
        <v>30</v>
      </c>
      <c r="L658" s="6" t="s">
        <v>24</v>
      </c>
      <c r="Q658" s="8" t="s">
        <v>1905</v>
      </c>
    </row>
    <row r="659">
      <c r="A659" s="7">
        <v>45756.67919015046</v>
      </c>
      <c r="B659" s="6" t="s">
        <v>1844</v>
      </c>
      <c r="C659" s="6">
        <v>8.800608987E9</v>
      </c>
      <c r="D659" s="6" t="s">
        <v>75</v>
      </c>
      <c r="E659" s="6" t="s">
        <v>19</v>
      </c>
      <c r="F659" s="6" t="s">
        <v>159</v>
      </c>
      <c r="J659" s="6" t="s">
        <v>30</v>
      </c>
      <c r="K659" s="6" t="s">
        <v>1023</v>
      </c>
      <c r="L659" s="6" t="s">
        <v>24</v>
      </c>
      <c r="Q659" s="8" t="s">
        <v>1906</v>
      </c>
    </row>
    <row r="660">
      <c r="A660" s="7">
        <v>45756.68123456019</v>
      </c>
      <c r="B660" s="6" t="s">
        <v>1907</v>
      </c>
      <c r="D660" s="6" t="s">
        <v>18</v>
      </c>
      <c r="E660" s="6" t="s">
        <v>76</v>
      </c>
      <c r="F660" s="6" t="s">
        <v>1908</v>
      </c>
      <c r="J660" s="6" t="s">
        <v>847</v>
      </c>
      <c r="K660" s="6" t="s">
        <v>30</v>
      </c>
      <c r="L660" s="6" t="s">
        <v>24</v>
      </c>
      <c r="Q660" s="8" t="s">
        <v>1909</v>
      </c>
    </row>
    <row r="661">
      <c r="A661" s="7">
        <v>45758.77180792824</v>
      </c>
      <c r="B661" s="6" t="s">
        <v>1910</v>
      </c>
      <c r="C661" s="6">
        <v>9.899719222E9</v>
      </c>
      <c r="D661" s="6" t="s">
        <v>18</v>
      </c>
      <c r="E661" s="6" t="s">
        <v>47</v>
      </c>
      <c r="F661" s="6" t="s">
        <v>1911</v>
      </c>
      <c r="J661" s="6" t="s">
        <v>37</v>
      </c>
      <c r="K661" s="6" t="s">
        <v>789</v>
      </c>
      <c r="L661" s="6" t="s">
        <v>24</v>
      </c>
      <c r="Q661" s="8" t="s">
        <v>1912</v>
      </c>
    </row>
    <row r="662">
      <c r="A662" s="7">
        <v>45758.77701493056</v>
      </c>
      <c r="B662" s="6" t="s">
        <v>1913</v>
      </c>
      <c r="D662" s="6" t="s">
        <v>18</v>
      </c>
      <c r="E662" s="6" t="s">
        <v>47</v>
      </c>
      <c r="F662" s="6" t="s">
        <v>1914</v>
      </c>
      <c r="J662" s="6" t="s">
        <v>37</v>
      </c>
      <c r="K662" s="6" t="s">
        <v>789</v>
      </c>
      <c r="L662" s="6" t="s">
        <v>24</v>
      </c>
      <c r="Q662" s="8" t="s">
        <v>1915</v>
      </c>
    </row>
    <row r="663">
      <c r="A663" s="7">
        <v>45760.74481826389</v>
      </c>
      <c r="B663" s="6" t="s">
        <v>1916</v>
      </c>
      <c r="D663" s="6" t="s">
        <v>18</v>
      </c>
      <c r="E663" s="6" t="s">
        <v>34</v>
      </c>
      <c r="F663" s="6" t="s">
        <v>1917</v>
      </c>
      <c r="J663" s="6" t="s">
        <v>847</v>
      </c>
      <c r="K663" s="6" t="s">
        <v>30</v>
      </c>
      <c r="L663" s="6" t="s">
        <v>24</v>
      </c>
      <c r="Q663" s="8" t="s">
        <v>1918</v>
      </c>
    </row>
    <row r="664">
      <c r="A664" s="7">
        <v>45774.66046709491</v>
      </c>
      <c r="B664" s="6" t="s">
        <v>1919</v>
      </c>
      <c r="D664" s="6" t="s">
        <v>18</v>
      </c>
      <c r="E664" s="6" t="s">
        <v>19</v>
      </c>
      <c r="F664" s="6" t="s">
        <v>1897</v>
      </c>
      <c r="I664" s="8" t="s">
        <v>1920</v>
      </c>
      <c r="J664" s="6" t="s">
        <v>847</v>
      </c>
      <c r="K664" s="6" t="s">
        <v>30</v>
      </c>
      <c r="L664" s="6" t="s">
        <v>24</v>
      </c>
      <c r="Q664" s="8" t="s">
        <v>1921</v>
      </c>
    </row>
    <row r="665">
      <c r="A665" s="7">
        <v>45774.662177673614</v>
      </c>
      <c r="B665" s="6" t="s">
        <v>1922</v>
      </c>
      <c r="C665" s="6">
        <v>9.999481786E9</v>
      </c>
      <c r="D665" s="6" t="s">
        <v>18</v>
      </c>
      <c r="E665" s="6" t="s">
        <v>55</v>
      </c>
      <c r="F665" s="6" t="s">
        <v>79</v>
      </c>
      <c r="J665" s="6" t="s">
        <v>847</v>
      </c>
      <c r="K665" s="6" t="s">
        <v>30</v>
      </c>
      <c r="L665" s="6" t="s">
        <v>24</v>
      </c>
      <c r="Q665" s="8" t="s">
        <v>1923</v>
      </c>
    </row>
    <row r="666">
      <c r="A666" s="7">
        <v>45777.62821949074</v>
      </c>
      <c r="B666" s="6" t="s">
        <v>1924</v>
      </c>
      <c r="D666" s="6" t="s">
        <v>18</v>
      </c>
      <c r="E666" s="6" t="s">
        <v>55</v>
      </c>
      <c r="F666" s="6" t="s">
        <v>60</v>
      </c>
      <c r="J666" s="6" t="s">
        <v>30</v>
      </c>
      <c r="K666" s="6" t="s">
        <v>789</v>
      </c>
      <c r="L666" s="6" t="s">
        <v>24</v>
      </c>
      <c r="Q666" s="8" t="s">
        <v>1925</v>
      </c>
    </row>
    <row r="667">
      <c r="A667" s="7">
        <v>45777.63249319444</v>
      </c>
      <c r="B667" s="6" t="s">
        <v>1926</v>
      </c>
      <c r="D667" s="6" t="s">
        <v>18</v>
      </c>
      <c r="E667" s="6" t="s">
        <v>34</v>
      </c>
      <c r="F667" s="6" t="s">
        <v>1927</v>
      </c>
      <c r="J667" s="6" t="s">
        <v>30</v>
      </c>
      <c r="K667" s="6" t="s">
        <v>30</v>
      </c>
      <c r="L667" s="6" t="s">
        <v>24</v>
      </c>
      <c r="Q667" s="8" t="s">
        <v>1928</v>
      </c>
    </row>
    <row r="668">
      <c r="A668" s="7">
        <v>45791.594251365736</v>
      </c>
      <c r="B668" s="6" t="s">
        <v>1929</v>
      </c>
      <c r="C668" s="6">
        <v>0.0</v>
      </c>
      <c r="D668" s="6" t="s">
        <v>18</v>
      </c>
      <c r="E668" s="6" t="s">
        <v>47</v>
      </c>
      <c r="F668" s="6" t="s">
        <v>1930</v>
      </c>
      <c r="J668" s="6" t="s">
        <v>847</v>
      </c>
      <c r="K668" s="6" t="s">
        <v>30</v>
      </c>
      <c r="L668" s="6" t="s">
        <v>24</v>
      </c>
      <c r="Q668" s="8" t="s">
        <v>1931</v>
      </c>
    </row>
    <row r="669">
      <c r="A669" s="7">
        <v>45792.62288746527</v>
      </c>
      <c r="B669" s="6" t="s">
        <v>1932</v>
      </c>
      <c r="C669" s="6">
        <v>8.447166487E9</v>
      </c>
      <c r="D669" s="6" t="s">
        <v>18</v>
      </c>
      <c r="E669" s="6" t="s">
        <v>47</v>
      </c>
      <c r="F669" s="6" t="s">
        <v>1933</v>
      </c>
      <c r="J669" s="6" t="s">
        <v>37</v>
      </c>
      <c r="K669" s="6" t="s">
        <v>789</v>
      </c>
      <c r="L669" s="6" t="s">
        <v>24</v>
      </c>
      <c r="Q669" s="8" t="s">
        <v>1934</v>
      </c>
    </row>
    <row r="670">
      <c r="A670" s="7">
        <v>45792.64291900463</v>
      </c>
      <c r="B670" s="6" t="s">
        <v>1935</v>
      </c>
      <c r="D670" s="6" t="s">
        <v>18</v>
      </c>
      <c r="E670" s="6" t="s">
        <v>34</v>
      </c>
      <c r="F670" s="6" t="s">
        <v>101</v>
      </c>
      <c r="I670" s="8" t="s">
        <v>1936</v>
      </c>
      <c r="J670" s="6" t="s">
        <v>847</v>
      </c>
      <c r="K670" s="6" t="s">
        <v>1023</v>
      </c>
      <c r="L670" s="6" t="s">
        <v>24</v>
      </c>
      <c r="Q670" s="8" t="s">
        <v>1937</v>
      </c>
    </row>
    <row r="671">
      <c r="A671" s="7">
        <v>45792.69952434028</v>
      </c>
      <c r="B671" s="6" t="s">
        <v>1938</v>
      </c>
      <c r="D671" s="6" t="s">
        <v>18</v>
      </c>
      <c r="E671" s="6" t="s">
        <v>34</v>
      </c>
      <c r="F671" s="6" t="s">
        <v>60</v>
      </c>
      <c r="J671" s="6" t="s">
        <v>847</v>
      </c>
      <c r="K671" s="6" t="s">
        <v>1023</v>
      </c>
      <c r="L671" s="6" t="s">
        <v>24</v>
      </c>
      <c r="Q671" s="8" t="s">
        <v>1939</v>
      </c>
    </row>
    <row r="672">
      <c r="A672" s="7">
        <v>45797.69882071759</v>
      </c>
      <c r="B672" s="6" t="s">
        <v>1940</v>
      </c>
      <c r="C672" s="6">
        <v>9.013386014E9</v>
      </c>
      <c r="D672" s="6" t="s">
        <v>18</v>
      </c>
      <c r="E672" s="6" t="s">
        <v>47</v>
      </c>
      <c r="F672" s="6" t="s">
        <v>1941</v>
      </c>
      <c r="J672" s="6" t="s">
        <v>789</v>
      </c>
      <c r="K672" s="6" t="s">
        <v>30</v>
      </c>
      <c r="L672" s="6" t="s">
        <v>24</v>
      </c>
      <c r="Q672" s="8" t="s">
        <v>1942</v>
      </c>
    </row>
    <row r="673">
      <c r="A673" s="7">
        <v>45797.70748912037</v>
      </c>
      <c r="B673" s="6" t="s">
        <v>1943</v>
      </c>
      <c r="C673" s="6">
        <v>9.810093295E9</v>
      </c>
      <c r="D673" s="6" t="s">
        <v>75</v>
      </c>
      <c r="E673" s="6" t="s">
        <v>55</v>
      </c>
      <c r="F673" s="6" t="s">
        <v>1944</v>
      </c>
      <c r="J673" s="6" t="s">
        <v>30</v>
      </c>
      <c r="K673" s="6" t="s">
        <v>1804</v>
      </c>
      <c r="L673" s="6" t="s">
        <v>24</v>
      </c>
      <c r="Q673" s="8" t="s">
        <v>1945</v>
      </c>
    </row>
    <row r="674">
      <c r="A674" s="7">
        <v>45799.651090046296</v>
      </c>
      <c r="B674" s="6" t="s">
        <v>1946</v>
      </c>
      <c r="C674" s="6" t="s">
        <v>1947</v>
      </c>
      <c r="D674" s="6" t="s">
        <v>18</v>
      </c>
      <c r="E674" s="6" t="s">
        <v>55</v>
      </c>
      <c r="F674" s="6" t="s">
        <v>56</v>
      </c>
      <c r="J674" s="6" t="s">
        <v>37</v>
      </c>
      <c r="K674" s="6" t="s">
        <v>1804</v>
      </c>
      <c r="L674" s="6" t="s">
        <v>72</v>
      </c>
      <c r="Q674" s="8" t="s">
        <v>1948</v>
      </c>
    </row>
    <row r="675">
      <c r="A675" s="7">
        <v>45807.476224074075</v>
      </c>
      <c r="B675" s="6" t="s">
        <v>1949</v>
      </c>
      <c r="C675" s="6">
        <v>9.374724518E9</v>
      </c>
      <c r="D675" s="6" t="s">
        <v>18</v>
      </c>
      <c r="E675" s="6" t="s">
        <v>55</v>
      </c>
      <c r="F675" s="6" t="s">
        <v>1897</v>
      </c>
      <c r="J675" s="6" t="s">
        <v>37</v>
      </c>
      <c r="K675" s="6" t="s">
        <v>30</v>
      </c>
      <c r="L675" s="6" t="s">
        <v>24</v>
      </c>
      <c r="Q675" s="8" t="s">
        <v>1950</v>
      </c>
    </row>
    <row r="676">
      <c r="A676" s="7">
        <v>45811.57417144676</v>
      </c>
      <c r="B676" s="6" t="s">
        <v>1951</v>
      </c>
      <c r="C676" s="6">
        <v>9.971110577E9</v>
      </c>
      <c r="D676" s="6" t="s">
        <v>18</v>
      </c>
      <c r="E676" s="6" t="s">
        <v>76</v>
      </c>
      <c r="F676" s="6" t="s">
        <v>1952</v>
      </c>
      <c r="J676" s="6" t="s">
        <v>847</v>
      </c>
      <c r="K676" s="6" t="s">
        <v>30</v>
      </c>
      <c r="L676" s="6" t="s">
        <v>24</v>
      </c>
      <c r="Q676" s="8" t="s">
        <v>1953</v>
      </c>
    </row>
    <row r="677">
      <c r="A677" s="7">
        <v>45832.62573857639</v>
      </c>
      <c r="B677" s="6" t="s">
        <v>1954</v>
      </c>
      <c r="C677" s="6">
        <v>9.891000073E9</v>
      </c>
      <c r="D677" s="6" t="s">
        <v>75</v>
      </c>
      <c r="E677" s="6" t="s">
        <v>123</v>
      </c>
      <c r="F677" s="6" t="s">
        <v>1955</v>
      </c>
      <c r="G677" s="6" t="s">
        <v>268</v>
      </c>
      <c r="J677" s="6" t="s">
        <v>30</v>
      </c>
      <c r="K677" s="6" t="s">
        <v>30</v>
      </c>
      <c r="L677" s="6" t="s">
        <v>24</v>
      </c>
      <c r="Q677" s="8" t="s">
        <v>1956</v>
      </c>
    </row>
    <row r="678">
      <c r="A678" s="7">
        <v>45832.63631265046</v>
      </c>
      <c r="B678" s="6" t="s">
        <v>1957</v>
      </c>
      <c r="D678" s="6" t="s">
        <v>18</v>
      </c>
      <c r="E678" s="6" t="s">
        <v>34</v>
      </c>
      <c r="F678" s="6" t="s">
        <v>1958</v>
      </c>
      <c r="J678" s="6" t="s">
        <v>37</v>
      </c>
      <c r="K678" s="6" t="s">
        <v>30</v>
      </c>
      <c r="L678" s="6" t="s">
        <v>24</v>
      </c>
      <c r="Q678" s="8" t="s">
        <v>1959</v>
      </c>
    </row>
    <row r="679">
      <c r="A679" s="7">
        <v>45832.63746958334</v>
      </c>
      <c r="B679" s="6" t="s">
        <v>1957</v>
      </c>
      <c r="D679" s="6" t="s">
        <v>18</v>
      </c>
      <c r="E679" s="6" t="s">
        <v>64</v>
      </c>
      <c r="F679" s="6" t="s">
        <v>1960</v>
      </c>
      <c r="J679" s="6" t="s">
        <v>37</v>
      </c>
      <c r="K679" s="6" t="s">
        <v>30</v>
      </c>
      <c r="L679" s="6" t="s">
        <v>24</v>
      </c>
      <c r="Q679" s="8" t="s">
        <v>1961</v>
      </c>
    </row>
    <row r="680">
      <c r="A680" s="7">
        <v>45832.639888935184</v>
      </c>
      <c r="B680" s="6" t="s">
        <v>1962</v>
      </c>
      <c r="D680" s="6" t="s">
        <v>75</v>
      </c>
      <c r="E680" s="6" t="s">
        <v>55</v>
      </c>
      <c r="F680" s="6" t="s">
        <v>188</v>
      </c>
      <c r="J680" s="6" t="s">
        <v>847</v>
      </c>
      <c r="K680" s="6" t="s">
        <v>1804</v>
      </c>
      <c r="L680" s="6" t="s">
        <v>72</v>
      </c>
      <c r="Q680" s="8" t="s">
        <v>1963</v>
      </c>
    </row>
    <row r="681">
      <c r="A681" s="7">
        <v>45839.80263763889</v>
      </c>
      <c r="B681" s="6" t="s">
        <v>1964</v>
      </c>
      <c r="D681" s="6" t="s">
        <v>18</v>
      </c>
      <c r="E681" s="6" t="s">
        <v>76</v>
      </c>
      <c r="F681" s="6" t="s">
        <v>1965</v>
      </c>
      <c r="J681" s="6" t="s">
        <v>847</v>
      </c>
      <c r="K681" s="6" t="s">
        <v>30</v>
      </c>
      <c r="L681" s="6" t="s">
        <v>24</v>
      </c>
      <c r="Q681" s="8" t="s">
        <v>1966</v>
      </c>
    </row>
    <row r="682">
      <c r="A682" s="7">
        <v>45841.47179575231</v>
      </c>
      <c r="B682" s="6" t="s">
        <v>1967</v>
      </c>
      <c r="D682" s="6" t="s">
        <v>18</v>
      </c>
      <c r="E682" s="6" t="s">
        <v>76</v>
      </c>
      <c r="F682" s="6" t="s">
        <v>1968</v>
      </c>
      <c r="J682" s="6" t="s">
        <v>37</v>
      </c>
      <c r="K682" s="6" t="s">
        <v>30</v>
      </c>
      <c r="L682" s="6" t="s">
        <v>24</v>
      </c>
      <c r="Q682" s="8" t="s">
        <v>1969</v>
      </c>
    </row>
    <row r="683">
      <c r="A683" s="7">
        <v>45841.473340868055</v>
      </c>
      <c r="B683" s="6" t="s">
        <v>1970</v>
      </c>
      <c r="D683" s="6" t="s">
        <v>18</v>
      </c>
      <c r="E683" s="6" t="s">
        <v>55</v>
      </c>
      <c r="F683" s="6" t="s">
        <v>188</v>
      </c>
      <c r="I683" s="8" t="s">
        <v>1971</v>
      </c>
      <c r="J683" s="6" t="s">
        <v>847</v>
      </c>
      <c r="K683" s="6" t="s">
        <v>30</v>
      </c>
      <c r="L683" s="6" t="s">
        <v>24</v>
      </c>
      <c r="Q683" s="8" t="s">
        <v>1972</v>
      </c>
    </row>
    <row r="684">
      <c r="A684" s="7">
        <v>45849.53481667824</v>
      </c>
      <c r="B684" s="6" t="s">
        <v>1973</v>
      </c>
      <c r="C684" s="6">
        <v>9.650119669E9</v>
      </c>
      <c r="D684" s="6" t="s">
        <v>18</v>
      </c>
      <c r="E684" s="6" t="s">
        <v>47</v>
      </c>
      <c r="F684" s="6" t="s">
        <v>47</v>
      </c>
      <c r="J684" s="6" t="s">
        <v>37</v>
      </c>
      <c r="K684" s="6" t="s">
        <v>1023</v>
      </c>
      <c r="L684" s="6" t="s">
        <v>24</v>
      </c>
      <c r="Q684" s="8" t="s">
        <v>1974</v>
      </c>
    </row>
    <row r="685">
      <c r="A685" s="7">
        <v>45849.62748244213</v>
      </c>
      <c r="B685" s="6" t="s">
        <v>1975</v>
      </c>
      <c r="C685" s="6">
        <v>9.958077837E9</v>
      </c>
      <c r="D685" s="6" t="s">
        <v>75</v>
      </c>
      <c r="E685" s="6" t="s">
        <v>55</v>
      </c>
      <c r="F685" s="6" t="s">
        <v>1976</v>
      </c>
      <c r="I685" s="8" t="s">
        <v>1977</v>
      </c>
      <c r="J685" s="6" t="s">
        <v>30</v>
      </c>
      <c r="K685" s="6" t="s">
        <v>789</v>
      </c>
      <c r="L685" s="6" t="s">
        <v>24</v>
      </c>
      <c r="Q685" s="8" t="s">
        <v>1978</v>
      </c>
    </row>
    <row r="686">
      <c r="A686" s="7">
        <v>45849.62943394676</v>
      </c>
      <c r="B686" s="6" t="s">
        <v>1979</v>
      </c>
      <c r="D686" s="6" t="s">
        <v>18</v>
      </c>
      <c r="E686" s="6" t="s">
        <v>19</v>
      </c>
      <c r="F686" s="6" t="s">
        <v>1980</v>
      </c>
      <c r="J686" s="6" t="s">
        <v>847</v>
      </c>
      <c r="K686" s="6" t="s">
        <v>1023</v>
      </c>
      <c r="L686" s="6" t="s">
        <v>24</v>
      </c>
      <c r="Q686" s="8" t="s">
        <v>1981</v>
      </c>
    </row>
    <row r="687">
      <c r="A687" s="7">
        <v>45862.74334450232</v>
      </c>
      <c r="B687" s="6" t="s">
        <v>1982</v>
      </c>
      <c r="C687" s="6">
        <v>9.161114007E9</v>
      </c>
      <c r="D687" s="6" t="s">
        <v>18</v>
      </c>
      <c r="E687" s="6" t="s">
        <v>55</v>
      </c>
      <c r="F687" s="6" t="s">
        <v>79</v>
      </c>
      <c r="J687" s="6" t="s">
        <v>37</v>
      </c>
      <c r="K687" s="6" t="s">
        <v>30</v>
      </c>
      <c r="L687" s="6" t="s">
        <v>72</v>
      </c>
      <c r="Q687" s="8" t="s">
        <v>1983</v>
      </c>
    </row>
    <row r="688">
      <c r="A688" s="7">
        <v>45862.749110613426</v>
      </c>
      <c r="B688" s="6" t="s">
        <v>1984</v>
      </c>
      <c r="D688" s="6" t="s">
        <v>75</v>
      </c>
      <c r="E688" s="6" t="s">
        <v>55</v>
      </c>
      <c r="F688" s="6" t="s">
        <v>1985</v>
      </c>
      <c r="I688" s="8" t="s">
        <v>1986</v>
      </c>
      <c r="J688" s="6" t="s">
        <v>37</v>
      </c>
      <c r="K688" s="6" t="s">
        <v>30</v>
      </c>
      <c r="L688" s="6" t="s">
        <v>24</v>
      </c>
      <c r="Q688" s="8" t="s">
        <v>1987</v>
      </c>
    </row>
    <row r="689">
      <c r="A689" s="7">
        <v>45867.726722708336</v>
      </c>
      <c r="B689" s="6" t="s">
        <v>1988</v>
      </c>
      <c r="C689" s="6">
        <v>9.374724518E9</v>
      </c>
      <c r="D689" s="6" t="s">
        <v>18</v>
      </c>
      <c r="E689" s="6" t="s">
        <v>55</v>
      </c>
      <c r="F689" s="6" t="s">
        <v>67</v>
      </c>
      <c r="G689" s="6" t="s">
        <v>208</v>
      </c>
      <c r="J689" s="6" t="s">
        <v>37</v>
      </c>
      <c r="K689" s="6" t="s">
        <v>30</v>
      </c>
      <c r="L689" s="6" t="s">
        <v>24</v>
      </c>
      <c r="Q689" s="8" t="s">
        <v>1989</v>
      </c>
    </row>
    <row r="690">
      <c r="A690" s="7">
        <v>45867.729114016205</v>
      </c>
      <c r="B690" s="6" t="s">
        <v>1990</v>
      </c>
      <c r="D690" s="6" t="s">
        <v>18</v>
      </c>
      <c r="E690" s="6" t="s">
        <v>47</v>
      </c>
      <c r="F690" s="6" t="s">
        <v>47</v>
      </c>
      <c r="J690" s="6" t="s">
        <v>847</v>
      </c>
      <c r="K690" s="6" t="s">
        <v>30</v>
      </c>
      <c r="L690" s="6" t="s">
        <v>24</v>
      </c>
      <c r="Q690" s="8" t="s">
        <v>1991</v>
      </c>
    </row>
    <row r="691">
      <c r="A691" s="7">
        <v>45875.69951521991</v>
      </c>
      <c r="B691" s="6" t="s">
        <v>1992</v>
      </c>
      <c r="D691" s="6" t="s">
        <v>18</v>
      </c>
      <c r="E691" s="6" t="s">
        <v>76</v>
      </c>
      <c r="F691" s="6" t="s">
        <v>1993</v>
      </c>
      <c r="I691" s="8" t="s">
        <v>1994</v>
      </c>
      <c r="J691" s="6" t="s">
        <v>847</v>
      </c>
      <c r="K691" s="6" t="s">
        <v>789</v>
      </c>
      <c r="L691" s="6" t="s">
        <v>24</v>
      </c>
      <c r="Q691" s="8" t="s">
        <v>1995</v>
      </c>
    </row>
    <row r="692">
      <c r="A692" s="7">
        <v>45875.70443155093</v>
      </c>
      <c r="B692" s="6" t="s">
        <v>1964</v>
      </c>
      <c r="D692" s="6" t="s">
        <v>18</v>
      </c>
      <c r="E692" s="6" t="s">
        <v>76</v>
      </c>
      <c r="F692" s="6" t="s">
        <v>1996</v>
      </c>
      <c r="I692" s="8" t="s">
        <v>1997</v>
      </c>
      <c r="J692" s="6" t="s">
        <v>847</v>
      </c>
      <c r="K692" s="6" t="s">
        <v>30</v>
      </c>
      <c r="L692" s="6" t="s">
        <v>24</v>
      </c>
      <c r="Q692" s="8" t="s">
        <v>1998</v>
      </c>
    </row>
    <row r="693">
      <c r="A693" s="7">
        <v>45875.77540466435</v>
      </c>
      <c r="B693" s="6" t="s">
        <v>797</v>
      </c>
      <c r="D693" s="6" t="s">
        <v>18</v>
      </c>
      <c r="E693" s="6" t="s">
        <v>19</v>
      </c>
      <c r="F693" s="6" t="s">
        <v>35</v>
      </c>
      <c r="I693" s="8" t="s">
        <v>1999</v>
      </c>
      <c r="J693" s="6" t="s">
        <v>37</v>
      </c>
      <c r="K693" s="6" t="s">
        <v>30</v>
      </c>
      <c r="L693" s="6" t="s">
        <v>24</v>
      </c>
      <c r="Q693" s="8" t="s">
        <v>2000</v>
      </c>
    </row>
    <row r="694">
      <c r="A694" s="7">
        <v>45875.78489589121</v>
      </c>
      <c r="B694" s="6" t="s">
        <v>2001</v>
      </c>
      <c r="D694" s="6" t="s">
        <v>75</v>
      </c>
      <c r="E694" s="6" t="s">
        <v>55</v>
      </c>
      <c r="F694" s="6" t="s">
        <v>2002</v>
      </c>
      <c r="I694" s="8" t="s">
        <v>2003</v>
      </c>
      <c r="J694" s="6" t="s">
        <v>847</v>
      </c>
      <c r="K694" s="6" t="s">
        <v>30</v>
      </c>
      <c r="L694" s="6" t="s">
        <v>24</v>
      </c>
      <c r="Q694" s="8" t="s">
        <v>2004</v>
      </c>
    </row>
    <row r="695">
      <c r="A695" s="7">
        <v>45875.7859880787</v>
      </c>
      <c r="B695" s="6" t="s">
        <v>2005</v>
      </c>
      <c r="D695" s="6" t="s">
        <v>18</v>
      </c>
      <c r="E695" s="6" t="s">
        <v>55</v>
      </c>
      <c r="F695" s="6" t="s">
        <v>188</v>
      </c>
      <c r="I695" s="8" t="s">
        <v>2006</v>
      </c>
      <c r="J695" s="6" t="s">
        <v>847</v>
      </c>
      <c r="K695" s="6" t="s">
        <v>51</v>
      </c>
      <c r="L695" s="6" t="s">
        <v>24</v>
      </c>
      <c r="Q695" s="8" t="s">
        <v>2007</v>
      </c>
    </row>
    <row r="696">
      <c r="A696" s="7">
        <v>45875.78705646991</v>
      </c>
      <c r="B696" s="6" t="s">
        <v>2008</v>
      </c>
      <c r="D696" s="6" t="s">
        <v>18</v>
      </c>
      <c r="E696" s="6" t="s">
        <v>34</v>
      </c>
      <c r="F696" s="6" t="s">
        <v>101</v>
      </c>
      <c r="I696" s="8" t="s">
        <v>2009</v>
      </c>
      <c r="J696" s="6" t="s">
        <v>31</v>
      </c>
      <c r="K696" s="6" t="s">
        <v>789</v>
      </c>
      <c r="L696" s="6" t="s">
        <v>24</v>
      </c>
      <c r="Q696" s="8" t="s">
        <v>2010</v>
      </c>
    </row>
    <row r="697">
      <c r="A697" s="7">
        <v>45875.78962949074</v>
      </c>
      <c r="B697" s="6" t="s">
        <v>2011</v>
      </c>
      <c r="D697" s="6" t="s">
        <v>311</v>
      </c>
      <c r="E697" s="6" t="s">
        <v>123</v>
      </c>
      <c r="F697" s="6" t="s">
        <v>2012</v>
      </c>
      <c r="I697" s="8" t="s">
        <v>2013</v>
      </c>
      <c r="J697" s="6" t="s">
        <v>847</v>
      </c>
      <c r="K697" s="6" t="s">
        <v>30</v>
      </c>
      <c r="L697" s="6" t="s">
        <v>24</v>
      </c>
      <c r="Q697" s="8" t="s">
        <v>2014</v>
      </c>
    </row>
    <row r="698">
      <c r="A698" s="7">
        <v>45875.79033065972</v>
      </c>
      <c r="B698" s="6" t="s">
        <v>2015</v>
      </c>
      <c r="D698" s="6" t="s">
        <v>18</v>
      </c>
      <c r="E698" s="6" t="s">
        <v>41</v>
      </c>
      <c r="F698" s="6" t="s">
        <v>2016</v>
      </c>
      <c r="J698" s="6" t="s">
        <v>847</v>
      </c>
      <c r="K698" s="6" t="s">
        <v>30</v>
      </c>
      <c r="L698" s="6" t="s">
        <v>24</v>
      </c>
      <c r="Q698" s="8" t="s">
        <v>2017</v>
      </c>
    </row>
    <row r="699">
      <c r="A699" s="7">
        <v>45885.62114478009</v>
      </c>
      <c r="B699" s="6" t="s">
        <v>2018</v>
      </c>
      <c r="C699" s="6">
        <v>8.8009394E8</v>
      </c>
      <c r="D699" s="6" t="s">
        <v>18</v>
      </c>
      <c r="E699" s="6" t="s">
        <v>76</v>
      </c>
      <c r="F699" s="6" t="s">
        <v>2019</v>
      </c>
      <c r="J699" s="6" t="s">
        <v>847</v>
      </c>
      <c r="K699" s="6" t="s">
        <v>30</v>
      </c>
      <c r="L699" s="6" t="s">
        <v>24</v>
      </c>
      <c r="Q699" s="8" t="s">
        <v>2020</v>
      </c>
    </row>
    <row r="700">
      <c r="A700" s="7">
        <v>45891.79784738426</v>
      </c>
      <c r="B700" s="6" t="s">
        <v>2021</v>
      </c>
      <c r="C700" s="6">
        <v>9.769744556E9</v>
      </c>
      <c r="D700" s="6" t="s">
        <v>18</v>
      </c>
      <c r="E700" s="6" t="s">
        <v>76</v>
      </c>
      <c r="F700" s="6" t="s">
        <v>56</v>
      </c>
      <c r="I700" s="8" t="s">
        <v>2022</v>
      </c>
      <c r="J700" s="6" t="s">
        <v>789</v>
      </c>
      <c r="K700" s="6" t="s">
        <v>789</v>
      </c>
      <c r="L700" s="6" t="s">
        <v>24</v>
      </c>
      <c r="Q700" s="8" t="s">
        <v>2023</v>
      </c>
    </row>
    <row r="701">
      <c r="A701" s="7">
        <v>45893.73446230324</v>
      </c>
      <c r="B701" s="6" t="s">
        <v>2024</v>
      </c>
      <c r="D701" s="6" t="s">
        <v>18</v>
      </c>
      <c r="E701" s="6" t="s">
        <v>76</v>
      </c>
      <c r="F701" s="6" t="s">
        <v>56</v>
      </c>
      <c r="J701" s="6" t="s">
        <v>37</v>
      </c>
      <c r="K701" s="6" t="s">
        <v>1487</v>
      </c>
      <c r="L701" s="6" t="s">
        <v>24</v>
      </c>
      <c r="Q701" s="8" t="s">
        <v>2025</v>
      </c>
    </row>
    <row r="702">
      <c r="A702" s="7">
        <v>45909.46113246528</v>
      </c>
      <c r="B702" s="6" t="s">
        <v>2026</v>
      </c>
      <c r="D702" s="6" t="s">
        <v>18</v>
      </c>
      <c r="E702" s="6" t="s">
        <v>34</v>
      </c>
      <c r="F702" s="6" t="s">
        <v>60</v>
      </c>
      <c r="I702" s="8" t="s">
        <v>2027</v>
      </c>
      <c r="J702" s="6" t="s">
        <v>847</v>
      </c>
      <c r="K702" s="6" t="s">
        <v>30</v>
      </c>
      <c r="L702" s="6" t="s">
        <v>24</v>
      </c>
      <c r="Q702" s="8" t="s">
        <v>2028</v>
      </c>
    </row>
    <row r="703">
      <c r="A703" s="7">
        <v>45920.64054797454</v>
      </c>
      <c r="B703" s="6" t="s">
        <v>1926</v>
      </c>
      <c r="D703" s="6" t="s">
        <v>18</v>
      </c>
      <c r="E703" s="6" t="s">
        <v>19</v>
      </c>
      <c r="F703" s="6" t="s">
        <v>2029</v>
      </c>
      <c r="J703" s="6" t="s">
        <v>37</v>
      </c>
      <c r="K703" s="6" t="s">
        <v>789</v>
      </c>
      <c r="L703" s="6" t="s">
        <v>24</v>
      </c>
      <c r="Q703" s="8" t="s">
        <v>2030</v>
      </c>
    </row>
    <row r="704">
      <c r="A704" s="7">
        <v>45920.642550000004</v>
      </c>
      <c r="B704" s="6" t="s">
        <v>2031</v>
      </c>
      <c r="C704" s="6">
        <v>0.0</v>
      </c>
      <c r="D704" s="6" t="s">
        <v>18</v>
      </c>
      <c r="E704" s="6" t="s">
        <v>64</v>
      </c>
      <c r="F704" s="6" t="s">
        <v>2032</v>
      </c>
      <c r="J704" s="6" t="s">
        <v>37</v>
      </c>
      <c r="K704" s="6" t="s">
        <v>789</v>
      </c>
      <c r="L704" s="6" t="s">
        <v>24</v>
      </c>
      <c r="Q704" s="8" t="s">
        <v>2033</v>
      </c>
    </row>
    <row r="705">
      <c r="A705" s="7">
        <v>45920.65294329861</v>
      </c>
      <c r="B705" s="6" t="s">
        <v>2034</v>
      </c>
      <c r="C705" s="6">
        <v>9.873468848E9</v>
      </c>
      <c r="D705" s="6" t="s">
        <v>18</v>
      </c>
      <c r="E705" s="6" t="s">
        <v>34</v>
      </c>
      <c r="F705" s="6" t="s">
        <v>101</v>
      </c>
      <c r="J705" s="6" t="s">
        <v>37</v>
      </c>
      <c r="K705" s="6" t="s">
        <v>789</v>
      </c>
      <c r="L705" s="6" t="s">
        <v>24</v>
      </c>
      <c r="Q705" s="8" t="s">
        <v>2035</v>
      </c>
    </row>
    <row r="706">
      <c r="A706" s="7">
        <v>45921.45847008102</v>
      </c>
      <c r="B706" s="6" t="s">
        <v>2036</v>
      </c>
      <c r="D706" s="6" t="s">
        <v>18</v>
      </c>
      <c r="E706" s="6" t="s">
        <v>55</v>
      </c>
      <c r="F706" s="6" t="s">
        <v>1552</v>
      </c>
      <c r="J706" s="6" t="s">
        <v>37</v>
      </c>
      <c r="K706" s="6" t="s">
        <v>30</v>
      </c>
      <c r="L706" s="6" t="s">
        <v>24</v>
      </c>
      <c r="Q706" s="8" t="s">
        <v>2037</v>
      </c>
    </row>
    <row r="707">
      <c r="A707" s="7">
        <v>45924.444565150465</v>
      </c>
      <c r="B707" s="6" t="s">
        <v>2038</v>
      </c>
      <c r="D707" s="6" t="s">
        <v>18</v>
      </c>
      <c r="E707" s="6" t="s">
        <v>34</v>
      </c>
      <c r="F707" s="6" t="s">
        <v>2039</v>
      </c>
      <c r="J707" s="6" t="s">
        <v>30</v>
      </c>
      <c r="K707" s="6" t="s">
        <v>30</v>
      </c>
      <c r="L707" s="6" t="s">
        <v>24</v>
      </c>
      <c r="Q707" s="8" t="s">
        <v>2040</v>
      </c>
    </row>
    <row r="708">
      <c r="A708" s="7">
        <v>45924.44895893519</v>
      </c>
      <c r="B708" s="6" t="s">
        <v>2041</v>
      </c>
      <c r="D708" s="6" t="s">
        <v>18</v>
      </c>
      <c r="E708" s="6" t="s">
        <v>64</v>
      </c>
      <c r="F708" s="6" t="s">
        <v>2042</v>
      </c>
      <c r="J708" s="6" t="s">
        <v>37</v>
      </c>
      <c r="K708" s="6" t="s">
        <v>30</v>
      </c>
      <c r="L708" s="6" t="s">
        <v>24</v>
      </c>
      <c r="Q708" s="8" t="s">
        <v>2043</v>
      </c>
    </row>
    <row r="709">
      <c r="A709" s="7">
        <v>45924.449562118054</v>
      </c>
      <c r="B709" s="6" t="s">
        <v>2044</v>
      </c>
      <c r="D709" s="6" t="s">
        <v>18</v>
      </c>
      <c r="E709" s="6" t="s">
        <v>34</v>
      </c>
      <c r="F709" s="6" t="s">
        <v>60</v>
      </c>
      <c r="J709" s="6" t="s">
        <v>30</v>
      </c>
      <c r="K709" s="6" t="s">
        <v>789</v>
      </c>
      <c r="L709" s="6" t="s">
        <v>24</v>
      </c>
      <c r="Q709" s="8" t="s">
        <v>2045</v>
      </c>
    </row>
    <row r="710">
      <c r="A710" s="7">
        <v>45928.44418310185</v>
      </c>
      <c r="B710" s="6" t="s">
        <v>2046</v>
      </c>
      <c r="D710" s="6" t="s">
        <v>18</v>
      </c>
      <c r="E710" s="6" t="s">
        <v>19</v>
      </c>
      <c r="F710" s="6" t="s">
        <v>2047</v>
      </c>
      <c r="J710" s="6" t="s">
        <v>37</v>
      </c>
      <c r="K710" s="6" t="s">
        <v>789</v>
      </c>
      <c r="L710" s="6" t="s">
        <v>24</v>
      </c>
      <c r="Q710" s="8" t="s">
        <v>2048</v>
      </c>
    </row>
    <row r="711">
      <c r="A711" s="7">
        <v>45931.451847847224</v>
      </c>
      <c r="B711" s="6" t="s">
        <v>2049</v>
      </c>
      <c r="C711" s="6">
        <v>0.0</v>
      </c>
      <c r="D711" s="6" t="s">
        <v>75</v>
      </c>
      <c r="E711" s="6" t="s">
        <v>55</v>
      </c>
      <c r="F711" s="6" t="s">
        <v>35</v>
      </c>
      <c r="J711" s="6" t="s">
        <v>30</v>
      </c>
      <c r="K711" s="6" t="s">
        <v>30</v>
      </c>
      <c r="L711" s="6" t="s">
        <v>24</v>
      </c>
      <c r="Q711" s="8" t="s">
        <v>2050</v>
      </c>
    </row>
    <row r="712">
      <c r="A712" s="7">
        <v>45934.64233290509</v>
      </c>
      <c r="B712" s="6" t="s">
        <v>2051</v>
      </c>
      <c r="C712" s="6">
        <v>9.81196358E9</v>
      </c>
      <c r="D712" s="6" t="s">
        <v>18</v>
      </c>
      <c r="E712" s="6" t="s">
        <v>64</v>
      </c>
      <c r="F712" s="6" t="s">
        <v>2052</v>
      </c>
      <c r="J712" s="6" t="s">
        <v>37</v>
      </c>
      <c r="K712" s="6" t="s">
        <v>789</v>
      </c>
      <c r="L712" s="6" t="s">
        <v>24</v>
      </c>
      <c r="Q712" s="8" t="s">
        <v>2053</v>
      </c>
    </row>
    <row r="713">
      <c r="A713" s="7">
        <v>45935.46206034722</v>
      </c>
      <c r="B713" s="6" t="s">
        <v>2054</v>
      </c>
      <c r="C713" s="6">
        <v>9.990022522E9</v>
      </c>
      <c r="D713" s="6" t="s">
        <v>18</v>
      </c>
      <c r="E713" s="6" t="s">
        <v>64</v>
      </c>
      <c r="F713" s="6" t="s">
        <v>2055</v>
      </c>
      <c r="J713" s="6" t="s">
        <v>37</v>
      </c>
      <c r="K713" s="6" t="s">
        <v>789</v>
      </c>
      <c r="L713" s="6" t="s">
        <v>72</v>
      </c>
      <c r="Q713" s="8" t="s">
        <v>2056</v>
      </c>
    </row>
    <row r="714">
      <c r="A714" s="7">
        <v>45936.69461479167</v>
      </c>
      <c r="B714" s="6" t="s">
        <v>2057</v>
      </c>
      <c r="C714" s="6">
        <v>9.811887933E9</v>
      </c>
      <c r="D714" s="6" t="s">
        <v>75</v>
      </c>
      <c r="E714" s="6" t="s">
        <v>64</v>
      </c>
      <c r="F714" s="6" t="s">
        <v>2058</v>
      </c>
      <c r="J714" s="6" t="s">
        <v>37</v>
      </c>
      <c r="K714" s="6" t="s">
        <v>789</v>
      </c>
      <c r="L714" s="6" t="s">
        <v>24</v>
      </c>
      <c r="Q714" s="8" t="s">
        <v>2059</v>
      </c>
    </row>
    <row r="715">
      <c r="A715" s="7">
        <v>45936.6975241551</v>
      </c>
      <c r="B715" s="6" t="s">
        <v>2060</v>
      </c>
      <c r="C715" s="6">
        <v>9.810405454E9</v>
      </c>
      <c r="D715" s="6" t="s">
        <v>75</v>
      </c>
      <c r="E715" s="6" t="s">
        <v>64</v>
      </c>
      <c r="F715" s="6" t="s">
        <v>2061</v>
      </c>
      <c r="J715" s="6" t="s">
        <v>37</v>
      </c>
      <c r="K715" s="6" t="s">
        <v>789</v>
      </c>
      <c r="L715" s="6" t="s">
        <v>24</v>
      </c>
      <c r="Q715" s="8" t="s">
        <v>2062</v>
      </c>
    </row>
    <row r="716">
      <c r="A716" s="7">
        <v>45936.70209178241</v>
      </c>
      <c r="B716" s="6" t="s">
        <v>2063</v>
      </c>
      <c r="C716" s="6">
        <v>9.818143019E9</v>
      </c>
      <c r="D716" s="6" t="s">
        <v>18</v>
      </c>
      <c r="E716" s="6" t="s">
        <v>19</v>
      </c>
      <c r="F716" s="6" t="s">
        <v>188</v>
      </c>
      <c r="J716" s="6" t="s">
        <v>37</v>
      </c>
      <c r="K716" s="6" t="s">
        <v>789</v>
      </c>
      <c r="L716" s="6" t="s">
        <v>24</v>
      </c>
      <c r="Q716" s="8" t="s">
        <v>2064</v>
      </c>
    </row>
    <row r="717">
      <c r="A717" s="7">
        <v>45937.6595540625</v>
      </c>
      <c r="B717" s="6" t="s">
        <v>490</v>
      </c>
      <c r="D717" s="6" t="s">
        <v>18</v>
      </c>
      <c r="E717" s="6" t="s">
        <v>123</v>
      </c>
      <c r="F717" s="6" t="s">
        <v>2065</v>
      </c>
      <c r="I717" s="8" t="s">
        <v>2066</v>
      </c>
      <c r="J717" s="6" t="s">
        <v>37</v>
      </c>
      <c r="K717" s="6" t="s">
        <v>30</v>
      </c>
      <c r="L717" s="6" t="s">
        <v>24</v>
      </c>
      <c r="Q717" s="8" t="s">
        <v>2067</v>
      </c>
    </row>
    <row r="718">
      <c r="A718" s="7">
        <v>45937.71661416667</v>
      </c>
      <c r="B718" s="6" t="s">
        <v>2068</v>
      </c>
      <c r="C718" s="6">
        <v>9.21273974E9</v>
      </c>
      <c r="D718" s="6" t="s">
        <v>18</v>
      </c>
      <c r="E718" s="6" t="s">
        <v>76</v>
      </c>
      <c r="F718" s="6" t="s">
        <v>2069</v>
      </c>
      <c r="J718" s="6" t="s">
        <v>37</v>
      </c>
      <c r="K718" s="6" t="s">
        <v>30</v>
      </c>
      <c r="L718" s="6" t="s">
        <v>24</v>
      </c>
      <c r="Q718" s="8" t="s">
        <v>2070</v>
      </c>
    </row>
    <row r="719">
      <c r="A719" s="7">
        <v>45940.61953866898</v>
      </c>
      <c r="B719" s="6">
        <v>9.811038369E9</v>
      </c>
      <c r="C719" s="6">
        <v>9.811038369E9</v>
      </c>
      <c r="D719" s="6" t="s">
        <v>18</v>
      </c>
      <c r="E719" s="6" t="s">
        <v>55</v>
      </c>
      <c r="F719" s="6" t="s">
        <v>56</v>
      </c>
      <c r="J719" s="6" t="s">
        <v>37</v>
      </c>
      <c r="K719" s="6" t="s">
        <v>37</v>
      </c>
      <c r="L719" s="6" t="s">
        <v>24</v>
      </c>
      <c r="Q719" s="8" t="s">
        <v>2071</v>
      </c>
    </row>
    <row r="720">
      <c r="A720" s="7">
        <v>45940.62148153935</v>
      </c>
      <c r="B720" s="6" t="s">
        <v>2072</v>
      </c>
      <c r="C720" s="6">
        <v>9.81877069E9</v>
      </c>
      <c r="D720" s="6" t="s">
        <v>75</v>
      </c>
      <c r="E720" s="6" t="s">
        <v>19</v>
      </c>
      <c r="F720" s="6" t="s">
        <v>2073</v>
      </c>
      <c r="J720" s="6" t="s">
        <v>37</v>
      </c>
      <c r="K720" s="6" t="s">
        <v>789</v>
      </c>
      <c r="L720" s="6" t="s">
        <v>24</v>
      </c>
      <c r="Q720" s="8" t="s">
        <v>2074</v>
      </c>
    </row>
    <row r="721">
      <c r="A721" s="7">
        <v>45940.623434375</v>
      </c>
      <c r="B721" s="6" t="s">
        <v>954</v>
      </c>
      <c r="C721" s="6">
        <v>9.811087973E9</v>
      </c>
      <c r="D721" s="6" t="s">
        <v>75</v>
      </c>
      <c r="E721" s="6" t="s">
        <v>55</v>
      </c>
      <c r="F721" s="6" t="s">
        <v>2075</v>
      </c>
      <c r="J721" s="6" t="s">
        <v>30</v>
      </c>
      <c r="K721" s="6" t="s">
        <v>789</v>
      </c>
      <c r="L721" s="6" t="s">
        <v>24</v>
      </c>
      <c r="Q721" s="8" t="s">
        <v>2076</v>
      </c>
    </row>
    <row r="722">
      <c r="A722" s="7">
        <v>45940.62748594907</v>
      </c>
      <c r="B722" s="6" t="s">
        <v>2077</v>
      </c>
      <c r="D722" s="6" t="s">
        <v>18</v>
      </c>
      <c r="E722" s="6" t="s">
        <v>76</v>
      </c>
      <c r="F722" s="6" t="s">
        <v>2078</v>
      </c>
      <c r="J722" s="6" t="s">
        <v>37</v>
      </c>
      <c r="K722" s="6" t="s">
        <v>789</v>
      </c>
      <c r="L722" s="6" t="s">
        <v>24</v>
      </c>
      <c r="Q722" s="8" t="s">
        <v>2079</v>
      </c>
    </row>
    <row r="723">
      <c r="A723" s="7">
        <v>45943.50451518518</v>
      </c>
      <c r="B723" s="6" t="s">
        <v>2080</v>
      </c>
      <c r="D723" s="6" t="s">
        <v>18</v>
      </c>
      <c r="E723" s="6" t="s">
        <v>76</v>
      </c>
      <c r="F723" s="6" t="s">
        <v>2081</v>
      </c>
      <c r="J723" s="6" t="s">
        <v>37</v>
      </c>
      <c r="K723" s="6" t="s">
        <v>37</v>
      </c>
      <c r="L723" s="6" t="s">
        <v>24</v>
      </c>
      <c r="Q723" s="8" t="s">
        <v>2082</v>
      </c>
    </row>
    <row r="724">
      <c r="A724" s="7">
        <v>45943.505268368055</v>
      </c>
      <c r="B724" s="6" t="s">
        <v>1913</v>
      </c>
      <c r="D724" s="6" t="s">
        <v>18</v>
      </c>
      <c r="E724" s="6" t="s">
        <v>76</v>
      </c>
      <c r="F724" s="6" t="s">
        <v>2083</v>
      </c>
      <c r="J724" s="6" t="s">
        <v>37</v>
      </c>
      <c r="K724" s="6" t="s">
        <v>789</v>
      </c>
      <c r="L724" s="6" t="s">
        <v>24</v>
      </c>
      <c r="Q724" s="8" t="s">
        <v>2084</v>
      </c>
    </row>
    <row r="725">
      <c r="A725" s="7">
        <v>45943.50615736112</v>
      </c>
      <c r="B725" s="6" t="s">
        <v>2085</v>
      </c>
      <c r="C725" s="6">
        <v>9.711990454E9</v>
      </c>
      <c r="D725" s="6" t="s">
        <v>18</v>
      </c>
      <c r="E725" s="6" t="s">
        <v>76</v>
      </c>
      <c r="F725" s="6" t="s">
        <v>2086</v>
      </c>
      <c r="J725" s="6" t="s">
        <v>37</v>
      </c>
      <c r="K725" s="6" t="s">
        <v>789</v>
      </c>
      <c r="L725" s="6" t="s">
        <v>24</v>
      </c>
      <c r="Q725" s="8" t="s">
        <v>2087</v>
      </c>
    </row>
    <row r="726">
      <c r="A726" s="7">
        <v>45943.50754898148</v>
      </c>
      <c r="B726" s="6" t="s">
        <v>2088</v>
      </c>
      <c r="D726" s="6" t="s">
        <v>18</v>
      </c>
      <c r="E726" s="6" t="s">
        <v>76</v>
      </c>
      <c r="F726" s="6" t="s">
        <v>2089</v>
      </c>
      <c r="J726" s="6" t="s">
        <v>37</v>
      </c>
      <c r="K726" s="6" t="s">
        <v>789</v>
      </c>
      <c r="L726" s="6" t="s">
        <v>24</v>
      </c>
      <c r="Q726" s="8" t="s">
        <v>2090</v>
      </c>
    </row>
    <row r="727">
      <c r="A727" s="7">
        <v>45943.50843770833</v>
      </c>
      <c r="B727" s="6" t="s">
        <v>2091</v>
      </c>
      <c r="D727" s="6" t="s">
        <v>18</v>
      </c>
      <c r="E727" s="6" t="s">
        <v>76</v>
      </c>
      <c r="F727" s="6" t="s">
        <v>2092</v>
      </c>
      <c r="J727" s="6" t="s">
        <v>37</v>
      </c>
      <c r="K727" s="6" t="s">
        <v>789</v>
      </c>
      <c r="L727" s="6" t="s">
        <v>24</v>
      </c>
      <c r="Q727" s="8" t="s">
        <v>2093</v>
      </c>
    </row>
    <row r="728">
      <c r="A728" s="7">
        <v>45943.50923506945</v>
      </c>
      <c r="B728" s="6" t="s">
        <v>2094</v>
      </c>
      <c r="C728" s="6">
        <v>9.810159179E9</v>
      </c>
      <c r="D728" s="6" t="s">
        <v>18</v>
      </c>
      <c r="E728" s="6" t="s">
        <v>76</v>
      </c>
      <c r="F728" s="6" t="s">
        <v>2095</v>
      </c>
      <c r="J728" s="6" t="s">
        <v>37</v>
      </c>
      <c r="K728" s="6" t="s">
        <v>789</v>
      </c>
      <c r="L728" s="6" t="s">
        <v>24</v>
      </c>
      <c r="Q728" s="8" t="s">
        <v>2096</v>
      </c>
    </row>
    <row r="729">
      <c r="A729" s="7">
        <v>45943.51144939815</v>
      </c>
      <c r="B729" s="6" t="s">
        <v>2097</v>
      </c>
      <c r="C729" s="6">
        <v>9.971700184E9</v>
      </c>
      <c r="D729" s="6" t="s">
        <v>18</v>
      </c>
      <c r="E729" s="6" t="s">
        <v>64</v>
      </c>
      <c r="F729" s="6" t="s">
        <v>2098</v>
      </c>
      <c r="J729" s="6" t="s">
        <v>30</v>
      </c>
      <c r="K729" s="6" t="s">
        <v>789</v>
      </c>
      <c r="L729" s="6" t="s">
        <v>24</v>
      </c>
      <c r="Q729" s="8" t="s">
        <v>2099</v>
      </c>
    </row>
    <row r="730">
      <c r="A730" s="7">
        <v>45943.704364398145</v>
      </c>
      <c r="B730" s="6" t="s">
        <v>201</v>
      </c>
      <c r="C730" s="6">
        <v>9.871394198E9</v>
      </c>
      <c r="D730" s="6" t="s">
        <v>18</v>
      </c>
      <c r="E730" s="6" t="s">
        <v>64</v>
      </c>
      <c r="F730" s="6" t="s">
        <v>2100</v>
      </c>
      <c r="J730" s="6" t="s">
        <v>37</v>
      </c>
      <c r="K730" s="6" t="s">
        <v>789</v>
      </c>
      <c r="L730" s="6" t="s">
        <v>24</v>
      </c>
      <c r="Q730" s="8" t="s">
        <v>2101</v>
      </c>
    </row>
    <row r="731">
      <c r="A731" s="7">
        <v>45953.61774033565</v>
      </c>
      <c r="B731" s="6" t="s">
        <v>2102</v>
      </c>
      <c r="D731" s="6" t="s">
        <v>18</v>
      </c>
      <c r="E731" s="6" t="s">
        <v>47</v>
      </c>
      <c r="F731" s="6" t="s">
        <v>47</v>
      </c>
      <c r="J731" s="6" t="s">
        <v>31</v>
      </c>
      <c r="K731" s="6" t="s">
        <v>30</v>
      </c>
      <c r="L731" s="6" t="s">
        <v>24</v>
      </c>
      <c r="Q731" s="8" t="s">
        <v>2103</v>
      </c>
    </row>
    <row r="732">
      <c r="A732" s="7">
        <v>45953.641726574075</v>
      </c>
      <c r="B732" s="6" t="s">
        <v>2104</v>
      </c>
      <c r="C732" s="6">
        <v>9.810064063E9</v>
      </c>
      <c r="D732" s="6" t="s">
        <v>18</v>
      </c>
      <c r="E732" s="6" t="s">
        <v>19</v>
      </c>
      <c r="F732" s="6" t="s">
        <v>20</v>
      </c>
      <c r="J732" s="6" t="s">
        <v>37</v>
      </c>
      <c r="K732" s="6" t="s">
        <v>789</v>
      </c>
      <c r="L732" s="6" t="s">
        <v>24</v>
      </c>
      <c r="Q732" s="8" t="s">
        <v>2105</v>
      </c>
    </row>
    <row r="733">
      <c r="A733" s="7">
        <v>45953.65946837963</v>
      </c>
      <c r="B733" s="6" t="s">
        <v>2106</v>
      </c>
      <c r="C733" s="6" t="s">
        <v>2107</v>
      </c>
      <c r="D733" s="6" t="s">
        <v>18</v>
      </c>
      <c r="E733" s="6" t="s">
        <v>64</v>
      </c>
      <c r="F733" s="6" t="s">
        <v>2108</v>
      </c>
      <c r="J733" s="6" t="s">
        <v>37</v>
      </c>
      <c r="K733" s="6" t="s">
        <v>789</v>
      </c>
      <c r="L733" s="6" t="s">
        <v>24</v>
      </c>
      <c r="Q733" s="8" t="s">
        <v>2109</v>
      </c>
    </row>
    <row r="734">
      <c r="A734" s="7">
        <v>45969.48252637732</v>
      </c>
      <c r="B734" s="6" t="s">
        <v>1168</v>
      </c>
      <c r="D734" s="6" t="s">
        <v>18</v>
      </c>
      <c r="E734" s="6" t="s">
        <v>123</v>
      </c>
      <c r="F734" s="6" t="s">
        <v>20</v>
      </c>
      <c r="I734" s="8" t="s">
        <v>2110</v>
      </c>
      <c r="J734" s="6" t="s">
        <v>30</v>
      </c>
      <c r="K734" s="6" t="s">
        <v>30</v>
      </c>
      <c r="L734" s="6" t="s">
        <v>24</v>
      </c>
      <c r="Q734" s="8" t="s">
        <v>2111</v>
      </c>
    </row>
    <row r="735">
      <c r="A735" s="7">
        <v>45969.48671556713</v>
      </c>
      <c r="B735" s="6" t="s">
        <v>2112</v>
      </c>
      <c r="D735" s="6" t="s">
        <v>18</v>
      </c>
      <c r="E735" s="6" t="s">
        <v>123</v>
      </c>
      <c r="F735" s="6" t="s">
        <v>2113</v>
      </c>
      <c r="I735" s="8" t="s">
        <v>2114</v>
      </c>
      <c r="J735" s="6" t="s">
        <v>30</v>
      </c>
      <c r="K735" s="6" t="s">
        <v>30</v>
      </c>
      <c r="L735" s="6" t="s">
        <v>24</v>
      </c>
      <c r="Q735" s="8" t="s">
        <v>2115</v>
      </c>
    </row>
    <row r="736">
      <c r="A736" s="7">
        <v>45969.489836574074</v>
      </c>
      <c r="B736" s="6" t="s">
        <v>2116</v>
      </c>
      <c r="C736" s="6">
        <v>0.0</v>
      </c>
      <c r="D736" s="6" t="s">
        <v>18</v>
      </c>
      <c r="E736" s="6" t="s">
        <v>64</v>
      </c>
      <c r="F736" s="6" t="s">
        <v>2117</v>
      </c>
      <c r="I736" s="8" t="s">
        <v>2118</v>
      </c>
      <c r="J736" s="6" t="s">
        <v>37</v>
      </c>
      <c r="K736" s="6" t="s">
        <v>30</v>
      </c>
      <c r="L736" s="6" t="s">
        <v>24</v>
      </c>
      <c r="Q736" s="8" t="s">
        <v>2119</v>
      </c>
    </row>
    <row r="737">
      <c r="A737" s="7">
        <v>45969.49170528935</v>
      </c>
      <c r="B737" s="6" t="s">
        <v>2120</v>
      </c>
      <c r="C737" s="6">
        <v>9.810100011E9</v>
      </c>
      <c r="D737" s="6" t="s">
        <v>18</v>
      </c>
      <c r="E737" s="6" t="s">
        <v>19</v>
      </c>
      <c r="F737" s="6" t="s">
        <v>2121</v>
      </c>
      <c r="J737" s="6" t="s">
        <v>30</v>
      </c>
      <c r="K737" s="6" t="s">
        <v>30</v>
      </c>
      <c r="L737" s="6" t="s">
        <v>24</v>
      </c>
      <c r="Q737" s="8" t="s">
        <v>2122</v>
      </c>
    </row>
    <row r="738">
      <c r="A738" s="7">
        <v>45969.66087284722</v>
      </c>
      <c r="B738" s="6" t="s">
        <v>797</v>
      </c>
      <c r="C738" s="6">
        <v>9.818304747E9</v>
      </c>
      <c r="D738" s="6" t="s">
        <v>18</v>
      </c>
      <c r="E738" s="6" t="s">
        <v>34</v>
      </c>
      <c r="F738" s="6" t="s">
        <v>79</v>
      </c>
      <c r="J738" s="6" t="s">
        <v>37</v>
      </c>
      <c r="K738" s="6" t="s">
        <v>30</v>
      </c>
      <c r="L738" s="6" t="s">
        <v>24</v>
      </c>
      <c r="Q738" s="8" t="s">
        <v>2123</v>
      </c>
    </row>
    <row r="739">
      <c r="A739" s="7">
        <v>45969.665445694445</v>
      </c>
      <c r="B739" s="6" t="s">
        <v>2124</v>
      </c>
      <c r="D739" s="6" t="s">
        <v>18</v>
      </c>
      <c r="E739" s="6" t="s">
        <v>64</v>
      </c>
      <c r="F739" s="6" t="s">
        <v>2125</v>
      </c>
      <c r="J739" s="6" t="s">
        <v>37</v>
      </c>
      <c r="K739" s="6" t="s">
        <v>583</v>
      </c>
      <c r="L739" s="6" t="s">
        <v>24</v>
      </c>
      <c r="Q739" s="8" t="s">
        <v>2126</v>
      </c>
    </row>
    <row r="740">
      <c r="A740" s="7">
        <v>45969.66631677083</v>
      </c>
      <c r="B740" s="6" t="s">
        <v>2127</v>
      </c>
      <c r="D740" s="6" t="s">
        <v>18</v>
      </c>
      <c r="E740" s="6" t="s">
        <v>76</v>
      </c>
      <c r="F740" s="6" t="s">
        <v>2128</v>
      </c>
      <c r="J740" s="6" t="s">
        <v>37</v>
      </c>
      <c r="K740" s="6" t="s">
        <v>789</v>
      </c>
      <c r="L740" s="6" t="s">
        <v>24</v>
      </c>
      <c r="Q740" s="8" t="s">
        <v>2129</v>
      </c>
    </row>
    <row r="741">
      <c r="A741" s="7">
        <v>45969.66752710648</v>
      </c>
      <c r="B741" s="6" t="s">
        <v>2130</v>
      </c>
      <c r="D741" s="6" t="s">
        <v>18</v>
      </c>
      <c r="E741" s="6" t="s">
        <v>55</v>
      </c>
      <c r="F741" s="6" t="s">
        <v>2131</v>
      </c>
      <c r="J741" s="6" t="s">
        <v>31</v>
      </c>
      <c r="K741" s="6" t="s">
        <v>1028</v>
      </c>
      <c r="L741" s="6" t="s">
        <v>24</v>
      </c>
      <c r="Q741" s="8" t="s">
        <v>2132</v>
      </c>
    </row>
    <row r="742">
      <c r="A742" s="7">
        <v>45969.66915135417</v>
      </c>
      <c r="B742" s="6" t="s">
        <v>2133</v>
      </c>
      <c r="D742" s="6" t="s">
        <v>18</v>
      </c>
      <c r="E742" s="6" t="s">
        <v>76</v>
      </c>
      <c r="F742" s="6" t="s">
        <v>2134</v>
      </c>
      <c r="J742" s="6" t="s">
        <v>31</v>
      </c>
      <c r="K742" s="6" t="s">
        <v>789</v>
      </c>
      <c r="L742" s="6" t="s">
        <v>24</v>
      </c>
      <c r="Q742" s="8" t="s">
        <v>2135</v>
      </c>
    </row>
    <row r="743">
      <c r="A743" s="7">
        <v>45972.52396494213</v>
      </c>
      <c r="B743" s="6" t="s">
        <v>2094</v>
      </c>
      <c r="D743" s="6" t="s">
        <v>18</v>
      </c>
      <c r="E743" s="6" t="s">
        <v>55</v>
      </c>
      <c r="F743" s="6" t="s">
        <v>50</v>
      </c>
      <c r="I743" s="8" t="s">
        <v>2136</v>
      </c>
      <c r="J743" s="6" t="s">
        <v>37</v>
      </c>
      <c r="K743" s="6" t="s">
        <v>789</v>
      </c>
      <c r="L743" s="6" t="s">
        <v>24</v>
      </c>
      <c r="Q743" s="8" t="s">
        <v>2137</v>
      </c>
    </row>
    <row r="744">
      <c r="A744" s="7">
        <v>45972.554236979166</v>
      </c>
      <c r="B744" s="6" t="s">
        <v>2138</v>
      </c>
      <c r="D744" s="6" t="s">
        <v>18</v>
      </c>
      <c r="E744" s="6" t="s">
        <v>41</v>
      </c>
      <c r="F744" s="6" t="s">
        <v>2139</v>
      </c>
      <c r="J744" s="6" t="s">
        <v>847</v>
      </c>
      <c r="K744" s="6" t="s">
        <v>30</v>
      </c>
      <c r="L744" s="6" t="s">
        <v>24</v>
      </c>
      <c r="Q744" s="8" t="s">
        <v>2140</v>
      </c>
    </row>
    <row r="745">
      <c r="A745" s="7">
        <v>45972.57629430556</v>
      </c>
      <c r="B745" s="6" t="s">
        <v>2141</v>
      </c>
      <c r="D745" s="6" t="s">
        <v>18</v>
      </c>
      <c r="E745" s="6" t="s">
        <v>76</v>
      </c>
      <c r="F745" s="6" t="s">
        <v>2142</v>
      </c>
      <c r="J745" s="6" t="s">
        <v>37</v>
      </c>
      <c r="K745" s="6" t="s">
        <v>789</v>
      </c>
      <c r="L745" s="6" t="s">
        <v>24</v>
      </c>
      <c r="Q745" s="8" t="s">
        <v>2143</v>
      </c>
    </row>
    <row r="746">
      <c r="A746" s="7">
        <v>45972.57750275463</v>
      </c>
      <c r="B746" s="6" t="s">
        <v>2144</v>
      </c>
      <c r="D746" s="6" t="s">
        <v>18</v>
      </c>
      <c r="E746" s="6" t="s">
        <v>64</v>
      </c>
      <c r="F746" s="6" t="s">
        <v>2145</v>
      </c>
      <c r="J746" s="6" t="s">
        <v>37</v>
      </c>
      <c r="K746" s="6" t="s">
        <v>789</v>
      </c>
      <c r="L746" s="6" t="s">
        <v>24</v>
      </c>
      <c r="Q746" s="8" t="s">
        <v>2146</v>
      </c>
    </row>
    <row r="747">
      <c r="A747" s="7">
        <v>45972.57851228009</v>
      </c>
      <c r="B747" s="6" t="s">
        <v>2147</v>
      </c>
      <c r="D747" s="6" t="s">
        <v>18</v>
      </c>
      <c r="E747" s="6" t="s">
        <v>64</v>
      </c>
      <c r="F747" s="6" t="s">
        <v>2148</v>
      </c>
      <c r="J747" s="6" t="s">
        <v>37</v>
      </c>
      <c r="K747" s="6" t="s">
        <v>789</v>
      </c>
      <c r="L747" s="6" t="s">
        <v>24</v>
      </c>
      <c r="Q747" s="8" t="s">
        <v>2149</v>
      </c>
    </row>
    <row r="748">
      <c r="A748" s="7">
        <v>45972.57944231482</v>
      </c>
      <c r="B748" s="6" t="s">
        <v>2150</v>
      </c>
      <c r="D748" s="6" t="s">
        <v>18</v>
      </c>
      <c r="E748" s="6" t="s">
        <v>19</v>
      </c>
      <c r="F748" s="6" t="s">
        <v>2151</v>
      </c>
      <c r="J748" s="6" t="s">
        <v>37</v>
      </c>
      <c r="K748" s="6" t="s">
        <v>30</v>
      </c>
      <c r="L748" s="6" t="s">
        <v>24</v>
      </c>
      <c r="Q748" s="8" t="s">
        <v>2152</v>
      </c>
    </row>
    <row r="749">
      <c r="A749" s="7">
        <v>45977.61698918982</v>
      </c>
      <c r="B749" s="6" t="s">
        <v>2153</v>
      </c>
      <c r="C749" s="6">
        <v>9.8113394E9</v>
      </c>
      <c r="D749" s="6" t="s">
        <v>18</v>
      </c>
      <c r="E749" s="6" t="s">
        <v>76</v>
      </c>
      <c r="F749" s="6" t="s">
        <v>2154</v>
      </c>
      <c r="J749" s="6" t="s">
        <v>37</v>
      </c>
      <c r="K749" s="6" t="s">
        <v>789</v>
      </c>
      <c r="L749" s="6" t="s">
        <v>24</v>
      </c>
      <c r="Q749" s="8" t="s">
        <v>2155</v>
      </c>
    </row>
    <row r="750">
      <c r="A750" s="7">
        <v>45977.61993747685</v>
      </c>
      <c r="B750" s="6" t="s">
        <v>1168</v>
      </c>
      <c r="D750" s="6" t="s">
        <v>18</v>
      </c>
      <c r="E750" s="6" t="s">
        <v>41</v>
      </c>
      <c r="F750" s="6" t="s">
        <v>2156</v>
      </c>
      <c r="I750" s="8" t="s">
        <v>2157</v>
      </c>
      <c r="J750" s="6" t="s">
        <v>37</v>
      </c>
      <c r="K750" s="6" t="s">
        <v>789</v>
      </c>
      <c r="L750" s="6" t="s">
        <v>24</v>
      </c>
      <c r="Q750" s="8" t="s">
        <v>2158</v>
      </c>
    </row>
    <row r="751">
      <c r="A751" s="7">
        <v>45989.55548003472</v>
      </c>
      <c r="B751" s="6" t="s">
        <v>2159</v>
      </c>
      <c r="C751" s="6">
        <v>0.0</v>
      </c>
      <c r="D751" s="6" t="s">
        <v>18</v>
      </c>
      <c r="E751" s="6" t="s">
        <v>41</v>
      </c>
      <c r="F751" s="6" t="s">
        <v>2160</v>
      </c>
      <c r="J751" s="6" t="s">
        <v>31</v>
      </c>
      <c r="K751" s="6" t="s">
        <v>51</v>
      </c>
      <c r="L751" s="6" t="s">
        <v>24</v>
      </c>
      <c r="Q751" s="8" t="s">
        <v>2161</v>
      </c>
    </row>
    <row r="752">
      <c r="A752" s="7">
        <v>45989.55688300926</v>
      </c>
      <c r="B752" s="6" t="s">
        <v>2162</v>
      </c>
      <c r="C752" s="6" t="s">
        <v>2163</v>
      </c>
      <c r="D752" s="6" t="s">
        <v>18</v>
      </c>
      <c r="E752" s="6" t="s">
        <v>76</v>
      </c>
      <c r="F752" s="6" t="s">
        <v>2164</v>
      </c>
      <c r="J752" s="6" t="s">
        <v>847</v>
      </c>
      <c r="K752" s="6" t="s">
        <v>789</v>
      </c>
      <c r="L752" s="6" t="s">
        <v>24</v>
      </c>
      <c r="Q752" s="8" t="s">
        <v>2165</v>
      </c>
    </row>
    <row r="753">
      <c r="A753" s="7">
        <v>46050.781717488426</v>
      </c>
      <c r="B753" s="6" t="s">
        <v>2166</v>
      </c>
      <c r="D753" s="6" t="s">
        <v>18</v>
      </c>
      <c r="E753" s="6" t="s">
        <v>55</v>
      </c>
      <c r="F753" s="6" t="s">
        <v>1753</v>
      </c>
      <c r="J753" s="6" t="s">
        <v>1028</v>
      </c>
      <c r="K753" s="6" t="s">
        <v>1028</v>
      </c>
      <c r="L753" s="6" t="s">
        <v>24</v>
      </c>
      <c r="Q753" s="8" t="s">
        <v>2167</v>
      </c>
    </row>
    <row r="754">
      <c r="A754" s="7">
        <v>46050.79806152778</v>
      </c>
      <c r="B754" s="6" t="s">
        <v>2168</v>
      </c>
      <c r="D754" s="6" t="s">
        <v>18</v>
      </c>
      <c r="E754" s="6" t="s">
        <v>64</v>
      </c>
      <c r="F754" s="6" t="s">
        <v>2169</v>
      </c>
      <c r="J754" s="6" t="s">
        <v>847</v>
      </c>
      <c r="K754" s="6" t="s">
        <v>30</v>
      </c>
      <c r="L754" s="6" t="s">
        <v>24</v>
      </c>
      <c r="Q754" s="8" t="s">
        <v>2170</v>
      </c>
    </row>
    <row r="755">
      <c r="A755" s="7">
        <v>46051.66056063658</v>
      </c>
      <c r="B755" s="6" t="s">
        <v>1880</v>
      </c>
      <c r="D755" s="6" t="s">
        <v>18</v>
      </c>
      <c r="E755" s="6" t="s">
        <v>19</v>
      </c>
      <c r="F755" s="6" t="s">
        <v>2171</v>
      </c>
      <c r="J755" s="6" t="s">
        <v>847</v>
      </c>
      <c r="K755" s="6" t="s">
        <v>30</v>
      </c>
      <c r="L755" s="6" t="s">
        <v>24</v>
      </c>
      <c r="Q755" s="8" t="s">
        <v>2172</v>
      </c>
    </row>
    <row r="756">
      <c r="A756" s="7">
        <v>46051.662125243056</v>
      </c>
      <c r="B756" s="6" t="s">
        <v>2173</v>
      </c>
      <c r="D756" s="6" t="s">
        <v>311</v>
      </c>
      <c r="E756" s="6" t="s">
        <v>175</v>
      </c>
      <c r="F756" s="6" t="s">
        <v>60</v>
      </c>
      <c r="J756" s="6" t="s">
        <v>30</v>
      </c>
      <c r="K756" s="6" t="s">
        <v>30</v>
      </c>
      <c r="L756" s="6" t="s">
        <v>24</v>
      </c>
      <c r="Q756" s="8" t="s">
        <v>2174</v>
      </c>
    </row>
    <row r="757">
      <c r="A757" s="7">
        <v>46051.69956929398</v>
      </c>
      <c r="B757" s="6" t="s">
        <v>2015</v>
      </c>
      <c r="D757" s="6" t="s">
        <v>18</v>
      </c>
      <c r="E757" s="6" t="s">
        <v>76</v>
      </c>
      <c r="F757" s="6" t="s">
        <v>56</v>
      </c>
      <c r="J757" s="6" t="s">
        <v>847</v>
      </c>
      <c r="K757" s="6" t="s">
        <v>30</v>
      </c>
      <c r="L757" s="6" t="s">
        <v>24</v>
      </c>
      <c r="Q757" s="8" t="s">
        <v>2175</v>
      </c>
    </row>
    <row r="758">
      <c r="A758" s="7">
        <v>46051.70065262732</v>
      </c>
      <c r="B758" s="6" t="s">
        <v>1964</v>
      </c>
      <c r="D758" s="6" t="s">
        <v>625</v>
      </c>
      <c r="E758" s="6" t="s">
        <v>76</v>
      </c>
      <c r="F758" s="6" t="s">
        <v>2176</v>
      </c>
      <c r="J758" s="6" t="s">
        <v>847</v>
      </c>
      <c r="K758" s="6" t="s">
        <v>30</v>
      </c>
      <c r="L758" s="6" t="s">
        <v>24</v>
      </c>
      <c r="Q758" s="8" t="s">
        <v>2177</v>
      </c>
    </row>
    <row r="759">
      <c r="A759" s="7">
        <v>46051.77481296296</v>
      </c>
      <c r="B759" s="6" t="s">
        <v>2178</v>
      </c>
      <c r="D759" s="6" t="s">
        <v>18</v>
      </c>
      <c r="E759" s="6" t="s">
        <v>34</v>
      </c>
      <c r="F759" s="6" t="s">
        <v>2179</v>
      </c>
      <c r="J759" s="6" t="s">
        <v>37</v>
      </c>
      <c r="K759" s="6" t="s">
        <v>30</v>
      </c>
      <c r="L759" s="6" t="s">
        <v>24</v>
      </c>
      <c r="Q759" s="8" t="s">
        <v>2180</v>
      </c>
    </row>
    <row r="760">
      <c r="A760" s="7">
        <v>46051.77601505787</v>
      </c>
      <c r="B760" s="6" t="s">
        <v>2181</v>
      </c>
      <c r="D760" s="6" t="s">
        <v>18</v>
      </c>
      <c r="E760" s="6" t="s">
        <v>55</v>
      </c>
      <c r="F760" s="6" t="s">
        <v>2182</v>
      </c>
      <c r="J760" s="6" t="s">
        <v>30</v>
      </c>
      <c r="K760" s="6" t="s">
        <v>30</v>
      </c>
      <c r="L760" s="6" t="s">
        <v>24</v>
      </c>
      <c r="Q760" s="8" t="s">
        <v>2183</v>
      </c>
    </row>
    <row r="761">
      <c r="A761" s="7">
        <v>46051.785749097224</v>
      </c>
      <c r="B761" s="6" t="s">
        <v>1844</v>
      </c>
      <c r="D761" s="6" t="s">
        <v>18</v>
      </c>
      <c r="E761" s="6" t="s">
        <v>34</v>
      </c>
      <c r="F761" s="6" t="s">
        <v>2184</v>
      </c>
      <c r="J761" s="6" t="s">
        <v>847</v>
      </c>
      <c r="K761" s="6" t="s">
        <v>30</v>
      </c>
      <c r="L761" s="6" t="s">
        <v>24</v>
      </c>
      <c r="Q761" s="8" t="s">
        <v>2185</v>
      </c>
    </row>
    <row r="762">
      <c r="A762" s="7">
        <v>46053.78467376158</v>
      </c>
      <c r="B762" s="6" t="s">
        <v>2186</v>
      </c>
      <c r="D762" s="6" t="s">
        <v>18</v>
      </c>
      <c r="E762" s="6" t="s">
        <v>76</v>
      </c>
      <c r="F762" s="6" t="s">
        <v>2187</v>
      </c>
      <c r="J762" s="6" t="s">
        <v>847</v>
      </c>
      <c r="K762" s="6" t="s">
        <v>30</v>
      </c>
      <c r="L762" s="6" t="s">
        <v>24</v>
      </c>
      <c r="Q762" s="8" t="s">
        <v>2188</v>
      </c>
    </row>
    <row r="763">
      <c r="A763" s="7">
        <v>46053.78603965278</v>
      </c>
      <c r="B763" s="6" t="s">
        <v>2189</v>
      </c>
      <c r="D763" s="6" t="s">
        <v>18</v>
      </c>
      <c r="E763" s="6" t="s">
        <v>34</v>
      </c>
      <c r="F763" s="6" t="s">
        <v>2190</v>
      </c>
      <c r="J763" s="6" t="s">
        <v>31</v>
      </c>
      <c r="K763" s="6" t="s">
        <v>30</v>
      </c>
      <c r="L763" s="6" t="s">
        <v>24</v>
      </c>
      <c r="Q763" s="8" t="s">
        <v>2191</v>
      </c>
    </row>
    <row r="764">
      <c r="A764" s="7">
        <v>46053.789922916665</v>
      </c>
      <c r="B764" s="6" t="s">
        <v>2192</v>
      </c>
      <c r="D764" s="6" t="s">
        <v>18</v>
      </c>
      <c r="E764" s="6" t="s">
        <v>76</v>
      </c>
      <c r="F764" s="6" t="s">
        <v>2193</v>
      </c>
      <c r="J764" s="6" t="s">
        <v>847</v>
      </c>
      <c r="K764" s="6" t="s">
        <v>30</v>
      </c>
      <c r="L764" s="6" t="s">
        <v>24</v>
      </c>
      <c r="Q764" s="8" t="s">
        <v>2194</v>
      </c>
    </row>
    <row r="765">
      <c r="A765" s="7">
        <v>46053.794895694446</v>
      </c>
      <c r="B765" s="6" t="s">
        <v>2195</v>
      </c>
      <c r="C765" s="10" t="s">
        <v>2196</v>
      </c>
      <c r="D765" s="6" t="s">
        <v>18</v>
      </c>
      <c r="E765" s="6" t="s">
        <v>34</v>
      </c>
      <c r="F765" s="6" t="s">
        <v>2197</v>
      </c>
      <c r="J765" s="6" t="s">
        <v>37</v>
      </c>
      <c r="K765" s="6" t="s">
        <v>30</v>
      </c>
      <c r="L765" s="6" t="s">
        <v>24</v>
      </c>
      <c r="Q765" s="8" t="s">
        <v>2198</v>
      </c>
    </row>
    <row r="766">
      <c r="A766" s="7">
        <v>46054.6703527662</v>
      </c>
      <c r="B766" s="6" t="s">
        <v>2199</v>
      </c>
      <c r="C766" s="6">
        <v>8.285000078E9</v>
      </c>
      <c r="D766" s="6" t="s">
        <v>18</v>
      </c>
      <c r="E766" s="6" t="s">
        <v>76</v>
      </c>
      <c r="F766" s="6" t="s">
        <v>2200</v>
      </c>
      <c r="J766" s="6" t="s">
        <v>37</v>
      </c>
      <c r="K766" s="6" t="s">
        <v>1028</v>
      </c>
      <c r="L766" s="6" t="s">
        <v>24</v>
      </c>
      <c r="Q766" s="8" t="s">
        <v>2201</v>
      </c>
    </row>
    <row r="767">
      <c r="A767" s="7">
        <v>46054.692187569446</v>
      </c>
      <c r="B767" s="6" t="s">
        <v>2202</v>
      </c>
      <c r="C767" s="6">
        <v>9.868155296E9</v>
      </c>
      <c r="D767" s="6" t="s">
        <v>311</v>
      </c>
      <c r="E767" s="6" t="s">
        <v>55</v>
      </c>
      <c r="F767" s="6" t="s">
        <v>60</v>
      </c>
      <c r="J767" s="6" t="s">
        <v>37</v>
      </c>
      <c r="K767" s="6" t="s">
        <v>1028</v>
      </c>
      <c r="L767" s="6" t="s">
        <v>24</v>
      </c>
      <c r="Q767" s="8" t="s">
        <v>2203</v>
      </c>
    </row>
    <row r="768">
      <c r="A768" s="7">
        <v>46054.694645717595</v>
      </c>
      <c r="B768" s="6" t="s">
        <v>2204</v>
      </c>
      <c r="C768" s="6">
        <v>8.095720564E9</v>
      </c>
      <c r="D768" s="6" t="s">
        <v>18</v>
      </c>
      <c r="E768" s="6" t="s">
        <v>34</v>
      </c>
      <c r="F768" s="6" t="s">
        <v>50</v>
      </c>
      <c r="I768" s="8" t="s">
        <v>2205</v>
      </c>
      <c r="J768" s="6" t="s">
        <v>37</v>
      </c>
      <c r="K768" s="6" t="s">
        <v>789</v>
      </c>
      <c r="L768" s="6" t="s">
        <v>24</v>
      </c>
      <c r="Q768" s="8" t="s">
        <v>2206</v>
      </c>
    </row>
    <row r="769">
      <c r="A769" s="7">
        <v>46056.64485877314</v>
      </c>
      <c r="B769" s="6" t="s">
        <v>2207</v>
      </c>
      <c r="D769" s="6" t="s">
        <v>18</v>
      </c>
      <c r="E769" s="6" t="s">
        <v>175</v>
      </c>
      <c r="F769" s="6" t="s">
        <v>60</v>
      </c>
      <c r="I769" s="8" t="s">
        <v>2208</v>
      </c>
      <c r="J769" s="6" t="s">
        <v>37</v>
      </c>
      <c r="K769" s="6" t="s">
        <v>30</v>
      </c>
      <c r="L769" s="6" t="s">
        <v>24</v>
      </c>
      <c r="Q769" s="8" t="s">
        <v>2209</v>
      </c>
    </row>
    <row r="770">
      <c r="A770" s="7">
        <v>46061.690540462965</v>
      </c>
      <c r="B770" s="6" t="s">
        <v>2210</v>
      </c>
      <c r="D770" s="6" t="s">
        <v>18</v>
      </c>
      <c r="E770" s="6" t="s">
        <v>123</v>
      </c>
      <c r="F770" s="6" t="s">
        <v>20</v>
      </c>
      <c r="I770" s="8" t="s">
        <v>2211</v>
      </c>
      <c r="J770" s="6" t="s">
        <v>37</v>
      </c>
      <c r="K770" s="6" t="s">
        <v>30</v>
      </c>
      <c r="L770" s="6" t="s">
        <v>24</v>
      </c>
      <c r="Q770" s="8" t="s">
        <v>2212</v>
      </c>
    </row>
    <row r="771">
      <c r="A771" s="7">
        <v>46063.63829721065</v>
      </c>
      <c r="B771" s="6" t="s">
        <v>2213</v>
      </c>
      <c r="C771" s="6">
        <v>9.8119545E9</v>
      </c>
      <c r="D771" s="6" t="s">
        <v>18</v>
      </c>
      <c r="E771" s="6" t="s">
        <v>76</v>
      </c>
      <c r="F771" s="6" t="s">
        <v>56</v>
      </c>
      <c r="H771" s="6" t="s">
        <v>2214</v>
      </c>
      <c r="J771" s="6" t="s">
        <v>1028</v>
      </c>
      <c r="L771" s="6" t="s">
        <v>24</v>
      </c>
      <c r="N771" s="6" t="s">
        <v>25</v>
      </c>
      <c r="Q771" s="8" t="s">
        <v>2215</v>
      </c>
    </row>
    <row r="772">
      <c r="A772" s="7">
        <v>46063.68215496528</v>
      </c>
      <c r="B772" s="6" t="s">
        <v>2216</v>
      </c>
      <c r="C772" s="6">
        <v>9.968348004E9</v>
      </c>
      <c r="D772" s="6" t="s">
        <v>18</v>
      </c>
      <c r="E772" s="6" t="s">
        <v>55</v>
      </c>
      <c r="F772" s="6" t="s">
        <v>2217</v>
      </c>
      <c r="J772" s="6" t="s">
        <v>1028</v>
      </c>
      <c r="L772" s="6" t="s">
        <v>24</v>
      </c>
      <c r="N772" s="6" t="s">
        <v>25</v>
      </c>
      <c r="Q772" s="8" t="s">
        <v>2218</v>
      </c>
    </row>
    <row r="773">
      <c r="A773" s="7">
        <v>46063.68331530092</v>
      </c>
      <c r="B773" s="6" t="s">
        <v>2219</v>
      </c>
      <c r="C773" s="6">
        <v>9.322202726E9</v>
      </c>
      <c r="D773" s="6" t="s">
        <v>18</v>
      </c>
      <c r="E773" s="6" t="s">
        <v>76</v>
      </c>
      <c r="F773" s="6" t="s">
        <v>50</v>
      </c>
      <c r="J773" s="6" t="s">
        <v>1028</v>
      </c>
      <c r="L773" s="6" t="s">
        <v>184</v>
      </c>
      <c r="Q773" s="8" t="s">
        <v>2220</v>
      </c>
    </row>
    <row r="774">
      <c r="A774" s="7">
        <v>46063.730779074074</v>
      </c>
      <c r="B774" s="6" t="s">
        <v>2221</v>
      </c>
      <c r="C774" s="6">
        <v>8.860741616E9</v>
      </c>
      <c r="D774" s="6" t="s">
        <v>18</v>
      </c>
      <c r="E774" s="6" t="s">
        <v>55</v>
      </c>
      <c r="F774" s="6" t="s">
        <v>56</v>
      </c>
      <c r="I774" s="8" t="s">
        <v>2222</v>
      </c>
      <c r="J774" s="6" t="s">
        <v>847</v>
      </c>
      <c r="K774" s="6" t="s">
        <v>30</v>
      </c>
      <c r="L774" s="6" t="s">
        <v>24</v>
      </c>
      <c r="Q774" s="8" t="s">
        <v>2223</v>
      </c>
    </row>
    <row r="775">
      <c r="A775" s="7">
        <v>46063.7380403125</v>
      </c>
      <c r="B775" s="6" t="s">
        <v>2224</v>
      </c>
      <c r="D775" s="6" t="s">
        <v>18</v>
      </c>
      <c r="E775" s="6" t="s">
        <v>47</v>
      </c>
      <c r="F775" s="6" t="s">
        <v>2225</v>
      </c>
      <c r="J775" s="6" t="s">
        <v>37</v>
      </c>
      <c r="K775" s="6" t="s">
        <v>789</v>
      </c>
      <c r="L775" s="6" t="s">
        <v>24</v>
      </c>
      <c r="Q775" s="8" t="s">
        <v>2226</v>
      </c>
    </row>
    <row r="776">
      <c r="A776" s="7">
        <v>46063.74107421296</v>
      </c>
      <c r="B776" s="6" t="s">
        <v>201</v>
      </c>
      <c r="D776" s="6" t="s">
        <v>18</v>
      </c>
      <c r="E776" s="6" t="s">
        <v>47</v>
      </c>
      <c r="F776" s="6" t="s">
        <v>2227</v>
      </c>
      <c r="J776" s="6" t="s">
        <v>37</v>
      </c>
      <c r="K776" s="6" t="s">
        <v>789</v>
      </c>
      <c r="L776" s="6" t="s">
        <v>24</v>
      </c>
      <c r="Q776" s="8" t="s">
        <v>2228</v>
      </c>
    </row>
    <row r="777">
      <c r="A777" s="7">
        <v>46065.55628265046</v>
      </c>
      <c r="B777" s="6" t="s">
        <v>2229</v>
      </c>
      <c r="C777" s="6">
        <v>7.903735814E9</v>
      </c>
      <c r="D777" s="6" t="s">
        <v>18</v>
      </c>
      <c r="E777" s="6" t="s">
        <v>55</v>
      </c>
      <c r="F777" s="6" t="s">
        <v>188</v>
      </c>
      <c r="J777" s="6" t="s">
        <v>37</v>
      </c>
      <c r="K777" s="6" t="s">
        <v>1028</v>
      </c>
      <c r="L777" s="6" t="s">
        <v>72</v>
      </c>
      <c r="Q777" s="8" t="s">
        <v>2230</v>
      </c>
    </row>
    <row r="778">
      <c r="A778" s="7">
        <v>46066.673205983796</v>
      </c>
      <c r="B778" s="6" t="s">
        <v>929</v>
      </c>
      <c r="D778" s="6" t="s">
        <v>18</v>
      </c>
      <c r="E778" s="6" t="s">
        <v>34</v>
      </c>
      <c r="F778" s="6" t="s">
        <v>2231</v>
      </c>
      <c r="J778" s="6" t="s">
        <v>30</v>
      </c>
      <c r="K778" s="6" t="s">
        <v>30</v>
      </c>
      <c r="L778" s="6" t="s">
        <v>24</v>
      </c>
      <c r="Q778" s="8" t="s">
        <v>2232</v>
      </c>
    </row>
    <row r="779">
      <c r="A779" s="7">
        <v>46071.63034765046</v>
      </c>
      <c r="B779" s="6" t="s">
        <v>2233</v>
      </c>
      <c r="C779" s="6">
        <v>8.178545095E9</v>
      </c>
      <c r="D779" s="6" t="s">
        <v>18</v>
      </c>
      <c r="E779" s="6" t="s">
        <v>55</v>
      </c>
      <c r="F779" s="6" t="s">
        <v>85</v>
      </c>
      <c r="J779" s="6" t="s">
        <v>1028</v>
      </c>
      <c r="L779" s="6" t="s">
        <v>184</v>
      </c>
      <c r="Q779" s="8" t="s">
        <v>2234</v>
      </c>
    </row>
    <row r="780">
      <c r="A780" s="7">
        <v>46071.63196976852</v>
      </c>
      <c r="B780" s="6" t="s">
        <v>2235</v>
      </c>
      <c r="C780" s="6">
        <v>9.810413272E9</v>
      </c>
      <c r="D780" s="6" t="s">
        <v>18</v>
      </c>
      <c r="E780" s="6" t="s">
        <v>55</v>
      </c>
      <c r="F780" s="6" t="s">
        <v>20</v>
      </c>
      <c r="J780" s="6" t="s">
        <v>1028</v>
      </c>
      <c r="L780" s="6" t="s">
        <v>24</v>
      </c>
      <c r="Q780" s="8" t="s">
        <v>2236</v>
      </c>
    </row>
    <row r="781">
      <c r="A781" s="7">
        <v>46071.635500185184</v>
      </c>
      <c r="B781" s="6" t="s">
        <v>2237</v>
      </c>
      <c r="C781" s="6">
        <v>9.555930963E9</v>
      </c>
      <c r="D781" s="6" t="s">
        <v>18</v>
      </c>
      <c r="E781" s="6" t="s">
        <v>76</v>
      </c>
      <c r="F781" s="6" t="s">
        <v>35</v>
      </c>
      <c r="J781" s="6" t="s">
        <v>847</v>
      </c>
      <c r="L781" s="6" t="s">
        <v>24</v>
      </c>
      <c r="Q781" s="8" t="s">
        <v>2238</v>
      </c>
    </row>
    <row r="782">
      <c r="A782" s="7">
        <v>46071.651290740745</v>
      </c>
      <c r="B782" s="6" t="s">
        <v>2239</v>
      </c>
      <c r="C782" s="6">
        <v>9.891000073E9</v>
      </c>
      <c r="D782" s="6" t="s">
        <v>18</v>
      </c>
      <c r="E782" s="6" t="s">
        <v>76</v>
      </c>
      <c r="F782" s="6" t="s">
        <v>35</v>
      </c>
      <c r="J782" s="6" t="s">
        <v>1487</v>
      </c>
      <c r="L782" s="6" t="s">
        <v>24</v>
      </c>
      <c r="Q782" s="8" t="s">
        <v>2240</v>
      </c>
    </row>
    <row r="783">
      <c r="A783" s="7">
        <v>46071.68975175926</v>
      </c>
      <c r="B783" s="6" t="s">
        <v>2241</v>
      </c>
      <c r="C783" s="6">
        <v>9.312263494E9</v>
      </c>
      <c r="D783" s="6" t="s">
        <v>18</v>
      </c>
      <c r="E783" s="6" t="s">
        <v>64</v>
      </c>
      <c r="F783" s="6" t="s">
        <v>2242</v>
      </c>
      <c r="J783" s="6" t="s">
        <v>37</v>
      </c>
      <c r="L783" s="6" t="s">
        <v>24</v>
      </c>
      <c r="Q783" s="8" t="s">
        <v>2243</v>
      </c>
    </row>
    <row r="784">
      <c r="A784" s="7">
        <v>46071.69072321759</v>
      </c>
      <c r="B784" s="6" t="s">
        <v>2244</v>
      </c>
      <c r="C784" s="6">
        <v>9.811817127E9</v>
      </c>
      <c r="D784" s="6" t="s">
        <v>18</v>
      </c>
      <c r="E784" s="6" t="s">
        <v>55</v>
      </c>
      <c r="F784" s="6" t="s">
        <v>101</v>
      </c>
      <c r="J784" s="6" t="s">
        <v>2245</v>
      </c>
      <c r="L784" s="6" t="s">
        <v>184</v>
      </c>
      <c r="N784" s="6" t="s">
        <v>25</v>
      </c>
      <c r="Q784" s="8" t="s">
        <v>2246</v>
      </c>
    </row>
    <row r="785">
      <c r="A785" s="7">
        <v>46071.69227767361</v>
      </c>
      <c r="B785" s="6" t="s">
        <v>2247</v>
      </c>
      <c r="C785" s="6">
        <v>6.20474174E9</v>
      </c>
      <c r="D785" s="6" t="s">
        <v>18</v>
      </c>
      <c r="E785" s="6" t="s">
        <v>55</v>
      </c>
      <c r="F785" s="6" t="s">
        <v>85</v>
      </c>
      <c r="J785" s="6" t="s">
        <v>2248</v>
      </c>
      <c r="L785" s="6" t="s">
        <v>184</v>
      </c>
      <c r="Q785" s="8" t="s">
        <v>2249</v>
      </c>
    </row>
    <row r="786">
      <c r="A786" s="7">
        <v>46071.69413215278</v>
      </c>
      <c r="B786" s="6" t="s">
        <v>2250</v>
      </c>
      <c r="C786" s="6">
        <v>8.178545095E9</v>
      </c>
      <c r="D786" s="6" t="s">
        <v>75</v>
      </c>
      <c r="E786" s="6" t="s">
        <v>76</v>
      </c>
      <c r="F786" s="6" t="s">
        <v>2251</v>
      </c>
      <c r="J786" s="6" t="s">
        <v>2248</v>
      </c>
      <c r="L786" s="6" t="s">
        <v>184</v>
      </c>
      <c r="Q786" s="8" t="s">
        <v>2252</v>
      </c>
    </row>
    <row r="787">
      <c r="A787" s="7">
        <v>46071.696692488425</v>
      </c>
      <c r="B787" s="6" t="s">
        <v>2253</v>
      </c>
      <c r="C787" s="6">
        <v>9.871037317E9</v>
      </c>
      <c r="D787" s="6" t="s">
        <v>18</v>
      </c>
      <c r="E787" s="6" t="s">
        <v>55</v>
      </c>
      <c r="F787" s="6" t="s">
        <v>20</v>
      </c>
      <c r="J787" s="6" t="s">
        <v>2248</v>
      </c>
      <c r="L787" s="6" t="s">
        <v>24</v>
      </c>
      <c r="Q787" s="8" t="s">
        <v>2254</v>
      </c>
    </row>
    <row r="788">
      <c r="A788" s="7">
        <v>46071.69731023148</v>
      </c>
      <c r="B788" s="6" t="s">
        <v>2255</v>
      </c>
      <c r="C788" s="6">
        <v>9.95872292E9</v>
      </c>
      <c r="D788" s="6" t="s">
        <v>18</v>
      </c>
      <c r="E788" s="6" t="s">
        <v>55</v>
      </c>
      <c r="F788" s="6" t="s">
        <v>56</v>
      </c>
      <c r="J788" s="6" t="s">
        <v>2245</v>
      </c>
      <c r="L788" s="6" t="s">
        <v>184</v>
      </c>
      <c r="Q788" s="8" t="s">
        <v>2256</v>
      </c>
    </row>
    <row r="789">
      <c r="A789" s="7">
        <v>46071.698398831024</v>
      </c>
      <c r="B789" s="6" t="s">
        <v>2257</v>
      </c>
      <c r="C789" s="6">
        <v>8.178952295E9</v>
      </c>
      <c r="D789" s="6" t="s">
        <v>75</v>
      </c>
      <c r="E789" s="6" t="s">
        <v>76</v>
      </c>
      <c r="F789" s="6" t="s">
        <v>67</v>
      </c>
      <c r="J789" s="6" t="s">
        <v>2248</v>
      </c>
      <c r="L789" s="6" t="s">
        <v>184</v>
      </c>
      <c r="Q789" s="8" t="s">
        <v>2258</v>
      </c>
    </row>
    <row r="790">
      <c r="A790" s="7">
        <v>46071.69970346065</v>
      </c>
      <c r="B790" s="6" t="s">
        <v>2259</v>
      </c>
      <c r="D790" s="6" t="s">
        <v>18</v>
      </c>
      <c r="E790" s="6" t="s">
        <v>55</v>
      </c>
      <c r="F790" s="6" t="s">
        <v>20</v>
      </c>
      <c r="J790" s="6" t="s">
        <v>1028</v>
      </c>
      <c r="K790" s="6" t="s">
        <v>1028</v>
      </c>
      <c r="L790" s="6" t="s">
        <v>72</v>
      </c>
      <c r="Q790" s="8" t="s">
        <v>2260</v>
      </c>
    </row>
    <row r="791">
      <c r="A791" s="7">
        <v>46071.725750937505</v>
      </c>
      <c r="B791" s="6" t="s">
        <v>2261</v>
      </c>
      <c r="C791" s="6">
        <v>9.560588808E9</v>
      </c>
      <c r="D791" s="6" t="s">
        <v>18</v>
      </c>
      <c r="E791" s="6" t="s">
        <v>34</v>
      </c>
      <c r="F791" s="6" t="s">
        <v>60</v>
      </c>
      <c r="J791" s="6" t="s">
        <v>2245</v>
      </c>
      <c r="L791" s="6" t="s">
        <v>184</v>
      </c>
      <c r="Q791" s="8" t="s">
        <v>2262</v>
      </c>
    </row>
    <row r="792">
      <c r="A792" s="7">
        <v>46072.62718079861</v>
      </c>
      <c r="B792" s="6" t="s">
        <v>2263</v>
      </c>
      <c r="C792" s="6">
        <v>9.999733424E9</v>
      </c>
      <c r="D792" s="6" t="s">
        <v>18</v>
      </c>
      <c r="E792" s="6" t="s">
        <v>64</v>
      </c>
      <c r="F792" s="6" t="s">
        <v>665</v>
      </c>
      <c r="J792" s="6" t="s">
        <v>1028</v>
      </c>
      <c r="L792" s="6" t="s">
        <v>184</v>
      </c>
      <c r="Q792" s="8" t="s">
        <v>2264</v>
      </c>
    </row>
    <row r="793">
      <c r="A793" s="7">
        <v>46073.57575837963</v>
      </c>
      <c r="B793" s="6" t="s">
        <v>2265</v>
      </c>
      <c r="C793" s="6">
        <v>9.811259349E9</v>
      </c>
      <c r="D793" s="6" t="s">
        <v>18</v>
      </c>
      <c r="E793" s="6" t="s">
        <v>76</v>
      </c>
      <c r="F793" s="6" t="s">
        <v>20</v>
      </c>
      <c r="J793" s="6" t="s">
        <v>31</v>
      </c>
      <c r="L793" s="6" t="s">
        <v>24</v>
      </c>
      <c r="Q793" s="8" t="s">
        <v>2266</v>
      </c>
    </row>
    <row r="794">
      <c r="A794" s="7">
        <v>46073.57648481481</v>
      </c>
      <c r="B794" s="6" t="s">
        <v>2267</v>
      </c>
      <c r="C794" s="6">
        <v>9.805439918E9</v>
      </c>
      <c r="D794" s="6" t="s">
        <v>18</v>
      </c>
      <c r="E794" s="6" t="s">
        <v>76</v>
      </c>
      <c r="F794" s="6" t="s">
        <v>2268</v>
      </c>
      <c r="J794" s="6" t="s">
        <v>1028</v>
      </c>
      <c r="L794" s="6" t="s">
        <v>184</v>
      </c>
      <c r="Q794" s="8" t="s">
        <v>2269</v>
      </c>
    </row>
    <row r="795">
      <c r="A795" s="7">
        <v>46073.57792833333</v>
      </c>
      <c r="B795" s="6" t="s">
        <v>2270</v>
      </c>
      <c r="C795" s="6">
        <v>9.999733424E9</v>
      </c>
      <c r="D795" s="6" t="s">
        <v>18</v>
      </c>
      <c r="E795" s="6" t="s">
        <v>55</v>
      </c>
      <c r="F795" s="6" t="s">
        <v>50</v>
      </c>
      <c r="J795" s="6" t="s">
        <v>1028</v>
      </c>
      <c r="L795" s="6" t="s">
        <v>24</v>
      </c>
      <c r="Q795" s="8" t="s">
        <v>2271</v>
      </c>
    </row>
    <row r="796">
      <c r="A796" s="7">
        <v>46073.774147013886</v>
      </c>
      <c r="B796" s="6" t="s">
        <v>2272</v>
      </c>
      <c r="C796" s="6">
        <v>9.821362171E9</v>
      </c>
      <c r="D796" s="6" t="s">
        <v>75</v>
      </c>
      <c r="E796" s="6" t="s">
        <v>55</v>
      </c>
      <c r="F796" s="6" t="s">
        <v>35</v>
      </c>
      <c r="J796" s="6" t="s">
        <v>1028</v>
      </c>
      <c r="L796" s="6" t="s">
        <v>184</v>
      </c>
      <c r="Q796" s="8" t="s">
        <v>2273</v>
      </c>
    </row>
    <row r="797">
      <c r="A797" s="7">
        <v>46073.77521769676</v>
      </c>
      <c r="B797" s="6" t="s">
        <v>2274</v>
      </c>
      <c r="C797" s="6">
        <v>9.810222843E9</v>
      </c>
      <c r="D797" s="6" t="s">
        <v>75</v>
      </c>
      <c r="E797" s="6" t="s">
        <v>55</v>
      </c>
      <c r="F797" s="6" t="s">
        <v>35</v>
      </c>
      <c r="J797" s="6" t="s">
        <v>2248</v>
      </c>
      <c r="L797" s="6" t="s">
        <v>24</v>
      </c>
      <c r="Q797" s="8" t="s">
        <v>2275</v>
      </c>
    </row>
    <row r="798">
      <c r="A798" s="7">
        <v>46073.776224699075</v>
      </c>
      <c r="B798" s="6" t="s">
        <v>2276</v>
      </c>
      <c r="C798" s="6">
        <v>9.211269581E9</v>
      </c>
      <c r="D798" s="6" t="s">
        <v>18</v>
      </c>
      <c r="E798" s="6" t="s">
        <v>55</v>
      </c>
      <c r="F798" s="6" t="s">
        <v>20</v>
      </c>
      <c r="G798" s="6" t="s">
        <v>90</v>
      </c>
      <c r="J798" s="6" t="s">
        <v>1028</v>
      </c>
      <c r="L798" s="6" t="s">
        <v>184</v>
      </c>
      <c r="Q798" s="8" t="s">
        <v>2277</v>
      </c>
    </row>
    <row r="799">
      <c r="A799" s="7">
        <v>46073.777313645835</v>
      </c>
      <c r="B799" s="6" t="s">
        <v>2278</v>
      </c>
      <c r="C799" s="6">
        <v>9.953950419E9</v>
      </c>
      <c r="D799" s="6" t="s">
        <v>75</v>
      </c>
      <c r="E799" s="6" t="s">
        <v>55</v>
      </c>
      <c r="F799" s="6" t="s">
        <v>35</v>
      </c>
      <c r="J799" s="6" t="s">
        <v>2248</v>
      </c>
      <c r="L799" s="6" t="s">
        <v>24</v>
      </c>
      <c r="Q799" s="8" t="s">
        <v>2279</v>
      </c>
    </row>
    <row r="800">
      <c r="A800" s="7">
        <v>46073.77790539352</v>
      </c>
      <c r="B800" s="6" t="s">
        <v>2280</v>
      </c>
      <c r="C800" s="6">
        <v>9.811817127E9</v>
      </c>
      <c r="D800" s="6" t="s">
        <v>18</v>
      </c>
      <c r="E800" s="6" t="s">
        <v>76</v>
      </c>
      <c r="F800" s="6" t="s">
        <v>188</v>
      </c>
      <c r="J800" s="6" t="s">
        <v>2248</v>
      </c>
      <c r="L800" s="6" t="s">
        <v>24</v>
      </c>
      <c r="Q800" s="8" t="s">
        <v>2281</v>
      </c>
    </row>
    <row r="801">
      <c r="A801" s="7">
        <v>46074.75605697917</v>
      </c>
      <c r="B801" s="6" t="s">
        <v>2282</v>
      </c>
      <c r="C801" s="6">
        <v>9.811038369E9</v>
      </c>
      <c r="D801" s="6" t="s">
        <v>75</v>
      </c>
      <c r="E801" s="6" t="s">
        <v>55</v>
      </c>
      <c r="F801" s="6" t="s">
        <v>565</v>
      </c>
      <c r="J801" s="6" t="s">
        <v>2248</v>
      </c>
      <c r="L801" s="6" t="s">
        <v>184</v>
      </c>
      <c r="Q801" s="8" t="s">
        <v>2283</v>
      </c>
    </row>
    <row r="802">
      <c r="A802" s="7">
        <v>46074.75696460648</v>
      </c>
      <c r="B802" s="6" t="s">
        <v>2284</v>
      </c>
      <c r="C802" s="6">
        <v>9.867585878E9</v>
      </c>
      <c r="D802" s="6" t="s">
        <v>18</v>
      </c>
      <c r="E802" s="6" t="s">
        <v>34</v>
      </c>
      <c r="F802" s="6" t="s">
        <v>101</v>
      </c>
      <c r="J802" s="6" t="s">
        <v>31</v>
      </c>
      <c r="L802" s="6" t="s">
        <v>24</v>
      </c>
      <c r="Q802" s="8" t="s">
        <v>2285</v>
      </c>
    </row>
    <row r="803">
      <c r="A803" s="7">
        <v>46077.67712719907</v>
      </c>
      <c r="B803" s="6" t="s">
        <v>2286</v>
      </c>
      <c r="C803" s="6">
        <v>9.811038369E9</v>
      </c>
      <c r="D803" s="6" t="s">
        <v>75</v>
      </c>
      <c r="E803" s="6" t="s">
        <v>64</v>
      </c>
      <c r="F803" s="6" t="s">
        <v>565</v>
      </c>
      <c r="J803" s="6" t="s">
        <v>2248</v>
      </c>
      <c r="L803" s="6" t="s">
        <v>184</v>
      </c>
      <c r="Q803" s="8" t="s">
        <v>2287</v>
      </c>
    </row>
    <row r="804">
      <c r="A804" s="7">
        <v>46077.67798118056</v>
      </c>
      <c r="B804" s="6" t="s">
        <v>2284</v>
      </c>
      <c r="C804" s="6">
        <v>9.867585878E9</v>
      </c>
      <c r="D804" s="6" t="s">
        <v>18</v>
      </c>
      <c r="E804" s="6" t="s">
        <v>34</v>
      </c>
      <c r="F804" s="6" t="s">
        <v>101</v>
      </c>
      <c r="J804" s="6" t="s">
        <v>2245</v>
      </c>
      <c r="L804" s="6" t="s">
        <v>24</v>
      </c>
      <c r="Q804" s="8" t="s">
        <v>2288</v>
      </c>
    </row>
    <row r="805">
      <c r="A805" s="7">
        <v>46077.679128703705</v>
      </c>
      <c r="B805" s="6" t="s">
        <v>2289</v>
      </c>
      <c r="C805" s="6">
        <v>7.406813305E9</v>
      </c>
      <c r="D805" s="6" t="s">
        <v>18</v>
      </c>
      <c r="E805" s="6" t="s">
        <v>55</v>
      </c>
      <c r="F805" s="6" t="s">
        <v>60</v>
      </c>
      <c r="J805" s="6" t="s">
        <v>1028</v>
      </c>
      <c r="L805" s="6" t="s">
        <v>184</v>
      </c>
      <c r="Q805" s="8" t="s">
        <v>2290</v>
      </c>
    </row>
    <row r="806">
      <c r="A806" s="7">
        <v>46077.70127006945</v>
      </c>
      <c r="B806" s="6" t="s">
        <v>2291</v>
      </c>
      <c r="C806" s="6">
        <v>7.406813305E9</v>
      </c>
      <c r="D806" s="6" t="s">
        <v>18</v>
      </c>
      <c r="E806" s="6" t="s">
        <v>55</v>
      </c>
      <c r="F806" s="6" t="s">
        <v>60</v>
      </c>
      <c r="J806" s="6" t="s">
        <v>1028</v>
      </c>
      <c r="L806" s="6" t="s">
        <v>184</v>
      </c>
      <c r="N806" s="6" t="s">
        <v>25</v>
      </c>
      <c r="Q806" s="8" t="s">
        <v>2292</v>
      </c>
    </row>
    <row r="807">
      <c r="A807" s="7">
        <v>46077.70210005787</v>
      </c>
      <c r="B807" s="6" t="s">
        <v>2293</v>
      </c>
      <c r="C807" s="6">
        <v>9.21205982E9</v>
      </c>
      <c r="D807" s="6" t="s">
        <v>18</v>
      </c>
      <c r="E807" s="6" t="s">
        <v>76</v>
      </c>
      <c r="F807" s="6" t="s">
        <v>20</v>
      </c>
      <c r="J807" s="6" t="s">
        <v>2248</v>
      </c>
      <c r="L807" s="6" t="s">
        <v>24</v>
      </c>
      <c r="Q807" s="8" t="s">
        <v>2294</v>
      </c>
    </row>
    <row r="808">
      <c r="A808" s="7">
        <v>46077.70312690972</v>
      </c>
      <c r="B808" s="6" t="s">
        <v>2295</v>
      </c>
      <c r="C808" s="6">
        <v>9.71661664E8</v>
      </c>
      <c r="D808" s="6" t="s">
        <v>18</v>
      </c>
      <c r="E808" s="6" t="s">
        <v>55</v>
      </c>
      <c r="F808" s="6" t="s">
        <v>101</v>
      </c>
      <c r="J808" s="6" t="s">
        <v>1028</v>
      </c>
      <c r="L808" s="6" t="s">
        <v>24</v>
      </c>
      <c r="Q808" s="8" t="s">
        <v>2296</v>
      </c>
    </row>
    <row r="809">
      <c r="A809" s="7">
        <v>46077.70426412037</v>
      </c>
      <c r="B809" s="6" t="s">
        <v>2297</v>
      </c>
      <c r="C809" s="6">
        <v>9.899026336E9</v>
      </c>
      <c r="D809" s="6" t="s">
        <v>18</v>
      </c>
      <c r="E809" s="6" t="s">
        <v>55</v>
      </c>
      <c r="F809" s="6" t="s">
        <v>35</v>
      </c>
      <c r="J809" s="6" t="s">
        <v>2245</v>
      </c>
      <c r="L809" s="6" t="s">
        <v>184</v>
      </c>
      <c r="Q809" s="8" t="s">
        <v>2298</v>
      </c>
    </row>
    <row r="810">
      <c r="A810" s="7">
        <v>46077.71280695601</v>
      </c>
      <c r="B810" s="6" t="s">
        <v>2299</v>
      </c>
      <c r="C810" s="6">
        <v>9.818465474E9</v>
      </c>
      <c r="D810" s="6" t="s">
        <v>18</v>
      </c>
      <c r="E810" s="6" t="s">
        <v>19</v>
      </c>
      <c r="F810" s="6" t="s">
        <v>2300</v>
      </c>
      <c r="J810" s="6" t="s">
        <v>2245</v>
      </c>
      <c r="L810" s="6" t="s">
        <v>184</v>
      </c>
      <c r="Q810" s="8" t="s">
        <v>2301</v>
      </c>
    </row>
    <row r="811">
      <c r="A811" s="7">
        <v>46080.6064849074</v>
      </c>
      <c r="B811" s="6" t="s">
        <v>2302</v>
      </c>
      <c r="C811" s="6">
        <v>0.0</v>
      </c>
      <c r="D811" s="6" t="s">
        <v>18</v>
      </c>
      <c r="E811" s="6" t="s">
        <v>55</v>
      </c>
      <c r="F811" s="6" t="s">
        <v>67</v>
      </c>
      <c r="I811" s="8" t="s">
        <v>2303</v>
      </c>
      <c r="J811" s="6" t="s">
        <v>37</v>
      </c>
      <c r="K811" s="6" t="s">
        <v>30</v>
      </c>
      <c r="L811" s="6" t="s">
        <v>24</v>
      </c>
      <c r="Q811" s="8" t="s">
        <v>2304</v>
      </c>
    </row>
    <row r="812">
      <c r="A812" s="7">
        <v>46080.60799247686</v>
      </c>
      <c r="B812" s="6" t="s">
        <v>2305</v>
      </c>
      <c r="D812" s="6" t="s">
        <v>18</v>
      </c>
      <c r="E812" s="6" t="s">
        <v>34</v>
      </c>
      <c r="F812" s="6" t="s">
        <v>101</v>
      </c>
      <c r="I812" s="8" t="s">
        <v>2306</v>
      </c>
      <c r="J812" s="6" t="s">
        <v>847</v>
      </c>
      <c r="K812" s="6" t="s">
        <v>30</v>
      </c>
      <c r="L812" s="6" t="s">
        <v>24</v>
      </c>
      <c r="Q812" s="8" t="s">
        <v>2307</v>
      </c>
    </row>
    <row r="813">
      <c r="A813" s="7">
        <v>46080.612097708334</v>
      </c>
      <c r="B813" s="6" t="s">
        <v>2308</v>
      </c>
      <c r="C813" s="6">
        <v>0.0</v>
      </c>
      <c r="D813" s="6" t="s">
        <v>18</v>
      </c>
      <c r="E813" s="6" t="s">
        <v>19</v>
      </c>
      <c r="F813" s="6" t="s">
        <v>101</v>
      </c>
      <c r="I813" s="8" t="s">
        <v>2309</v>
      </c>
      <c r="J813" s="6" t="s">
        <v>37</v>
      </c>
      <c r="K813" s="6" t="s">
        <v>30</v>
      </c>
      <c r="L813" s="6" t="s">
        <v>24</v>
      </c>
      <c r="Q813" s="8" t="s">
        <v>2310</v>
      </c>
    </row>
    <row r="814">
      <c r="A814" s="7">
        <v>46080.613229305556</v>
      </c>
      <c r="B814" s="6" t="s">
        <v>2311</v>
      </c>
      <c r="C814" s="6">
        <v>0.0</v>
      </c>
      <c r="D814" s="6" t="s">
        <v>18</v>
      </c>
      <c r="E814" s="6" t="s">
        <v>55</v>
      </c>
      <c r="F814" s="6" t="s">
        <v>188</v>
      </c>
      <c r="J814" s="6" t="s">
        <v>31</v>
      </c>
      <c r="K814" s="6" t="s">
        <v>1028</v>
      </c>
      <c r="L814" s="6" t="s">
        <v>24</v>
      </c>
      <c r="Q814" s="8" t="s">
        <v>2312</v>
      </c>
    </row>
    <row r="815">
      <c r="A815" s="7">
        <v>46080.644814189814</v>
      </c>
      <c r="B815" s="6" t="s">
        <v>2313</v>
      </c>
      <c r="C815" s="6">
        <v>9.810093295E9</v>
      </c>
      <c r="D815" s="6" t="s">
        <v>18</v>
      </c>
      <c r="E815" s="6" t="s">
        <v>55</v>
      </c>
      <c r="F815" s="6" t="s">
        <v>2314</v>
      </c>
      <c r="J815" s="6" t="s">
        <v>30</v>
      </c>
      <c r="K815" s="6" t="s">
        <v>1028</v>
      </c>
      <c r="L815" s="6" t="s">
        <v>24</v>
      </c>
      <c r="Q815" s="8" t="s">
        <v>2315</v>
      </c>
    </row>
    <row r="816">
      <c r="A816" s="7">
        <v>46080.71246012731</v>
      </c>
      <c r="B816" s="6" t="s">
        <v>2316</v>
      </c>
      <c r="C816" s="6">
        <v>9.899726672E9</v>
      </c>
      <c r="D816" s="6" t="s">
        <v>75</v>
      </c>
      <c r="E816" s="6" t="s">
        <v>1347</v>
      </c>
      <c r="F816" s="6" t="s">
        <v>2317</v>
      </c>
      <c r="J816" s="6" t="s">
        <v>2318</v>
      </c>
      <c r="L816" s="6" t="s">
        <v>24</v>
      </c>
      <c r="Q816" s="8" t="s">
        <v>2319</v>
      </c>
    </row>
    <row r="817">
      <c r="A817" s="7">
        <v>46080.713202743056</v>
      </c>
      <c r="B817" s="6" t="s">
        <v>2320</v>
      </c>
      <c r="C817" s="6">
        <v>8.800974837E9</v>
      </c>
      <c r="D817" s="6" t="s">
        <v>75</v>
      </c>
      <c r="E817" s="6" t="s">
        <v>55</v>
      </c>
      <c r="F817" s="6" t="s">
        <v>101</v>
      </c>
      <c r="J817" s="6" t="s">
        <v>1028</v>
      </c>
      <c r="L817" s="6" t="s">
        <v>184</v>
      </c>
      <c r="Q817" s="8" t="s">
        <v>2321</v>
      </c>
    </row>
    <row r="818">
      <c r="A818" s="7">
        <v>46080.71532631945</v>
      </c>
      <c r="B818" s="6" t="s">
        <v>2322</v>
      </c>
      <c r="C818" s="6">
        <v>8.368459316E9</v>
      </c>
      <c r="D818" s="6" t="s">
        <v>18</v>
      </c>
      <c r="E818" s="6" t="s">
        <v>41</v>
      </c>
      <c r="F818" s="6" t="s">
        <v>41</v>
      </c>
      <c r="J818" s="6" t="s">
        <v>847</v>
      </c>
      <c r="L818" s="6" t="s">
        <v>24</v>
      </c>
      <c r="Q818" s="8" t="s">
        <v>2323</v>
      </c>
    </row>
    <row r="819">
      <c r="A819" s="7">
        <v>46101.660624571756</v>
      </c>
      <c r="B819" s="6" t="s">
        <v>2324</v>
      </c>
      <c r="C819" s="6">
        <v>9.810448612E9</v>
      </c>
      <c r="D819" s="6" t="s">
        <v>18</v>
      </c>
      <c r="E819" s="6" t="s">
        <v>34</v>
      </c>
      <c r="F819" s="6" t="s">
        <v>2325</v>
      </c>
      <c r="J819" s="6" t="s">
        <v>2248</v>
      </c>
      <c r="L819" s="6" t="s">
        <v>184</v>
      </c>
      <c r="Q819" s="8" t="s">
        <v>2326</v>
      </c>
    </row>
    <row r="820">
      <c r="A820" s="7">
        <v>46101.66182459491</v>
      </c>
      <c r="B820" s="6" t="s">
        <v>1028</v>
      </c>
      <c r="C820" s="6">
        <v>8.595597896E9</v>
      </c>
      <c r="D820" s="6" t="s">
        <v>18</v>
      </c>
      <c r="E820" s="6" t="s">
        <v>55</v>
      </c>
      <c r="F820" s="6" t="s">
        <v>101</v>
      </c>
      <c r="J820" s="6" t="s">
        <v>2248</v>
      </c>
      <c r="L820" s="6" t="s">
        <v>184</v>
      </c>
      <c r="Q820" s="8" t="s">
        <v>2327</v>
      </c>
    </row>
    <row r="821">
      <c r="A821" s="7">
        <v>46101.66322503472</v>
      </c>
      <c r="B821" s="6" t="s">
        <v>2328</v>
      </c>
      <c r="C821" s="6">
        <v>9.811086725E9</v>
      </c>
      <c r="D821" s="6" t="s">
        <v>18</v>
      </c>
      <c r="E821" s="6" t="s">
        <v>34</v>
      </c>
      <c r="F821" s="6" t="s">
        <v>2329</v>
      </c>
      <c r="J821" s="6" t="s">
        <v>2245</v>
      </c>
      <c r="L821" s="6" t="s">
        <v>24</v>
      </c>
      <c r="Q821" s="8" t="s">
        <v>2330</v>
      </c>
    </row>
    <row r="822">
      <c r="A822" s="7">
        <v>46101.66571261574</v>
      </c>
      <c r="B822" s="6" t="s">
        <v>2331</v>
      </c>
      <c r="C822" s="6">
        <v>9.811127397E9</v>
      </c>
      <c r="D822" s="6" t="s">
        <v>18</v>
      </c>
      <c r="E822" s="6" t="s">
        <v>76</v>
      </c>
      <c r="F822" s="6" t="s">
        <v>60</v>
      </c>
      <c r="J822" s="6" t="s">
        <v>2248</v>
      </c>
      <c r="L822" s="6" t="s">
        <v>184</v>
      </c>
      <c r="Q822" s="8" t="s">
        <v>2332</v>
      </c>
    </row>
    <row r="823">
      <c r="A823" s="7">
        <v>46101.66664472222</v>
      </c>
      <c r="B823" s="6" t="s">
        <v>2333</v>
      </c>
      <c r="C823" s="6">
        <v>8.800138663E9</v>
      </c>
      <c r="D823" s="6" t="s">
        <v>75</v>
      </c>
      <c r="E823" s="6" t="s">
        <v>55</v>
      </c>
      <c r="F823" s="6" t="s">
        <v>60</v>
      </c>
      <c r="J823" s="6" t="s">
        <v>1028</v>
      </c>
      <c r="L823" s="6" t="s">
        <v>184</v>
      </c>
      <c r="Q823" s="8" t="s">
        <v>2334</v>
      </c>
    </row>
    <row r="824">
      <c r="A824" s="7">
        <v>46101.66945747685</v>
      </c>
      <c r="B824" s="6" t="s">
        <v>2335</v>
      </c>
      <c r="C824" s="6">
        <v>9.71115306E9</v>
      </c>
      <c r="D824" s="6" t="s">
        <v>311</v>
      </c>
      <c r="E824" s="6" t="s">
        <v>76</v>
      </c>
      <c r="F824" s="6" t="s">
        <v>79</v>
      </c>
      <c r="J824" s="6" t="s">
        <v>2248</v>
      </c>
      <c r="L824" s="6" t="s">
        <v>24</v>
      </c>
      <c r="Q824" s="8" t="s">
        <v>2336</v>
      </c>
    </row>
    <row r="825">
      <c r="A825" s="7">
        <v>46101.67047327546</v>
      </c>
      <c r="B825" s="6" t="s">
        <v>2337</v>
      </c>
      <c r="C825" s="6">
        <v>9.3051516E9</v>
      </c>
      <c r="D825" s="6" t="s">
        <v>18</v>
      </c>
      <c r="E825" s="6" t="s">
        <v>64</v>
      </c>
      <c r="F825" s="6" t="s">
        <v>2338</v>
      </c>
      <c r="J825" s="6" t="s">
        <v>2248</v>
      </c>
      <c r="L825" s="6" t="s">
        <v>184</v>
      </c>
      <c r="Q825" s="8" t="s">
        <v>2339</v>
      </c>
    </row>
    <row r="826">
      <c r="A826" s="7">
        <v>46101.672076840274</v>
      </c>
      <c r="B826" s="6" t="s">
        <v>2340</v>
      </c>
      <c r="C826" s="6">
        <v>8.368459316E9</v>
      </c>
      <c r="D826" s="6" t="s">
        <v>18</v>
      </c>
      <c r="E826" s="6" t="s">
        <v>41</v>
      </c>
      <c r="F826" s="6" t="s">
        <v>50</v>
      </c>
      <c r="J826" s="6" t="s">
        <v>847</v>
      </c>
      <c r="L826" s="6" t="s">
        <v>24</v>
      </c>
      <c r="Q826" s="8" t="s">
        <v>2341</v>
      </c>
    </row>
    <row r="827">
      <c r="A827" s="7">
        <v>46101.67282074074</v>
      </c>
      <c r="B827" s="6" t="s">
        <v>2342</v>
      </c>
      <c r="C827" s="6">
        <v>9.811032465E9</v>
      </c>
      <c r="D827" s="6" t="s">
        <v>311</v>
      </c>
      <c r="E827" s="6" t="s">
        <v>34</v>
      </c>
      <c r="F827" s="6" t="s">
        <v>1120</v>
      </c>
      <c r="J827" s="6" t="s">
        <v>2245</v>
      </c>
      <c r="L827" s="6" t="s">
        <v>24</v>
      </c>
      <c r="Q827" s="8" t="s">
        <v>2343</v>
      </c>
    </row>
    <row r="828">
      <c r="A828" s="7">
        <v>46101.67404405093</v>
      </c>
      <c r="B828" s="6" t="s">
        <v>2344</v>
      </c>
      <c r="C828" s="6">
        <v>9.87144661E9</v>
      </c>
      <c r="D828" s="6" t="s">
        <v>75</v>
      </c>
      <c r="E828" s="6" t="s">
        <v>55</v>
      </c>
      <c r="F828" s="6" t="s">
        <v>60</v>
      </c>
      <c r="J828" s="6" t="s">
        <v>1028</v>
      </c>
      <c r="L828" s="6" t="s">
        <v>184</v>
      </c>
      <c r="Q828" s="8" t="s">
        <v>2345</v>
      </c>
    </row>
    <row r="829">
      <c r="A829" s="7">
        <v>46101.687543912034</v>
      </c>
      <c r="B829" s="6" t="s">
        <v>2346</v>
      </c>
      <c r="C829" s="6">
        <v>9.899726672E9</v>
      </c>
      <c r="D829" s="6" t="s">
        <v>18</v>
      </c>
      <c r="E829" s="6" t="s">
        <v>55</v>
      </c>
      <c r="F829" s="6" t="s">
        <v>188</v>
      </c>
      <c r="J829" s="6" t="s">
        <v>1028</v>
      </c>
      <c r="L829" s="6" t="s">
        <v>24</v>
      </c>
      <c r="Q829" s="8" t="s">
        <v>2347</v>
      </c>
    </row>
    <row r="830">
      <c r="A830" s="7">
        <v>46101.689569988426</v>
      </c>
      <c r="B830" s="6" t="s">
        <v>2348</v>
      </c>
      <c r="C830" s="6">
        <v>8.368459316E9</v>
      </c>
      <c r="D830" s="6" t="s">
        <v>18</v>
      </c>
      <c r="E830" s="6" t="s">
        <v>41</v>
      </c>
      <c r="F830" s="6" t="s">
        <v>41</v>
      </c>
      <c r="J830" s="6" t="s">
        <v>847</v>
      </c>
      <c r="L830" s="6" t="s">
        <v>24</v>
      </c>
      <c r="Q830" s="8" t="s">
        <v>2349</v>
      </c>
    </row>
    <row r="831">
      <c r="A831" s="7">
        <v>46101.691383819445</v>
      </c>
      <c r="B831" s="6" t="s">
        <v>2350</v>
      </c>
      <c r="C831" s="6">
        <v>9.35010425E9</v>
      </c>
      <c r="D831" s="6" t="s">
        <v>18</v>
      </c>
      <c r="E831" s="6" t="s">
        <v>55</v>
      </c>
      <c r="F831" s="6" t="s">
        <v>2351</v>
      </c>
      <c r="J831" s="6" t="s">
        <v>583</v>
      </c>
      <c r="L831" s="6" t="s">
        <v>24</v>
      </c>
      <c r="Q831" s="8" t="s">
        <v>2352</v>
      </c>
    </row>
    <row r="832">
      <c r="A832" s="7">
        <v>46101.69250564815</v>
      </c>
      <c r="B832" s="6" t="s">
        <v>2353</v>
      </c>
      <c r="C832" s="6">
        <v>9.879719222E9</v>
      </c>
      <c r="D832" s="6" t="s">
        <v>18</v>
      </c>
      <c r="E832" s="6" t="s">
        <v>55</v>
      </c>
      <c r="F832" s="6" t="s">
        <v>2351</v>
      </c>
      <c r="J832" s="6" t="s">
        <v>2245</v>
      </c>
      <c r="L832" s="6" t="s">
        <v>24</v>
      </c>
      <c r="Q832" s="8" t="s">
        <v>2354</v>
      </c>
    </row>
    <row r="833">
      <c r="A833" s="7">
        <v>46101.695504131945</v>
      </c>
      <c r="B833" s="6" t="s">
        <v>2355</v>
      </c>
      <c r="C833" s="6">
        <v>9.873506176E9</v>
      </c>
      <c r="D833" s="6" t="s">
        <v>18</v>
      </c>
      <c r="E833" s="6" t="s">
        <v>64</v>
      </c>
      <c r="F833" s="6" t="s">
        <v>2356</v>
      </c>
      <c r="J833" s="6" t="s">
        <v>2248</v>
      </c>
      <c r="L833" s="6" t="s">
        <v>24</v>
      </c>
      <c r="Q833" s="8" t="s">
        <v>2357</v>
      </c>
    </row>
    <row r="834">
      <c r="A834" s="7">
        <v>46103.54792748843</v>
      </c>
      <c r="B834" s="6" t="s">
        <v>2219</v>
      </c>
      <c r="C834" s="6">
        <v>9.87363049E9</v>
      </c>
      <c r="D834" s="6" t="s">
        <v>18</v>
      </c>
      <c r="E834" s="6" t="s">
        <v>76</v>
      </c>
      <c r="F834" s="6" t="s">
        <v>2358</v>
      </c>
      <c r="J834" s="6" t="s">
        <v>1028</v>
      </c>
      <c r="L834" s="6" t="s">
        <v>184</v>
      </c>
      <c r="Q834" s="8" t="s">
        <v>2359</v>
      </c>
    </row>
    <row r="835">
      <c r="A835" s="7">
        <v>46103.549601238425</v>
      </c>
      <c r="B835" s="6" t="s">
        <v>2360</v>
      </c>
      <c r="C835" s="6">
        <v>9.268287488E9</v>
      </c>
      <c r="D835" s="6" t="s">
        <v>311</v>
      </c>
      <c r="E835" s="6" t="s">
        <v>19</v>
      </c>
      <c r="F835" s="6" t="s">
        <v>2361</v>
      </c>
      <c r="J835" s="6" t="s">
        <v>2245</v>
      </c>
      <c r="L835" s="6" t="s">
        <v>24</v>
      </c>
      <c r="Q835" s="8" t="s">
        <v>2362</v>
      </c>
    </row>
    <row r="836">
      <c r="A836" s="7">
        <v>46103.55085421297</v>
      </c>
      <c r="B836" s="6" t="s">
        <v>2363</v>
      </c>
      <c r="C836" s="6">
        <v>9.999481786E9</v>
      </c>
      <c r="D836" s="6" t="s">
        <v>18</v>
      </c>
      <c r="E836" s="6" t="s">
        <v>55</v>
      </c>
      <c r="F836" s="6" t="s">
        <v>2364</v>
      </c>
      <c r="J836" s="6" t="s">
        <v>1028</v>
      </c>
      <c r="L836" s="6" t="s">
        <v>24</v>
      </c>
      <c r="Q836" s="8" t="s">
        <v>2365</v>
      </c>
    </row>
    <row r="837">
      <c r="A837" s="7">
        <v>46103.55193194444</v>
      </c>
      <c r="B837" s="6" t="s">
        <v>2366</v>
      </c>
      <c r="C837" s="6">
        <v>9.810448612E9</v>
      </c>
      <c r="D837" s="6" t="s">
        <v>311</v>
      </c>
      <c r="E837" s="6" t="s">
        <v>55</v>
      </c>
      <c r="F837" s="6" t="s">
        <v>2242</v>
      </c>
      <c r="J837" s="6" t="s">
        <v>2248</v>
      </c>
      <c r="L837" s="6" t="s">
        <v>184</v>
      </c>
      <c r="Q837" s="8" t="s">
        <v>2367</v>
      </c>
    </row>
    <row r="838">
      <c r="A838" s="7">
        <v>46106.67723973379</v>
      </c>
      <c r="B838" s="6" t="s">
        <v>2368</v>
      </c>
      <c r="C838" s="6">
        <v>9.999481786E9</v>
      </c>
      <c r="D838" s="6" t="s">
        <v>18</v>
      </c>
      <c r="E838" s="6" t="s">
        <v>55</v>
      </c>
      <c r="F838" s="6" t="s">
        <v>2369</v>
      </c>
      <c r="J838" s="6" t="s">
        <v>1028</v>
      </c>
      <c r="L838" s="6" t="s">
        <v>24</v>
      </c>
      <c r="Q838" s="8" t="s">
        <v>2370</v>
      </c>
    </row>
    <row r="839">
      <c r="A839" s="7">
        <v>46106.68052026621</v>
      </c>
      <c r="B839" s="6" t="s">
        <v>2371</v>
      </c>
      <c r="C839" s="6">
        <v>9.268287488E9</v>
      </c>
      <c r="D839" s="6" t="s">
        <v>311</v>
      </c>
      <c r="E839" s="6" t="s">
        <v>19</v>
      </c>
      <c r="F839" s="6" t="s">
        <v>2372</v>
      </c>
      <c r="J839" s="6" t="s">
        <v>2245</v>
      </c>
      <c r="L839" s="6" t="s">
        <v>24</v>
      </c>
      <c r="Q839" s="8" t="s">
        <v>2373</v>
      </c>
    </row>
    <row r="840">
      <c r="A840" s="7">
        <v>46106.68196140046</v>
      </c>
      <c r="B840" s="6" t="s">
        <v>2219</v>
      </c>
      <c r="C840" s="6">
        <v>9.87363049E9</v>
      </c>
      <c r="D840" s="6" t="s">
        <v>18</v>
      </c>
      <c r="E840" s="6" t="s">
        <v>76</v>
      </c>
      <c r="F840" s="6" t="s">
        <v>2374</v>
      </c>
      <c r="J840" s="6" t="s">
        <v>1028</v>
      </c>
      <c r="L840" s="6" t="s">
        <v>184</v>
      </c>
      <c r="Q840" s="8" t="s">
        <v>2375</v>
      </c>
    </row>
    <row r="841">
      <c r="A841" s="7">
        <v>46106.68293159722</v>
      </c>
      <c r="B841" s="6" t="s">
        <v>2376</v>
      </c>
      <c r="C841" s="6">
        <v>9.899633303E9</v>
      </c>
      <c r="D841" s="6" t="s">
        <v>18</v>
      </c>
      <c r="E841" s="6" t="s">
        <v>55</v>
      </c>
      <c r="F841" s="6" t="s">
        <v>2364</v>
      </c>
      <c r="J841" s="6" t="s">
        <v>2245</v>
      </c>
      <c r="L841" s="6" t="s">
        <v>24</v>
      </c>
      <c r="Q841" s="8" t="s">
        <v>2377</v>
      </c>
    </row>
    <row r="842">
      <c r="A842" s="7">
        <v>46106.68781212963</v>
      </c>
      <c r="B842" s="6" t="s">
        <v>2378</v>
      </c>
      <c r="C842" s="6">
        <v>9.667404339E9</v>
      </c>
      <c r="D842" s="6" t="s">
        <v>18</v>
      </c>
      <c r="E842" s="6" t="s">
        <v>76</v>
      </c>
      <c r="F842" s="6" t="s">
        <v>35</v>
      </c>
      <c r="J842" s="6" t="s">
        <v>2245</v>
      </c>
      <c r="L842" s="6" t="s">
        <v>24</v>
      </c>
      <c r="Q842" s="8" t="s">
        <v>2379</v>
      </c>
    </row>
    <row r="843">
      <c r="A843" s="7">
        <v>46106.689221249995</v>
      </c>
      <c r="B843" s="6" t="s">
        <v>2380</v>
      </c>
      <c r="C843" s="6">
        <v>9.811032465E9</v>
      </c>
      <c r="D843" s="6" t="s">
        <v>18</v>
      </c>
      <c r="E843" s="6" t="s">
        <v>123</v>
      </c>
      <c r="F843" s="6" t="s">
        <v>60</v>
      </c>
      <c r="J843" s="6" t="s">
        <v>37</v>
      </c>
      <c r="L843" s="6" t="s">
        <v>24</v>
      </c>
      <c r="Q843" s="8" t="s">
        <v>2381</v>
      </c>
    </row>
    <row r="844">
      <c r="A844" s="7">
        <v>46106.69875122685</v>
      </c>
      <c r="B844" s="6" t="s">
        <v>2382</v>
      </c>
      <c r="C844" s="6">
        <v>7.04232333E9</v>
      </c>
      <c r="D844" s="6" t="s">
        <v>18</v>
      </c>
      <c r="E844" s="6" t="s">
        <v>34</v>
      </c>
      <c r="F844" s="6" t="s">
        <v>20</v>
      </c>
      <c r="J844" s="6" t="s">
        <v>1028</v>
      </c>
      <c r="L844" s="6" t="s">
        <v>184</v>
      </c>
      <c r="Q844" s="8" t="s">
        <v>2383</v>
      </c>
    </row>
    <row r="845">
      <c r="A845" s="7">
        <v>46106.699487164355</v>
      </c>
      <c r="B845" s="6" t="s">
        <v>2384</v>
      </c>
      <c r="C845" s="6">
        <v>9.013206522E9</v>
      </c>
      <c r="D845" s="6" t="s">
        <v>18</v>
      </c>
      <c r="E845" s="6" t="s">
        <v>55</v>
      </c>
      <c r="F845" s="6" t="s">
        <v>20</v>
      </c>
      <c r="J845" s="6" t="s">
        <v>1028</v>
      </c>
      <c r="L845" s="6" t="s">
        <v>24</v>
      </c>
      <c r="Q845" s="8" t="s">
        <v>2385</v>
      </c>
    </row>
    <row r="846">
      <c r="A846" s="7">
        <v>46106.702505023146</v>
      </c>
      <c r="B846" s="6" t="s">
        <v>2386</v>
      </c>
      <c r="C846" s="6" t="s">
        <v>2387</v>
      </c>
      <c r="D846" s="6" t="s">
        <v>18</v>
      </c>
      <c r="E846" s="6" t="s">
        <v>55</v>
      </c>
      <c r="F846" s="6" t="s">
        <v>20</v>
      </c>
      <c r="J846" s="6" t="s">
        <v>2248</v>
      </c>
      <c r="L846" s="6" t="s">
        <v>184</v>
      </c>
      <c r="Q846" s="8" t="s">
        <v>2388</v>
      </c>
    </row>
    <row r="847">
      <c r="A847" s="7">
        <v>46106.70475030092</v>
      </c>
      <c r="B847" s="6" t="s">
        <v>2389</v>
      </c>
      <c r="C847" s="6">
        <v>9.873129129E9</v>
      </c>
      <c r="D847" s="6" t="s">
        <v>18</v>
      </c>
      <c r="E847" s="6" t="s">
        <v>34</v>
      </c>
      <c r="F847" s="6" t="s">
        <v>565</v>
      </c>
      <c r="J847" s="6" t="s">
        <v>2245</v>
      </c>
      <c r="L847" s="6" t="s">
        <v>24</v>
      </c>
      <c r="Q847" s="8" t="s">
        <v>2390</v>
      </c>
    </row>
    <row r="848">
      <c r="A848" s="7">
        <v>46106.70535670139</v>
      </c>
      <c r="B848" s="6" t="s">
        <v>2391</v>
      </c>
      <c r="C848" s="6">
        <v>9.911588072E9</v>
      </c>
      <c r="D848" s="6" t="s">
        <v>75</v>
      </c>
      <c r="E848" s="6" t="s">
        <v>76</v>
      </c>
      <c r="F848" s="6" t="s">
        <v>2392</v>
      </c>
      <c r="J848" s="6" t="s">
        <v>2248</v>
      </c>
      <c r="L848" s="6" t="s">
        <v>184</v>
      </c>
      <c r="Q848" s="8" t="s">
        <v>2393</v>
      </c>
    </row>
    <row r="849">
      <c r="A849" s="7">
        <v>46106.70614899306</v>
      </c>
      <c r="B849" s="6" t="s">
        <v>2394</v>
      </c>
      <c r="C849" s="6">
        <v>9.312263494E9</v>
      </c>
      <c r="D849" s="6" t="s">
        <v>18</v>
      </c>
      <c r="E849" s="6" t="s">
        <v>55</v>
      </c>
      <c r="F849" s="6" t="s">
        <v>79</v>
      </c>
      <c r="J849" s="6" t="s">
        <v>1028</v>
      </c>
      <c r="L849" s="6" t="s">
        <v>24</v>
      </c>
      <c r="Q849" s="8" t="s">
        <v>2395</v>
      </c>
    </row>
    <row r="850">
      <c r="A850" s="7">
        <v>46106.70667568287</v>
      </c>
      <c r="B850" s="6" t="s">
        <v>2396</v>
      </c>
      <c r="C850" s="6">
        <v>8.920709429E9</v>
      </c>
      <c r="D850" s="6" t="s">
        <v>75</v>
      </c>
      <c r="E850" s="6" t="s">
        <v>76</v>
      </c>
      <c r="F850" s="6" t="s">
        <v>101</v>
      </c>
      <c r="J850" s="6" t="s">
        <v>1028</v>
      </c>
      <c r="L850" s="6" t="s">
        <v>184</v>
      </c>
      <c r="Q850" s="8" t="s">
        <v>2397</v>
      </c>
    </row>
    <row r="851">
      <c r="A851" s="7">
        <v>46107.51857429398</v>
      </c>
      <c r="B851" s="6" t="s">
        <v>1867</v>
      </c>
      <c r="C851" s="6">
        <v>8.851312233E9</v>
      </c>
      <c r="D851" s="6" t="s">
        <v>18</v>
      </c>
      <c r="E851" s="6" t="s">
        <v>55</v>
      </c>
      <c r="F851" s="6" t="s">
        <v>20</v>
      </c>
      <c r="J851" s="6" t="s">
        <v>2248</v>
      </c>
      <c r="L851" s="6" t="s">
        <v>184</v>
      </c>
      <c r="Q851" s="8" t="s">
        <v>2398</v>
      </c>
    </row>
    <row r="852">
      <c r="A852" s="7">
        <v>46107.519986238425</v>
      </c>
      <c r="B852" s="6" t="s">
        <v>2389</v>
      </c>
      <c r="C852" s="6">
        <v>9.873129129E9</v>
      </c>
      <c r="D852" s="6" t="s">
        <v>18</v>
      </c>
      <c r="E852" s="6" t="s">
        <v>64</v>
      </c>
      <c r="F852" s="6" t="s">
        <v>665</v>
      </c>
      <c r="J852" s="6" t="s">
        <v>2245</v>
      </c>
      <c r="L852" s="6" t="s">
        <v>24</v>
      </c>
      <c r="Q852" s="8" t="s">
        <v>2399</v>
      </c>
    </row>
    <row r="853">
      <c r="A853" s="7">
        <v>46107.520765787034</v>
      </c>
      <c r="B853" s="6" t="s">
        <v>2400</v>
      </c>
      <c r="C853" s="6">
        <v>9.911588072E9</v>
      </c>
      <c r="D853" s="6" t="s">
        <v>75</v>
      </c>
      <c r="E853" s="6" t="s">
        <v>76</v>
      </c>
      <c r="F853" s="6" t="s">
        <v>2392</v>
      </c>
      <c r="J853" s="6" t="s">
        <v>2248</v>
      </c>
      <c r="L853" s="6" t="s">
        <v>184</v>
      </c>
      <c r="Q853" s="8" t="s">
        <v>2401</v>
      </c>
    </row>
    <row r="854">
      <c r="A854" s="7">
        <v>46107.52201247685</v>
      </c>
      <c r="B854" s="6" t="s">
        <v>2402</v>
      </c>
      <c r="C854" s="6">
        <v>9.312263494E9</v>
      </c>
      <c r="D854" s="6" t="s">
        <v>18</v>
      </c>
      <c r="E854" s="6" t="s">
        <v>55</v>
      </c>
      <c r="F854" s="6" t="s">
        <v>79</v>
      </c>
      <c r="J854" s="6" t="s">
        <v>1028</v>
      </c>
      <c r="L854" s="6" t="s">
        <v>24</v>
      </c>
      <c r="Q854" s="8" t="s">
        <v>2403</v>
      </c>
    </row>
    <row r="855">
      <c r="A855" s="7">
        <v>46107.52255375</v>
      </c>
      <c r="B855" s="6" t="s">
        <v>2404</v>
      </c>
      <c r="C855" s="6">
        <v>8.920709419E9</v>
      </c>
      <c r="D855" s="6" t="s">
        <v>75</v>
      </c>
      <c r="E855" s="6" t="s">
        <v>76</v>
      </c>
      <c r="F855" s="6" t="s">
        <v>101</v>
      </c>
      <c r="J855" s="6" t="s">
        <v>1028</v>
      </c>
      <c r="L855" s="6" t="s">
        <v>184</v>
      </c>
      <c r="Q855" s="8" t="s">
        <v>2405</v>
      </c>
    </row>
    <row r="856">
      <c r="A856" s="7">
        <v>46107.52405850694</v>
      </c>
      <c r="B856" s="6" t="s">
        <v>2406</v>
      </c>
      <c r="C856" s="6" t="s">
        <v>2407</v>
      </c>
      <c r="D856" s="6" t="s">
        <v>18</v>
      </c>
      <c r="E856" s="6" t="s">
        <v>64</v>
      </c>
      <c r="F856" s="6" t="s">
        <v>2408</v>
      </c>
      <c r="J856" s="6" t="s">
        <v>2248</v>
      </c>
      <c r="L856" s="6" t="s">
        <v>24</v>
      </c>
      <c r="Q856" s="8" t="s">
        <v>2409</v>
      </c>
    </row>
    <row r="857">
      <c r="A857" s="7">
        <v>46107.524771956014</v>
      </c>
      <c r="B857" s="6" t="s">
        <v>2363</v>
      </c>
      <c r="C857" s="6">
        <v>9.999481786E9</v>
      </c>
      <c r="D857" s="6" t="s">
        <v>18</v>
      </c>
      <c r="E857" s="6" t="s">
        <v>55</v>
      </c>
      <c r="F857" s="6" t="s">
        <v>2410</v>
      </c>
      <c r="J857" s="6" t="s">
        <v>1028</v>
      </c>
      <c r="L857" s="6" t="s">
        <v>24</v>
      </c>
      <c r="Q857" s="8" t="s">
        <v>2411</v>
      </c>
    </row>
    <row r="858">
      <c r="A858" s="7">
        <v>46107.527878402776</v>
      </c>
      <c r="B858" s="6" t="s">
        <v>2412</v>
      </c>
      <c r="C858" s="6">
        <v>8.82653306E9</v>
      </c>
      <c r="D858" s="6" t="s">
        <v>18</v>
      </c>
      <c r="E858" s="6" t="s">
        <v>64</v>
      </c>
      <c r="F858" s="6" t="s">
        <v>2413</v>
      </c>
      <c r="J858" s="6" t="s">
        <v>583</v>
      </c>
      <c r="L858" s="6" t="s">
        <v>184</v>
      </c>
      <c r="Q858" s="8" t="s">
        <v>2414</v>
      </c>
    </row>
    <row r="859">
      <c r="A859" s="7">
        <v>46107.528615613424</v>
      </c>
      <c r="B859" s="6" t="s">
        <v>2415</v>
      </c>
      <c r="C859" s="6">
        <v>9.873741141E9</v>
      </c>
      <c r="D859" s="6" t="s">
        <v>311</v>
      </c>
      <c r="E859" s="6" t="s">
        <v>19</v>
      </c>
      <c r="F859" s="6" t="s">
        <v>2416</v>
      </c>
      <c r="J859" s="6" t="s">
        <v>2245</v>
      </c>
      <c r="L859" s="6" t="s">
        <v>24</v>
      </c>
      <c r="Q859" s="8" t="s">
        <v>2417</v>
      </c>
    </row>
    <row r="860">
      <c r="A860" s="7">
        <v>46107.52926181713</v>
      </c>
      <c r="B860" s="6" t="s">
        <v>2418</v>
      </c>
      <c r="C860" s="6">
        <v>9.711196024E9</v>
      </c>
      <c r="D860" s="6" t="s">
        <v>112</v>
      </c>
      <c r="E860" s="6" t="s">
        <v>55</v>
      </c>
      <c r="F860" s="6" t="s">
        <v>56</v>
      </c>
      <c r="J860" s="6" t="s">
        <v>2248</v>
      </c>
      <c r="L860" s="6" t="s">
        <v>24</v>
      </c>
      <c r="Q860" s="8" t="s">
        <v>2419</v>
      </c>
    </row>
    <row r="861">
      <c r="A861" s="7">
        <v>46107.530233321755</v>
      </c>
      <c r="B861" s="6" t="s">
        <v>2420</v>
      </c>
      <c r="C861" s="6">
        <v>9.871616896E9</v>
      </c>
      <c r="D861" s="6" t="s">
        <v>18</v>
      </c>
      <c r="E861" s="6" t="s">
        <v>55</v>
      </c>
      <c r="F861" s="6" t="s">
        <v>20</v>
      </c>
      <c r="J861" s="6" t="s">
        <v>2248</v>
      </c>
      <c r="L861" s="6" t="s">
        <v>184</v>
      </c>
      <c r="Q861" s="8" t="s">
        <v>2421</v>
      </c>
    </row>
    <row r="862">
      <c r="A862" s="7">
        <v>46107.5308234375</v>
      </c>
      <c r="B862" s="6" t="s">
        <v>2422</v>
      </c>
      <c r="D862" s="6" t="s">
        <v>18</v>
      </c>
      <c r="E862" s="6" t="s">
        <v>55</v>
      </c>
      <c r="F862" s="6" t="s">
        <v>2369</v>
      </c>
      <c r="J862" s="6" t="s">
        <v>2248</v>
      </c>
      <c r="L862" s="6" t="s">
        <v>24</v>
      </c>
      <c r="Q862" s="8" t="s">
        <v>2423</v>
      </c>
    </row>
    <row r="863">
      <c r="A863" s="7">
        <v>46108.53716248843</v>
      </c>
      <c r="B863" s="6" t="s">
        <v>2424</v>
      </c>
      <c r="C863" s="6">
        <v>9.1364838E9</v>
      </c>
      <c r="D863" s="6" t="s">
        <v>18</v>
      </c>
      <c r="E863" s="6" t="s">
        <v>64</v>
      </c>
      <c r="F863" s="6" t="s">
        <v>665</v>
      </c>
      <c r="J863" s="6" t="s">
        <v>2248</v>
      </c>
      <c r="L863" s="6" t="s">
        <v>184</v>
      </c>
      <c r="Q863" s="8" t="s">
        <v>2425</v>
      </c>
    </row>
    <row r="864">
      <c r="A864" s="7">
        <v>46108.53772075231</v>
      </c>
      <c r="B864" s="6" t="s">
        <v>2426</v>
      </c>
      <c r="C864" s="6">
        <v>9.891058644E9</v>
      </c>
      <c r="D864" s="6" t="s">
        <v>18</v>
      </c>
      <c r="E864" s="6" t="s">
        <v>76</v>
      </c>
      <c r="F864" s="6" t="s">
        <v>35</v>
      </c>
      <c r="J864" s="6" t="s">
        <v>2248</v>
      </c>
      <c r="L864" s="6" t="s">
        <v>24</v>
      </c>
      <c r="Q864" s="8" t="s">
        <v>2427</v>
      </c>
    </row>
    <row r="865">
      <c r="A865" s="7">
        <v>46108.53833795139</v>
      </c>
      <c r="B865" s="6" t="s">
        <v>2428</v>
      </c>
      <c r="C865" s="6">
        <v>9.625935154E9</v>
      </c>
      <c r="D865" s="6" t="s">
        <v>18</v>
      </c>
      <c r="E865" s="6" t="s">
        <v>64</v>
      </c>
      <c r="F865" s="6" t="s">
        <v>665</v>
      </c>
      <c r="J865" s="6" t="s">
        <v>2245</v>
      </c>
      <c r="L865" s="6" t="s">
        <v>184</v>
      </c>
      <c r="Q865" s="8" t="s">
        <v>2429</v>
      </c>
    </row>
    <row r="866">
      <c r="A866" s="7">
        <v>46108.70045128472</v>
      </c>
      <c r="B866" s="6" t="s">
        <v>2168</v>
      </c>
      <c r="D866" s="6" t="s">
        <v>311</v>
      </c>
      <c r="E866" s="6" t="s">
        <v>47</v>
      </c>
      <c r="F866" s="6">
        <v>3.0</v>
      </c>
      <c r="J866" s="6" t="s">
        <v>37</v>
      </c>
      <c r="K866" s="6" t="s">
        <v>30</v>
      </c>
      <c r="L866" s="6" t="s">
        <v>24</v>
      </c>
      <c r="Q866" s="8" t="s">
        <v>2430</v>
      </c>
    </row>
    <row r="867">
      <c r="A867" s="7">
        <v>46108.70991989583</v>
      </c>
      <c r="B867" s="6" t="s">
        <v>2431</v>
      </c>
      <c r="D867" s="6" t="s">
        <v>18</v>
      </c>
      <c r="E867" s="6" t="s">
        <v>34</v>
      </c>
      <c r="F867" s="6" t="s">
        <v>2432</v>
      </c>
      <c r="J867" s="6" t="s">
        <v>37</v>
      </c>
      <c r="K867" s="6" t="s">
        <v>30</v>
      </c>
      <c r="L867" s="6" t="s">
        <v>72</v>
      </c>
      <c r="Q867" s="8" t="s">
        <v>2433</v>
      </c>
    </row>
    <row r="868">
      <c r="A868" s="7">
        <v>46108.71102711806</v>
      </c>
      <c r="B868" s="6" t="s">
        <v>2434</v>
      </c>
      <c r="D868" s="6" t="s">
        <v>18</v>
      </c>
      <c r="E868" s="6" t="s">
        <v>55</v>
      </c>
      <c r="F868" s="6" t="s">
        <v>2435</v>
      </c>
      <c r="J868" s="6" t="s">
        <v>37</v>
      </c>
      <c r="K868" s="6" t="s">
        <v>30</v>
      </c>
      <c r="L868" s="6" t="s">
        <v>24</v>
      </c>
      <c r="Q868" s="8" t="s">
        <v>2436</v>
      </c>
    </row>
    <row r="869">
      <c r="A869" s="7">
        <v>46108.73035966435</v>
      </c>
      <c r="B869" s="6" t="s">
        <v>2437</v>
      </c>
      <c r="D869" s="6" t="s">
        <v>18</v>
      </c>
      <c r="E869" s="6" t="s">
        <v>34</v>
      </c>
      <c r="F869" s="6" t="s">
        <v>60</v>
      </c>
      <c r="J869" s="6" t="s">
        <v>37</v>
      </c>
      <c r="K869" s="6" t="s">
        <v>30</v>
      </c>
      <c r="L869" s="6" t="s">
        <v>24</v>
      </c>
      <c r="Q869" s="8" t="s">
        <v>2438</v>
      </c>
    </row>
    <row r="870">
      <c r="A870" s="7">
        <v>46108.75382590278</v>
      </c>
      <c r="B870" s="6" t="s">
        <v>2313</v>
      </c>
      <c r="C870" s="6">
        <v>9.810093295E9</v>
      </c>
      <c r="D870" s="6" t="s">
        <v>18</v>
      </c>
      <c r="E870" s="6" t="s">
        <v>55</v>
      </c>
      <c r="F870" s="6" t="s">
        <v>2151</v>
      </c>
      <c r="J870" s="6" t="s">
        <v>30</v>
      </c>
      <c r="K870" s="6" t="s">
        <v>1028</v>
      </c>
      <c r="L870" s="6" t="s">
        <v>24</v>
      </c>
      <c r="Q870" s="8" t="s">
        <v>2439</v>
      </c>
    </row>
    <row r="871">
      <c r="A871" s="7">
        <v>46108.75442907408</v>
      </c>
      <c r="B871" s="6" t="s">
        <v>2440</v>
      </c>
      <c r="D871" s="6" t="s">
        <v>18</v>
      </c>
      <c r="E871" s="6" t="s">
        <v>34</v>
      </c>
      <c r="F871" s="6" t="s">
        <v>101</v>
      </c>
      <c r="J871" s="6" t="s">
        <v>847</v>
      </c>
      <c r="K871" s="6" t="s">
        <v>30</v>
      </c>
      <c r="L871" s="6" t="s">
        <v>24</v>
      </c>
      <c r="Q871" s="8" t="s">
        <v>2441</v>
      </c>
    </row>
    <row r="872">
      <c r="A872" s="7">
        <v>46108.75516170139</v>
      </c>
      <c r="B872" s="6" t="s">
        <v>2308</v>
      </c>
      <c r="D872" s="6" t="s">
        <v>18</v>
      </c>
      <c r="E872" s="6" t="s">
        <v>55</v>
      </c>
      <c r="F872" s="6" t="s">
        <v>2442</v>
      </c>
      <c r="J872" s="6" t="s">
        <v>37</v>
      </c>
      <c r="K872" s="6" t="s">
        <v>789</v>
      </c>
      <c r="L872" s="6" t="s">
        <v>72</v>
      </c>
      <c r="Q872" s="8" t="s">
        <v>2443</v>
      </c>
    </row>
    <row r="873">
      <c r="A873" s="7">
        <v>46108.755757384264</v>
      </c>
      <c r="B873" s="6" t="s">
        <v>2444</v>
      </c>
      <c r="D873" s="6" t="s">
        <v>311</v>
      </c>
      <c r="E873" s="6" t="s">
        <v>123</v>
      </c>
      <c r="F873" s="6" t="s">
        <v>60</v>
      </c>
      <c r="J873" s="6" t="s">
        <v>37</v>
      </c>
      <c r="K873" s="6" t="s">
        <v>789</v>
      </c>
      <c r="L873" s="6" t="s">
        <v>24</v>
      </c>
      <c r="Q873" s="8" t="s">
        <v>2445</v>
      </c>
    </row>
    <row r="874">
      <c r="A874" s="7">
        <v>46112.647365219906</v>
      </c>
      <c r="B874" s="6" t="s">
        <v>2446</v>
      </c>
      <c r="C874" s="6">
        <v>9.66533231372E11</v>
      </c>
      <c r="D874" s="6" t="s">
        <v>18</v>
      </c>
      <c r="E874" s="6" t="s">
        <v>19</v>
      </c>
      <c r="F874" s="6" t="s">
        <v>2447</v>
      </c>
      <c r="J874" s="6" t="s">
        <v>37</v>
      </c>
      <c r="K874" s="6" t="s">
        <v>1028</v>
      </c>
      <c r="L874" s="6" t="s">
        <v>24</v>
      </c>
      <c r="Q874" s="8" t="s">
        <v>2448</v>
      </c>
    </row>
    <row r="875">
      <c r="A875" s="7">
        <v>46113.64407106482</v>
      </c>
      <c r="B875" s="6" t="s">
        <v>2449</v>
      </c>
      <c r="C875" s="6">
        <v>0.0</v>
      </c>
      <c r="D875" s="6" t="s">
        <v>18</v>
      </c>
      <c r="E875" s="6" t="s">
        <v>34</v>
      </c>
      <c r="F875" s="6" t="s">
        <v>2450</v>
      </c>
      <c r="I875" s="8" t="s">
        <v>2451</v>
      </c>
      <c r="J875" s="6" t="s">
        <v>161</v>
      </c>
      <c r="K875" s="6" t="s">
        <v>789</v>
      </c>
      <c r="L875" s="6" t="s">
        <v>24</v>
      </c>
      <c r="Q875" s="8" t="s">
        <v>2452</v>
      </c>
    </row>
    <row r="876">
      <c r="A876" s="7">
        <v>46113.64511704861</v>
      </c>
      <c r="B876" s="6" t="s">
        <v>2453</v>
      </c>
      <c r="C876" s="6">
        <v>0.0</v>
      </c>
      <c r="D876" s="6" t="s">
        <v>18</v>
      </c>
      <c r="E876" s="6" t="s">
        <v>55</v>
      </c>
      <c r="F876" s="6" t="s">
        <v>2454</v>
      </c>
      <c r="I876" s="8" t="s">
        <v>2455</v>
      </c>
      <c r="J876" s="6" t="s">
        <v>161</v>
      </c>
      <c r="K876" s="6" t="s">
        <v>789</v>
      </c>
      <c r="L876" s="6" t="s">
        <v>24</v>
      </c>
      <c r="Q876" s="8" t="s">
        <v>2456</v>
      </c>
    </row>
    <row r="877">
      <c r="A877" s="7">
        <v>46114.8094031713</v>
      </c>
      <c r="B877" s="6" t="s">
        <v>2457</v>
      </c>
      <c r="C877" s="6">
        <v>9.971118687E9</v>
      </c>
      <c r="D877" s="6" t="s">
        <v>18</v>
      </c>
      <c r="E877" s="6" t="s">
        <v>64</v>
      </c>
      <c r="F877" s="6" t="s">
        <v>2458</v>
      </c>
      <c r="J877" s="6" t="s">
        <v>2459</v>
      </c>
      <c r="L877" s="6" t="s">
        <v>184</v>
      </c>
      <c r="Q877" s="8" t="s">
        <v>2460</v>
      </c>
    </row>
    <row r="878">
      <c r="A878" s="7">
        <v>46115.51673164352</v>
      </c>
      <c r="B878" s="6" t="s">
        <v>2461</v>
      </c>
      <c r="C878" s="6">
        <v>9.810172999E9</v>
      </c>
      <c r="D878" s="6" t="s">
        <v>18</v>
      </c>
      <c r="E878" s="6" t="s">
        <v>64</v>
      </c>
      <c r="F878" s="6" t="s">
        <v>2462</v>
      </c>
      <c r="J878" s="6" t="s">
        <v>2459</v>
      </c>
      <c r="L878" s="6" t="s">
        <v>24</v>
      </c>
      <c r="Q878" s="8" t="s">
        <v>2463</v>
      </c>
    </row>
    <row r="879">
      <c r="A879" s="7">
        <v>46115.51740684028</v>
      </c>
      <c r="B879" s="6" t="s">
        <v>87</v>
      </c>
      <c r="C879" s="6">
        <v>9.899977644E9</v>
      </c>
      <c r="D879" s="6" t="s">
        <v>311</v>
      </c>
      <c r="E879" s="6" t="s">
        <v>1376</v>
      </c>
      <c r="F879" s="6" t="s">
        <v>1120</v>
      </c>
      <c r="J879" s="6" t="s">
        <v>2245</v>
      </c>
      <c r="L879" s="6" t="s">
        <v>24</v>
      </c>
      <c r="Q879" s="8" t="s">
        <v>2464</v>
      </c>
    </row>
    <row r="880">
      <c r="A880" s="7">
        <v>46115.519392581016</v>
      </c>
      <c r="B880" s="6" t="s">
        <v>2465</v>
      </c>
      <c r="C880" s="6">
        <v>9.811262577E9</v>
      </c>
      <c r="D880" s="6" t="s">
        <v>311</v>
      </c>
      <c r="E880" s="6" t="s">
        <v>2466</v>
      </c>
      <c r="F880" s="6" t="s">
        <v>2467</v>
      </c>
      <c r="J880" s="6" t="s">
        <v>2248</v>
      </c>
      <c r="L880" s="6" t="s">
        <v>184</v>
      </c>
      <c r="Q880" s="8" t="s">
        <v>2468</v>
      </c>
    </row>
    <row r="881">
      <c r="A881" s="7">
        <v>46115.51986914352</v>
      </c>
      <c r="B881" s="6" t="s">
        <v>2469</v>
      </c>
      <c r="C881" s="6">
        <v>9.310078293E9</v>
      </c>
      <c r="D881" s="6" t="s">
        <v>18</v>
      </c>
      <c r="E881" s="6" t="s">
        <v>41</v>
      </c>
      <c r="F881" s="6" t="s">
        <v>41</v>
      </c>
      <c r="J881" s="6" t="s">
        <v>847</v>
      </c>
      <c r="L881" s="6" t="s">
        <v>24</v>
      </c>
      <c r="Q881" s="8" t="s">
        <v>2470</v>
      </c>
    </row>
    <row r="882">
      <c r="A882" s="7">
        <v>46115.520818379635</v>
      </c>
      <c r="B882" s="6" t="s">
        <v>2471</v>
      </c>
      <c r="C882" s="6">
        <v>9.899105782E9</v>
      </c>
      <c r="D882" s="6" t="s">
        <v>18</v>
      </c>
      <c r="E882" s="6" t="s">
        <v>76</v>
      </c>
      <c r="F882" s="6" t="s">
        <v>101</v>
      </c>
      <c r="J882" s="6" t="s">
        <v>2248</v>
      </c>
      <c r="L882" s="6" t="s">
        <v>184</v>
      </c>
      <c r="Q882" s="8" t="s">
        <v>2472</v>
      </c>
    </row>
    <row r="883">
      <c r="A883" s="7">
        <v>46115.52198366898</v>
      </c>
      <c r="B883" s="6" t="s">
        <v>2473</v>
      </c>
      <c r="C883" s="6">
        <v>9.811816445E9</v>
      </c>
      <c r="D883" s="6" t="s">
        <v>18</v>
      </c>
      <c r="E883" s="6" t="s">
        <v>55</v>
      </c>
      <c r="F883" s="6" t="s">
        <v>79</v>
      </c>
      <c r="J883" s="6" t="s">
        <v>2248</v>
      </c>
      <c r="L883" s="6" t="s">
        <v>24</v>
      </c>
      <c r="Q883" s="8" t="s">
        <v>2474</v>
      </c>
    </row>
    <row r="884">
      <c r="A884" s="7">
        <v>46115.52309693287</v>
      </c>
      <c r="B884" s="6" t="s">
        <v>2475</v>
      </c>
      <c r="C884" s="6">
        <v>9.667404339E9</v>
      </c>
      <c r="D884" s="6" t="s">
        <v>112</v>
      </c>
      <c r="E884" s="6" t="s">
        <v>64</v>
      </c>
      <c r="F884" s="6" t="s">
        <v>56</v>
      </c>
      <c r="J884" s="6" t="s">
        <v>2245</v>
      </c>
      <c r="L884" s="6" t="s">
        <v>24</v>
      </c>
      <c r="Q884" s="8" t="s">
        <v>2476</v>
      </c>
    </row>
    <row r="885">
      <c r="A885" s="7">
        <v>46115.526960717594</v>
      </c>
      <c r="B885" s="6" t="s">
        <v>2477</v>
      </c>
      <c r="C885" s="6">
        <v>9.711201133E9</v>
      </c>
      <c r="D885" s="6" t="s">
        <v>18</v>
      </c>
      <c r="E885" s="6" t="s">
        <v>76</v>
      </c>
      <c r="F885" s="6" t="s">
        <v>2478</v>
      </c>
      <c r="J885" s="6" t="s">
        <v>2245</v>
      </c>
      <c r="L885" s="6" t="s">
        <v>24</v>
      </c>
      <c r="Q885" s="8" t="s">
        <v>2479</v>
      </c>
    </row>
    <row r="886">
      <c r="A886" s="7">
        <v>46115.52780506945</v>
      </c>
      <c r="B886" s="6" t="s">
        <v>2480</v>
      </c>
      <c r="C886" s="6">
        <v>9.560043925E9</v>
      </c>
      <c r="D886" s="6" t="s">
        <v>18</v>
      </c>
      <c r="E886" s="6" t="s">
        <v>64</v>
      </c>
      <c r="F886" s="6" t="s">
        <v>67</v>
      </c>
      <c r="J886" s="6" t="s">
        <v>1028</v>
      </c>
      <c r="L886" s="6" t="s">
        <v>184</v>
      </c>
      <c r="Q886" s="8" t="s">
        <v>2481</v>
      </c>
    </row>
    <row r="887">
      <c r="A887" s="7">
        <v>46115.52897767361</v>
      </c>
      <c r="B887" s="6" t="s">
        <v>174</v>
      </c>
      <c r="C887" s="6">
        <v>9.86895631E9</v>
      </c>
      <c r="D887" s="6" t="s">
        <v>18</v>
      </c>
      <c r="E887" s="6" t="s">
        <v>55</v>
      </c>
      <c r="F887" s="6" t="s">
        <v>56</v>
      </c>
      <c r="J887" s="6" t="s">
        <v>2245</v>
      </c>
      <c r="L887" s="6" t="s">
        <v>24</v>
      </c>
      <c r="Q887" s="8" t="s">
        <v>2482</v>
      </c>
    </row>
    <row r="888">
      <c r="A888" s="7">
        <v>46115.52959851852</v>
      </c>
      <c r="B888" s="6" t="s">
        <v>2483</v>
      </c>
      <c r="C888" s="6">
        <v>7.838199329E9</v>
      </c>
      <c r="D888" s="6" t="s">
        <v>18</v>
      </c>
      <c r="E888" s="6" t="s">
        <v>34</v>
      </c>
      <c r="F888" s="6" t="s">
        <v>101</v>
      </c>
      <c r="J888" s="6" t="s">
        <v>2245</v>
      </c>
      <c r="L888" s="6" t="s">
        <v>24</v>
      </c>
      <c r="Q888" s="8" t="s">
        <v>2484</v>
      </c>
    </row>
    <row r="889">
      <c r="A889" s="7">
        <v>46115.53035108796</v>
      </c>
      <c r="B889" s="6" t="s">
        <v>598</v>
      </c>
      <c r="C889" s="6">
        <v>9.999348184E9</v>
      </c>
      <c r="D889" s="6" t="s">
        <v>18</v>
      </c>
      <c r="E889" s="6" t="s">
        <v>64</v>
      </c>
      <c r="F889" s="6" t="s">
        <v>20</v>
      </c>
      <c r="J889" s="6" t="s">
        <v>1028</v>
      </c>
      <c r="L889" s="6" t="s">
        <v>184</v>
      </c>
      <c r="Q889" s="8" t="s">
        <v>2485</v>
      </c>
    </row>
    <row r="890">
      <c r="A890" s="7">
        <v>46115.53123060185</v>
      </c>
      <c r="B890" s="6" t="s">
        <v>2486</v>
      </c>
      <c r="C890" s="6">
        <v>7.406813305E9</v>
      </c>
      <c r="D890" s="6" t="s">
        <v>18</v>
      </c>
      <c r="E890" s="6" t="s">
        <v>64</v>
      </c>
      <c r="F890" s="6" t="s">
        <v>2487</v>
      </c>
      <c r="J890" s="6" t="s">
        <v>2245</v>
      </c>
      <c r="L890" s="6" t="s">
        <v>24</v>
      </c>
      <c r="Q890" s="8" t="s">
        <v>2488</v>
      </c>
    </row>
    <row r="891">
      <c r="A891" s="7">
        <v>46115.531987650465</v>
      </c>
      <c r="B891" s="6" t="s">
        <v>2489</v>
      </c>
      <c r="C891" s="6">
        <v>9.313977929E9</v>
      </c>
      <c r="D891" s="6" t="s">
        <v>18</v>
      </c>
      <c r="E891" s="6" t="s">
        <v>34</v>
      </c>
      <c r="F891" s="6" t="s">
        <v>1120</v>
      </c>
      <c r="J891" s="6" t="s">
        <v>2245</v>
      </c>
      <c r="L891" s="6" t="s">
        <v>24</v>
      </c>
      <c r="Q891" s="8" t="s">
        <v>2490</v>
      </c>
    </row>
    <row r="892">
      <c r="A892" s="7">
        <v>46115.53252501157</v>
      </c>
      <c r="B892" s="6" t="s">
        <v>2491</v>
      </c>
      <c r="C892" s="6">
        <v>9.810873146E9</v>
      </c>
      <c r="D892" s="6" t="s">
        <v>18</v>
      </c>
      <c r="E892" s="6" t="s">
        <v>34</v>
      </c>
      <c r="F892" s="6" t="s">
        <v>20</v>
      </c>
      <c r="J892" s="6" t="s">
        <v>1028</v>
      </c>
      <c r="L892" s="6" t="s">
        <v>24</v>
      </c>
      <c r="Q892" s="8" t="s">
        <v>2492</v>
      </c>
    </row>
    <row r="893">
      <c r="A893" s="7">
        <v>46116.55296075231</v>
      </c>
      <c r="B893" s="6" t="s">
        <v>2493</v>
      </c>
      <c r="C893" s="6">
        <v>0.0</v>
      </c>
      <c r="D893" s="6" t="s">
        <v>18</v>
      </c>
      <c r="E893" s="6" t="s">
        <v>55</v>
      </c>
      <c r="F893" s="6" t="s">
        <v>1786</v>
      </c>
      <c r="J893" s="6" t="s">
        <v>30</v>
      </c>
      <c r="K893" s="6" t="s">
        <v>1028</v>
      </c>
      <c r="L893" s="6" t="s">
        <v>24</v>
      </c>
      <c r="Q893" s="8" t="s">
        <v>2494</v>
      </c>
    </row>
    <row r="894">
      <c r="A894" s="7">
        <v>46116.56805699074</v>
      </c>
      <c r="B894" s="6" t="s">
        <v>2495</v>
      </c>
      <c r="C894" s="6">
        <v>9.899719222E9</v>
      </c>
      <c r="D894" s="6" t="s">
        <v>311</v>
      </c>
      <c r="E894" s="6" t="s">
        <v>76</v>
      </c>
      <c r="F894" s="6" t="s">
        <v>2496</v>
      </c>
      <c r="J894" s="6" t="s">
        <v>37</v>
      </c>
      <c r="K894" s="6" t="s">
        <v>30</v>
      </c>
      <c r="L894" s="6" t="s">
        <v>24</v>
      </c>
      <c r="Q894" s="8" t="s">
        <v>2497</v>
      </c>
    </row>
    <row r="895">
      <c r="A895" s="7">
        <v>46116.76336622685</v>
      </c>
      <c r="B895" s="6" t="s">
        <v>2498</v>
      </c>
      <c r="C895" s="6">
        <v>9.810050893E9</v>
      </c>
      <c r="D895" s="6" t="s">
        <v>18</v>
      </c>
      <c r="E895" s="6" t="s">
        <v>64</v>
      </c>
      <c r="F895" s="6" t="s">
        <v>2499</v>
      </c>
      <c r="J895" s="6" t="s">
        <v>847</v>
      </c>
      <c r="K895" s="6" t="s">
        <v>789</v>
      </c>
      <c r="L895" s="6" t="s">
        <v>24</v>
      </c>
      <c r="Q895" s="8" t="s">
        <v>2500</v>
      </c>
    </row>
    <row r="896">
      <c r="A896" s="7">
        <v>46117.657630023146</v>
      </c>
      <c r="B896" s="6" t="s">
        <v>2130</v>
      </c>
      <c r="C896" s="6">
        <v>9.341218128E9</v>
      </c>
      <c r="D896" s="6" t="s">
        <v>311</v>
      </c>
      <c r="E896" s="6" t="s">
        <v>921</v>
      </c>
      <c r="F896" s="6" t="s">
        <v>2317</v>
      </c>
      <c r="G896" s="6" t="s">
        <v>268</v>
      </c>
      <c r="J896" s="6" t="s">
        <v>37</v>
      </c>
      <c r="K896" s="6" t="s">
        <v>789</v>
      </c>
      <c r="L896" s="6" t="s">
        <v>24</v>
      </c>
      <c r="Q896" s="8" t="s">
        <v>2501</v>
      </c>
    </row>
    <row r="897">
      <c r="A897" s="7">
        <v>46119.49787368056</v>
      </c>
      <c r="B897" s="6" t="s">
        <v>2502</v>
      </c>
      <c r="C897" s="6">
        <v>9.82117536E9</v>
      </c>
      <c r="D897" s="6" t="s">
        <v>18</v>
      </c>
      <c r="E897" s="6" t="s">
        <v>55</v>
      </c>
      <c r="F897" s="6" t="s">
        <v>79</v>
      </c>
      <c r="J897" s="6" t="s">
        <v>2318</v>
      </c>
      <c r="L897" s="6" t="s">
        <v>184</v>
      </c>
      <c r="Q897" s="8" t="s">
        <v>2503</v>
      </c>
    </row>
    <row r="898">
      <c r="A898" s="7">
        <v>46119.49889930556</v>
      </c>
      <c r="B898" s="6" t="s">
        <v>2504</v>
      </c>
      <c r="C898" s="6">
        <v>9.899719222E9</v>
      </c>
      <c r="D898" s="6" t="s">
        <v>18</v>
      </c>
      <c r="E898" s="6" t="s">
        <v>2466</v>
      </c>
      <c r="F898" s="6" t="s">
        <v>1120</v>
      </c>
      <c r="J898" s="6" t="s">
        <v>2248</v>
      </c>
      <c r="L898" s="6" t="s">
        <v>24</v>
      </c>
      <c r="Q898" s="8" t="s">
        <v>2505</v>
      </c>
    </row>
    <row r="899">
      <c r="A899" s="7">
        <v>46119.50170731482</v>
      </c>
      <c r="B899" s="6" t="s">
        <v>2506</v>
      </c>
      <c r="C899" s="6">
        <v>9.837024658E9</v>
      </c>
      <c r="D899" s="6" t="s">
        <v>18</v>
      </c>
      <c r="E899" s="6" t="s">
        <v>64</v>
      </c>
      <c r="F899" s="6" t="s">
        <v>2242</v>
      </c>
      <c r="J899" s="6" t="s">
        <v>2248</v>
      </c>
      <c r="L899" s="6" t="s">
        <v>184</v>
      </c>
      <c r="Q899" s="8" t="s">
        <v>2507</v>
      </c>
    </row>
    <row r="900">
      <c r="A900" s="7">
        <v>46119.50968229167</v>
      </c>
      <c r="B900" s="6" t="s">
        <v>2508</v>
      </c>
      <c r="C900" s="6">
        <v>9.891184225E9</v>
      </c>
      <c r="D900" s="6" t="s">
        <v>18</v>
      </c>
      <c r="E900" s="6" t="s">
        <v>34</v>
      </c>
      <c r="F900" s="6" t="s">
        <v>101</v>
      </c>
      <c r="J900" s="6" t="s">
        <v>2245</v>
      </c>
      <c r="L900" s="6" t="s">
        <v>184</v>
      </c>
      <c r="Q900" s="8" t="s">
        <v>2509</v>
      </c>
    </row>
    <row r="901">
      <c r="A901" s="7">
        <v>46119.510325787036</v>
      </c>
      <c r="B901" s="6" t="s">
        <v>2510</v>
      </c>
      <c r="C901" s="6">
        <v>7.045390727E9</v>
      </c>
      <c r="D901" s="6" t="s">
        <v>18</v>
      </c>
      <c r="E901" s="6" t="s">
        <v>55</v>
      </c>
      <c r="F901" s="6" t="s">
        <v>101</v>
      </c>
      <c r="J901" s="6" t="s">
        <v>2318</v>
      </c>
      <c r="L901" s="6" t="s">
        <v>184</v>
      </c>
      <c r="Q901" s="8" t="s">
        <v>2511</v>
      </c>
    </row>
    <row r="902">
      <c r="A902" s="7">
        <v>46119.51131421296</v>
      </c>
      <c r="B902" s="6" t="s">
        <v>2512</v>
      </c>
      <c r="C902" s="6">
        <v>9.818931328E9</v>
      </c>
      <c r="D902" s="6" t="s">
        <v>112</v>
      </c>
      <c r="E902" s="6" t="s">
        <v>112</v>
      </c>
      <c r="F902" s="6" t="s">
        <v>56</v>
      </c>
      <c r="J902" s="6" t="s">
        <v>2245</v>
      </c>
      <c r="L902" s="6" t="s">
        <v>24</v>
      </c>
      <c r="Q902" s="8" t="s">
        <v>2513</v>
      </c>
    </row>
    <row r="903">
      <c r="A903" s="7">
        <v>46119.511862604166</v>
      </c>
      <c r="B903" s="6" t="s">
        <v>2514</v>
      </c>
      <c r="C903" s="6">
        <v>9.560306322E9</v>
      </c>
      <c r="D903" s="6" t="s">
        <v>18</v>
      </c>
      <c r="E903" s="6" t="s">
        <v>55</v>
      </c>
      <c r="F903" s="6" t="s">
        <v>60</v>
      </c>
      <c r="J903" s="6" t="s">
        <v>2248</v>
      </c>
      <c r="L903" s="6" t="s">
        <v>184</v>
      </c>
      <c r="Q903" s="8" t="s">
        <v>2515</v>
      </c>
    </row>
    <row r="904">
      <c r="A904" s="7">
        <v>46119.512606979166</v>
      </c>
      <c r="B904" s="6" t="s">
        <v>2516</v>
      </c>
      <c r="C904" s="6">
        <v>9.711100748E9</v>
      </c>
      <c r="D904" s="6" t="s">
        <v>18</v>
      </c>
      <c r="E904" s="6" t="s">
        <v>1698</v>
      </c>
      <c r="F904" s="6" t="s">
        <v>321</v>
      </c>
      <c r="J904" s="6" t="s">
        <v>2248</v>
      </c>
      <c r="L904" s="6" t="s">
        <v>24</v>
      </c>
      <c r="Q904" s="8" t="s">
        <v>2517</v>
      </c>
    </row>
    <row r="905">
      <c r="A905" s="7">
        <v>46119.51396496528</v>
      </c>
      <c r="B905" s="6" t="s">
        <v>2518</v>
      </c>
      <c r="C905" s="6">
        <v>7.838005383E9</v>
      </c>
      <c r="D905" s="6" t="s">
        <v>112</v>
      </c>
      <c r="E905" s="6" t="s">
        <v>2519</v>
      </c>
      <c r="F905" s="6" t="s">
        <v>101</v>
      </c>
      <c r="J905" s="6" t="s">
        <v>2318</v>
      </c>
      <c r="L905" s="6" t="s">
        <v>24</v>
      </c>
      <c r="Q905" s="8" t="s">
        <v>2520</v>
      </c>
    </row>
    <row r="906">
      <c r="A906" s="7">
        <v>46119.5157159375</v>
      </c>
      <c r="B906" s="6" t="s">
        <v>2521</v>
      </c>
      <c r="C906" s="6">
        <v>7.835846537E9</v>
      </c>
      <c r="D906" s="6" t="s">
        <v>18</v>
      </c>
      <c r="E906" s="6" t="s">
        <v>41</v>
      </c>
      <c r="F906" s="6" t="s">
        <v>41</v>
      </c>
      <c r="J906" s="6" t="s">
        <v>37</v>
      </c>
      <c r="L906" s="6" t="s">
        <v>184</v>
      </c>
      <c r="Q906" s="8" t="s">
        <v>2522</v>
      </c>
    </row>
    <row r="907">
      <c r="A907" s="7">
        <v>46119.516564907404</v>
      </c>
      <c r="B907" s="6" t="s">
        <v>2523</v>
      </c>
      <c r="C907" s="6">
        <v>8.28528065E9</v>
      </c>
      <c r="D907" s="6" t="s">
        <v>18</v>
      </c>
      <c r="E907" s="6" t="s">
        <v>34</v>
      </c>
      <c r="F907" s="6" t="s">
        <v>2351</v>
      </c>
      <c r="J907" s="6" t="s">
        <v>2245</v>
      </c>
      <c r="L907" s="6" t="s">
        <v>24</v>
      </c>
      <c r="Q907" s="8" t="s">
        <v>2524</v>
      </c>
    </row>
    <row r="908">
      <c r="A908" s="7">
        <v>46119.51868108797</v>
      </c>
      <c r="B908" s="6" t="s">
        <v>2525</v>
      </c>
      <c r="C908" s="6">
        <v>9.99915008E9</v>
      </c>
      <c r="D908" s="6" t="s">
        <v>18</v>
      </c>
      <c r="E908" s="6" t="s">
        <v>34</v>
      </c>
      <c r="F908" s="6" t="s">
        <v>2526</v>
      </c>
      <c r="J908" s="6" t="s">
        <v>2245</v>
      </c>
      <c r="L908" s="6" t="s">
        <v>24</v>
      </c>
      <c r="Q908" s="8" t="s">
        <v>2527</v>
      </c>
    </row>
    <row r="909">
      <c r="A909" s="7">
        <v>46119.522383564814</v>
      </c>
      <c r="B909" s="6" t="s">
        <v>2528</v>
      </c>
      <c r="C909" s="6">
        <v>9.910950257E9</v>
      </c>
      <c r="D909" s="6" t="s">
        <v>18</v>
      </c>
      <c r="E909" s="6" t="s">
        <v>64</v>
      </c>
      <c r="F909" s="6" t="s">
        <v>2529</v>
      </c>
      <c r="J909" s="6" t="s">
        <v>2318</v>
      </c>
      <c r="L909" s="6" t="s">
        <v>184</v>
      </c>
      <c r="Q909" s="8" t="s">
        <v>2530</v>
      </c>
    </row>
    <row r="910">
      <c r="A910" s="7">
        <v>46119.5304121875</v>
      </c>
      <c r="B910" s="6" t="s">
        <v>2531</v>
      </c>
      <c r="C910" s="6">
        <v>9.55591206E9</v>
      </c>
      <c r="D910" s="6" t="s">
        <v>18</v>
      </c>
      <c r="E910" s="6" t="s">
        <v>34</v>
      </c>
      <c r="F910" s="6" t="s">
        <v>101</v>
      </c>
      <c r="J910" s="6" t="s">
        <v>2318</v>
      </c>
      <c r="L910" s="6" t="s">
        <v>24</v>
      </c>
      <c r="Q910" s="8" t="s">
        <v>2532</v>
      </c>
    </row>
    <row r="911">
      <c r="A911" s="7">
        <v>46119.55873971064</v>
      </c>
      <c r="B911" s="6" t="s">
        <v>1168</v>
      </c>
      <c r="C911" s="6">
        <v>0.0</v>
      </c>
      <c r="D911" s="6" t="s">
        <v>18</v>
      </c>
      <c r="E911" s="6" t="s">
        <v>123</v>
      </c>
      <c r="F911" s="6" t="s">
        <v>60</v>
      </c>
      <c r="I911" s="8" t="s">
        <v>2533</v>
      </c>
      <c r="J911" s="6" t="s">
        <v>37</v>
      </c>
      <c r="K911" s="6" t="s">
        <v>789</v>
      </c>
      <c r="L911" s="6" t="s">
        <v>24</v>
      </c>
      <c r="Q911" s="8" t="s">
        <v>2534</v>
      </c>
    </row>
    <row r="912">
      <c r="A912" s="7">
        <v>46119.560084004625</v>
      </c>
      <c r="B912" s="6" t="s">
        <v>2535</v>
      </c>
      <c r="C912" s="6">
        <v>9.341218128E9</v>
      </c>
      <c r="D912" s="6" t="s">
        <v>18</v>
      </c>
      <c r="E912" s="6" t="s">
        <v>55</v>
      </c>
      <c r="F912" s="6" t="s">
        <v>101</v>
      </c>
      <c r="I912" s="8" t="s">
        <v>2536</v>
      </c>
      <c r="J912" s="6" t="s">
        <v>37</v>
      </c>
      <c r="K912" s="6" t="s">
        <v>789</v>
      </c>
      <c r="L912" s="6" t="s">
        <v>24</v>
      </c>
      <c r="Q912" s="8" t="s">
        <v>2537</v>
      </c>
    </row>
    <row r="913">
      <c r="A913" s="7">
        <v>46121.57022552083</v>
      </c>
      <c r="B913" s="6" t="s">
        <v>2538</v>
      </c>
      <c r="C913" s="6">
        <v>9.350311254E9</v>
      </c>
      <c r="D913" s="6" t="s">
        <v>18</v>
      </c>
      <c r="E913" s="6" t="s">
        <v>64</v>
      </c>
      <c r="F913" s="6" t="s">
        <v>665</v>
      </c>
      <c r="J913" s="6" t="s">
        <v>2245</v>
      </c>
      <c r="L913" s="6" t="s">
        <v>184</v>
      </c>
      <c r="Q913" s="8" t="s">
        <v>2539</v>
      </c>
    </row>
    <row r="914">
      <c r="A914" s="7">
        <v>46121.57366202546</v>
      </c>
      <c r="B914" s="6" t="s">
        <v>2540</v>
      </c>
      <c r="C914" s="6">
        <v>9.213557107E9</v>
      </c>
      <c r="D914" s="6" t="s">
        <v>18</v>
      </c>
      <c r="E914" s="6" t="s">
        <v>76</v>
      </c>
      <c r="F914" s="6" t="s">
        <v>2541</v>
      </c>
      <c r="J914" s="6" t="s">
        <v>2245</v>
      </c>
      <c r="L914" s="6" t="s">
        <v>24</v>
      </c>
      <c r="Q914" s="8" t="s">
        <v>2542</v>
      </c>
    </row>
    <row r="915">
      <c r="A915" s="7">
        <v>46121.5749783912</v>
      </c>
      <c r="B915" s="6" t="s">
        <v>2543</v>
      </c>
      <c r="C915" s="6">
        <v>9.015802726E9</v>
      </c>
      <c r="D915" s="6" t="s">
        <v>18</v>
      </c>
      <c r="E915" s="6" t="s">
        <v>55</v>
      </c>
      <c r="F915" s="6" t="s">
        <v>2351</v>
      </c>
      <c r="J915" s="6" t="s">
        <v>2248</v>
      </c>
      <c r="L915" s="6" t="s">
        <v>24</v>
      </c>
      <c r="Q915" s="8" t="s">
        <v>2544</v>
      </c>
    </row>
    <row r="916">
      <c r="A916" s="7">
        <v>46121.575820972226</v>
      </c>
      <c r="B916" s="6" t="s">
        <v>2545</v>
      </c>
      <c r="C916" s="6">
        <v>8.178460441E9</v>
      </c>
      <c r="D916" s="6" t="s">
        <v>18</v>
      </c>
      <c r="E916" s="6" t="s">
        <v>55</v>
      </c>
      <c r="F916" s="6" t="s">
        <v>35</v>
      </c>
      <c r="J916" s="6" t="s">
        <v>2318</v>
      </c>
      <c r="L916" s="6" t="s">
        <v>184</v>
      </c>
      <c r="Q916" s="8" t="s">
        <v>2546</v>
      </c>
    </row>
    <row r="917">
      <c r="A917" s="7">
        <v>46121.57683478009</v>
      </c>
      <c r="B917" s="6" t="s">
        <v>2547</v>
      </c>
      <c r="C917" s="6">
        <v>7.838458441E9</v>
      </c>
      <c r="D917" s="6" t="s">
        <v>18</v>
      </c>
      <c r="E917" s="6" t="s">
        <v>1376</v>
      </c>
      <c r="F917" s="6" t="s">
        <v>95</v>
      </c>
      <c r="J917" s="6" t="s">
        <v>2318</v>
      </c>
      <c r="L917" s="6" t="s">
        <v>24</v>
      </c>
      <c r="Q917" s="8" t="s">
        <v>2548</v>
      </c>
    </row>
    <row r="918">
      <c r="A918" s="7">
        <v>46121.57766634259</v>
      </c>
      <c r="B918" s="6" t="s">
        <v>2549</v>
      </c>
      <c r="C918" s="6">
        <v>9.596226327E9</v>
      </c>
      <c r="D918" s="6" t="s">
        <v>75</v>
      </c>
      <c r="E918" s="6" t="s">
        <v>55</v>
      </c>
      <c r="F918" s="6" t="s">
        <v>101</v>
      </c>
      <c r="J918" s="6" t="s">
        <v>2318</v>
      </c>
      <c r="L918" s="6" t="s">
        <v>184</v>
      </c>
      <c r="Q918" s="8" t="s">
        <v>2550</v>
      </c>
    </row>
    <row r="919">
      <c r="A919" s="7">
        <v>46121.578147002314</v>
      </c>
      <c r="B919" s="6" t="s">
        <v>2551</v>
      </c>
      <c r="C919" s="6">
        <v>9.99915008E9</v>
      </c>
      <c r="D919" s="6" t="s">
        <v>18</v>
      </c>
      <c r="E919" s="6" t="s">
        <v>34</v>
      </c>
      <c r="F919" s="6" t="s">
        <v>20</v>
      </c>
      <c r="J919" s="6" t="s">
        <v>2318</v>
      </c>
      <c r="L919" s="6" t="s">
        <v>24</v>
      </c>
      <c r="Q919" s="8" t="s">
        <v>2552</v>
      </c>
    </row>
    <row r="920">
      <c r="A920" s="7">
        <v>46121.639554340276</v>
      </c>
      <c r="B920" s="6" t="s">
        <v>233</v>
      </c>
      <c r="C920" s="6">
        <v>0.0</v>
      </c>
      <c r="D920" s="6" t="s">
        <v>18</v>
      </c>
      <c r="E920" s="6" t="s">
        <v>76</v>
      </c>
      <c r="F920" s="6" t="s">
        <v>2553</v>
      </c>
      <c r="I920" s="8" t="s">
        <v>2554</v>
      </c>
      <c r="J920" s="6" t="s">
        <v>847</v>
      </c>
      <c r="K920" s="6" t="s">
        <v>789</v>
      </c>
      <c r="L920" s="6" t="s">
        <v>24</v>
      </c>
      <c r="Q920" s="8" t="s">
        <v>2555</v>
      </c>
    </row>
    <row r="921">
      <c r="A921" s="7">
        <v>46122.73859690972</v>
      </c>
      <c r="B921" s="6" t="s">
        <v>2556</v>
      </c>
      <c r="C921" s="6">
        <v>0.0</v>
      </c>
      <c r="D921" s="6" t="s">
        <v>18</v>
      </c>
      <c r="E921" s="6" t="s">
        <v>34</v>
      </c>
      <c r="F921" s="6" t="s">
        <v>35</v>
      </c>
      <c r="I921" s="8" t="s">
        <v>2557</v>
      </c>
      <c r="J921" s="6" t="s">
        <v>847</v>
      </c>
      <c r="K921" s="6" t="s">
        <v>30</v>
      </c>
      <c r="L921" s="6" t="s">
        <v>24</v>
      </c>
      <c r="Q921" s="8" t="s">
        <v>2558</v>
      </c>
    </row>
    <row r="922">
      <c r="A922" s="7">
        <v>46122.81245434028</v>
      </c>
      <c r="B922" s="6" t="s">
        <v>1109</v>
      </c>
      <c r="C922" s="6">
        <v>9.999107495E9</v>
      </c>
      <c r="D922" s="6" t="s">
        <v>311</v>
      </c>
      <c r="E922" s="6" t="s">
        <v>123</v>
      </c>
      <c r="F922" s="6" t="s">
        <v>1120</v>
      </c>
      <c r="J922" s="6" t="s">
        <v>2245</v>
      </c>
      <c r="L922" s="6" t="s">
        <v>24</v>
      </c>
      <c r="Q922" s="8" t="s">
        <v>2559</v>
      </c>
    </row>
    <row r="923">
      <c r="A923" s="7">
        <v>46122.81306083333</v>
      </c>
      <c r="B923" s="6" t="s">
        <v>2560</v>
      </c>
      <c r="C923" s="6">
        <v>9.85897266E8</v>
      </c>
      <c r="D923" s="6" t="s">
        <v>18</v>
      </c>
      <c r="E923" s="6" t="s">
        <v>76</v>
      </c>
      <c r="F923" s="6" t="s">
        <v>1522</v>
      </c>
      <c r="J923" s="6" t="s">
        <v>2245</v>
      </c>
      <c r="L923" s="6" t="s">
        <v>184</v>
      </c>
      <c r="Q923" s="8" t="s">
        <v>2561</v>
      </c>
    </row>
    <row r="924">
      <c r="A924" s="7">
        <v>46122.814128240745</v>
      </c>
      <c r="B924" s="6" t="s">
        <v>2562</v>
      </c>
      <c r="C924" s="6">
        <v>9.650294545E9</v>
      </c>
      <c r="D924" s="6" t="s">
        <v>18</v>
      </c>
      <c r="E924" s="6" t="s">
        <v>41</v>
      </c>
      <c r="F924" s="6" t="s">
        <v>41</v>
      </c>
      <c r="J924" s="6" t="s">
        <v>2245</v>
      </c>
      <c r="L924" s="6" t="s">
        <v>24</v>
      </c>
      <c r="Q924" s="8" t="s">
        <v>2563</v>
      </c>
    </row>
    <row r="925">
      <c r="A925" s="7">
        <v>46124.649367025464</v>
      </c>
      <c r="B925" s="6" t="s">
        <v>2564</v>
      </c>
      <c r="C925" s="6">
        <v>9.013530793E9</v>
      </c>
      <c r="D925" s="6" t="s">
        <v>311</v>
      </c>
      <c r="E925" s="6" t="s">
        <v>55</v>
      </c>
      <c r="F925" s="6" t="s">
        <v>95</v>
      </c>
      <c r="J925" s="6" t="s">
        <v>2245</v>
      </c>
      <c r="L925" s="6" t="s">
        <v>24</v>
      </c>
      <c r="Q925" s="8" t="s">
        <v>2565</v>
      </c>
    </row>
    <row r="926">
      <c r="A926" s="7">
        <v>46124.65044618056</v>
      </c>
      <c r="B926" s="6" t="s">
        <v>2566</v>
      </c>
      <c r="C926" s="6">
        <v>9.122388524E9</v>
      </c>
      <c r="D926" s="6" t="s">
        <v>18</v>
      </c>
      <c r="E926" s="6" t="s">
        <v>34</v>
      </c>
      <c r="F926" s="6" t="s">
        <v>101</v>
      </c>
      <c r="J926" s="6" t="s">
        <v>37</v>
      </c>
      <c r="L926" s="6" t="s">
        <v>184</v>
      </c>
      <c r="Q926" s="8" t="s">
        <v>2567</v>
      </c>
    </row>
    <row r="927">
      <c r="A927" s="7">
        <v>46124.651861817125</v>
      </c>
      <c r="B927" s="6" t="s">
        <v>2568</v>
      </c>
      <c r="C927" s="6">
        <v>9.811816444E9</v>
      </c>
      <c r="D927" s="6" t="s">
        <v>18</v>
      </c>
      <c r="E927" s="6" t="s">
        <v>55</v>
      </c>
      <c r="F927" s="6" t="s">
        <v>2569</v>
      </c>
      <c r="J927" s="6" t="s">
        <v>2459</v>
      </c>
      <c r="L927" s="6" t="s">
        <v>24</v>
      </c>
      <c r="Q927" s="8" t="s">
        <v>2570</v>
      </c>
    </row>
    <row r="928">
      <c r="A928" s="7">
        <v>46124.74215358796</v>
      </c>
      <c r="B928" s="6" t="s">
        <v>2571</v>
      </c>
      <c r="C928" s="6">
        <v>9.3882E9</v>
      </c>
      <c r="D928" s="6" t="s">
        <v>18</v>
      </c>
      <c r="E928" s="6" t="s">
        <v>34</v>
      </c>
      <c r="F928" s="6" t="s">
        <v>20</v>
      </c>
      <c r="I928" s="6" t="s">
        <v>2572</v>
      </c>
      <c r="J928" s="6" t="s">
        <v>2245</v>
      </c>
      <c r="L928" s="6" t="s">
        <v>24</v>
      </c>
      <c r="M928" s="2">
        <v>46124.0</v>
      </c>
      <c r="N928" s="6" t="s">
        <v>25</v>
      </c>
      <c r="O928" s="6" t="s">
        <v>2573</v>
      </c>
      <c r="Q928" s="8" t="s">
        <v>2574</v>
      </c>
    </row>
    <row r="929">
      <c r="A929" s="7">
        <v>46124.75214439815</v>
      </c>
      <c r="B929" s="6" t="s">
        <v>2575</v>
      </c>
      <c r="C929" s="6">
        <v>9.811816444E9</v>
      </c>
      <c r="D929" s="6" t="s">
        <v>18</v>
      </c>
      <c r="E929" s="6" t="s">
        <v>34</v>
      </c>
      <c r="F929" s="6" t="s">
        <v>2576</v>
      </c>
      <c r="I929" s="6" t="s">
        <v>2577</v>
      </c>
      <c r="J929" s="6" t="s">
        <v>2459</v>
      </c>
      <c r="L929" s="6" t="s">
        <v>24</v>
      </c>
      <c r="M929" s="2">
        <v>46124.0</v>
      </c>
      <c r="O929" s="6" t="s">
        <v>2578</v>
      </c>
      <c r="Q929" s="8" t="s">
        <v>2579</v>
      </c>
    </row>
    <row r="930">
      <c r="A930" s="7">
        <v>46124.782232638885</v>
      </c>
      <c r="B930" s="6" t="s">
        <v>2580</v>
      </c>
      <c r="C930" s="6">
        <v>9.718939396E9</v>
      </c>
      <c r="D930" s="6" t="s">
        <v>18</v>
      </c>
      <c r="E930" s="6" t="s">
        <v>34</v>
      </c>
      <c r="F930" s="6" t="s">
        <v>101</v>
      </c>
      <c r="I930" s="8" t="s">
        <v>2581</v>
      </c>
      <c r="J930" s="6" t="s">
        <v>2459</v>
      </c>
      <c r="L930" s="6" t="s">
        <v>24</v>
      </c>
      <c r="M930" s="2">
        <v>46124.0</v>
      </c>
      <c r="N930" s="6" t="s">
        <v>38</v>
      </c>
      <c r="O930" s="6" t="s">
        <v>2582</v>
      </c>
      <c r="Q930" s="8" t="s">
        <v>2583</v>
      </c>
    </row>
    <row r="931">
      <c r="A931" s="7">
        <v>46127.797109374995</v>
      </c>
      <c r="B931" s="6" t="s">
        <v>2584</v>
      </c>
      <c r="C931" s="6">
        <v>7.838470979E9</v>
      </c>
      <c r="D931" s="6" t="s">
        <v>18</v>
      </c>
      <c r="E931" s="6" t="s">
        <v>55</v>
      </c>
      <c r="F931" s="6" t="s">
        <v>79</v>
      </c>
      <c r="J931" s="6" t="s">
        <v>2245</v>
      </c>
      <c r="L931" s="6" t="s">
        <v>24</v>
      </c>
      <c r="M931" s="2">
        <v>46127.0</v>
      </c>
      <c r="N931" s="6" t="s">
        <v>25</v>
      </c>
      <c r="O931" s="6" t="s">
        <v>2585</v>
      </c>
      <c r="Q931" s="8" t="s">
        <v>2586</v>
      </c>
    </row>
    <row r="932">
      <c r="A932" s="7">
        <v>46127.799240740744</v>
      </c>
      <c r="B932" s="6" t="s">
        <v>2587</v>
      </c>
      <c r="C932" s="6">
        <v>9.717700546E9</v>
      </c>
      <c r="D932" s="6" t="s">
        <v>18</v>
      </c>
      <c r="E932" s="6" t="s">
        <v>55</v>
      </c>
      <c r="F932" s="6" t="s">
        <v>1120</v>
      </c>
      <c r="J932" s="6" t="s">
        <v>2318</v>
      </c>
      <c r="L932" s="6" t="s">
        <v>24</v>
      </c>
      <c r="M932" s="2">
        <v>46127.0</v>
      </c>
      <c r="N932" s="6" t="s">
        <v>44</v>
      </c>
      <c r="O932" s="6" t="s">
        <v>2588</v>
      </c>
      <c r="Q932" s="8" t="s">
        <v>2589</v>
      </c>
    </row>
    <row r="933">
      <c r="A933" s="7">
        <v>46127.80392719907</v>
      </c>
      <c r="B933" s="6" t="s">
        <v>2590</v>
      </c>
      <c r="C933" s="6">
        <v>9.837043727E9</v>
      </c>
      <c r="D933" s="6" t="s">
        <v>75</v>
      </c>
      <c r="E933" s="6" t="s">
        <v>55</v>
      </c>
      <c r="F933" s="6" t="s">
        <v>2591</v>
      </c>
      <c r="J933" s="6" t="s">
        <v>2245</v>
      </c>
      <c r="L933" s="6" t="s">
        <v>184</v>
      </c>
      <c r="M933" s="2">
        <v>46127.0</v>
      </c>
      <c r="O933" s="6" t="s">
        <v>2592</v>
      </c>
      <c r="Q933" s="8" t="s">
        <v>2593</v>
      </c>
    </row>
    <row r="934">
      <c r="A934" s="7">
        <v>46127.80618972222</v>
      </c>
      <c r="B934" s="6" t="s">
        <v>2594</v>
      </c>
      <c r="C934" s="6">
        <v>8.800574932E9</v>
      </c>
      <c r="D934" s="6" t="s">
        <v>18</v>
      </c>
      <c r="E934" s="6" t="s">
        <v>55</v>
      </c>
      <c r="F934" s="6" t="s">
        <v>101</v>
      </c>
      <c r="G934" s="6" t="s">
        <v>146</v>
      </c>
      <c r="H934" s="6" t="s">
        <v>2595</v>
      </c>
      <c r="J934" s="6" t="s">
        <v>2318</v>
      </c>
      <c r="L934" s="6" t="s">
        <v>184</v>
      </c>
      <c r="M934" s="2">
        <v>46127.0</v>
      </c>
      <c r="O934" s="6" t="s">
        <v>2596</v>
      </c>
      <c r="Q934" s="8" t="s">
        <v>2597</v>
      </c>
    </row>
    <row r="935">
      <c r="A935" s="7">
        <v>46127.81068892361</v>
      </c>
      <c r="B935" s="6" t="s">
        <v>2489</v>
      </c>
      <c r="C935" s="6">
        <v>9.810578172E9</v>
      </c>
      <c r="D935" s="6" t="s">
        <v>18</v>
      </c>
      <c r="E935" s="6" t="s">
        <v>55</v>
      </c>
      <c r="F935" s="6" t="s">
        <v>2598</v>
      </c>
      <c r="J935" s="6" t="s">
        <v>37</v>
      </c>
      <c r="L935" s="6" t="s">
        <v>24</v>
      </c>
      <c r="M935" s="2">
        <v>46127.0</v>
      </c>
      <c r="O935" s="6" t="s">
        <v>2599</v>
      </c>
      <c r="Q935" s="8" t="s">
        <v>2600</v>
      </c>
    </row>
    <row r="950">
      <c r="Q950" s="6"/>
    </row>
  </sheetData>
  <customSheetViews>
    <customSheetView guid="{5CBB6EB5-E4D6-472A-868E-A3FDF49DB9E3}" filter="1" showAutoFilter="1">
      <autoFilter ref="$A$1:$V$983">
        <filterColumn colId="9">
          <filters>
            <filter val="mansa"/>
            <filter val="Rajni"/>
            <filter val="Suman"/>
            <filter val="Sucheta jew"/>
            <filter val="Priya"/>
            <filter val="Deepali"/>
            <filter val="Ankita"/>
            <filter val="Sanjeev sir"/>
            <filter val="Sucheta"/>
            <filter val="Pooja chandani"/>
            <filter val="Priyanka"/>
          </filters>
        </filterColumn>
      </autoFilter>
    </customSheetView>
    <customSheetView guid="{9F718A2C-5689-4D0D-8BA2-15D895F082A8}" filter="1" showAutoFilter="1">
      <autoFilter ref="$A$1:$V$983"/>
    </customSheetView>
  </customSheetViews>
  <hyperlinks>
    <hyperlink r:id="rId2" ref="Q2"/>
    <hyperlink r:id="rId3" ref="Q3"/>
    <hyperlink r:id="rId4" ref="Q4"/>
    <hyperlink r:id="rId5" ref="Q5"/>
    <hyperlink r:id="rId6" ref="Q6"/>
    <hyperlink r:id="rId7" ref="Q7"/>
    <hyperlink r:id="rId8" ref="Q8"/>
    <hyperlink r:id="rId9" ref="Q9"/>
    <hyperlink r:id="rId10" ref="Q10"/>
    <hyperlink r:id="rId11" ref="Q11"/>
    <hyperlink r:id="rId12" ref="Q12"/>
    <hyperlink r:id="rId13" ref="Q13"/>
    <hyperlink r:id="rId14" ref="Q14"/>
    <hyperlink r:id="rId15" ref="Q15"/>
    <hyperlink r:id="rId16" ref="Q16"/>
    <hyperlink r:id="rId17" ref="Q17"/>
    <hyperlink r:id="rId18" ref="Q18"/>
    <hyperlink r:id="rId19" ref="Q19"/>
    <hyperlink r:id="rId20" ref="Q20"/>
    <hyperlink r:id="rId21" ref="Q21"/>
    <hyperlink r:id="rId22" ref="Q22"/>
    <hyperlink r:id="rId23" ref="Q23"/>
    <hyperlink r:id="rId24" ref="Q24"/>
    <hyperlink r:id="rId25" ref="Q25"/>
    <hyperlink r:id="rId26" ref="Q26"/>
    <hyperlink r:id="rId27" ref="Q27"/>
    <hyperlink r:id="rId28" ref="Q28"/>
    <hyperlink r:id="rId29" ref="Q29"/>
    <hyperlink r:id="rId30" ref="Q30"/>
    <hyperlink r:id="rId31" ref="Q31"/>
    <hyperlink r:id="rId32" ref="Q32"/>
    <hyperlink r:id="rId33" ref="Q33"/>
    <hyperlink r:id="rId34" ref="Q34"/>
    <hyperlink r:id="rId35" ref="Q35"/>
    <hyperlink r:id="rId36" ref="Q36"/>
    <hyperlink r:id="rId37" ref="Q37"/>
    <hyperlink r:id="rId38" ref="Q38"/>
    <hyperlink r:id="rId39" ref="Q39"/>
    <hyperlink r:id="rId40" ref="Q40"/>
    <hyperlink r:id="rId41" ref="Q41"/>
    <hyperlink r:id="rId42" ref="Q42"/>
    <hyperlink r:id="rId43" ref="Q43"/>
    <hyperlink r:id="rId44" ref="Q44"/>
    <hyperlink r:id="rId45" ref="Q45"/>
    <hyperlink r:id="rId46" ref="Q46"/>
    <hyperlink r:id="rId47" ref="Q47"/>
    <hyperlink r:id="rId48" ref="Q48"/>
    <hyperlink r:id="rId49" ref="Q49"/>
    <hyperlink r:id="rId50" ref="Q50"/>
    <hyperlink r:id="rId51" ref="Q51"/>
    <hyperlink r:id="rId52" ref="Q52"/>
    <hyperlink r:id="rId53" ref="Q53"/>
    <hyperlink r:id="rId54" ref="Q54"/>
    <hyperlink r:id="rId55" ref="Q55"/>
    <hyperlink r:id="rId56" ref="Q56"/>
    <hyperlink r:id="rId57" ref="Q57"/>
    <hyperlink r:id="rId58" ref="Q58"/>
    <hyperlink r:id="rId59" ref="Q59"/>
    <hyperlink r:id="rId60" ref="Q60"/>
    <hyperlink r:id="rId61" ref="Q61"/>
    <hyperlink r:id="rId62" ref="Q62"/>
    <hyperlink r:id="rId63" ref="Q63"/>
    <hyperlink r:id="rId64" ref="Q64"/>
    <hyperlink r:id="rId65" ref="Q65"/>
    <hyperlink r:id="rId66" ref="Q66"/>
    <hyperlink r:id="rId67" ref="Q67"/>
    <hyperlink r:id="rId68" ref="Q68"/>
    <hyperlink r:id="rId69" ref="Q69"/>
    <hyperlink r:id="rId70" ref="Q70"/>
    <hyperlink r:id="rId71" ref="Q71"/>
    <hyperlink r:id="rId72" ref="Q72"/>
    <hyperlink r:id="rId73" ref="Q73"/>
    <hyperlink r:id="rId74" ref="Q74"/>
    <hyperlink r:id="rId75" ref="Q75"/>
    <hyperlink r:id="rId76" ref="Q76"/>
    <hyperlink r:id="rId77" ref="Q77"/>
    <hyperlink r:id="rId78" ref="Q78"/>
    <hyperlink r:id="rId79" ref="Q79"/>
    <hyperlink r:id="rId80" ref="Q80"/>
    <hyperlink r:id="rId81" ref="Q81"/>
    <hyperlink r:id="rId82" ref="Q82"/>
    <hyperlink r:id="rId83" ref="Q83"/>
    <hyperlink r:id="rId84" ref="Q84"/>
    <hyperlink r:id="rId85" ref="Q85"/>
    <hyperlink r:id="rId86" ref="Q86"/>
    <hyperlink r:id="rId87" ref="Q87"/>
    <hyperlink r:id="rId88" ref="Q88"/>
    <hyperlink r:id="rId89" ref="Q89"/>
    <hyperlink r:id="rId90" ref="Q90"/>
    <hyperlink r:id="rId91" ref="Q91"/>
    <hyperlink r:id="rId92" ref="Q92"/>
    <hyperlink r:id="rId93" ref="Q93"/>
    <hyperlink r:id="rId94" ref="Q94"/>
    <hyperlink r:id="rId95" ref="Q95"/>
    <hyperlink r:id="rId96" ref="Q96"/>
    <hyperlink r:id="rId97" ref="Q97"/>
    <hyperlink r:id="rId98" ref="Q98"/>
    <hyperlink r:id="rId99" ref="Q99"/>
    <hyperlink r:id="rId100" ref="Q100"/>
    <hyperlink r:id="rId101" ref="Q101"/>
    <hyperlink r:id="rId102" ref="Q102"/>
    <hyperlink r:id="rId103" ref="Q103"/>
    <hyperlink r:id="rId104" ref="Q104"/>
    <hyperlink r:id="rId105" ref="Q105"/>
    <hyperlink r:id="rId106" ref="Q106"/>
    <hyperlink r:id="rId107" ref="Q107"/>
    <hyperlink r:id="rId108" ref="Q108"/>
    <hyperlink r:id="rId109" ref="Q109"/>
    <hyperlink r:id="rId110" ref="Q110"/>
    <hyperlink r:id="rId111" ref="Q111"/>
    <hyperlink r:id="rId112" ref="Q112"/>
    <hyperlink r:id="rId113" ref="Q113"/>
    <hyperlink r:id="rId114" ref="Q114"/>
    <hyperlink r:id="rId115" ref="Q115"/>
    <hyperlink r:id="rId116" ref="Q116"/>
    <hyperlink r:id="rId117" ref="Q117"/>
    <hyperlink r:id="rId118" ref="Q118"/>
    <hyperlink r:id="rId119" ref="Q119"/>
    <hyperlink r:id="rId120" ref="Q120"/>
    <hyperlink r:id="rId121" ref="Q121"/>
    <hyperlink r:id="rId122" ref="Q122"/>
    <hyperlink r:id="rId123" ref="Q123"/>
    <hyperlink r:id="rId124" ref="Q124"/>
    <hyperlink r:id="rId125" ref="Q125"/>
    <hyperlink r:id="rId126" ref="Q126"/>
    <hyperlink r:id="rId127" ref="Q127"/>
    <hyperlink r:id="rId128" ref="Q128"/>
    <hyperlink r:id="rId129" ref="Q129"/>
    <hyperlink r:id="rId130" ref="Q130"/>
    <hyperlink r:id="rId131" ref="Q131"/>
    <hyperlink r:id="rId132" ref="Q132"/>
    <hyperlink r:id="rId133" ref="Q133"/>
    <hyperlink r:id="rId134" ref="Q134"/>
    <hyperlink r:id="rId135" ref="Q135"/>
    <hyperlink r:id="rId136" ref="Q136"/>
    <hyperlink r:id="rId137" ref="Q137"/>
    <hyperlink r:id="rId138" ref="Q138"/>
    <hyperlink r:id="rId139" ref="Q139"/>
    <hyperlink r:id="rId140" ref="Q140"/>
    <hyperlink r:id="rId141" ref="Q141"/>
    <hyperlink r:id="rId142" ref="Q142"/>
    <hyperlink r:id="rId143" ref="Q143"/>
    <hyperlink r:id="rId144" ref="Q144"/>
    <hyperlink r:id="rId145" ref="Q145"/>
    <hyperlink r:id="rId146" ref="Q146"/>
    <hyperlink r:id="rId147" ref="Q147"/>
    <hyperlink r:id="rId148" ref="Q148"/>
    <hyperlink r:id="rId149" ref="Q149"/>
    <hyperlink r:id="rId150" ref="Q150"/>
    <hyperlink r:id="rId151" ref="Q151"/>
    <hyperlink r:id="rId152" ref="Q152"/>
    <hyperlink r:id="rId153" ref="Q153"/>
    <hyperlink r:id="rId154" ref="Q154"/>
    <hyperlink r:id="rId155" ref="Q155"/>
    <hyperlink r:id="rId156" ref="Q156"/>
    <hyperlink r:id="rId157" ref="Q157"/>
    <hyperlink r:id="rId158" ref="I158"/>
    <hyperlink r:id="rId159" ref="Q158"/>
    <hyperlink r:id="rId160" ref="Q159"/>
    <hyperlink r:id="rId161" ref="Q160"/>
    <hyperlink r:id="rId162" ref="I161"/>
    <hyperlink r:id="rId163" ref="Q161"/>
    <hyperlink r:id="rId164" ref="Q162"/>
    <hyperlink r:id="rId165" ref="Q163"/>
    <hyperlink r:id="rId166" ref="Q164"/>
    <hyperlink r:id="rId167" ref="Q165"/>
    <hyperlink r:id="rId168" ref="Q166"/>
    <hyperlink r:id="rId169" ref="Q167"/>
    <hyperlink r:id="rId170" ref="I168"/>
    <hyperlink r:id="rId171" ref="Q168"/>
    <hyperlink r:id="rId172" ref="Q169"/>
    <hyperlink r:id="rId173" ref="Q170"/>
    <hyperlink r:id="rId174" ref="Q171"/>
    <hyperlink r:id="rId175" ref="Q172"/>
    <hyperlink r:id="rId176" ref="Q173"/>
    <hyperlink r:id="rId177" ref="Q174"/>
    <hyperlink r:id="rId178" ref="Q175"/>
    <hyperlink r:id="rId179" ref="Q176"/>
    <hyperlink r:id="rId180" ref="Q177"/>
    <hyperlink r:id="rId181" ref="Q178"/>
    <hyperlink r:id="rId182" ref="Q179"/>
    <hyperlink r:id="rId183" ref="Q180"/>
    <hyperlink r:id="rId184" ref="Q181"/>
    <hyperlink r:id="rId185" ref="Q182"/>
    <hyperlink r:id="rId186" ref="Q183"/>
    <hyperlink r:id="rId187" ref="Q184"/>
    <hyperlink r:id="rId188" ref="Q185"/>
    <hyperlink r:id="rId189" ref="Q186"/>
    <hyperlink r:id="rId190" ref="Q187"/>
    <hyperlink r:id="rId191" ref="Q188"/>
    <hyperlink r:id="rId192" ref="Q189"/>
    <hyperlink r:id="rId193" ref="Q190"/>
    <hyperlink r:id="rId194" ref="Q191"/>
    <hyperlink r:id="rId195" ref="Q192"/>
    <hyperlink r:id="rId196" ref="Q193"/>
    <hyperlink r:id="rId197" ref="Q194"/>
    <hyperlink r:id="rId198" ref="Q195"/>
    <hyperlink r:id="rId199" ref="I196"/>
    <hyperlink r:id="rId200" ref="Q196"/>
    <hyperlink r:id="rId201" ref="Q197"/>
    <hyperlink r:id="rId202" ref="Q198"/>
    <hyperlink r:id="rId203" ref="Q199"/>
    <hyperlink r:id="rId204" ref="Q200"/>
    <hyperlink r:id="rId205" ref="Q201"/>
    <hyperlink r:id="rId206" ref="Q202"/>
    <hyperlink r:id="rId207" ref="Q203"/>
    <hyperlink r:id="rId208" ref="Q204"/>
    <hyperlink r:id="rId209" ref="Q205"/>
    <hyperlink r:id="rId210" ref="Q206"/>
    <hyperlink r:id="rId211" ref="Q207"/>
    <hyperlink r:id="rId212" ref="Q208"/>
    <hyperlink r:id="rId213" ref="Q209"/>
    <hyperlink r:id="rId214" ref="Q210"/>
    <hyperlink r:id="rId215" ref="Q211"/>
    <hyperlink r:id="rId216" ref="Q212"/>
    <hyperlink r:id="rId217" ref="Q213"/>
    <hyperlink r:id="rId218" ref="Q214"/>
    <hyperlink r:id="rId219" ref="Q215"/>
    <hyperlink r:id="rId220" ref="Q216"/>
    <hyperlink r:id="rId221" ref="Q217"/>
    <hyperlink r:id="rId222" ref="Q218"/>
    <hyperlink r:id="rId223" ref="Q219"/>
    <hyperlink r:id="rId224" ref="Q220"/>
    <hyperlink r:id="rId225" ref="Q221"/>
    <hyperlink r:id="rId226" ref="Q222"/>
    <hyperlink r:id="rId227" ref="Q223"/>
    <hyperlink r:id="rId228" ref="Q224"/>
    <hyperlink r:id="rId229" ref="Q225"/>
    <hyperlink r:id="rId230" ref="Q226"/>
    <hyperlink r:id="rId231" ref="Q227"/>
    <hyperlink r:id="rId232" ref="Q228"/>
    <hyperlink r:id="rId233" ref="Q229"/>
    <hyperlink r:id="rId234" ref="Q230"/>
    <hyperlink r:id="rId235" ref="Q231"/>
    <hyperlink r:id="rId236" ref="I232"/>
    <hyperlink r:id="rId237" ref="Q232"/>
    <hyperlink r:id="rId238" ref="I233"/>
    <hyperlink r:id="rId239" ref="Q233"/>
    <hyperlink r:id="rId240" ref="I234"/>
    <hyperlink r:id="rId241" ref="Q234"/>
    <hyperlink r:id="rId242" ref="I235"/>
    <hyperlink r:id="rId243" ref="Q235"/>
    <hyperlink r:id="rId244" ref="I236"/>
    <hyperlink r:id="rId245" ref="Q236"/>
    <hyperlink r:id="rId246" ref="Q237"/>
    <hyperlink r:id="rId247" ref="I238"/>
    <hyperlink r:id="rId248" ref="Q238"/>
    <hyperlink r:id="rId249" ref="I239"/>
    <hyperlink r:id="rId250" ref="Q239"/>
    <hyperlink r:id="rId251" ref="I240"/>
    <hyperlink r:id="rId252" ref="Q240"/>
    <hyperlink r:id="rId253" ref="I241"/>
    <hyperlink r:id="rId254" ref="Q241"/>
    <hyperlink r:id="rId255" ref="I242"/>
    <hyperlink r:id="rId256" ref="Q242"/>
    <hyperlink r:id="rId257" ref="I243"/>
    <hyperlink r:id="rId258" ref="Q243"/>
    <hyperlink r:id="rId259" ref="I244"/>
    <hyperlink r:id="rId260" ref="Q244"/>
    <hyperlink r:id="rId261" ref="I245"/>
    <hyperlink r:id="rId262" ref="Q245"/>
    <hyperlink r:id="rId263" ref="Q246"/>
    <hyperlink r:id="rId264" ref="Q247"/>
    <hyperlink r:id="rId265" ref="Q248"/>
    <hyperlink r:id="rId266" ref="Q249"/>
    <hyperlink r:id="rId267" ref="Q250"/>
    <hyperlink r:id="rId268" ref="Q251"/>
    <hyperlink r:id="rId269" ref="Q252"/>
    <hyperlink r:id="rId270" ref="Q253"/>
    <hyperlink r:id="rId271" ref="Q254"/>
    <hyperlink r:id="rId272" ref="Q255"/>
    <hyperlink r:id="rId273" ref="I256"/>
    <hyperlink r:id="rId274" ref="Q256"/>
    <hyperlink r:id="rId275" ref="Q257"/>
    <hyperlink r:id="rId276" ref="Q258"/>
    <hyperlink r:id="rId277" ref="Q259"/>
    <hyperlink r:id="rId278" ref="Q260"/>
    <hyperlink r:id="rId279" ref="Q261"/>
    <hyperlink r:id="rId280" ref="I262"/>
    <hyperlink r:id="rId281" ref="Q262"/>
    <hyperlink r:id="rId282" ref="Q263"/>
    <hyperlink r:id="rId283" ref="Q264"/>
    <hyperlink r:id="rId284" ref="I265"/>
    <hyperlink r:id="rId285" ref="Q265"/>
    <hyperlink r:id="rId286" ref="Q266"/>
    <hyperlink r:id="rId287" ref="Q267"/>
    <hyperlink r:id="rId288" ref="Q268"/>
    <hyperlink r:id="rId289" ref="Q269"/>
    <hyperlink r:id="rId290" ref="Q270"/>
    <hyperlink r:id="rId291" ref="Q271"/>
    <hyperlink r:id="rId292" ref="Q272"/>
    <hyperlink r:id="rId293" ref="I273"/>
    <hyperlink r:id="rId294" ref="Q273"/>
    <hyperlink r:id="rId295" ref="Q274"/>
    <hyperlink r:id="rId296" ref="Q275"/>
    <hyperlink r:id="rId297" ref="Q276"/>
    <hyperlink r:id="rId298" ref="Q277"/>
    <hyperlink r:id="rId299" ref="I278"/>
    <hyperlink r:id="rId300" ref="Q278"/>
    <hyperlink r:id="rId301" ref="Q279"/>
    <hyperlink r:id="rId302" ref="I280"/>
    <hyperlink r:id="rId303" ref="Q280"/>
    <hyperlink r:id="rId304" ref="Q281"/>
    <hyperlink r:id="rId305" ref="Q282"/>
    <hyperlink r:id="rId306" ref="I283"/>
    <hyperlink r:id="rId307" ref="Q283"/>
    <hyperlink r:id="rId308" ref="Q284"/>
    <hyperlink r:id="rId309" ref="Q285"/>
    <hyperlink r:id="rId310" ref="I286"/>
    <hyperlink r:id="rId311" ref="Q286"/>
    <hyperlink r:id="rId312" ref="Q287"/>
    <hyperlink r:id="rId313" ref="I288"/>
    <hyperlink r:id="rId314" ref="Q288"/>
    <hyperlink r:id="rId315" ref="Q289"/>
    <hyperlink r:id="rId316" ref="Q290"/>
    <hyperlink r:id="rId317" ref="I291"/>
    <hyperlink r:id="rId318" ref="Q291"/>
    <hyperlink r:id="rId319" ref="I292"/>
    <hyperlink r:id="rId320" ref="Q292"/>
    <hyperlink r:id="rId321" ref="Q293"/>
    <hyperlink r:id="rId322" ref="Q294"/>
    <hyperlink r:id="rId323" ref="Q295"/>
    <hyperlink r:id="rId324" ref="Q296"/>
    <hyperlink r:id="rId325" ref="Q297"/>
    <hyperlink r:id="rId326" ref="I298"/>
    <hyperlink r:id="rId327" ref="Q298"/>
    <hyperlink r:id="rId328" ref="Q299"/>
    <hyperlink r:id="rId329" ref="Q300"/>
    <hyperlink r:id="rId330" ref="Q301"/>
    <hyperlink r:id="rId331" ref="Q302"/>
    <hyperlink r:id="rId332" ref="Q303"/>
    <hyperlink r:id="rId333" ref="Q304"/>
    <hyperlink r:id="rId334" ref="Q305"/>
    <hyperlink r:id="rId335" ref="Q306"/>
    <hyperlink r:id="rId336" ref="Q307"/>
    <hyperlink r:id="rId337" ref="Q308"/>
    <hyperlink r:id="rId338" ref="Q309"/>
    <hyperlink r:id="rId339" ref="Q310"/>
    <hyperlink r:id="rId340" ref="Q311"/>
    <hyperlink r:id="rId341" ref="Q312"/>
    <hyperlink r:id="rId342" ref="Q313"/>
    <hyperlink r:id="rId343" ref="Q314"/>
    <hyperlink r:id="rId344" ref="Q315"/>
    <hyperlink r:id="rId345" ref="Q316"/>
    <hyperlink r:id="rId346" ref="Q317"/>
    <hyperlink r:id="rId347" ref="Q318"/>
    <hyperlink r:id="rId348" ref="I319"/>
    <hyperlink r:id="rId349" ref="Q319"/>
    <hyperlink r:id="rId350" ref="Q320"/>
    <hyperlink r:id="rId351" ref="I321"/>
    <hyperlink r:id="rId352" ref="Q321"/>
    <hyperlink r:id="rId353" ref="Q322"/>
    <hyperlink r:id="rId354" ref="Q323"/>
    <hyperlink r:id="rId355" ref="I324"/>
    <hyperlink r:id="rId356" ref="Q324"/>
    <hyperlink r:id="rId357" ref="Q325"/>
    <hyperlink r:id="rId358" ref="Q326"/>
    <hyperlink r:id="rId359" ref="Q327"/>
    <hyperlink r:id="rId360" ref="Q328"/>
    <hyperlink r:id="rId361" ref="Q329"/>
    <hyperlink r:id="rId362" ref="Q330"/>
    <hyperlink r:id="rId363" ref="Q331"/>
    <hyperlink r:id="rId364" ref="Q332"/>
    <hyperlink r:id="rId365" ref="Q333"/>
    <hyperlink r:id="rId366" ref="Q334"/>
    <hyperlink r:id="rId367" ref="I335"/>
    <hyperlink r:id="rId368" ref="Q335"/>
    <hyperlink r:id="rId369" ref="I336"/>
    <hyperlink r:id="rId370" ref="Q336"/>
    <hyperlink r:id="rId371" ref="Q337"/>
    <hyperlink r:id="rId372" ref="Q338"/>
    <hyperlink r:id="rId373" ref="Q339"/>
    <hyperlink r:id="rId374" ref="Q340"/>
    <hyperlink r:id="rId375" ref="Q341"/>
    <hyperlink r:id="rId376" ref="Q342"/>
    <hyperlink r:id="rId377" ref="Q343"/>
    <hyperlink r:id="rId378" ref="I344"/>
    <hyperlink r:id="rId379" ref="Q344"/>
    <hyperlink r:id="rId380" ref="Q345"/>
    <hyperlink r:id="rId381" ref="Q346"/>
    <hyperlink r:id="rId382" ref="Q347"/>
    <hyperlink r:id="rId383" ref="Q348"/>
    <hyperlink r:id="rId384" ref="Q350"/>
    <hyperlink r:id="rId385" ref="Q351"/>
    <hyperlink r:id="rId386" ref="Q352"/>
    <hyperlink r:id="rId387" ref="Q353"/>
    <hyperlink r:id="rId388" ref="Q354"/>
    <hyperlink r:id="rId389" ref="Q355"/>
    <hyperlink r:id="rId390" ref="Q356"/>
    <hyperlink r:id="rId391" ref="Q357"/>
    <hyperlink r:id="rId392" ref="Q358"/>
    <hyperlink r:id="rId393" ref="Q359"/>
    <hyperlink r:id="rId394" ref="Q360"/>
    <hyperlink r:id="rId395" ref="Q361"/>
    <hyperlink r:id="rId396" ref="Q362"/>
    <hyperlink r:id="rId397" ref="Q363"/>
    <hyperlink r:id="rId398" ref="Q364"/>
    <hyperlink r:id="rId399" ref="Q365"/>
    <hyperlink r:id="rId400" ref="Q366"/>
    <hyperlink r:id="rId401" ref="Q367"/>
    <hyperlink r:id="rId402" ref="Q368"/>
    <hyperlink r:id="rId403" ref="Q369"/>
    <hyperlink r:id="rId404" ref="Q370"/>
    <hyperlink r:id="rId405" ref="Q371"/>
    <hyperlink r:id="rId406" ref="Q372"/>
    <hyperlink r:id="rId407" ref="Q373"/>
    <hyperlink r:id="rId408" ref="Q374"/>
    <hyperlink r:id="rId409" ref="Q375"/>
    <hyperlink r:id="rId410" ref="Q376"/>
    <hyperlink r:id="rId411" ref="Q377"/>
    <hyperlink r:id="rId412" ref="Q378"/>
    <hyperlink r:id="rId413" ref="Q379"/>
    <hyperlink r:id="rId414" ref="Q380"/>
    <hyperlink r:id="rId415" ref="Q381"/>
    <hyperlink r:id="rId416" ref="Q382"/>
    <hyperlink r:id="rId417" ref="Q383"/>
    <hyperlink r:id="rId418" ref="Q384"/>
    <hyperlink r:id="rId419" ref="Q385"/>
    <hyperlink r:id="rId420" ref="Q386"/>
    <hyperlink r:id="rId421" ref="Q387"/>
    <hyperlink r:id="rId422" ref="Q388"/>
    <hyperlink r:id="rId423" ref="Q389"/>
    <hyperlink r:id="rId424" ref="Q390"/>
    <hyperlink r:id="rId425" ref="Q391"/>
    <hyperlink r:id="rId426" ref="Q392"/>
    <hyperlink r:id="rId427" ref="Q393"/>
    <hyperlink r:id="rId428" ref="Q394"/>
    <hyperlink r:id="rId429" ref="Q395"/>
    <hyperlink r:id="rId430" ref="Q396"/>
    <hyperlink r:id="rId431" ref="Q397"/>
    <hyperlink r:id="rId432" ref="Q398"/>
    <hyperlink r:id="rId433" ref="Q399"/>
    <hyperlink r:id="rId434" ref="Q401"/>
    <hyperlink r:id="rId435" ref="Q402"/>
    <hyperlink r:id="rId436" ref="Q403"/>
    <hyperlink r:id="rId437" ref="Q404"/>
    <hyperlink r:id="rId438" ref="Q405"/>
    <hyperlink r:id="rId439" ref="Q406"/>
    <hyperlink r:id="rId440" ref="Q407"/>
    <hyperlink r:id="rId441" ref="Q408"/>
    <hyperlink r:id="rId442" ref="Q409"/>
    <hyperlink r:id="rId443" ref="Q410"/>
    <hyperlink r:id="rId444" ref="Q411"/>
    <hyperlink r:id="rId445" ref="Q412"/>
    <hyperlink r:id="rId446" ref="Q413"/>
    <hyperlink r:id="rId447" ref="Q414"/>
    <hyperlink r:id="rId448" ref="Q415"/>
    <hyperlink r:id="rId449" ref="Q416"/>
    <hyperlink r:id="rId450" ref="Q417"/>
    <hyperlink r:id="rId451" ref="Q418"/>
    <hyperlink r:id="rId452" ref="Q419"/>
    <hyperlink r:id="rId453" ref="Q420"/>
    <hyperlink r:id="rId454" ref="Q421"/>
    <hyperlink r:id="rId455" ref="Q422"/>
    <hyperlink r:id="rId456" ref="Q423"/>
    <hyperlink r:id="rId457" ref="Q424"/>
    <hyperlink r:id="rId458" ref="Q425"/>
    <hyperlink r:id="rId459" ref="Q426"/>
    <hyperlink r:id="rId460" ref="Q427"/>
    <hyperlink r:id="rId461" ref="Q428"/>
    <hyperlink r:id="rId462" ref="Q429"/>
    <hyperlink r:id="rId463" ref="Q430"/>
    <hyperlink r:id="rId464" ref="Q431"/>
    <hyperlink r:id="rId465" ref="Q432"/>
    <hyperlink r:id="rId466" ref="Q433"/>
    <hyperlink r:id="rId467" ref="Q434"/>
    <hyperlink r:id="rId468" ref="Q435"/>
    <hyperlink r:id="rId469" ref="Q436"/>
    <hyperlink r:id="rId470" ref="Q437"/>
    <hyperlink r:id="rId471" ref="Q438"/>
    <hyperlink r:id="rId472" ref="Q439"/>
    <hyperlink r:id="rId473" ref="Q440"/>
    <hyperlink r:id="rId474" ref="Q441"/>
    <hyperlink r:id="rId475" ref="Q442"/>
    <hyperlink r:id="rId476" ref="Q443"/>
    <hyperlink r:id="rId477" ref="Q444"/>
    <hyperlink r:id="rId478" ref="Q445"/>
    <hyperlink r:id="rId479" ref="Q446"/>
    <hyperlink r:id="rId480" ref="Q447"/>
    <hyperlink r:id="rId481" ref="Q448"/>
    <hyperlink r:id="rId482" ref="Q449"/>
    <hyperlink r:id="rId483" ref="Q450"/>
    <hyperlink r:id="rId484" ref="Q451"/>
    <hyperlink r:id="rId485" ref="Q452"/>
    <hyperlink r:id="rId486" ref="Q453"/>
    <hyperlink r:id="rId487" ref="Q454"/>
    <hyperlink r:id="rId488" ref="Q455"/>
    <hyperlink r:id="rId489" ref="Q456"/>
    <hyperlink r:id="rId490" ref="Q457"/>
    <hyperlink r:id="rId491" ref="Q458"/>
    <hyperlink r:id="rId492" ref="Q459"/>
    <hyperlink r:id="rId493" ref="Q460"/>
    <hyperlink r:id="rId494" ref="Q461"/>
    <hyperlink r:id="rId495" ref="Q462"/>
    <hyperlink r:id="rId496" ref="Q463"/>
    <hyperlink r:id="rId497" ref="Q464"/>
    <hyperlink r:id="rId498" ref="Q465"/>
    <hyperlink r:id="rId499" ref="Q466"/>
    <hyperlink r:id="rId500" ref="Q467"/>
    <hyperlink r:id="rId501" ref="Q468"/>
    <hyperlink r:id="rId502" ref="Q469"/>
    <hyperlink r:id="rId503" ref="Q470"/>
    <hyperlink r:id="rId504" ref="Q471"/>
    <hyperlink r:id="rId505" ref="Q472"/>
    <hyperlink r:id="rId506" ref="Q473"/>
    <hyperlink r:id="rId507" ref="Q474"/>
    <hyperlink r:id="rId508" ref="Q475"/>
    <hyperlink r:id="rId509" ref="Q476"/>
    <hyperlink r:id="rId510" ref="Q477"/>
    <hyperlink r:id="rId511" ref="Q478"/>
    <hyperlink r:id="rId512" ref="Q480"/>
    <hyperlink r:id="rId513" ref="Q481"/>
    <hyperlink r:id="rId514" ref="Q482"/>
    <hyperlink r:id="rId515" ref="Q483"/>
    <hyperlink r:id="rId516" ref="Q484"/>
    <hyperlink r:id="rId517" ref="Q485"/>
    <hyperlink r:id="rId518" ref="Q486"/>
    <hyperlink r:id="rId519" ref="Q487"/>
    <hyperlink r:id="rId520" ref="Q488"/>
    <hyperlink r:id="rId521" ref="Q489"/>
    <hyperlink r:id="rId522" ref="Q490"/>
    <hyperlink r:id="rId523" ref="Q491"/>
    <hyperlink r:id="rId524" ref="Q492"/>
    <hyperlink r:id="rId525" ref="Q493"/>
    <hyperlink r:id="rId526" ref="Q494"/>
    <hyperlink r:id="rId527" ref="Q495"/>
    <hyperlink r:id="rId528" ref="Q496"/>
    <hyperlink r:id="rId529" ref="Q497"/>
    <hyperlink r:id="rId530" ref="Q498"/>
    <hyperlink r:id="rId531" ref="Q499"/>
    <hyperlink r:id="rId532" ref="Q500"/>
    <hyperlink r:id="rId533" ref="Q501"/>
    <hyperlink r:id="rId534" ref="Q502"/>
    <hyperlink r:id="rId535" ref="Q503"/>
    <hyperlink r:id="rId536" ref="Q504"/>
    <hyperlink r:id="rId537" ref="Q505"/>
    <hyperlink r:id="rId538" ref="Q506"/>
    <hyperlink r:id="rId539" ref="Q507"/>
    <hyperlink r:id="rId540" ref="Q508"/>
    <hyperlink r:id="rId541" ref="Q509"/>
    <hyperlink r:id="rId542" ref="Q510"/>
    <hyperlink r:id="rId543" ref="Q511"/>
    <hyperlink r:id="rId544" ref="Q512"/>
    <hyperlink r:id="rId545" ref="Q513"/>
    <hyperlink r:id="rId546" ref="Q514"/>
    <hyperlink r:id="rId547" ref="Q515"/>
    <hyperlink r:id="rId548" ref="Q516"/>
    <hyperlink r:id="rId549" ref="Q517"/>
    <hyperlink r:id="rId550" ref="Q518"/>
    <hyperlink r:id="rId551" ref="Q519"/>
    <hyperlink r:id="rId552" ref="Q520"/>
    <hyperlink r:id="rId553" ref="Q521"/>
    <hyperlink r:id="rId554" ref="Q522"/>
    <hyperlink r:id="rId555" ref="Q523"/>
    <hyperlink r:id="rId556" ref="Q524"/>
    <hyperlink r:id="rId557" ref="Q525"/>
    <hyperlink r:id="rId558" ref="Q526"/>
    <hyperlink r:id="rId559" ref="Q527"/>
    <hyperlink r:id="rId560" ref="Q528"/>
    <hyperlink r:id="rId561" ref="Q529"/>
    <hyperlink r:id="rId562" ref="Q530"/>
    <hyperlink r:id="rId563" ref="Q531"/>
    <hyperlink r:id="rId564" ref="Q532"/>
    <hyperlink r:id="rId565" ref="Q533"/>
    <hyperlink r:id="rId566" ref="Q534"/>
    <hyperlink r:id="rId567" ref="Q535"/>
    <hyperlink r:id="rId568" ref="Q536"/>
    <hyperlink r:id="rId569" ref="Q537"/>
    <hyperlink r:id="rId570" ref="Q538"/>
    <hyperlink r:id="rId571" ref="Q539"/>
    <hyperlink r:id="rId572" ref="Q540"/>
    <hyperlink r:id="rId573" ref="Q541"/>
    <hyperlink r:id="rId574" ref="Q542"/>
    <hyperlink r:id="rId575" ref="Q543"/>
    <hyperlink r:id="rId576" ref="Q544"/>
    <hyperlink r:id="rId577" ref="Q545"/>
    <hyperlink r:id="rId578" ref="Q546"/>
    <hyperlink r:id="rId579" ref="Q547"/>
    <hyperlink r:id="rId580" ref="Q548"/>
    <hyperlink r:id="rId581" ref="Q549"/>
    <hyperlink r:id="rId582" ref="Q550"/>
    <hyperlink r:id="rId583" ref="I551"/>
    <hyperlink r:id="rId584" ref="Q551"/>
    <hyperlink r:id="rId585" ref="Q552"/>
    <hyperlink r:id="rId586" ref="Q553"/>
    <hyperlink r:id="rId587" ref="Q554"/>
    <hyperlink r:id="rId588" ref="Q555"/>
    <hyperlink r:id="rId589" ref="Q556"/>
    <hyperlink r:id="rId590" ref="Q557"/>
    <hyperlink r:id="rId591" ref="Q558"/>
    <hyperlink r:id="rId592" ref="Q559"/>
    <hyperlink r:id="rId593" ref="Q560"/>
    <hyperlink r:id="rId594" ref="Q561"/>
    <hyperlink r:id="rId595" ref="Q562"/>
    <hyperlink r:id="rId596" ref="Q563"/>
    <hyperlink r:id="rId597" ref="Q564"/>
    <hyperlink r:id="rId598" ref="Q565"/>
    <hyperlink r:id="rId599" ref="Q566"/>
    <hyperlink r:id="rId600" ref="Q567"/>
    <hyperlink r:id="rId601" ref="Q568"/>
    <hyperlink r:id="rId602" ref="Q569"/>
    <hyperlink r:id="rId603" ref="Q570"/>
    <hyperlink r:id="rId604" ref="Q571"/>
    <hyperlink r:id="rId605" ref="Q572"/>
    <hyperlink r:id="rId606" ref="Q573"/>
    <hyperlink r:id="rId607" ref="Q574"/>
    <hyperlink r:id="rId608" ref="Q575"/>
    <hyperlink r:id="rId609" ref="Q576"/>
    <hyperlink r:id="rId610" ref="Q577"/>
    <hyperlink r:id="rId611" ref="Q578"/>
    <hyperlink r:id="rId612" ref="Q579"/>
    <hyperlink r:id="rId613" ref="Q580"/>
    <hyperlink r:id="rId614" ref="Q581"/>
    <hyperlink r:id="rId615" ref="I582"/>
    <hyperlink r:id="rId616" ref="Q582"/>
    <hyperlink r:id="rId617" ref="Q583"/>
    <hyperlink r:id="rId618" ref="Q584"/>
    <hyperlink r:id="rId619" ref="Q585"/>
    <hyperlink r:id="rId620" ref="Q586"/>
    <hyperlink r:id="rId621" ref="Q587"/>
    <hyperlink r:id="rId622" ref="Q588"/>
    <hyperlink r:id="rId623" ref="Q589"/>
    <hyperlink r:id="rId624" ref="Q590"/>
    <hyperlink r:id="rId625" ref="Q591"/>
    <hyperlink r:id="rId626" ref="Q592"/>
    <hyperlink r:id="rId627" ref="Q593"/>
    <hyperlink r:id="rId628" ref="Q594"/>
    <hyperlink r:id="rId629" ref="Q595"/>
    <hyperlink r:id="rId630" ref="Q596"/>
    <hyperlink r:id="rId631" ref="Q597"/>
    <hyperlink r:id="rId632" ref="Q598"/>
    <hyperlink r:id="rId633" ref="Q599"/>
    <hyperlink r:id="rId634" ref="Q600"/>
    <hyperlink r:id="rId635" ref="Q601"/>
    <hyperlink r:id="rId636" ref="Q602"/>
    <hyperlink r:id="rId637" ref="Q603"/>
    <hyperlink r:id="rId638" ref="Q604"/>
    <hyperlink r:id="rId639" ref="I605"/>
    <hyperlink r:id="rId640" ref="Q605"/>
    <hyperlink r:id="rId641" ref="Q606"/>
    <hyperlink r:id="rId642" ref="Q607"/>
    <hyperlink r:id="rId643" ref="Q608"/>
    <hyperlink r:id="rId644" ref="I609"/>
    <hyperlink r:id="rId645" ref="Q609"/>
    <hyperlink r:id="rId646" ref="Q610"/>
    <hyperlink r:id="rId647" ref="Q611"/>
    <hyperlink r:id="rId648" ref="I612"/>
    <hyperlink r:id="rId649" ref="Q612"/>
    <hyperlink r:id="rId650" ref="I613"/>
    <hyperlink r:id="rId651" ref="Q613"/>
    <hyperlink r:id="rId652" ref="Q614"/>
    <hyperlink r:id="rId653" ref="Q615"/>
    <hyperlink r:id="rId654" ref="I616"/>
    <hyperlink r:id="rId655" ref="Q616"/>
    <hyperlink r:id="rId656" ref="Q617"/>
    <hyperlink r:id="rId657" ref="Q618"/>
    <hyperlink r:id="rId658" ref="Q619"/>
    <hyperlink r:id="rId659" ref="Q620"/>
    <hyperlink r:id="rId660" ref="Q621"/>
    <hyperlink r:id="rId661" ref="Q622"/>
    <hyperlink r:id="rId662" ref="Q623"/>
    <hyperlink r:id="rId663" ref="I624"/>
    <hyperlink r:id="rId664" ref="Q624"/>
    <hyperlink r:id="rId665" ref="I625"/>
    <hyperlink r:id="rId666" ref="Q625"/>
    <hyperlink r:id="rId667" ref="Q626"/>
    <hyperlink r:id="rId668" ref="Q627"/>
    <hyperlink r:id="rId669" ref="Q628"/>
    <hyperlink r:id="rId670" ref="Q629"/>
    <hyperlink r:id="rId671" ref="Q630"/>
    <hyperlink r:id="rId672" ref="Q631"/>
    <hyperlink r:id="rId673" ref="Q632"/>
    <hyperlink r:id="rId674" ref="I633"/>
    <hyperlink r:id="rId675" ref="Q633"/>
    <hyperlink r:id="rId676" ref="Q634"/>
    <hyperlink r:id="rId677" ref="I635"/>
    <hyperlink r:id="rId678" ref="Q635"/>
    <hyperlink r:id="rId679" ref="Q636"/>
    <hyperlink r:id="rId680" ref="Q637"/>
    <hyperlink r:id="rId681" ref="Q638"/>
    <hyperlink r:id="rId682" ref="Q639"/>
    <hyperlink r:id="rId683" ref="I640"/>
    <hyperlink r:id="rId684" ref="Q640"/>
    <hyperlink r:id="rId685" ref="I641"/>
    <hyperlink r:id="rId686" ref="Q641"/>
    <hyperlink r:id="rId687" ref="Q642"/>
    <hyperlink r:id="rId688" ref="Q643"/>
    <hyperlink r:id="rId689" ref="I644"/>
    <hyperlink r:id="rId690" ref="Q644"/>
    <hyperlink r:id="rId691" ref="Q645"/>
    <hyperlink r:id="rId692" ref="Q646"/>
    <hyperlink r:id="rId693" ref="Q647"/>
    <hyperlink r:id="rId694" ref="I648"/>
    <hyperlink r:id="rId695" ref="Q648"/>
    <hyperlink r:id="rId696" ref="Q649"/>
    <hyperlink r:id="rId697" ref="Q650"/>
    <hyperlink r:id="rId698" ref="Q651"/>
    <hyperlink r:id="rId699" ref="Q652"/>
    <hyperlink r:id="rId700" ref="Q653"/>
    <hyperlink r:id="rId701" ref="Q654"/>
    <hyperlink r:id="rId702" ref="Q655"/>
    <hyperlink r:id="rId703" ref="Q656"/>
    <hyperlink r:id="rId704" ref="Q657"/>
    <hyperlink r:id="rId705" ref="Q658"/>
    <hyperlink r:id="rId706" ref="Q659"/>
    <hyperlink r:id="rId707" ref="Q660"/>
    <hyperlink r:id="rId708" ref="Q661"/>
    <hyperlink r:id="rId709" ref="Q662"/>
    <hyperlink r:id="rId710" ref="Q663"/>
    <hyperlink r:id="rId711" ref="I664"/>
    <hyperlink r:id="rId712" ref="Q664"/>
    <hyperlink r:id="rId713" ref="Q665"/>
    <hyperlink r:id="rId714" ref="Q666"/>
    <hyperlink r:id="rId715" ref="Q667"/>
    <hyperlink r:id="rId716" ref="Q668"/>
    <hyperlink r:id="rId717" ref="Q669"/>
    <hyperlink r:id="rId718" ref="I670"/>
    <hyperlink r:id="rId719" ref="Q670"/>
    <hyperlink r:id="rId720" ref="Q671"/>
    <hyperlink r:id="rId721" ref="Q672"/>
    <hyperlink r:id="rId722" ref="Q673"/>
    <hyperlink r:id="rId723" ref="Q674"/>
    <hyperlink r:id="rId724" ref="Q675"/>
    <hyperlink r:id="rId725" ref="Q676"/>
    <hyperlink r:id="rId726" ref="Q677"/>
    <hyperlink r:id="rId727" ref="Q678"/>
    <hyperlink r:id="rId728" ref="Q679"/>
    <hyperlink r:id="rId729" ref="Q680"/>
    <hyperlink r:id="rId730" ref="Q681"/>
    <hyperlink r:id="rId731" ref="Q682"/>
    <hyperlink r:id="rId732" ref="I683"/>
    <hyperlink r:id="rId733" ref="Q683"/>
    <hyperlink r:id="rId734" ref="Q684"/>
    <hyperlink r:id="rId735" ref="I685"/>
    <hyperlink r:id="rId736" ref="Q685"/>
    <hyperlink r:id="rId737" ref="Q686"/>
    <hyperlink r:id="rId738" ref="Q687"/>
    <hyperlink r:id="rId739" ref="I688"/>
    <hyperlink r:id="rId740" ref="Q688"/>
    <hyperlink r:id="rId741" ref="Q689"/>
    <hyperlink r:id="rId742" ref="Q690"/>
    <hyperlink r:id="rId743" ref="I691"/>
    <hyperlink r:id="rId744" ref="Q691"/>
    <hyperlink r:id="rId745" ref="I692"/>
    <hyperlink r:id="rId746" ref="Q692"/>
    <hyperlink r:id="rId747" ref="I693"/>
    <hyperlink r:id="rId748" ref="Q693"/>
    <hyperlink r:id="rId749" ref="I694"/>
    <hyperlink r:id="rId750" ref="Q694"/>
    <hyperlink r:id="rId751" ref="I695"/>
    <hyperlink r:id="rId752" ref="Q695"/>
    <hyperlink r:id="rId753" ref="I696"/>
    <hyperlink r:id="rId754" ref="Q696"/>
    <hyperlink r:id="rId755" ref="I697"/>
    <hyperlink r:id="rId756" ref="Q697"/>
    <hyperlink r:id="rId757" ref="Q698"/>
    <hyperlink r:id="rId758" ref="Q699"/>
    <hyperlink r:id="rId759" ref="I700"/>
    <hyperlink r:id="rId760" ref="Q700"/>
    <hyperlink r:id="rId761" ref="Q701"/>
    <hyperlink r:id="rId762" ref="I702"/>
    <hyperlink r:id="rId763" ref="Q702"/>
    <hyperlink r:id="rId764" ref="Q703"/>
    <hyperlink r:id="rId765" ref="Q704"/>
    <hyperlink r:id="rId766" ref="Q705"/>
    <hyperlink r:id="rId767" ref="Q706"/>
    <hyperlink r:id="rId768" ref="Q707"/>
    <hyperlink r:id="rId769" ref="Q708"/>
    <hyperlink r:id="rId770" ref="Q709"/>
    <hyperlink r:id="rId771" ref="Q710"/>
    <hyperlink r:id="rId772" ref="Q711"/>
    <hyperlink r:id="rId773" ref="Q712"/>
    <hyperlink r:id="rId774" ref="Q713"/>
    <hyperlink r:id="rId775" ref="Q714"/>
    <hyperlink r:id="rId776" ref="Q715"/>
    <hyperlink r:id="rId777" ref="Q716"/>
    <hyperlink r:id="rId778" ref="I717"/>
    <hyperlink r:id="rId779" ref="Q717"/>
    <hyperlink r:id="rId780" ref="Q718"/>
    <hyperlink r:id="rId781" ref="Q719"/>
    <hyperlink r:id="rId782" ref="Q720"/>
    <hyperlink r:id="rId783" ref="Q721"/>
    <hyperlink r:id="rId784" ref="Q722"/>
    <hyperlink r:id="rId785" ref="Q723"/>
    <hyperlink r:id="rId786" ref="Q724"/>
    <hyperlink r:id="rId787" ref="Q725"/>
    <hyperlink r:id="rId788" ref="Q726"/>
    <hyperlink r:id="rId789" ref="Q727"/>
    <hyperlink r:id="rId790" ref="Q728"/>
    <hyperlink r:id="rId791" ref="Q729"/>
    <hyperlink r:id="rId792" ref="Q730"/>
    <hyperlink r:id="rId793" ref="Q731"/>
    <hyperlink r:id="rId794" ref="Q732"/>
    <hyperlink r:id="rId795" ref="Q733"/>
    <hyperlink r:id="rId796" ref="I734"/>
    <hyperlink r:id="rId797" ref="Q734"/>
    <hyperlink r:id="rId798" ref="I735"/>
    <hyperlink r:id="rId799" ref="Q735"/>
    <hyperlink r:id="rId800" ref="I736"/>
    <hyperlink r:id="rId801" ref="Q736"/>
    <hyperlink r:id="rId802" ref="Q737"/>
    <hyperlink r:id="rId803" ref="Q738"/>
    <hyperlink r:id="rId804" ref="Q739"/>
    <hyperlink r:id="rId805" ref="Q740"/>
    <hyperlink r:id="rId806" ref="Q741"/>
    <hyperlink r:id="rId807" ref="Q742"/>
    <hyperlink r:id="rId808" ref="I743"/>
    <hyperlink r:id="rId809" ref="Q743"/>
    <hyperlink r:id="rId810" ref="Q744"/>
    <hyperlink r:id="rId811" ref="Q745"/>
    <hyperlink r:id="rId812" ref="Q746"/>
    <hyperlink r:id="rId813" ref="Q747"/>
    <hyperlink r:id="rId814" ref="Q748"/>
    <hyperlink r:id="rId815" ref="Q749"/>
    <hyperlink r:id="rId816" ref="I750"/>
    <hyperlink r:id="rId817" ref="Q750"/>
    <hyperlink r:id="rId818" ref="Q751"/>
    <hyperlink r:id="rId819" ref="Q752"/>
    <hyperlink r:id="rId820" ref="Q753"/>
    <hyperlink r:id="rId821" ref="Q754"/>
    <hyperlink r:id="rId822" ref="Q755"/>
    <hyperlink r:id="rId823" ref="Q756"/>
    <hyperlink r:id="rId824" ref="Q757"/>
    <hyperlink r:id="rId825" ref="Q758"/>
    <hyperlink r:id="rId826" ref="Q759"/>
    <hyperlink r:id="rId827" ref="Q760"/>
    <hyperlink r:id="rId828" ref="Q761"/>
    <hyperlink r:id="rId829" ref="Q762"/>
    <hyperlink r:id="rId830" ref="Q763"/>
    <hyperlink r:id="rId831" ref="Q764"/>
    <hyperlink r:id="rId832" ref="Q765"/>
    <hyperlink r:id="rId833" ref="Q766"/>
    <hyperlink r:id="rId834" ref="Q767"/>
    <hyperlink r:id="rId835" ref="I768"/>
    <hyperlink r:id="rId836" ref="Q768"/>
    <hyperlink r:id="rId837" ref="I769"/>
    <hyperlink r:id="rId838" ref="Q769"/>
    <hyperlink r:id="rId839" ref="I770"/>
    <hyperlink r:id="rId840" ref="Q770"/>
    <hyperlink r:id="rId841" ref="Q771"/>
    <hyperlink r:id="rId842" ref="Q772"/>
    <hyperlink r:id="rId843" ref="Q773"/>
    <hyperlink r:id="rId844" ref="I774"/>
    <hyperlink r:id="rId845" ref="Q774"/>
    <hyperlink r:id="rId846" ref="Q775"/>
    <hyperlink r:id="rId847" ref="Q776"/>
    <hyperlink r:id="rId848" ref="Q777"/>
    <hyperlink r:id="rId849" ref="Q778"/>
    <hyperlink r:id="rId850" ref="Q779"/>
    <hyperlink r:id="rId851" ref="Q780"/>
    <hyperlink r:id="rId852" ref="Q781"/>
    <hyperlink r:id="rId853" ref="Q782"/>
    <hyperlink r:id="rId854" ref="Q783"/>
    <hyperlink r:id="rId855" ref="Q784"/>
    <hyperlink r:id="rId856" ref="Q785"/>
    <hyperlink r:id="rId857" ref="Q786"/>
    <hyperlink r:id="rId858" ref="Q787"/>
    <hyperlink r:id="rId859" ref="Q788"/>
    <hyperlink r:id="rId860" ref="Q789"/>
    <hyperlink r:id="rId861" ref="Q790"/>
    <hyperlink r:id="rId862" ref="Q791"/>
    <hyperlink r:id="rId863" ref="Q792"/>
    <hyperlink r:id="rId864" ref="Q793"/>
    <hyperlink r:id="rId865" ref="Q794"/>
    <hyperlink r:id="rId866" ref="Q795"/>
    <hyperlink r:id="rId867" ref="Q796"/>
    <hyperlink r:id="rId868" ref="Q797"/>
    <hyperlink r:id="rId869" ref="Q798"/>
    <hyperlink r:id="rId870" ref="Q799"/>
    <hyperlink r:id="rId871" ref="Q800"/>
    <hyperlink r:id="rId872" ref="Q801"/>
    <hyperlink r:id="rId873" ref="Q802"/>
    <hyperlink r:id="rId874" ref="Q803"/>
    <hyperlink r:id="rId875" ref="Q804"/>
    <hyperlink r:id="rId876" ref="Q805"/>
    <hyperlink r:id="rId877" ref="Q806"/>
    <hyperlink r:id="rId878" ref="Q807"/>
    <hyperlink r:id="rId879" ref="Q808"/>
    <hyperlink r:id="rId880" ref="Q809"/>
    <hyperlink r:id="rId881" ref="Q810"/>
    <hyperlink r:id="rId882" ref="I811"/>
    <hyperlink r:id="rId883" ref="Q811"/>
    <hyperlink r:id="rId884" ref="I812"/>
    <hyperlink r:id="rId885" ref="Q812"/>
    <hyperlink r:id="rId886" ref="I813"/>
    <hyperlink r:id="rId887" ref="Q813"/>
    <hyperlink r:id="rId888" ref="Q814"/>
    <hyperlink r:id="rId889" ref="Q815"/>
    <hyperlink r:id="rId890" ref="Q816"/>
    <hyperlink r:id="rId891" ref="Q817"/>
    <hyperlink r:id="rId892" ref="Q818"/>
    <hyperlink r:id="rId893" ref="Q819"/>
    <hyperlink r:id="rId894" ref="Q820"/>
    <hyperlink r:id="rId895" ref="Q821"/>
    <hyperlink r:id="rId896" ref="Q822"/>
    <hyperlink r:id="rId897" ref="Q823"/>
    <hyperlink r:id="rId898" ref="Q824"/>
    <hyperlink r:id="rId899" ref="Q825"/>
    <hyperlink r:id="rId900" ref="Q826"/>
    <hyperlink r:id="rId901" ref="Q827"/>
    <hyperlink r:id="rId902" ref="Q828"/>
    <hyperlink r:id="rId903" ref="Q829"/>
    <hyperlink r:id="rId904" ref="Q830"/>
    <hyperlink r:id="rId905" ref="Q831"/>
    <hyperlink r:id="rId906" ref="Q832"/>
    <hyperlink r:id="rId907" ref="Q833"/>
    <hyperlink r:id="rId908" ref="Q834"/>
    <hyperlink r:id="rId909" ref="Q835"/>
    <hyperlink r:id="rId910" ref="Q836"/>
    <hyperlink r:id="rId911" ref="Q837"/>
    <hyperlink r:id="rId912" ref="Q838"/>
    <hyperlink r:id="rId913" ref="Q839"/>
    <hyperlink r:id="rId914" ref="Q840"/>
    <hyperlink r:id="rId915" ref="Q841"/>
    <hyperlink r:id="rId916" ref="Q842"/>
    <hyperlink r:id="rId917" ref="Q843"/>
    <hyperlink r:id="rId918" ref="Q844"/>
    <hyperlink r:id="rId919" ref="Q845"/>
    <hyperlink r:id="rId920" ref="Q846"/>
    <hyperlink r:id="rId921" ref="Q847"/>
    <hyperlink r:id="rId922" ref="Q848"/>
    <hyperlink r:id="rId923" ref="Q849"/>
    <hyperlink r:id="rId924" ref="Q850"/>
    <hyperlink r:id="rId925" ref="Q851"/>
    <hyperlink r:id="rId926" ref="Q852"/>
    <hyperlink r:id="rId927" ref="Q853"/>
    <hyperlink r:id="rId928" ref="Q854"/>
    <hyperlink r:id="rId929" ref="Q855"/>
    <hyperlink r:id="rId930" ref="Q856"/>
    <hyperlink r:id="rId931" ref="Q857"/>
    <hyperlink r:id="rId932" ref="Q858"/>
    <hyperlink r:id="rId933" ref="Q859"/>
    <hyperlink r:id="rId934" ref="Q860"/>
    <hyperlink r:id="rId935" ref="Q861"/>
    <hyperlink r:id="rId936" ref="Q862"/>
    <hyperlink r:id="rId937" ref="Q863"/>
    <hyperlink r:id="rId938" ref="Q864"/>
    <hyperlink r:id="rId939" ref="Q865"/>
    <hyperlink r:id="rId940" ref="Q866"/>
    <hyperlink r:id="rId941" ref="Q867"/>
    <hyperlink r:id="rId942" ref="Q868"/>
    <hyperlink r:id="rId943" ref="Q869"/>
    <hyperlink r:id="rId944" ref="Q870"/>
    <hyperlink r:id="rId945" ref="Q871"/>
    <hyperlink r:id="rId946" ref="Q872"/>
    <hyperlink r:id="rId947" ref="Q873"/>
    <hyperlink r:id="rId948" ref="Q874"/>
    <hyperlink r:id="rId949" ref="I875"/>
    <hyperlink r:id="rId950" ref="Q875"/>
    <hyperlink r:id="rId951" ref="I876"/>
    <hyperlink r:id="rId952" ref="Q876"/>
    <hyperlink r:id="rId953" ref="Q877"/>
    <hyperlink r:id="rId954" ref="Q878"/>
    <hyperlink r:id="rId955" ref="Q879"/>
    <hyperlink r:id="rId956" ref="Q880"/>
    <hyperlink r:id="rId957" ref="Q881"/>
    <hyperlink r:id="rId958" ref="Q882"/>
    <hyperlink r:id="rId959" ref="Q883"/>
    <hyperlink r:id="rId960" ref="Q884"/>
    <hyperlink r:id="rId961" ref="Q885"/>
    <hyperlink r:id="rId962" ref="Q886"/>
    <hyperlink r:id="rId963" ref="Q887"/>
    <hyperlink r:id="rId964" ref="Q888"/>
    <hyperlink r:id="rId965" ref="Q889"/>
    <hyperlink r:id="rId966" ref="Q890"/>
    <hyperlink r:id="rId967" ref="Q891"/>
    <hyperlink r:id="rId968" ref="Q892"/>
    <hyperlink r:id="rId969" ref="Q893"/>
    <hyperlink r:id="rId970" ref="Q894"/>
    <hyperlink r:id="rId971" ref="Q895"/>
    <hyperlink r:id="rId972" ref="Q896"/>
    <hyperlink r:id="rId973" ref="Q897"/>
    <hyperlink r:id="rId974" ref="Q898"/>
    <hyperlink r:id="rId975" ref="Q899"/>
    <hyperlink r:id="rId976" ref="Q900"/>
    <hyperlink r:id="rId977" ref="Q901"/>
    <hyperlink r:id="rId978" ref="Q902"/>
    <hyperlink r:id="rId979" ref="Q903"/>
    <hyperlink r:id="rId980" ref="Q904"/>
    <hyperlink r:id="rId981" ref="Q905"/>
    <hyperlink r:id="rId982" ref="Q906"/>
    <hyperlink r:id="rId983" ref="Q907"/>
    <hyperlink r:id="rId984" ref="Q908"/>
    <hyperlink r:id="rId985" ref="Q909"/>
    <hyperlink r:id="rId986" ref="Q910"/>
    <hyperlink r:id="rId987" ref="I911"/>
    <hyperlink r:id="rId988" ref="Q911"/>
    <hyperlink r:id="rId989" ref="I912"/>
    <hyperlink r:id="rId990" ref="Q912"/>
    <hyperlink r:id="rId991" ref="Q913"/>
    <hyperlink r:id="rId992" ref="Q914"/>
    <hyperlink r:id="rId993" ref="Q915"/>
    <hyperlink r:id="rId994" ref="Q916"/>
    <hyperlink r:id="rId995" ref="Q917"/>
    <hyperlink r:id="rId996" ref="Q918"/>
    <hyperlink r:id="rId997" ref="Q919"/>
    <hyperlink r:id="rId998" ref="I920"/>
    <hyperlink r:id="rId999" ref="Q920"/>
    <hyperlink r:id="rId1000" ref="I921"/>
    <hyperlink r:id="rId1001" ref="Q921"/>
    <hyperlink r:id="rId1002" ref="Q922"/>
    <hyperlink r:id="rId1003" ref="Q923"/>
    <hyperlink r:id="rId1004" ref="Q924"/>
    <hyperlink r:id="rId1005" ref="Q925"/>
    <hyperlink r:id="rId1006" ref="Q926"/>
    <hyperlink r:id="rId1007" ref="Q927"/>
    <hyperlink r:id="rId1008" ref="Q928"/>
    <hyperlink r:id="rId1009" ref="Q929"/>
    <hyperlink r:id="rId1010" ref="I930"/>
    <hyperlink r:id="rId1011" ref="Q930"/>
    <hyperlink r:id="rId1012" ref="Q931"/>
    <hyperlink r:id="rId1013" ref="Q932"/>
    <hyperlink r:id="rId1014" ref="Q933"/>
    <hyperlink r:id="rId1015" ref="Q934"/>
    <hyperlink r:id="rId1016" ref="Q935"/>
  </hyperlinks>
  <drawing r:id="rId1017"/>
  <legacyDrawing r:id="rId10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1">
        <v>45262.0</v>
      </c>
      <c r="B2" s="12" t="s">
        <v>2601</v>
      </c>
      <c r="C2" s="13">
        <v>9.19555586195E11</v>
      </c>
      <c r="J2" s="6" t="s">
        <v>1111</v>
      </c>
      <c r="P2" s="13" t="s">
        <v>2602</v>
      </c>
      <c r="Q2" s="6"/>
    </row>
    <row r="3">
      <c r="A3" s="11">
        <v>45262.0</v>
      </c>
      <c r="B3" s="12" t="s">
        <v>2603</v>
      </c>
      <c r="C3" s="14">
        <v>9.1989685999E11</v>
      </c>
      <c r="J3" s="6" t="s">
        <v>1111</v>
      </c>
      <c r="P3" s="13" t="s">
        <v>2604</v>
      </c>
    </row>
    <row r="4">
      <c r="A4" s="11">
        <v>45262.0</v>
      </c>
      <c r="B4" s="12" t="s">
        <v>2605</v>
      </c>
      <c r="C4" s="14">
        <v>9.18146302837E11</v>
      </c>
      <c r="J4" s="6" t="s">
        <v>1111</v>
      </c>
      <c r="P4" s="13" t="s">
        <v>2606</v>
      </c>
    </row>
    <row r="5">
      <c r="A5" s="11">
        <v>45262.0</v>
      </c>
      <c r="B5" s="12" t="s">
        <v>2607</v>
      </c>
      <c r="C5" s="14">
        <v>9.19999995592E11</v>
      </c>
      <c r="J5" s="6" t="s">
        <v>1111</v>
      </c>
      <c r="P5" s="13" t="s">
        <v>2608</v>
      </c>
    </row>
    <row r="6">
      <c r="A6" s="11">
        <v>45262.0</v>
      </c>
      <c r="B6" s="12" t="s">
        <v>2609</v>
      </c>
      <c r="C6" s="14">
        <v>9.19711192649E11</v>
      </c>
      <c r="J6" s="6" t="s">
        <v>1111</v>
      </c>
      <c r="P6" s="13" t="s">
        <v>2610</v>
      </c>
    </row>
    <row r="7">
      <c r="A7" s="11">
        <v>45262.0</v>
      </c>
      <c r="B7" s="12" t="s">
        <v>2611</v>
      </c>
      <c r="C7" s="14">
        <v>9.19718028256E11</v>
      </c>
      <c r="J7" s="6" t="s">
        <v>1111</v>
      </c>
      <c r="P7" s="13" t="s">
        <v>2612</v>
      </c>
    </row>
    <row r="8">
      <c r="A8" s="11">
        <v>45262.0</v>
      </c>
      <c r="B8" s="12" t="s">
        <v>2613</v>
      </c>
      <c r="C8" s="14">
        <v>9.19717462277E11</v>
      </c>
      <c r="J8" s="6" t="s">
        <v>1111</v>
      </c>
      <c r="P8" s="13" t="s">
        <v>2614</v>
      </c>
    </row>
    <row r="9">
      <c r="A9" s="11">
        <v>45262.0</v>
      </c>
      <c r="B9" s="12" t="s">
        <v>2615</v>
      </c>
      <c r="C9" s="14">
        <v>9.19599427401E11</v>
      </c>
      <c r="J9" s="6" t="s">
        <v>1111</v>
      </c>
      <c r="P9" s="13" t="s">
        <v>2616</v>
      </c>
    </row>
    <row r="10">
      <c r="A10" s="11">
        <v>45262.0</v>
      </c>
      <c r="B10" s="12" t="s">
        <v>2617</v>
      </c>
      <c r="C10" s="14">
        <v>9.18448745003E11</v>
      </c>
      <c r="J10" s="6" t="s">
        <v>1111</v>
      </c>
      <c r="P10" s="13" t="s">
        <v>2618</v>
      </c>
    </row>
    <row r="11">
      <c r="A11" s="11">
        <v>45262.0</v>
      </c>
      <c r="B11" s="12" t="s">
        <v>2619</v>
      </c>
      <c r="C11" s="14">
        <v>9.19548916659E11</v>
      </c>
      <c r="J11" s="6" t="s">
        <v>1111</v>
      </c>
      <c r="P11" s="13" t="s">
        <v>2620</v>
      </c>
    </row>
    <row r="12">
      <c r="A12" s="11">
        <v>45262.0</v>
      </c>
      <c r="B12" s="12" t="s">
        <v>2621</v>
      </c>
      <c r="C12" s="14">
        <v>9.19996145792E11</v>
      </c>
      <c r="J12" s="6" t="s">
        <v>1111</v>
      </c>
      <c r="P12" s="13" t="s">
        <v>2622</v>
      </c>
    </row>
    <row r="13">
      <c r="A13" s="11">
        <v>45262.0</v>
      </c>
      <c r="B13" s="12" t="s">
        <v>2623</v>
      </c>
      <c r="C13" s="14">
        <v>9.19650585014E11</v>
      </c>
      <c r="J13" s="6" t="s">
        <v>1111</v>
      </c>
      <c r="P13" s="13" t="s">
        <v>2624</v>
      </c>
    </row>
    <row r="14">
      <c r="A14" s="11">
        <v>45262.0</v>
      </c>
      <c r="B14" s="12" t="s">
        <v>2625</v>
      </c>
      <c r="C14" s="14">
        <v>9.19319976359E11</v>
      </c>
      <c r="J14" s="6" t="s">
        <v>1111</v>
      </c>
      <c r="P14" s="13" t="s">
        <v>2626</v>
      </c>
    </row>
    <row r="15">
      <c r="A15" s="11">
        <v>45262.0</v>
      </c>
      <c r="B15" s="12" t="s">
        <v>2627</v>
      </c>
      <c r="C15" s="14">
        <v>9.17975329012E11</v>
      </c>
      <c r="J15" s="6" t="s">
        <v>1111</v>
      </c>
      <c r="P15" s="13" t="s">
        <v>2628</v>
      </c>
    </row>
    <row r="16">
      <c r="A16" s="11">
        <v>45262.0</v>
      </c>
      <c r="B16" s="12" t="s">
        <v>2629</v>
      </c>
      <c r="C16" s="14">
        <v>9.19213199333E11</v>
      </c>
      <c r="J16" s="6" t="s">
        <v>1111</v>
      </c>
      <c r="P16" s="13" t="s">
        <v>2630</v>
      </c>
    </row>
    <row r="17">
      <c r="A17" s="11">
        <v>45262.0</v>
      </c>
      <c r="B17" s="12" t="s">
        <v>2631</v>
      </c>
      <c r="C17" s="14">
        <v>9.19810960901E11</v>
      </c>
      <c r="J17" s="6" t="s">
        <v>1111</v>
      </c>
      <c r="P17" s="13" t="s">
        <v>2632</v>
      </c>
    </row>
    <row r="18">
      <c r="A18" s="11">
        <v>45262.0</v>
      </c>
      <c r="B18" s="12" t="s">
        <v>2633</v>
      </c>
      <c r="C18" s="14">
        <v>9.19602922286E11</v>
      </c>
      <c r="J18" s="6" t="s">
        <v>1111</v>
      </c>
      <c r="P18" s="13" t="s">
        <v>2634</v>
      </c>
    </row>
    <row r="19">
      <c r="A19" s="11">
        <v>45262.0</v>
      </c>
      <c r="B19" s="12" t="s">
        <v>2635</v>
      </c>
      <c r="C19" s="14">
        <v>9.19999772782E11</v>
      </c>
      <c r="J19" s="6" t="s">
        <v>1111</v>
      </c>
      <c r="P19" s="13" t="s">
        <v>2636</v>
      </c>
    </row>
    <row r="20">
      <c r="A20" s="11">
        <v>45262.0</v>
      </c>
      <c r="B20" s="12" t="s">
        <v>2637</v>
      </c>
      <c r="C20" s="14">
        <v>9.19910002635E11</v>
      </c>
      <c r="J20" s="6" t="s">
        <v>1111</v>
      </c>
      <c r="P20" s="13" t="s">
        <v>2638</v>
      </c>
    </row>
    <row r="21">
      <c r="A21" s="11">
        <v>45262.0</v>
      </c>
      <c r="B21" s="12" t="s">
        <v>2639</v>
      </c>
      <c r="C21" s="14">
        <v>9.19654784077E11</v>
      </c>
      <c r="J21" s="6" t="s">
        <v>1111</v>
      </c>
      <c r="P21" s="13" t="s">
        <v>2640</v>
      </c>
    </row>
    <row r="22">
      <c r="A22" s="11">
        <v>45262.0</v>
      </c>
      <c r="B22" s="12" t="s">
        <v>2641</v>
      </c>
      <c r="C22" s="14">
        <v>9.1987110206E11</v>
      </c>
      <c r="J22" s="6" t="s">
        <v>1111</v>
      </c>
      <c r="P22" s="13" t="s">
        <v>2642</v>
      </c>
    </row>
    <row r="23">
      <c r="A23" s="11">
        <v>45262.0</v>
      </c>
      <c r="B23" s="12" t="s">
        <v>2643</v>
      </c>
      <c r="C23" s="14">
        <v>9.1817841757E11</v>
      </c>
      <c r="J23" s="6" t="s">
        <v>1111</v>
      </c>
      <c r="P23" s="13" t="s">
        <v>2644</v>
      </c>
    </row>
    <row r="24">
      <c r="A24" s="11">
        <v>45262.0</v>
      </c>
      <c r="B24" s="12" t="s">
        <v>2645</v>
      </c>
      <c r="C24" s="14">
        <v>9.034541055E9</v>
      </c>
      <c r="J24" s="6" t="s">
        <v>1111</v>
      </c>
      <c r="P24" s="13" t="s">
        <v>2646</v>
      </c>
    </row>
    <row r="25">
      <c r="A25" s="11">
        <v>45262.0</v>
      </c>
      <c r="B25" s="12" t="s">
        <v>2647</v>
      </c>
      <c r="C25" s="14">
        <v>9.18527170257E11</v>
      </c>
      <c r="J25" s="6" t="s">
        <v>1111</v>
      </c>
      <c r="P25" s="13" t="s">
        <v>2648</v>
      </c>
    </row>
    <row r="26">
      <c r="A26" s="11">
        <v>45262.0</v>
      </c>
      <c r="B26" s="12" t="s">
        <v>2649</v>
      </c>
      <c r="C26" s="14">
        <v>6.396196328E9</v>
      </c>
      <c r="J26" s="6" t="s">
        <v>1111</v>
      </c>
      <c r="P26" s="13" t="s">
        <v>2650</v>
      </c>
    </row>
    <row r="27">
      <c r="A27" s="11">
        <v>45262.0</v>
      </c>
      <c r="B27" s="12" t="s">
        <v>2651</v>
      </c>
      <c r="C27" s="14">
        <v>9.18287309278E11</v>
      </c>
      <c r="J27" s="6" t="s">
        <v>1111</v>
      </c>
      <c r="P27" s="13" t="s">
        <v>2652</v>
      </c>
    </row>
    <row r="28">
      <c r="A28" s="11">
        <v>45262.0</v>
      </c>
      <c r="B28" s="12" t="s">
        <v>2653</v>
      </c>
      <c r="C28" s="14">
        <v>9.199119252E11</v>
      </c>
      <c r="J28" s="6" t="s">
        <v>1111</v>
      </c>
      <c r="P28" s="13" t="s">
        <v>2654</v>
      </c>
    </row>
    <row r="29">
      <c r="A29" s="11">
        <v>45262.0</v>
      </c>
      <c r="B29" s="12" t="s">
        <v>2655</v>
      </c>
      <c r="C29" s="14">
        <v>9.19871289095E11</v>
      </c>
      <c r="J29" s="6" t="s">
        <v>1111</v>
      </c>
      <c r="P29" s="13" t="s">
        <v>2656</v>
      </c>
    </row>
    <row r="30">
      <c r="A30" s="11">
        <v>45262.0</v>
      </c>
      <c r="B30" s="12" t="s">
        <v>2657</v>
      </c>
      <c r="C30" s="14">
        <v>9.19711145403E11</v>
      </c>
      <c r="J30" s="6" t="s">
        <v>1111</v>
      </c>
      <c r="P30" s="13" t="s">
        <v>2658</v>
      </c>
    </row>
    <row r="31">
      <c r="A31" s="11">
        <v>45262.0</v>
      </c>
      <c r="B31" s="12" t="s">
        <v>2659</v>
      </c>
      <c r="C31" s="14">
        <v>9.19878006078E11</v>
      </c>
      <c r="J31" s="6" t="s">
        <v>1111</v>
      </c>
      <c r="P31" s="13" t="s">
        <v>2660</v>
      </c>
    </row>
    <row r="32">
      <c r="A32" s="11">
        <v>45262.0</v>
      </c>
      <c r="B32" s="12" t="s">
        <v>2661</v>
      </c>
      <c r="C32" s="14">
        <v>9.19873203061E11</v>
      </c>
      <c r="J32" s="6" t="s">
        <v>1111</v>
      </c>
      <c r="P32" s="13" t="s">
        <v>2662</v>
      </c>
    </row>
    <row r="33">
      <c r="A33" s="11">
        <v>45262.0</v>
      </c>
      <c r="B33" s="12" t="s">
        <v>2663</v>
      </c>
      <c r="C33" s="14">
        <v>9.18800423542E11</v>
      </c>
      <c r="J33" s="6" t="s">
        <v>1111</v>
      </c>
      <c r="P33" s="13" t="s">
        <v>2664</v>
      </c>
    </row>
    <row r="34">
      <c r="A34" s="11">
        <v>45262.0</v>
      </c>
      <c r="B34" s="12" t="s">
        <v>2665</v>
      </c>
      <c r="C34" s="14">
        <v>9.19711767919E11</v>
      </c>
      <c r="J34" s="6" t="s">
        <v>1111</v>
      </c>
      <c r="P34" s="13" t="s">
        <v>2666</v>
      </c>
    </row>
    <row r="35">
      <c r="A35" s="11">
        <v>45262.0</v>
      </c>
      <c r="B35" s="12" t="s">
        <v>2667</v>
      </c>
      <c r="C35" s="14">
        <v>9.19891515315E11</v>
      </c>
      <c r="J35" s="6" t="s">
        <v>1111</v>
      </c>
      <c r="P35" s="13" t="s">
        <v>2668</v>
      </c>
    </row>
    <row r="36">
      <c r="A36" s="11">
        <v>45262.0</v>
      </c>
      <c r="B36" s="12" t="s">
        <v>2669</v>
      </c>
      <c r="C36" s="14">
        <v>9.19810290753E11</v>
      </c>
      <c r="J36" s="6" t="s">
        <v>1111</v>
      </c>
      <c r="P36" s="13" t="s">
        <v>2670</v>
      </c>
    </row>
    <row r="37">
      <c r="A37" s="11">
        <v>45262.0</v>
      </c>
      <c r="B37" s="12" t="s">
        <v>2671</v>
      </c>
      <c r="C37" s="14">
        <v>9.19667112949E11</v>
      </c>
      <c r="J37" s="6" t="s">
        <v>1111</v>
      </c>
      <c r="P37" s="13" t="s">
        <v>2672</v>
      </c>
    </row>
    <row r="38">
      <c r="A38" s="11">
        <v>45262.0</v>
      </c>
      <c r="B38" s="12" t="s">
        <v>2673</v>
      </c>
      <c r="C38" s="14">
        <v>9.1941420678E11</v>
      </c>
      <c r="J38" s="6" t="s">
        <v>1111</v>
      </c>
      <c r="P38" s="13" t="s">
        <v>2674</v>
      </c>
    </row>
    <row r="39">
      <c r="A39" s="11">
        <v>45262.0</v>
      </c>
      <c r="B39" s="12" t="s">
        <v>2675</v>
      </c>
      <c r="C39" s="14">
        <v>9.17982847443E11</v>
      </c>
      <c r="J39" s="6" t="s">
        <v>1111</v>
      </c>
      <c r="P39" s="13" t="s">
        <v>2676</v>
      </c>
    </row>
    <row r="40">
      <c r="A40" s="11">
        <v>45262.0</v>
      </c>
      <c r="B40" s="12" t="s">
        <v>2677</v>
      </c>
      <c r="C40" s="14">
        <v>9.19999850461E11</v>
      </c>
      <c r="J40" s="6" t="s">
        <v>1111</v>
      </c>
      <c r="P40" s="13" t="s">
        <v>2678</v>
      </c>
    </row>
    <row r="41">
      <c r="A41" s="11">
        <v>45262.0</v>
      </c>
      <c r="B41" s="12" t="s">
        <v>2679</v>
      </c>
      <c r="C41" s="14">
        <v>9.17503794424E11</v>
      </c>
      <c r="J41" s="6" t="s">
        <v>1111</v>
      </c>
      <c r="P41" s="13" t="s">
        <v>2680</v>
      </c>
    </row>
    <row r="42">
      <c r="A42" s="11">
        <v>45262.0</v>
      </c>
      <c r="B42" s="12" t="s">
        <v>2681</v>
      </c>
      <c r="C42" s="14">
        <v>9.17888853089E11</v>
      </c>
      <c r="J42" s="6" t="s">
        <v>1111</v>
      </c>
      <c r="P42" s="13" t="s">
        <v>2682</v>
      </c>
    </row>
    <row r="43">
      <c r="A43" s="11">
        <v>45262.0</v>
      </c>
      <c r="B43" s="12" t="s">
        <v>2683</v>
      </c>
      <c r="C43" s="14">
        <v>9.19780034218E11</v>
      </c>
      <c r="J43" s="6" t="s">
        <v>1111</v>
      </c>
      <c r="P43" s="13" t="s">
        <v>2684</v>
      </c>
    </row>
    <row r="44">
      <c r="A44" s="11">
        <v>45262.0</v>
      </c>
      <c r="B44" s="12" t="s">
        <v>2685</v>
      </c>
      <c r="C44" s="14">
        <v>7.696562139E9</v>
      </c>
      <c r="J44" s="6" t="s">
        <v>1111</v>
      </c>
      <c r="P44" s="13" t="s">
        <v>2686</v>
      </c>
    </row>
    <row r="45">
      <c r="A45" s="11">
        <v>45262.0</v>
      </c>
      <c r="B45" s="12" t="s">
        <v>2687</v>
      </c>
      <c r="C45" s="14">
        <v>9.19911198444E11</v>
      </c>
      <c r="J45" s="6" t="s">
        <v>1111</v>
      </c>
      <c r="P45" s="13" t="s">
        <v>2688</v>
      </c>
    </row>
    <row r="46">
      <c r="A46" s="2">
        <v>45314.0</v>
      </c>
      <c r="B46" s="15" t="s">
        <v>1205</v>
      </c>
      <c r="C46" s="16">
        <f>+918800141965</f>
        <v>918800141965</v>
      </c>
      <c r="F46" s="17" t="s">
        <v>2689</v>
      </c>
      <c r="P46" s="17" t="s">
        <v>1206</v>
      </c>
    </row>
    <row r="47">
      <c r="A47" s="2">
        <v>45314.0</v>
      </c>
      <c r="B47" s="15" t="s">
        <v>1202</v>
      </c>
      <c r="C47" s="18">
        <f>+919971016813</f>
        <v>919971016813</v>
      </c>
      <c r="F47" s="17" t="s">
        <v>2689</v>
      </c>
      <c r="P47" s="17" t="s">
        <v>1203</v>
      </c>
    </row>
    <row r="48">
      <c r="A48" s="2">
        <v>45314.0</v>
      </c>
      <c r="B48" s="15" t="s">
        <v>1199</v>
      </c>
      <c r="C48" s="18">
        <f>+919871276271</f>
        <v>919871276271</v>
      </c>
      <c r="F48" s="17" t="s">
        <v>2689</v>
      </c>
      <c r="P48" s="17" t="s">
        <v>1200</v>
      </c>
    </row>
    <row r="49">
      <c r="A49" s="2">
        <v>45314.0</v>
      </c>
      <c r="B49" s="15" t="s">
        <v>1196</v>
      </c>
      <c r="C49" s="18">
        <f>+919870255623</f>
        <v>919870255623</v>
      </c>
      <c r="F49" s="17" t="s">
        <v>2689</v>
      </c>
      <c r="P49" s="17" t="s">
        <v>1197</v>
      </c>
    </row>
    <row r="50">
      <c r="A50" s="2">
        <v>45314.0</v>
      </c>
      <c r="B50" s="15" t="s">
        <v>1192</v>
      </c>
      <c r="C50" s="18">
        <f>+919559725020</f>
        <v>919559725020</v>
      </c>
      <c r="F50" s="17" t="s">
        <v>2689</v>
      </c>
      <c r="P50" s="17" t="s">
        <v>1194</v>
      </c>
    </row>
    <row r="51">
      <c r="A51" s="2">
        <v>45314.0</v>
      </c>
      <c r="B51" s="15" t="s">
        <v>1189</v>
      </c>
      <c r="C51" s="18">
        <f>+919582908403</f>
        <v>919582908403</v>
      </c>
      <c r="F51" s="17" t="s">
        <v>2689</v>
      </c>
      <c r="P51" s="17" t="s">
        <v>1190</v>
      </c>
    </row>
    <row r="52">
      <c r="A52" s="2">
        <v>45314.0</v>
      </c>
      <c r="B52" s="15" t="s">
        <v>1186</v>
      </c>
      <c r="C52" s="18">
        <f>+918800374621</f>
        <v>918800374621</v>
      </c>
      <c r="F52" s="17" t="s">
        <v>2689</v>
      </c>
      <c r="P52" s="17" t="s">
        <v>1187</v>
      </c>
    </row>
    <row r="53">
      <c r="A53" s="2">
        <v>45314.0</v>
      </c>
      <c r="B53" s="15" t="s">
        <v>1182</v>
      </c>
      <c r="C53" s="18">
        <f>+919910056771</f>
        <v>919910056771</v>
      </c>
      <c r="F53" s="17" t="s">
        <v>2689</v>
      </c>
      <c r="P53" s="17" t="s">
        <v>1184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topLeftCell="G1" activePane="topRight" state="frozen"/>
      <selection activeCell="H2" sqref="H2" pane="topRight"/>
    </sheetView>
  </sheetViews>
  <sheetFormatPr customHeight="1" defaultColWidth="12.63" defaultRowHeight="15.75"/>
  <cols>
    <col customWidth="1" min="1" max="1" width="11.75"/>
    <col customWidth="1" min="2" max="2" width="7.13"/>
    <col customWidth="1" min="3" max="3" width="9.38"/>
    <col customWidth="1" min="4" max="4" width="13.25"/>
    <col customWidth="1" min="5" max="5" width="6.25"/>
    <col customWidth="1" min="6" max="6" width="0.38"/>
    <col customWidth="1" min="7" max="7" width="14.25"/>
    <col customWidth="1" min="8" max="8" width="6.38"/>
    <col customWidth="1" min="9" max="9" width="6.13"/>
    <col customWidth="1" min="10" max="10" width="9.38"/>
    <col customWidth="1" min="11" max="11" width="15.0"/>
    <col customWidth="1" min="12" max="12" width="16.25"/>
    <col customWidth="1" min="13" max="13" width="7.13"/>
    <col customWidth="1" min="14" max="14" width="10.88"/>
    <col customWidth="1" min="15" max="15" width="9.63"/>
    <col customWidth="1" min="16" max="16" width="8.63"/>
    <col customWidth="1" min="17" max="17" width="6.63"/>
    <col customWidth="1" min="18" max="19" width="9.38"/>
    <col customWidth="1" min="20" max="20" width="6.13"/>
    <col customWidth="1" min="21" max="21" width="10.5"/>
    <col customWidth="1" min="22" max="22" width="9.38"/>
    <col customWidth="1" min="23" max="23" width="7.25"/>
    <col customWidth="1" min="24" max="27" width="9.38"/>
    <col customWidth="1" min="28" max="28" width="4.13"/>
    <col customWidth="1" min="29" max="29" width="3.25"/>
    <col customWidth="1" min="30" max="30" width="2.88"/>
    <col customWidth="1" min="31" max="31" width="3.5"/>
    <col customWidth="1" min="32" max="32" width="3.25"/>
    <col customWidth="1" min="33" max="33" width="9.25"/>
    <col customWidth="1" min="34" max="34" width="8.88"/>
    <col customWidth="1" min="35" max="35" width="10.63"/>
    <col customWidth="1" min="36" max="36" width="7.5"/>
    <col customWidth="1" min="37" max="37" width="8.25"/>
    <col customWidth="1" min="38" max="38" width="6.88"/>
    <col customWidth="1" min="39" max="39" width="9.38"/>
    <col customWidth="1" min="40" max="40" width="14.25"/>
    <col customWidth="1" min="41" max="41" width="6.75"/>
    <col customWidth="1" min="42" max="42" width="6.13"/>
    <col customWidth="1" min="43" max="43" width="7.5"/>
    <col customWidth="1" min="44" max="44" width="10.88"/>
    <col customWidth="1" min="45" max="45" width="11.25"/>
    <col customWidth="1" min="46" max="46" width="11.13"/>
    <col customWidth="1" min="47" max="47" width="6.38"/>
    <col customWidth="1" min="48" max="48" width="8.0"/>
    <col customWidth="1" min="49" max="49" width="11.88"/>
    <col customWidth="1" min="50" max="50" width="13.0"/>
    <col customWidth="1" min="51" max="51" width="11.38"/>
  </cols>
  <sheetData>
    <row r="1" ht="14.25" hidden="1" customHeight="1">
      <c r="A1" s="19">
        <f>now()</f>
        <v>46133.98391</v>
      </c>
      <c r="G1" s="20"/>
      <c r="H1" s="20"/>
      <c r="I1" s="20"/>
      <c r="J1" s="20"/>
      <c r="K1" s="20"/>
      <c r="L1" s="20"/>
      <c r="M1" s="20"/>
      <c r="N1" s="20"/>
    </row>
    <row r="2" ht="40.5" customHeight="1">
      <c r="A2" s="21" t="s">
        <v>2690</v>
      </c>
      <c r="B2" s="22"/>
      <c r="C2" s="23"/>
      <c r="D2" s="23"/>
      <c r="E2" s="23"/>
      <c r="F2" s="24"/>
      <c r="G2" s="22"/>
      <c r="H2" s="23"/>
      <c r="I2" s="23"/>
      <c r="J2" s="23"/>
      <c r="K2" s="24"/>
      <c r="O2" s="25" t="s">
        <v>2691</v>
      </c>
      <c r="P2" s="23"/>
      <c r="Q2" s="23"/>
      <c r="R2" s="23"/>
      <c r="S2" s="23"/>
      <c r="T2" s="24"/>
      <c r="U2" s="25" t="s">
        <v>2692</v>
      </c>
      <c r="V2" s="23"/>
      <c r="W2" s="23"/>
      <c r="X2" s="23"/>
      <c r="Y2" s="23"/>
      <c r="Z2" s="23"/>
      <c r="AA2" s="24"/>
      <c r="AB2" s="26" t="s">
        <v>2693</v>
      </c>
      <c r="AC2" s="23"/>
      <c r="AD2" s="23"/>
      <c r="AE2" s="23"/>
      <c r="AF2" s="23"/>
      <c r="AG2" s="23"/>
      <c r="AH2" s="24"/>
      <c r="AI2" s="27" t="s">
        <v>2694</v>
      </c>
      <c r="AJ2" s="23"/>
      <c r="AK2" s="23"/>
      <c r="AL2" s="23"/>
      <c r="AM2" s="24"/>
      <c r="AN2" s="25" t="s">
        <v>2695</v>
      </c>
      <c r="AO2" s="23"/>
      <c r="AP2" s="23"/>
      <c r="AQ2" s="24"/>
      <c r="AR2" s="28"/>
      <c r="AS2" s="27" t="s">
        <v>2696</v>
      </c>
      <c r="AT2" s="23"/>
      <c r="AU2" s="23"/>
      <c r="AV2" s="24"/>
      <c r="AW2" s="29"/>
      <c r="AX2" s="30" t="s">
        <v>2697</v>
      </c>
      <c r="AY2" s="21"/>
      <c r="AZ2" s="31"/>
      <c r="BA2" s="31"/>
      <c r="BB2" s="31"/>
    </row>
    <row r="3">
      <c r="A3" s="32" t="s">
        <v>2698</v>
      </c>
      <c r="B3" s="22"/>
      <c r="C3" s="23"/>
      <c r="D3" s="23"/>
      <c r="E3" s="23"/>
      <c r="F3" s="24"/>
      <c r="G3" s="33" t="s">
        <v>2699</v>
      </c>
      <c r="H3" s="23"/>
      <c r="I3" s="23"/>
      <c r="J3" s="24"/>
      <c r="K3" s="33" t="s">
        <v>2699</v>
      </c>
      <c r="L3" s="23"/>
      <c r="M3" s="23"/>
      <c r="N3" s="24"/>
      <c r="O3" s="22" t="s">
        <v>2700</v>
      </c>
      <c r="P3" s="23"/>
      <c r="Q3" s="23"/>
      <c r="R3" s="23"/>
      <c r="S3" s="23"/>
      <c r="T3" s="24"/>
      <c r="U3" s="22" t="s">
        <v>2701</v>
      </c>
      <c r="V3" s="23"/>
      <c r="W3" s="23"/>
      <c r="X3" s="23"/>
      <c r="Y3" s="23"/>
      <c r="Z3" s="23"/>
      <c r="AA3" s="24"/>
      <c r="AB3" s="22" t="s">
        <v>308</v>
      </c>
      <c r="AC3" s="23"/>
      <c r="AD3" s="23"/>
      <c r="AE3" s="23"/>
      <c r="AF3" s="23"/>
      <c r="AG3" s="23"/>
      <c r="AH3" s="24"/>
      <c r="AI3" s="22" t="s">
        <v>308</v>
      </c>
      <c r="AJ3" s="23"/>
      <c r="AK3" s="23"/>
      <c r="AL3" s="23"/>
      <c r="AM3" s="24"/>
      <c r="AN3" s="22" t="s">
        <v>308</v>
      </c>
      <c r="AO3" s="23"/>
      <c r="AP3" s="23"/>
      <c r="AQ3" s="24"/>
      <c r="AR3" s="34"/>
      <c r="AS3" s="22" t="s">
        <v>2702</v>
      </c>
      <c r="AT3" s="23"/>
      <c r="AU3" s="23"/>
      <c r="AV3" s="24"/>
      <c r="AW3" s="34"/>
      <c r="AX3" s="35"/>
      <c r="AY3" s="31"/>
      <c r="AZ3" s="31"/>
      <c r="BA3" s="31"/>
      <c r="BB3" s="31"/>
    </row>
    <row r="4">
      <c r="A4" s="32" t="s">
        <v>2703</v>
      </c>
      <c r="B4" s="36"/>
      <c r="C4" s="23"/>
      <c r="D4" s="23"/>
      <c r="E4" s="23"/>
      <c r="F4" s="24"/>
      <c r="G4" s="37"/>
      <c r="H4" s="23"/>
      <c r="I4" s="23"/>
      <c r="J4" s="24"/>
      <c r="K4" s="37"/>
      <c r="L4" s="23"/>
      <c r="M4" s="23"/>
      <c r="N4" s="24"/>
      <c r="O4" s="36"/>
      <c r="P4" s="23"/>
      <c r="Q4" s="23"/>
      <c r="R4" s="23"/>
      <c r="S4" s="23"/>
      <c r="T4" s="24"/>
      <c r="U4" s="36"/>
      <c r="V4" s="23"/>
      <c r="W4" s="23"/>
      <c r="X4" s="23"/>
      <c r="Y4" s="23"/>
      <c r="Z4" s="23"/>
      <c r="AA4" s="24"/>
      <c r="AB4" s="36"/>
      <c r="AC4" s="23"/>
      <c r="AD4" s="23"/>
      <c r="AE4" s="23"/>
      <c r="AF4" s="23"/>
      <c r="AG4" s="23"/>
      <c r="AH4" s="24"/>
      <c r="AI4" s="36"/>
      <c r="AJ4" s="23"/>
      <c r="AK4" s="23"/>
      <c r="AL4" s="23"/>
      <c r="AM4" s="24"/>
      <c r="AN4" s="36"/>
      <c r="AO4" s="23"/>
      <c r="AP4" s="23"/>
      <c r="AQ4" s="24"/>
      <c r="AR4" s="38"/>
      <c r="AS4" s="36"/>
      <c r="AT4" s="23"/>
      <c r="AU4" s="23"/>
      <c r="AV4" s="24"/>
      <c r="AW4" s="38"/>
      <c r="AX4" s="35"/>
      <c r="AY4" s="31"/>
      <c r="AZ4" s="31"/>
      <c r="BA4" s="31"/>
      <c r="BB4" s="31"/>
    </row>
    <row r="5">
      <c r="A5" s="32" t="s">
        <v>2704</v>
      </c>
      <c r="B5" s="36"/>
      <c r="C5" s="23"/>
      <c r="D5" s="23"/>
      <c r="E5" s="23"/>
      <c r="F5" s="24"/>
      <c r="G5" s="39">
        <v>0.7083333333333334</v>
      </c>
      <c r="H5" s="23"/>
      <c r="I5" s="23"/>
      <c r="J5" s="24"/>
      <c r="K5" s="40">
        <v>0.7916666666666666</v>
      </c>
      <c r="L5" s="23"/>
      <c r="M5" s="23"/>
      <c r="N5" s="24"/>
      <c r="O5" s="41">
        <v>1.0</v>
      </c>
      <c r="P5" s="23"/>
      <c r="Q5" s="23"/>
      <c r="R5" s="23"/>
      <c r="S5" s="23"/>
      <c r="T5" s="24"/>
      <c r="U5" s="41">
        <v>1.0</v>
      </c>
      <c r="V5" s="23"/>
      <c r="W5" s="23"/>
      <c r="X5" s="23"/>
      <c r="Y5" s="23"/>
      <c r="Z5" s="23"/>
      <c r="AA5" s="24"/>
      <c r="AB5" s="42"/>
      <c r="AC5" s="23"/>
      <c r="AD5" s="23"/>
      <c r="AE5" s="23"/>
      <c r="AF5" s="23"/>
      <c r="AG5" s="23"/>
      <c r="AH5" s="24"/>
      <c r="AI5" s="43">
        <v>0.75</v>
      </c>
      <c r="AJ5" s="23"/>
      <c r="AK5" s="23"/>
      <c r="AL5" s="23"/>
      <c r="AM5" s="24"/>
      <c r="AN5" s="44">
        <v>1.0</v>
      </c>
      <c r="AO5" s="23"/>
      <c r="AP5" s="23"/>
      <c r="AQ5" s="24"/>
      <c r="AR5" s="45"/>
      <c r="AS5" s="44">
        <v>2.0</v>
      </c>
      <c r="AT5" s="23"/>
      <c r="AU5" s="23"/>
      <c r="AV5" s="24"/>
      <c r="AW5" s="45"/>
      <c r="AX5" s="35"/>
      <c r="AY5" s="31"/>
      <c r="AZ5" s="31"/>
      <c r="BA5" s="31"/>
      <c r="BB5" s="31"/>
    </row>
    <row r="6" ht="33.0" customHeight="1">
      <c r="A6" s="46" t="s">
        <v>0</v>
      </c>
      <c r="B6" s="47"/>
      <c r="C6" s="48"/>
      <c r="D6" s="48"/>
      <c r="E6" s="49"/>
      <c r="F6" s="49"/>
      <c r="G6" s="50" t="s">
        <v>2705</v>
      </c>
      <c r="H6" s="50" t="s">
        <v>2706</v>
      </c>
      <c r="I6" s="50" t="s">
        <v>2707</v>
      </c>
      <c r="J6" s="50" t="s">
        <v>2708</v>
      </c>
      <c r="K6" s="50" t="s">
        <v>2705</v>
      </c>
      <c r="L6" s="50" t="s">
        <v>2706</v>
      </c>
      <c r="M6" s="50" t="s">
        <v>2707</v>
      </c>
      <c r="N6" s="50" t="s">
        <v>2708</v>
      </c>
      <c r="O6" s="50" t="s">
        <v>2705</v>
      </c>
      <c r="P6" s="50" t="s">
        <v>2706</v>
      </c>
      <c r="Q6" s="50" t="s">
        <v>2707</v>
      </c>
      <c r="R6" s="50" t="s">
        <v>2708</v>
      </c>
      <c r="S6" s="51" t="s">
        <v>2709</v>
      </c>
      <c r="T6" s="51" t="s">
        <v>2710</v>
      </c>
      <c r="U6" s="50" t="s">
        <v>2705</v>
      </c>
      <c r="V6" s="50" t="s">
        <v>2706</v>
      </c>
      <c r="W6" s="50" t="s">
        <v>2707</v>
      </c>
      <c r="X6" s="50" t="s">
        <v>2708</v>
      </c>
      <c r="Y6" s="52" t="s">
        <v>2711</v>
      </c>
      <c r="Z6" s="52" t="s">
        <v>2712</v>
      </c>
      <c r="AA6" s="52" t="s">
        <v>2709</v>
      </c>
      <c r="AB6" s="51">
        <v>1.0</v>
      </c>
      <c r="AC6" s="51">
        <v>2.0</v>
      </c>
      <c r="AD6" s="51">
        <v>3.0</v>
      </c>
      <c r="AE6" s="51">
        <v>4.0</v>
      </c>
      <c r="AF6" s="51">
        <v>5.0</v>
      </c>
      <c r="AG6" s="52" t="s">
        <v>2709</v>
      </c>
      <c r="AH6" s="50" t="s">
        <v>2705</v>
      </c>
      <c r="AI6" s="50" t="s">
        <v>2705</v>
      </c>
      <c r="AJ6" s="50" t="s">
        <v>2706</v>
      </c>
      <c r="AK6" s="50" t="s">
        <v>2707</v>
      </c>
      <c r="AL6" s="50" t="s">
        <v>2708</v>
      </c>
      <c r="AM6" s="51" t="s">
        <v>2709</v>
      </c>
      <c r="AN6" s="50" t="s">
        <v>2705</v>
      </c>
      <c r="AO6" s="50" t="s">
        <v>2706</v>
      </c>
      <c r="AP6" s="50" t="s">
        <v>2707</v>
      </c>
      <c r="AQ6" s="50" t="s">
        <v>2708</v>
      </c>
      <c r="AR6" s="51" t="s">
        <v>2709</v>
      </c>
      <c r="AS6" s="50" t="s">
        <v>2705</v>
      </c>
      <c r="AT6" s="50" t="s">
        <v>2706</v>
      </c>
      <c r="AU6" s="50" t="s">
        <v>2707</v>
      </c>
      <c r="AV6" s="50" t="s">
        <v>2708</v>
      </c>
      <c r="AW6" s="52" t="s">
        <v>2709</v>
      </c>
      <c r="AX6" s="53" t="s">
        <v>2707</v>
      </c>
      <c r="AY6" s="54"/>
      <c r="AZ6" s="54"/>
      <c r="BA6" s="54"/>
      <c r="BB6" s="54"/>
    </row>
    <row r="7">
      <c r="A7" s="55">
        <f t="array" ref="A7:A988">INDEX('Customer Enquiry Form'!$A$2:$A1000,0)</f>
        <v>44625.48588</v>
      </c>
      <c r="B7" s="56"/>
      <c r="C7" s="57"/>
      <c r="D7" s="57"/>
      <c r="E7" s="57"/>
      <c r="F7" s="57"/>
      <c r="G7" s="58">
        <f>if(A7,_xlfn.workday.intl(int(A7),1,"1000000",Holidays!A:A)+17/24,"")</f>
        <v>44626.70833</v>
      </c>
      <c r="H7" s="59" t="str">
        <f t="shared" ref="H7:H69" si="1">if(H7,H7,if(I7&lt;&gt;"",$A$1,""))</f>
        <v/>
      </c>
      <c r="I7" s="60"/>
      <c r="J7" s="61">
        <f t="shared" ref="J7:J1000" si="2">if(G7,if(H7&lt;&gt;"",if(H7&gt;G7,H7-G7,""),$A$1-G7),"")</f>
        <v>1507.275577</v>
      </c>
      <c r="K7" s="58">
        <f>if(G7,_xlfn.workday.intl(int(G7),0,"1000000",Holidays!A:A)+19/24,"")</f>
        <v>44626.79167</v>
      </c>
      <c r="L7" s="59" t="str">
        <f t="shared" ref="L7:L1000" si="3">if(L7,L7,if(M7&lt;&gt;"",$A$1,""))</f>
        <v/>
      </c>
      <c r="M7" s="62"/>
      <c r="N7" s="61">
        <f t="shared" ref="N7:N1000" si="4">if(K7,if(L7&lt;&gt;"",if(L7&gt;K7,L7-K7,""),$A$1-K7),"")</f>
        <v>1507.192243</v>
      </c>
      <c r="O7" s="63">
        <f>if(A7,_xlfn.WORKDAY.INTL(A7,O$5,"1000000",Holidays!A:A)+hour(A7)/24+MINUTE(A7)/1440,"")</f>
        <v>44626.48542</v>
      </c>
      <c r="P7" s="64">
        <v>44827.71771927083</v>
      </c>
      <c r="Q7" s="65" t="s">
        <v>2713</v>
      </c>
      <c r="R7" s="66">
        <f t="shared" ref="R7:R1000" si="5">if(O7,if(P7&lt;&gt;"",if(P7&gt;O7,P7-O7,""),$A$1-O7),"")</f>
        <v>201.2323026</v>
      </c>
      <c r="S7" s="66"/>
      <c r="T7" s="65" t="s">
        <v>2713</v>
      </c>
      <c r="U7" s="64">
        <f>if(O7,_xlfn.WORKDAY.INTL(O7,U$5,"1000000",Holidays!A:A)+hour(O7)/24+MINUTE(O7)/1440,"")</f>
        <v>44628.48542</v>
      </c>
      <c r="V7" s="64">
        <f t="shared" ref="V7:V1000" si="6">if(V7,V7,if(W7&lt;&gt;"",$A$1,""))</f>
        <v>44916.7327</v>
      </c>
      <c r="W7" s="65" t="s">
        <v>2713</v>
      </c>
      <c r="X7" s="66">
        <f t="shared" ref="X7:X1000" si="7">if(U7,if(V7&lt;&gt;"",if(V7&gt;U7,V7-U7,""),$A$1-U7),"")</f>
        <v>288.247285</v>
      </c>
      <c r="Y7" s="65" t="s">
        <v>2713</v>
      </c>
      <c r="Z7" s="66"/>
      <c r="AA7" s="66"/>
      <c r="AB7" s="67">
        <v>1.0</v>
      </c>
      <c r="AC7" s="63"/>
      <c r="AD7" s="63"/>
      <c r="AE7" s="63"/>
      <c r="AF7" s="63"/>
      <c r="AG7" s="63"/>
      <c r="AH7" s="63">
        <f>(IF(P7="","",P7+AB7+AC7+AD7+AE7+AF7))</f>
        <v>44828.71772</v>
      </c>
      <c r="AI7" s="63">
        <f>if(AH7,_xlfn.workday.intl(int(AH7),0,"1000000",Holidays!A:A)+18/24,"")</f>
        <v>44828.75</v>
      </c>
      <c r="AJ7" s="64">
        <f t="shared" ref="AJ7:AJ27" si="8">if(AJ7,AJ7,if(AK7&lt;&gt;"",$A$1,""))</f>
        <v>44728.71473</v>
      </c>
      <c r="AK7" s="65" t="s">
        <v>2714</v>
      </c>
      <c r="AL7" s="66" t="str">
        <f t="shared" ref="AL7:AL1000" si="9">if(AI7,if(AJ7&lt;&gt;"",if(AJ7&gt;AI7,AJ7-AI7,""),$A$1-AI7),"")</f>
        <v/>
      </c>
      <c r="AM7" s="66"/>
      <c r="AN7" s="63">
        <f>if(AJ7,if(and(hour(AJ7+AN$5)&gt;11,(hour(AJ7+AN$5)&lt;20)),AJ7+AN$5,_xlfn.workday.intl(int(AJ7),1,"1000000",Holidays!A:A)+hour(AJ7+AN$5-$B$1)/24+minute(AJ7)/1440),"")</f>
        <v>44729.71473</v>
      </c>
      <c r="AO7" s="64">
        <f t="shared" ref="AO7:AO16" si="10">if(AO7,AO7,if(AP7&lt;&gt;"",$A$1,""))</f>
        <v>44916.7327</v>
      </c>
      <c r="AP7" s="65" t="s">
        <v>2713</v>
      </c>
      <c r="AQ7" s="68">
        <f t="shared" ref="AQ7:AQ16" si="11">if(AN7,if(AO7&lt;&gt;"",if(AO7&gt;AN7,AO7-AN7,""),$A$1-AN7),"")</f>
        <v>187.0179712</v>
      </c>
      <c r="AR7" s="68"/>
      <c r="AS7" s="63">
        <f>if(AJ7,if(and(hour(AJ7+AS$5)&gt;11,(hour(AJ7+AS$5)&lt;20)),AJ7+AS$5,_xlfn.workday.intl(int(AJ7),1,"1000000",Holidays!A:A)+hour(AJ7+AS$5-$B$1)/24+minute(AJ7)/1440),"")</f>
        <v>44730.71473</v>
      </c>
      <c r="AT7" s="64">
        <f t="shared" ref="AT7:AT98" si="12">if(AT7,AT7,if(AU7&lt;&gt;"",$A$1,""))</f>
        <v>44730.59932</v>
      </c>
      <c r="AU7" s="69" t="s">
        <v>2715</v>
      </c>
      <c r="AV7" s="66" t="str">
        <f t="shared" ref="AV7:AV90" si="13">if(AS7,if(AT7&lt;&gt;"",if(AT7&gt;AS7,AT7-AS7,""),$A$1-AS7),"")</f>
        <v/>
      </c>
      <c r="AW7" s="66"/>
      <c r="AX7" s="65" t="s">
        <v>2713</v>
      </c>
      <c r="AY7" s="70"/>
    </row>
    <row r="8">
      <c r="A8" s="55">
        <v>44625.56301008102</v>
      </c>
      <c r="B8" s="56"/>
      <c r="C8" s="57"/>
      <c r="D8" s="57"/>
      <c r="E8" s="57"/>
      <c r="F8" s="57"/>
      <c r="G8" s="58">
        <f>if(A8,_xlfn.workday.intl(int(A8),1,"1000000",Holidays!A:A)+17/24,"")</f>
        <v>44626.70833</v>
      </c>
      <c r="H8" s="59" t="str">
        <f t="shared" si="1"/>
        <v/>
      </c>
      <c r="I8" s="60"/>
      <c r="J8" s="61">
        <f t="shared" si="2"/>
        <v>1507.275577</v>
      </c>
      <c r="K8" s="58">
        <f>if(G8,_xlfn.workday.intl(int(G8),0,"1000000",Holidays!A:A)+19/24,"")</f>
        <v>44626.79167</v>
      </c>
      <c r="L8" s="59" t="str">
        <f t="shared" si="3"/>
        <v/>
      </c>
      <c r="M8" s="62"/>
      <c r="N8" s="61">
        <f t="shared" si="4"/>
        <v>1507.192243</v>
      </c>
      <c r="O8" s="63">
        <f>if(A8,_xlfn.WORKDAY.INTL(A8,O$5,"1000000",Holidays!A:A)+hour(A8)/24+MINUTE(A8)/1440,"")</f>
        <v>44626.5625</v>
      </c>
      <c r="P8" s="64">
        <v>44728.72109114584</v>
      </c>
      <c r="Q8" s="65" t="s">
        <v>2714</v>
      </c>
      <c r="R8" s="66">
        <f t="shared" si="5"/>
        <v>102.1585911</v>
      </c>
      <c r="S8" s="66"/>
      <c r="T8" s="66"/>
      <c r="U8" s="64">
        <f>if(O8,_xlfn.WORKDAY.INTL(O8,U$5,"1000000",Holidays!A:A)+hour(O8)/24+MINUTE(O8)/1440,"")</f>
        <v>44628.5625</v>
      </c>
      <c r="V8" s="64" t="str">
        <f t="shared" si="6"/>
        <v/>
      </c>
      <c r="W8" s="66"/>
      <c r="X8" s="66">
        <f t="shared" si="7"/>
        <v>1505.42141</v>
      </c>
      <c r="Y8" s="66"/>
      <c r="Z8" s="66"/>
      <c r="AA8" s="66"/>
      <c r="AB8" s="67"/>
      <c r="AC8" s="67"/>
      <c r="AD8" s="67"/>
      <c r="AE8" s="67"/>
      <c r="AF8" s="67"/>
      <c r="AG8" s="67"/>
      <c r="AH8" s="63">
        <f t="shared" ref="AH8:AH1000" si="14">IF(P8="","",P8+AB8+AC8+AD8+AE8+AF8)</f>
        <v>44728.72109</v>
      </c>
      <c r="AI8" s="63">
        <f>if(AH8,_xlfn.workday.intl(int(AH8),0,"1000000",Holidays!A:A)+18/24,"")</f>
        <v>44728.75</v>
      </c>
      <c r="AJ8" s="64">
        <f t="shared" si="8"/>
        <v>44728.71654</v>
      </c>
      <c r="AK8" s="65" t="s">
        <v>2714</v>
      </c>
      <c r="AL8" s="66" t="str">
        <f t="shared" si="9"/>
        <v/>
      </c>
      <c r="AM8" s="66"/>
      <c r="AN8" s="63">
        <f>if(AJ8,if(and(hour(AJ8+AN$5)&gt;11,(hour(AJ8+AN$5)&lt;20)),AJ8+AN$5,_xlfn.workday.intl(int(AJ8),1,"1000000",Holidays!A:A)+hour(AJ8+AN$5-$B$1)/24+minute(AJ8)/1440),"")</f>
        <v>44729.71654</v>
      </c>
      <c r="AO8" s="64" t="str">
        <f t="shared" si="10"/>
        <v/>
      </c>
      <c r="AP8" s="56"/>
      <c r="AQ8" s="66">
        <f t="shared" si="11"/>
        <v>1404.267365</v>
      </c>
      <c r="AR8" s="66"/>
      <c r="AS8" s="63">
        <f>if(AJ8,if(and(hour(AJ8+AS$5)&gt;11,(hour(AJ8+AS$5)&lt;20)),AJ8+AS$5,_xlfn.workday.intl(int(AJ8),1,"1000000",Holidays!A:A)+hour(AJ8+AS$5-$B$1)/24+minute(AJ8)/1440),"")</f>
        <v>44730.71654</v>
      </c>
      <c r="AT8" s="64">
        <f t="shared" si="12"/>
        <v>44734.71944</v>
      </c>
      <c r="AU8" s="69" t="s">
        <v>2716</v>
      </c>
      <c r="AV8" s="66">
        <f t="shared" si="13"/>
        <v>4.002898843</v>
      </c>
      <c r="AW8" s="66"/>
      <c r="AX8" s="65" t="s">
        <v>2717</v>
      </c>
      <c r="AY8" s="70"/>
    </row>
    <row r="9">
      <c r="A9" s="55">
        <v>44626.502146122686</v>
      </c>
      <c r="B9" s="56"/>
      <c r="C9" s="57"/>
      <c r="D9" s="57"/>
      <c r="E9" s="57"/>
      <c r="F9" s="57"/>
      <c r="G9" s="58">
        <f>if(A9,_xlfn.workday.intl(int(A9),1,"1000000",Holidays!A:A)+17/24,"")</f>
        <v>44628.70833</v>
      </c>
      <c r="H9" s="59" t="str">
        <f t="shared" si="1"/>
        <v/>
      </c>
      <c r="I9" s="60"/>
      <c r="J9" s="61">
        <f t="shared" si="2"/>
        <v>1505.275577</v>
      </c>
      <c r="K9" s="58">
        <f>if(G9,_xlfn.workday.intl(int(G9),0,"1000000",Holidays!A:A)+19/24,"")</f>
        <v>44628.79167</v>
      </c>
      <c r="L9" s="59" t="str">
        <f t="shared" si="3"/>
        <v/>
      </c>
      <c r="M9" s="60"/>
      <c r="N9" s="61">
        <f t="shared" si="4"/>
        <v>1505.192243</v>
      </c>
      <c r="O9" s="63">
        <f>if(A9,_xlfn.WORKDAY.INTL(A9,O$5,"1000000",Holidays!A:A)+hour(A9)/24+MINUTE(A9)/1440,"")</f>
        <v>44628.50208</v>
      </c>
      <c r="P9" s="64" t="s">
        <v>2718</v>
      </c>
      <c r="Q9" s="56"/>
      <c r="R9" s="66">
        <f t="shared" si="5"/>
        <v>1505.481827</v>
      </c>
      <c r="S9" s="66"/>
      <c r="T9" s="66"/>
      <c r="U9" s="64">
        <f>if(O9,_xlfn.WORKDAY.INTL(O9,U$5,"1000000",Holidays!A:A)+hour(O9)/24+MINUTE(O9)/1440,"")</f>
        <v>44629.50208</v>
      </c>
      <c r="V9" s="64" t="str">
        <f t="shared" si="6"/>
        <v/>
      </c>
      <c r="W9" s="66"/>
      <c r="X9" s="66">
        <f t="shared" si="7"/>
        <v>1504.481827</v>
      </c>
      <c r="Y9" s="66"/>
      <c r="Z9" s="66"/>
      <c r="AA9" s="66"/>
      <c r="AB9" s="63"/>
      <c r="AC9" s="63"/>
      <c r="AD9" s="63"/>
      <c r="AE9" s="63"/>
      <c r="AF9" s="63"/>
      <c r="AG9" s="63"/>
      <c r="AH9" s="63" t="str">
        <f t="shared" si="14"/>
        <v/>
      </c>
      <c r="AI9" s="63" t="str">
        <f>if(AH9,_xlfn.workday.intl(int(AH9),0,"1000000",Holidays!A:A)+18/24,"")</f>
        <v/>
      </c>
      <c r="AJ9" s="64" t="str">
        <f t="shared" si="8"/>
        <v/>
      </c>
      <c r="AK9" s="56"/>
      <c r="AL9" s="66" t="str">
        <f t="shared" si="9"/>
        <v/>
      </c>
      <c r="AM9" s="66"/>
      <c r="AN9" s="63" t="str">
        <f>if(AJ9,if(and(hour(AJ9+AN$5)&gt;11,(hour(AJ9+AN$5)&lt;20)),AJ9+AN$5,_xlfn.workday.intl(int(AJ9),1,"1000000",Holidays!A:A)+hour(AJ9+AN$5-$B$1)/24+minute(AJ9)/1440),"")</f>
        <v/>
      </c>
      <c r="AO9" s="64" t="str">
        <f t="shared" si="10"/>
        <v/>
      </c>
      <c r="AP9" s="56"/>
      <c r="AQ9" s="66" t="str">
        <f t="shared" si="11"/>
        <v/>
      </c>
      <c r="AR9" s="66"/>
      <c r="AS9" s="63" t="str">
        <f>if(AJ9,if(and(hour(AJ9+AS$5)&gt;11,(hour(AJ9+AS$5)&lt;20)),AJ9+AS$5,_xlfn.workday.intl(int(AJ9),1,"1000000",Holidays!A:A)+hour(AJ9+AS$5-$B$1)/24+minute(AJ9)/1440),"")</f>
        <v/>
      </c>
      <c r="AT9" s="64">
        <f t="shared" si="12"/>
        <v>44734.72786</v>
      </c>
      <c r="AU9" s="71" t="s">
        <v>2716</v>
      </c>
      <c r="AV9" s="66" t="str">
        <f t="shared" si="13"/>
        <v/>
      </c>
      <c r="AW9" s="66"/>
      <c r="AX9" s="72" t="s">
        <v>2717</v>
      </c>
      <c r="AY9" s="70"/>
      <c r="AZ9" s="70"/>
      <c r="BA9" s="70"/>
      <c r="BB9" s="70"/>
    </row>
    <row r="10">
      <c r="A10" s="55">
        <v>44626.50455866898</v>
      </c>
      <c r="B10" s="56"/>
      <c r="C10" s="57"/>
      <c r="D10" s="57"/>
      <c r="E10" s="57"/>
      <c r="F10" s="57"/>
      <c r="G10" s="58">
        <f>if(A10,_xlfn.workday.intl(int(A10),1,"1000000",Holidays!A:A)+17/24,"")</f>
        <v>44628.70833</v>
      </c>
      <c r="H10" s="59">
        <f t="shared" si="1"/>
        <v>44744.45932</v>
      </c>
      <c r="I10" s="62" t="s">
        <v>2713</v>
      </c>
      <c r="J10" s="61">
        <f t="shared" si="2"/>
        <v>115.7509833</v>
      </c>
      <c r="K10" s="58">
        <f>if(G10,_xlfn.workday.intl(int(G10),0,"1000000",Holidays!A:A)+19/24,"")</f>
        <v>44628.79167</v>
      </c>
      <c r="L10" s="59">
        <f t="shared" si="3"/>
        <v>44744.45934</v>
      </c>
      <c r="M10" s="62" t="s">
        <v>2713</v>
      </c>
      <c r="N10" s="61">
        <f t="shared" si="4"/>
        <v>115.6676782</v>
      </c>
      <c r="O10" s="63">
        <f>if(A10,_xlfn.WORKDAY.INTL(A10,O$5,"1000000",Holidays!A:A)+hour(A10)/24+MINUTE(A10)/1440,"")</f>
        <v>44628.50417</v>
      </c>
      <c r="P10" s="64">
        <v>44744.45937341436</v>
      </c>
      <c r="Q10" s="65" t="s">
        <v>2713</v>
      </c>
      <c r="R10" s="66">
        <f t="shared" si="5"/>
        <v>115.9552067</v>
      </c>
      <c r="S10" s="66"/>
      <c r="T10" s="65" t="s">
        <v>2713</v>
      </c>
      <c r="U10" s="64">
        <f>if(O10,_xlfn.WORKDAY.INTL(O10,U$5,"1000000",Holidays!A:A)+hour(O10)/24+MINUTE(O10)/1440,"")</f>
        <v>44629.50417</v>
      </c>
      <c r="V10" s="64">
        <f t="shared" si="6"/>
        <v>44916.73316</v>
      </c>
      <c r="W10" s="65" t="s">
        <v>2713</v>
      </c>
      <c r="X10" s="66">
        <f t="shared" si="7"/>
        <v>287.2289931</v>
      </c>
      <c r="Y10" s="65" t="s">
        <v>2713</v>
      </c>
      <c r="Z10" s="65"/>
      <c r="AA10" s="65"/>
      <c r="AB10" s="67">
        <v>1.0</v>
      </c>
      <c r="AC10" s="67">
        <v>2.0</v>
      </c>
      <c r="AD10" s="67">
        <v>3.0</v>
      </c>
      <c r="AE10" s="67">
        <v>4.0</v>
      </c>
      <c r="AF10" s="67">
        <v>5.0</v>
      </c>
      <c r="AG10" s="67"/>
      <c r="AH10" s="63">
        <f t="shared" si="14"/>
        <v>44759.45937</v>
      </c>
      <c r="AI10" s="63">
        <f>if(AH10,_xlfn.workday.intl(int(AH10),0,"1000000",Holidays!A:A)+18/24,"")</f>
        <v>44759.75</v>
      </c>
      <c r="AJ10" s="64">
        <f t="shared" si="8"/>
        <v>44733.66288</v>
      </c>
      <c r="AK10" s="65" t="s">
        <v>2713</v>
      </c>
      <c r="AL10" s="66" t="str">
        <f t="shared" si="9"/>
        <v/>
      </c>
      <c r="AM10" s="66"/>
      <c r="AN10" s="63">
        <f>if(AJ10,if(and(hour(AJ10+AN$5)&gt;11,(hour(AJ10+AN$5)&lt;20)),AJ10+AN$5,_xlfn.workday.intl(int(AJ10),1,"1000000",Holidays!A:A)+hour(AJ10+AN$5-$B$1)/24+minute(AJ10)/1440),"")</f>
        <v>44734.66288</v>
      </c>
      <c r="AO10" s="64">
        <f t="shared" si="10"/>
        <v>44744.45944</v>
      </c>
      <c r="AP10" s="65" t="s">
        <v>2713</v>
      </c>
      <c r="AQ10" s="66">
        <f t="shared" si="11"/>
        <v>9.796562257</v>
      </c>
      <c r="AR10" s="66"/>
      <c r="AS10" s="63">
        <f>if(AJ10,if(and(hour(AJ10+AS$5)&gt;11,(hour(AJ10+AS$5)&lt;20)),AJ10+AS$5,_xlfn.workday.intl(int(AJ10),1,"1000000",Holidays!A:A)+hour(AJ10+AS$5-$B$1)/24+minute(AJ10)/1440),"")</f>
        <v>44735.66288</v>
      </c>
      <c r="AT10" s="64">
        <f t="shared" si="12"/>
        <v>44734.728</v>
      </c>
      <c r="AU10" s="71" t="s">
        <v>2715</v>
      </c>
      <c r="AV10" s="66" t="str">
        <f t="shared" si="13"/>
        <v/>
      </c>
      <c r="AW10" s="66"/>
      <c r="AX10" s="65" t="s">
        <v>2713</v>
      </c>
    </row>
    <row r="11">
      <c r="A11" s="55">
        <v>44626.5132409375</v>
      </c>
      <c r="B11" s="56"/>
      <c r="C11" s="57"/>
      <c r="D11" s="57"/>
      <c r="E11" s="57"/>
      <c r="F11" s="57"/>
      <c r="G11" s="58">
        <f>if(A11,_xlfn.workday.intl(int(A11),1,"1000000",Holidays!A:A)+17/24,"")</f>
        <v>44628.70833</v>
      </c>
      <c r="H11" s="59" t="str">
        <f t="shared" si="1"/>
        <v/>
      </c>
      <c r="I11" s="60"/>
      <c r="J11" s="61">
        <f t="shared" si="2"/>
        <v>1505.275577</v>
      </c>
      <c r="K11" s="58">
        <f>if(G11,_xlfn.workday.intl(int(G11),0,"1000000",Holidays!A:A)+19/24,"")</f>
        <v>44628.79167</v>
      </c>
      <c r="L11" s="59" t="str">
        <f t="shared" si="3"/>
        <v/>
      </c>
      <c r="M11" s="60"/>
      <c r="N11" s="61">
        <f t="shared" si="4"/>
        <v>1505.192243</v>
      </c>
      <c r="O11" s="63">
        <f>if(A11,_xlfn.WORKDAY.INTL(A11,O$5,"1000000",Holidays!A:A)+hour(A11)/24+MINUTE(A11)/1440,"")</f>
        <v>44628.51319</v>
      </c>
      <c r="P11" s="64">
        <v>44912.68092496527</v>
      </c>
      <c r="Q11" s="65" t="s">
        <v>2713</v>
      </c>
      <c r="R11" s="66">
        <f t="shared" si="5"/>
        <v>284.1677305</v>
      </c>
      <c r="S11" s="66"/>
      <c r="T11" s="65" t="s">
        <v>2713</v>
      </c>
      <c r="U11" s="64">
        <f>if(O11,_xlfn.WORKDAY.INTL(O11,U$5,"1000000",Holidays!A:A)+hour(O11)/24+MINUTE(O11)/1440,"")</f>
        <v>44629.51319</v>
      </c>
      <c r="V11" s="64">
        <f t="shared" si="6"/>
        <v>44924.7938</v>
      </c>
      <c r="W11" s="65" t="s">
        <v>2713</v>
      </c>
      <c r="X11" s="66">
        <f t="shared" si="7"/>
        <v>295.2806097</v>
      </c>
      <c r="Y11" s="65" t="s">
        <v>2713</v>
      </c>
      <c r="Z11" s="66"/>
      <c r="AA11" s="66"/>
      <c r="AB11" s="67">
        <v>1.0</v>
      </c>
      <c r="AC11" s="67">
        <v>2.0</v>
      </c>
      <c r="AD11" s="67">
        <v>3.0</v>
      </c>
      <c r="AE11" s="63"/>
      <c r="AF11" s="63"/>
      <c r="AG11" s="63"/>
      <c r="AH11" s="63">
        <f t="shared" si="14"/>
        <v>44918.68092</v>
      </c>
      <c r="AI11" s="63">
        <f>if(AH11,_xlfn.workday.intl(int(AH11),0,"1000000",Holidays!A:A)+18/24,"")</f>
        <v>44918.75</v>
      </c>
      <c r="AJ11" s="64" t="str">
        <f t="shared" si="8"/>
        <v/>
      </c>
      <c r="AK11" s="56"/>
      <c r="AL11" s="66">
        <f t="shared" si="9"/>
        <v>1215.23391</v>
      </c>
      <c r="AM11" s="66"/>
      <c r="AN11" s="63" t="str">
        <f>if(AJ11,if(and(hour(AJ11+AN$5)&gt;11,(hour(AJ11+AN$5)&lt;20)),AJ11+AN$5,_xlfn.workday.intl(int(AJ11),1,"1000000",Holidays!A:A)+hour(AJ11+AN$5-$B$1)/24+minute(AJ11)/1440),"")</f>
        <v/>
      </c>
      <c r="AO11" s="64" t="str">
        <f t="shared" si="10"/>
        <v/>
      </c>
      <c r="AP11" s="56"/>
      <c r="AQ11" s="66" t="str">
        <f t="shared" si="11"/>
        <v/>
      </c>
      <c r="AR11" s="66"/>
      <c r="AS11" s="63" t="str">
        <f>if(AJ11,if(and(hour(AJ11+AS$5)&gt;11,(hour(AJ11+AS$5)&lt;20)),AJ11+AS$5,_xlfn.workday.intl(int(AJ11),1,"1000000",Holidays!A:A)+hour(AJ11+AS$5-$B$1)/24+minute(AJ11)/1440),"")</f>
        <v/>
      </c>
      <c r="AT11" s="64">
        <f t="shared" si="12"/>
        <v>44736.54989</v>
      </c>
      <c r="AU11" s="71" t="s">
        <v>2715</v>
      </c>
      <c r="AV11" s="66" t="str">
        <f t="shared" si="13"/>
        <v/>
      </c>
      <c r="AW11" s="66"/>
      <c r="AX11" s="65" t="s">
        <v>2713</v>
      </c>
    </row>
    <row r="12">
      <c r="A12" s="73">
        <v>44626.52222626157</v>
      </c>
      <c r="B12" s="74"/>
      <c r="C12" s="75"/>
      <c r="D12" s="75"/>
      <c r="E12" s="75"/>
      <c r="F12" s="75"/>
      <c r="G12" s="58">
        <f>if(A12,_xlfn.workday.intl(int(A12),1,"1000000",Holidays!A:A)+17/24,"")</f>
        <v>44628.70833</v>
      </c>
      <c r="H12" s="59">
        <f t="shared" si="1"/>
        <v>44744.45872</v>
      </c>
      <c r="I12" s="62" t="s">
        <v>2713</v>
      </c>
      <c r="J12" s="61">
        <f t="shared" si="2"/>
        <v>115.7503897</v>
      </c>
      <c r="K12" s="58">
        <f>if(G12,_xlfn.workday.intl(int(G12),0,"1000000",Holidays!A:A)+19/24,"")</f>
        <v>44628.79167</v>
      </c>
      <c r="L12" s="59">
        <f t="shared" si="3"/>
        <v>44744.45875</v>
      </c>
      <c r="M12" s="62" t="s">
        <v>2713</v>
      </c>
      <c r="N12" s="61">
        <f t="shared" si="4"/>
        <v>115.6670814</v>
      </c>
      <c r="O12" s="63">
        <f>if(A12,_xlfn.WORKDAY.INTL(A12,O$5,"1000000",Holidays!A:A)+hour(A12)/24+MINUTE(A12)/1440,"")</f>
        <v>44628.52222</v>
      </c>
      <c r="P12" s="64">
        <v>44744.458788564814</v>
      </c>
      <c r="Q12" s="65" t="s">
        <v>2713</v>
      </c>
      <c r="R12" s="66">
        <f t="shared" si="5"/>
        <v>115.9365663</v>
      </c>
      <c r="S12" s="66"/>
      <c r="T12" s="65" t="s">
        <v>2713</v>
      </c>
      <c r="U12" s="64">
        <f>if(O12,_xlfn.WORKDAY.INTL(O12,U$5,"1000000",Holidays!A:A)+hour(O12)/24+MINUTE(O12)/1440,"")</f>
        <v>44629.52222</v>
      </c>
      <c r="V12" s="64">
        <f t="shared" si="6"/>
        <v>44924.79382</v>
      </c>
      <c r="W12" s="65" t="s">
        <v>2713</v>
      </c>
      <c r="X12" s="66">
        <f t="shared" si="7"/>
        <v>295.2715988</v>
      </c>
      <c r="Y12" s="65" t="s">
        <v>2713</v>
      </c>
      <c r="Z12" s="66"/>
      <c r="AA12" s="66"/>
      <c r="AB12" s="67">
        <v>1.0</v>
      </c>
      <c r="AC12" s="67">
        <v>2.0</v>
      </c>
      <c r="AD12" s="67">
        <v>3.0</v>
      </c>
      <c r="AE12" s="63"/>
      <c r="AF12" s="63"/>
      <c r="AG12" s="63"/>
      <c r="AH12" s="63">
        <f t="shared" si="14"/>
        <v>44750.45879</v>
      </c>
      <c r="AI12" s="63">
        <f>if(AH12,_xlfn.workday.intl(int(AH12),0,"1000000",Holidays!A:A)+18/24,"")</f>
        <v>44750.75</v>
      </c>
      <c r="AJ12" s="64">
        <f t="shared" si="8"/>
        <v>44733.663</v>
      </c>
      <c r="AK12" s="65" t="s">
        <v>2713</v>
      </c>
      <c r="AL12" s="66" t="str">
        <f t="shared" si="9"/>
        <v/>
      </c>
      <c r="AM12" s="66"/>
      <c r="AN12" s="63">
        <f>if(AJ12,if(and(hour(AJ12+AN$5)&gt;11,(hour(AJ12+AN$5)&lt;20)),AJ12+AN$5,_xlfn.workday.intl(int(AJ12),1,"1000000",Holidays!A:A)+hour(AJ12+AN$5-$B$1)/24+minute(AJ12)/1440),"")</f>
        <v>44734.663</v>
      </c>
      <c r="AO12" s="64">
        <f t="shared" si="10"/>
        <v>44744.45889</v>
      </c>
      <c r="AP12" s="65" t="s">
        <v>2713</v>
      </c>
      <c r="AQ12" s="66">
        <f t="shared" si="11"/>
        <v>9.795893993</v>
      </c>
      <c r="AR12" s="66"/>
      <c r="AS12" s="63">
        <f>if(AJ12,if(and(hour(AJ12+AS$5)&gt;11,(hour(AJ12+AS$5)&lt;20)),AJ12+AS$5,_xlfn.workday.intl(int(AJ12),1,"1000000",Holidays!A:A)+hour(AJ12+AS$5-$B$1)/24+minute(AJ12)/1440),"")</f>
        <v>44735.663</v>
      </c>
      <c r="AT12" s="64">
        <f t="shared" si="12"/>
        <v>44744.45893</v>
      </c>
      <c r="AU12" s="71" t="s">
        <v>2715</v>
      </c>
      <c r="AV12" s="66">
        <f t="shared" si="13"/>
        <v>8.79592787</v>
      </c>
      <c r="AW12" s="66"/>
      <c r="AX12" s="65" t="s">
        <v>2713</v>
      </c>
    </row>
    <row r="13">
      <c r="A13" s="76">
        <v>44626.52344002315</v>
      </c>
      <c r="B13" s="74"/>
      <c r="C13" s="75"/>
      <c r="D13" s="75"/>
      <c r="E13" s="75"/>
      <c r="F13" s="75"/>
      <c r="G13" s="58">
        <f>if(A13,_xlfn.workday.intl(int(A13),1,"1000000",Holidays!A:A)+17/24,"")</f>
        <v>44628.70833</v>
      </c>
      <c r="H13" s="59">
        <f t="shared" si="1"/>
        <v>44744.45846</v>
      </c>
      <c r="I13" s="62" t="s">
        <v>2713</v>
      </c>
      <c r="J13" s="61">
        <f t="shared" si="2"/>
        <v>115.7501226</v>
      </c>
      <c r="K13" s="58">
        <f>if(G13,_xlfn.workday.intl(int(G13),0,"1000000",Holidays!A:A)+19/24,"")</f>
        <v>44628.79167</v>
      </c>
      <c r="L13" s="59">
        <f t="shared" si="3"/>
        <v>44744.45848</v>
      </c>
      <c r="M13" s="62" t="s">
        <v>2713</v>
      </c>
      <c r="N13" s="61">
        <f t="shared" si="4"/>
        <v>115.6668134</v>
      </c>
      <c r="O13" s="63">
        <f>if(A13,_xlfn.WORKDAY.INTL(A13,O$5,"1000000",Holidays!A:A)+hour(A13)/24+MINUTE(A13)/1440,"")</f>
        <v>44628.52292</v>
      </c>
      <c r="P13" s="64">
        <v>44744.45853533565</v>
      </c>
      <c r="Q13" s="65" t="s">
        <v>2713</v>
      </c>
      <c r="R13" s="66">
        <f t="shared" si="5"/>
        <v>115.9356187</v>
      </c>
      <c r="S13" s="66"/>
      <c r="T13" s="65" t="s">
        <v>2713</v>
      </c>
      <c r="U13" s="64">
        <f>if(O13,_xlfn.WORKDAY.INTL(O13,U$5,"1000000",Holidays!A:A)+hour(O13)/24+MINUTE(O13)/1440,"")</f>
        <v>44629.52292</v>
      </c>
      <c r="V13" s="64">
        <f t="shared" si="6"/>
        <v>44924.79384</v>
      </c>
      <c r="W13" s="65" t="s">
        <v>2713</v>
      </c>
      <c r="X13" s="66">
        <f t="shared" si="7"/>
        <v>295.2709239</v>
      </c>
      <c r="Y13" s="65" t="s">
        <v>2713</v>
      </c>
      <c r="Z13" s="66"/>
      <c r="AA13" s="66"/>
      <c r="AB13" s="67">
        <v>1.0</v>
      </c>
      <c r="AC13" s="67">
        <v>2.0</v>
      </c>
      <c r="AD13" s="67">
        <v>3.0</v>
      </c>
      <c r="AE13" s="63"/>
      <c r="AF13" s="63"/>
      <c r="AG13" s="63"/>
      <c r="AH13" s="63">
        <f t="shared" si="14"/>
        <v>44750.45854</v>
      </c>
      <c r="AI13" s="63">
        <f>if(AH13,_xlfn.workday.intl(int(AH13),0,"1000000",Holidays!A:A)+18/24,"")</f>
        <v>44750.75</v>
      </c>
      <c r="AJ13" s="64">
        <f t="shared" si="8"/>
        <v>44733.66306</v>
      </c>
      <c r="AK13" s="65" t="s">
        <v>2713</v>
      </c>
      <c r="AL13" s="66" t="str">
        <f t="shared" si="9"/>
        <v/>
      </c>
      <c r="AM13" s="66"/>
      <c r="AN13" s="63">
        <f>if(AJ13,if(and(hour(AJ13+AN$5)&gt;11,(hour(AJ13+AN$5)&lt;20)),AJ13+AN$5,_xlfn.workday.intl(int(AJ13),1,"1000000",Holidays!A:A)+hour(AJ13+AN$5-$B$1)/24+minute(AJ13)/1440),"")</f>
        <v>44734.66306</v>
      </c>
      <c r="AO13" s="64">
        <f t="shared" si="10"/>
        <v>44744.45861</v>
      </c>
      <c r="AP13" s="65" t="s">
        <v>2713</v>
      </c>
      <c r="AQ13" s="66">
        <f t="shared" si="11"/>
        <v>9.795556852</v>
      </c>
      <c r="AR13" s="66"/>
      <c r="AS13" s="63">
        <f>if(AJ13,if(and(hour(AJ13+AS$5)&gt;11,(hour(AJ13+AS$5)&lt;20)),AJ13+AS$5,_xlfn.workday.intl(int(AJ13),1,"1000000",Holidays!A:A)+hour(AJ13+AS$5-$B$1)/24+minute(AJ13)/1440),"")</f>
        <v>44735.66306</v>
      </c>
      <c r="AT13" s="64">
        <f t="shared" si="12"/>
        <v>44744.45864</v>
      </c>
      <c r="AU13" s="71" t="s">
        <v>2715</v>
      </c>
      <c r="AV13" s="66">
        <f t="shared" si="13"/>
        <v>8.795586007</v>
      </c>
      <c r="AW13" s="66"/>
      <c r="AX13" s="65" t="s">
        <v>2713</v>
      </c>
    </row>
    <row r="14">
      <c r="A14" s="76">
        <v>44626.52561418981</v>
      </c>
      <c r="B14" s="74"/>
      <c r="C14" s="75"/>
      <c r="D14" s="75"/>
      <c r="E14" s="75"/>
      <c r="F14" s="75"/>
      <c r="G14" s="58">
        <f>if(A14,_xlfn.workday.intl(int(A14),1,"1000000",Holidays!A:A)+17/24,"")</f>
        <v>44628.70833</v>
      </c>
      <c r="H14" s="59">
        <f t="shared" si="1"/>
        <v>44744.45803</v>
      </c>
      <c r="I14" s="62" t="s">
        <v>2713</v>
      </c>
      <c r="J14" s="61">
        <f t="shared" si="2"/>
        <v>115.7496975</v>
      </c>
      <c r="K14" s="58">
        <f>if(G14,_xlfn.workday.intl(int(G14),0,"1000000",Holidays!A:A)+19/24,"")</f>
        <v>44628.79167</v>
      </c>
      <c r="L14" s="59">
        <f t="shared" si="3"/>
        <v>44744.45807</v>
      </c>
      <c r="M14" s="62" t="s">
        <v>2713</v>
      </c>
      <c r="N14" s="61">
        <f t="shared" si="4"/>
        <v>115.6663995</v>
      </c>
      <c r="O14" s="63">
        <f>if(A14,_xlfn.WORKDAY.INTL(A14,O$5,"1000000",Holidays!A:A)+hour(A14)/24+MINUTE(A14)/1440,"")</f>
        <v>44628.525</v>
      </c>
      <c r="P14" s="64">
        <v>44744.45813346065</v>
      </c>
      <c r="Q14" s="65" t="s">
        <v>2713</v>
      </c>
      <c r="R14" s="66">
        <f t="shared" si="5"/>
        <v>115.9331335</v>
      </c>
      <c r="S14" s="66"/>
      <c r="T14" s="65" t="s">
        <v>2713</v>
      </c>
      <c r="U14" s="64">
        <f>if(O14,_xlfn.WORKDAY.INTL(O14,U$5,"1000000",Holidays!A:A)+hour(O14)/24+MINUTE(O14)/1440,"")</f>
        <v>44629.525</v>
      </c>
      <c r="V14" s="64">
        <f t="shared" si="6"/>
        <v>44924.79389</v>
      </c>
      <c r="W14" s="65" t="s">
        <v>2713</v>
      </c>
      <c r="X14" s="66">
        <f t="shared" si="7"/>
        <v>295.2688905</v>
      </c>
      <c r="Y14" s="65" t="s">
        <v>2713</v>
      </c>
      <c r="Z14" s="66"/>
      <c r="AA14" s="66"/>
      <c r="AB14" s="67">
        <v>1.0</v>
      </c>
      <c r="AC14" s="67">
        <v>2.0</v>
      </c>
      <c r="AD14" s="67">
        <v>3.0</v>
      </c>
      <c r="AE14" s="63"/>
      <c r="AF14" s="63"/>
      <c r="AG14" s="63"/>
      <c r="AH14" s="63">
        <f t="shared" si="14"/>
        <v>44750.45813</v>
      </c>
      <c r="AI14" s="63">
        <f>if(AH14,_xlfn.workday.intl(int(AH14),0,"1000000",Holidays!A:A)+18/24,"")</f>
        <v>44750.75</v>
      </c>
      <c r="AJ14" s="64">
        <f t="shared" si="8"/>
        <v>44733.66311</v>
      </c>
      <c r="AK14" s="65" t="s">
        <v>2713</v>
      </c>
      <c r="AL14" s="66" t="str">
        <f t="shared" si="9"/>
        <v/>
      </c>
      <c r="AM14" s="66"/>
      <c r="AN14" s="63">
        <f>if(AJ14,if(and(hour(AJ14+AN$5)&gt;11,(hour(AJ14+AN$5)&lt;20)),AJ14+AN$5,_xlfn.workday.intl(int(AJ14),1,"1000000",Holidays!A:A)+hour(AJ14+AN$5-$B$1)/24+minute(AJ14)/1440),"")</f>
        <v>44734.66311</v>
      </c>
      <c r="AO14" s="64">
        <f t="shared" si="10"/>
        <v>44744.45824</v>
      </c>
      <c r="AP14" s="65" t="s">
        <v>2713</v>
      </c>
      <c r="AQ14" s="66">
        <f t="shared" si="11"/>
        <v>9.795122454</v>
      </c>
      <c r="AR14" s="66"/>
      <c r="AS14" s="63">
        <f>if(AJ14,if(and(hour(AJ14+AS$5)&gt;11,(hour(AJ14+AS$5)&lt;20)),AJ14+AS$5,_xlfn.workday.intl(int(AJ14),1,"1000000",Holidays!A:A)+hour(AJ14+AS$5-$B$1)/24+minute(AJ14)/1440),"")</f>
        <v>44735.66311</v>
      </c>
      <c r="AT14" s="64">
        <f t="shared" si="12"/>
        <v>44744.4583</v>
      </c>
      <c r="AU14" s="71" t="s">
        <v>2715</v>
      </c>
      <c r="AV14" s="66">
        <f t="shared" si="13"/>
        <v>8.795186019</v>
      </c>
      <c r="AW14" s="66"/>
      <c r="AX14" s="65" t="s">
        <v>2713</v>
      </c>
    </row>
    <row r="15">
      <c r="A15" s="76">
        <v>44626.52846635417</v>
      </c>
      <c r="B15" s="74"/>
      <c r="C15" s="75"/>
      <c r="D15" s="75"/>
      <c r="E15" s="75"/>
      <c r="F15" s="75"/>
      <c r="G15" s="58">
        <f>if(A15,_xlfn.workday.intl(int(A15),1,"1000000",Holidays!A:A)+17/24,"")</f>
        <v>44628.70833</v>
      </c>
      <c r="H15" s="59">
        <f t="shared" si="1"/>
        <v>44744.45773</v>
      </c>
      <c r="I15" s="62" t="s">
        <v>2713</v>
      </c>
      <c r="J15" s="61">
        <f t="shared" si="2"/>
        <v>115.7493935</v>
      </c>
      <c r="K15" s="58">
        <f>if(G15,_xlfn.workday.intl(int(G15),0,"1000000",Holidays!A:A)+19/24,"")</f>
        <v>44628.79167</v>
      </c>
      <c r="L15" s="59">
        <f t="shared" si="3"/>
        <v>44744.45776</v>
      </c>
      <c r="M15" s="62" t="s">
        <v>2713</v>
      </c>
      <c r="N15" s="61">
        <f t="shared" si="4"/>
        <v>115.666089</v>
      </c>
      <c r="O15" s="63">
        <f>if(A15,_xlfn.WORKDAY.INTL(A15,O$5,"1000000",Holidays!A:A)+hour(A15)/24+MINUTE(A15)/1440,"")</f>
        <v>44628.52778</v>
      </c>
      <c r="P15" s="64">
        <v>44744.45778503473</v>
      </c>
      <c r="Q15" s="65" t="s">
        <v>2713</v>
      </c>
      <c r="R15" s="66">
        <f t="shared" si="5"/>
        <v>115.9300073</v>
      </c>
      <c r="S15" s="66"/>
      <c r="T15" s="65" t="s">
        <v>2713</v>
      </c>
      <c r="U15" s="64">
        <f>if(O15,_xlfn.WORKDAY.INTL(O15,U$5,"1000000",Holidays!A:A)+hour(O15)/24+MINUTE(O15)/1440,"")</f>
        <v>44629.52778</v>
      </c>
      <c r="V15" s="64">
        <f t="shared" si="6"/>
        <v>44924.79386</v>
      </c>
      <c r="W15" s="65" t="s">
        <v>2713</v>
      </c>
      <c r="X15" s="66">
        <f t="shared" si="7"/>
        <v>295.2660805</v>
      </c>
      <c r="Y15" s="65" t="s">
        <v>2713</v>
      </c>
      <c r="Z15" s="66"/>
      <c r="AA15" s="66"/>
      <c r="AB15" s="67">
        <v>1.0</v>
      </c>
      <c r="AC15" s="67">
        <v>2.0</v>
      </c>
      <c r="AD15" s="67">
        <v>3.0</v>
      </c>
      <c r="AE15" s="63"/>
      <c r="AF15" s="63"/>
      <c r="AG15" s="63"/>
      <c r="AH15" s="63">
        <f t="shared" si="14"/>
        <v>44750.45779</v>
      </c>
      <c r="AI15" s="63">
        <f>if(AH15,_xlfn.workday.intl(int(AH15),0,"1000000",Holidays!A:A)+18/24,"")</f>
        <v>44750.75</v>
      </c>
      <c r="AJ15" s="64">
        <f t="shared" si="8"/>
        <v>44733.66319</v>
      </c>
      <c r="AK15" s="65" t="s">
        <v>2713</v>
      </c>
      <c r="AL15" s="66" t="str">
        <f t="shared" si="9"/>
        <v/>
      </c>
      <c r="AM15" s="66"/>
      <c r="AN15" s="63">
        <f>if(AJ15,if(and(hour(AJ15+AN$5)&gt;11,(hour(AJ15+AN$5)&lt;20)),AJ15+AN$5,_xlfn.workday.intl(int(AJ15),1,"1000000",Holidays!A:A)+hour(AJ15+AN$5-$B$1)/24+minute(AJ15)/1440),"")</f>
        <v>44734.66319</v>
      </c>
      <c r="AO15" s="64">
        <f t="shared" si="10"/>
        <v>44744.45786</v>
      </c>
      <c r="AP15" s="65" t="s">
        <v>2713</v>
      </c>
      <c r="AQ15" s="66">
        <f t="shared" si="11"/>
        <v>9.794666678</v>
      </c>
      <c r="AR15" s="66"/>
      <c r="AS15" s="63">
        <f>if(AJ15,if(and(hour(AJ15+AS$5)&gt;11,(hour(AJ15+AS$5)&lt;20)),AJ15+AS$5,_xlfn.workday.intl(int(AJ15),1,"1000000",Holidays!A:A)+hour(AJ15+AS$5-$B$1)/24+minute(AJ15)/1440),"")</f>
        <v>44735.66319</v>
      </c>
      <c r="AT15" s="64">
        <f t="shared" si="12"/>
        <v>44744.45789</v>
      </c>
      <c r="AU15" s="65" t="s">
        <v>2715</v>
      </c>
      <c r="AV15" s="66">
        <f t="shared" si="13"/>
        <v>8.794695324</v>
      </c>
      <c r="AW15" s="66"/>
      <c r="AX15" s="65" t="s">
        <v>2713</v>
      </c>
    </row>
    <row r="16">
      <c r="A16" s="55">
        <v>44626.66635219907</v>
      </c>
      <c r="B16" s="56"/>
      <c r="C16" s="57"/>
      <c r="D16" s="57"/>
      <c r="E16" s="57"/>
      <c r="F16" s="57"/>
      <c r="G16" s="58">
        <f>if(A16,_xlfn.workday.intl(int(A16),1,"1000000",Holidays!A:A)+17/24,"")</f>
        <v>44628.70833</v>
      </c>
      <c r="H16" s="59">
        <f t="shared" si="1"/>
        <v>44744.45738</v>
      </c>
      <c r="I16" s="62" t="s">
        <v>2713</v>
      </c>
      <c r="J16" s="61">
        <f t="shared" si="2"/>
        <v>115.7490512</v>
      </c>
      <c r="K16" s="58">
        <f>if(G16,_xlfn.workday.intl(int(G16),0,"1000000",Holidays!A:A)+19/24,"")</f>
        <v>44628.79167</v>
      </c>
      <c r="L16" s="59">
        <f t="shared" si="3"/>
        <v>44744.45744</v>
      </c>
      <c r="M16" s="62" t="s">
        <v>2713</v>
      </c>
      <c r="N16" s="61">
        <f t="shared" si="4"/>
        <v>115.6657743</v>
      </c>
      <c r="O16" s="63">
        <f>if(A16,_xlfn.WORKDAY.INTL(A16,O$5,"1000000",Holidays!A:A)+hour(A16)/24+MINUTE(A16)/1440,"")</f>
        <v>44628.66597</v>
      </c>
      <c r="P16" s="64">
        <v>44744.45752449074</v>
      </c>
      <c r="Q16" s="65" t="s">
        <v>2713</v>
      </c>
      <c r="R16" s="66">
        <f t="shared" si="5"/>
        <v>115.7915523</v>
      </c>
      <c r="S16" s="66"/>
      <c r="T16" s="65" t="s">
        <v>2713</v>
      </c>
      <c r="U16" s="64">
        <f>if(O16,_xlfn.WORKDAY.INTL(O16,U$5,"1000000",Holidays!A:A)+hour(O16)/24+MINUTE(O16)/1440,"")</f>
        <v>44629.66597</v>
      </c>
      <c r="V16" s="64">
        <f t="shared" si="6"/>
        <v>44924.79439</v>
      </c>
      <c r="W16" s="65" t="s">
        <v>2713</v>
      </c>
      <c r="X16" s="66">
        <f t="shared" si="7"/>
        <v>295.1284217</v>
      </c>
      <c r="Y16" s="65" t="s">
        <v>2713</v>
      </c>
      <c r="Z16" s="66"/>
      <c r="AA16" s="66"/>
      <c r="AB16" s="67">
        <v>1.0</v>
      </c>
      <c r="AC16" s="67">
        <v>2.0</v>
      </c>
      <c r="AD16" s="67">
        <v>3.0</v>
      </c>
      <c r="AE16" s="63"/>
      <c r="AF16" s="63"/>
      <c r="AG16" s="63"/>
      <c r="AH16" s="63">
        <f t="shared" si="14"/>
        <v>44750.45752</v>
      </c>
      <c r="AI16" s="63">
        <f>if(AH16,_xlfn.workday.intl(int(AH16),0,"1000000",Holidays!A:A)+18/24,"")</f>
        <v>44750.75</v>
      </c>
      <c r="AJ16" s="64">
        <f t="shared" si="8"/>
        <v>44744.45757</v>
      </c>
      <c r="AK16" s="65" t="s">
        <v>2713</v>
      </c>
      <c r="AL16" s="66" t="str">
        <f t="shared" si="9"/>
        <v/>
      </c>
      <c r="AM16" s="66"/>
      <c r="AN16" s="63">
        <f>if(AJ16,if(and(hour(AJ16+AN$5)&gt;11,(hour(AJ16+AN$5)&lt;20)),AJ16+AN$5,_xlfn.workday.intl(int(AJ16),1,"1000000",Holidays!A:A)+hour(AJ16+AN$5-$B$1)/24+minute(AJ16)/1440),"")</f>
        <v>44745.45694</v>
      </c>
      <c r="AO16" s="64">
        <f t="shared" si="10"/>
        <v>44744.4576</v>
      </c>
      <c r="AP16" s="65" t="s">
        <v>2713</v>
      </c>
      <c r="AQ16" s="66" t="str">
        <f t="shared" si="11"/>
        <v/>
      </c>
      <c r="AR16" s="66"/>
      <c r="AS16" s="63">
        <f>if(AJ16,if(and(hour(AJ16+AS$5)&gt;11,(hour(AJ16+AS$5)&lt;20)),AJ16+AS$5,_xlfn.workday.intl(int(AJ16),1,"1000000",Holidays!A:A)+hour(AJ16+AS$5-$B$1)/24+minute(AJ16)/1440),"")</f>
        <v>44745.45694</v>
      </c>
      <c r="AT16" s="64">
        <f t="shared" si="12"/>
        <v>44744.45763</v>
      </c>
      <c r="AU16" s="65" t="s">
        <v>2715</v>
      </c>
      <c r="AV16" s="66" t="str">
        <f t="shared" si="13"/>
        <v/>
      </c>
      <c r="AW16" s="66"/>
      <c r="AX16" s="65" t="s">
        <v>2713</v>
      </c>
    </row>
    <row r="17">
      <c r="A17" s="55">
        <v>44626.66808186343</v>
      </c>
      <c r="B17" s="56"/>
      <c r="C17" s="57"/>
      <c r="D17" s="57"/>
      <c r="E17" s="77"/>
      <c r="F17" s="57"/>
      <c r="G17" s="58">
        <f>if(A17,_xlfn.workday.intl(int(A17),1,"1000000",Holidays!A:A)+17/24,"")</f>
        <v>44628.70833</v>
      </c>
      <c r="H17" s="59" t="str">
        <f t="shared" si="1"/>
        <v/>
      </c>
      <c r="I17" s="60"/>
      <c r="J17" s="61">
        <f t="shared" si="2"/>
        <v>1505.275577</v>
      </c>
      <c r="K17" s="58">
        <f>if(G17,_xlfn.workday.intl(int(G17),0,"1000000",Holidays!A:A)+19/24,"")</f>
        <v>44628.79167</v>
      </c>
      <c r="L17" s="59" t="str">
        <f t="shared" si="3"/>
        <v/>
      </c>
      <c r="M17" s="60"/>
      <c r="N17" s="61">
        <f t="shared" si="4"/>
        <v>1505.192243</v>
      </c>
      <c r="O17" s="63">
        <f>if(A17,_xlfn.WORKDAY.INTL(A17,O$5,"1000000",Holidays!A:A)+hour(A17)/24+MINUTE(A17)/1440,"")</f>
        <v>44628.66806</v>
      </c>
      <c r="P17" s="64" t="s">
        <v>2718</v>
      </c>
      <c r="Q17" s="56"/>
      <c r="R17" s="66">
        <f t="shared" si="5"/>
        <v>1505.315854</v>
      </c>
      <c r="S17" s="66"/>
      <c r="T17" s="66"/>
      <c r="U17" s="64">
        <f>if(O17,_xlfn.WORKDAY.INTL(O17,U$5,"1000000",Holidays!A:A)+hour(O17)/24+MINUTE(O17)/1440,"")</f>
        <v>44629.66806</v>
      </c>
      <c r="V17" s="64" t="str">
        <f t="shared" si="6"/>
        <v/>
      </c>
      <c r="W17" s="66"/>
      <c r="X17" s="66">
        <f t="shared" si="7"/>
        <v>1504.315854</v>
      </c>
      <c r="Y17" s="66"/>
      <c r="Z17" s="66"/>
      <c r="AA17" s="66"/>
      <c r="AB17" s="67"/>
      <c r="AC17" s="63"/>
      <c r="AD17" s="63"/>
      <c r="AE17" s="63"/>
      <c r="AF17" s="63"/>
      <c r="AG17" s="63"/>
      <c r="AH17" s="63" t="str">
        <f t="shared" si="14"/>
        <v/>
      </c>
      <c r="AI17" s="63" t="str">
        <f>if(AH17,_xlfn.workday.intl(int(AH17),0,"1000000",Holidays!A:A)+18/24,"")</f>
        <v/>
      </c>
      <c r="AJ17" s="64" t="str">
        <f t="shared" si="8"/>
        <v/>
      </c>
      <c r="AK17" s="56"/>
      <c r="AL17" s="66" t="str">
        <f t="shared" si="9"/>
        <v/>
      </c>
      <c r="AM17" s="66"/>
      <c r="AN17" s="63" t="str">
        <f>if(AJ17,if(and(hour(AJ17+AN$5)&gt;11,(hour(AJ17+AN$5)&lt;20)),AJ17+AN$5,_xlfn.workday.intl(int(AJ17),1,"1000000",Holidays!A:A)+hour(AJ17+AN$5-$B$1)/24+minute(AJ17)/1440),"")</f>
        <v/>
      </c>
      <c r="AO17" s="64"/>
      <c r="AP17" s="65"/>
      <c r="AQ17" s="66"/>
      <c r="AR17" s="66"/>
      <c r="AS17" s="63" t="str">
        <f>if(AJ17,if(and(hour(AJ17+AS$5)&gt;11,(hour(AJ17+AS$5)&lt;20)),AJ17+AS$5,_xlfn.workday.intl(int(AJ17),1,"1000000",Holidays!A:A)+hour(AJ17+AS$5-$B$1)/24+minute(AJ17)/1440),"")</f>
        <v/>
      </c>
      <c r="AT17" s="64" t="str">
        <f t="shared" si="12"/>
        <v/>
      </c>
      <c r="AU17" s="56"/>
      <c r="AV17" s="66" t="str">
        <f t="shared" si="13"/>
        <v/>
      </c>
      <c r="AW17" s="66"/>
      <c r="AX17" s="65" t="s">
        <v>2719</v>
      </c>
    </row>
    <row r="18">
      <c r="A18" s="55">
        <v>44626.669340277775</v>
      </c>
      <c r="B18" s="56"/>
      <c r="C18" s="57"/>
      <c r="D18" s="57"/>
      <c r="E18" s="57"/>
      <c r="F18" s="57"/>
      <c r="G18" s="58">
        <f>if(A18,_xlfn.workday.intl(int(A18),1,"1000000",Holidays!A:A)+17/24,"")</f>
        <v>44628.70833</v>
      </c>
      <c r="H18" s="59" t="str">
        <f t="shared" si="1"/>
        <v/>
      </c>
      <c r="I18" s="60"/>
      <c r="J18" s="61">
        <f t="shared" si="2"/>
        <v>1505.275577</v>
      </c>
      <c r="K18" s="58">
        <f>if(G18,_xlfn.workday.intl(int(G18),0,"1000000",Holidays!A:A)+19/24,"")</f>
        <v>44628.79167</v>
      </c>
      <c r="L18" s="59" t="str">
        <f t="shared" si="3"/>
        <v/>
      </c>
      <c r="M18" s="60"/>
      <c r="N18" s="61">
        <f t="shared" si="4"/>
        <v>1505.192243</v>
      </c>
      <c r="O18" s="63">
        <f>if(A18,_xlfn.WORKDAY.INTL(A18,O$5,"1000000",Holidays!A:A)+hour(A18)/24+MINUTE(A18)/1440,"")</f>
        <v>44628.66875</v>
      </c>
      <c r="P18" s="64" t="s">
        <v>2718</v>
      </c>
      <c r="Q18" s="56"/>
      <c r="R18" s="66">
        <f t="shared" si="5"/>
        <v>1505.31516</v>
      </c>
      <c r="S18" s="66"/>
      <c r="T18" s="66"/>
      <c r="U18" s="64">
        <f>if(O18,_xlfn.WORKDAY.INTL(O18,U$5,"1000000",Holidays!A:A)+hour(O18)/24+MINUTE(O18)/1440,"")</f>
        <v>44629.66875</v>
      </c>
      <c r="V18" s="64" t="str">
        <f t="shared" si="6"/>
        <v/>
      </c>
      <c r="W18" s="66"/>
      <c r="X18" s="66">
        <f t="shared" si="7"/>
        <v>1504.31516</v>
      </c>
      <c r="Y18" s="66"/>
      <c r="Z18" s="66"/>
      <c r="AA18" s="66"/>
      <c r="AB18" s="63"/>
      <c r="AC18" s="63"/>
      <c r="AD18" s="63"/>
      <c r="AE18" s="63"/>
      <c r="AF18" s="63"/>
      <c r="AG18" s="63"/>
      <c r="AH18" s="63" t="str">
        <f t="shared" si="14"/>
        <v/>
      </c>
      <c r="AI18" s="63" t="str">
        <f>if(AH18,_xlfn.workday.intl(int(AH18),0,"1000000",Holidays!A:A)+18/24,"")</f>
        <v/>
      </c>
      <c r="AJ18" s="64" t="str">
        <f t="shared" si="8"/>
        <v/>
      </c>
      <c r="AK18" s="56"/>
      <c r="AL18" s="66" t="str">
        <f t="shared" si="9"/>
        <v/>
      </c>
      <c r="AM18" s="66"/>
      <c r="AN18" s="63" t="str">
        <f>if(AJ18,if(and(hour(AJ18+AN$5)&gt;11,(hour(AJ18+AN$5)&lt;20)),AJ18+AN$5,_xlfn.workday.intl(int(AJ18),1,"1000000",Holidays!A:A)+hour(AJ18+AN$5-$B$1)/24+minute(AJ18)/1440),"")</f>
        <v/>
      </c>
      <c r="AO18" s="64" t="str">
        <f t="shared" ref="AO18:AO1000" si="15">if(AO18,AO18,if(AP18&lt;&gt;"",$A$1,""))</f>
        <v/>
      </c>
      <c r="AP18" s="56"/>
      <c r="AQ18" s="66" t="str">
        <f t="shared" ref="AQ18:AQ1000" si="16">if(AN18,if(AO18&lt;&gt;"",if(AO18&gt;AN18,AO18-AN18,""),$A$1-AN18),"")</f>
        <v/>
      </c>
      <c r="AR18" s="66"/>
      <c r="AS18" s="63" t="str">
        <f>if(AJ18,if(and(hour(AJ18+AS$5)&gt;11,(hour(AJ18+AS$5)&lt;20)),AJ18+AS$5,_xlfn.workday.intl(int(AJ18),1,"1000000",Holidays!A:A)+hour(AJ18+AS$5-$B$1)/24+minute(AJ18)/1440),"")</f>
        <v/>
      </c>
      <c r="AT18" s="64" t="str">
        <f t="shared" si="12"/>
        <v/>
      </c>
      <c r="AU18" s="56"/>
      <c r="AV18" s="66" t="str">
        <f t="shared" si="13"/>
        <v/>
      </c>
      <c r="AW18" s="66"/>
      <c r="AX18" s="65" t="s">
        <v>2719</v>
      </c>
    </row>
    <row r="19">
      <c r="A19" s="55">
        <v>44626.67088987269</v>
      </c>
      <c r="B19" s="56"/>
      <c r="C19" s="57"/>
      <c r="D19" s="57"/>
      <c r="E19" s="57"/>
      <c r="F19" s="57"/>
      <c r="G19" s="58">
        <f>if(A19,_xlfn.workday.intl(int(A19),1,"1000000",Holidays!A:A)+17/24,"")</f>
        <v>44628.70833</v>
      </c>
      <c r="H19" s="59" t="str">
        <f t="shared" si="1"/>
        <v/>
      </c>
      <c r="I19" s="60"/>
      <c r="J19" s="61">
        <f t="shared" si="2"/>
        <v>1505.275577</v>
      </c>
      <c r="K19" s="58">
        <f>if(G19,_xlfn.workday.intl(int(G19),0,"1000000",Holidays!A:A)+19/24,"")</f>
        <v>44628.79167</v>
      </c>
      <c r="L19" s="59" t="str">
        <f t="shared" si="3"/>
        <v/>
      </c>
      <c r="M19" s="60"/>
      <c r="N19" s="61">
        <f t="shared" si="4"/>
        <v>1505.192243</v>
      </c>
      <c r="O19" s="63">
        <f>if(A19,_xlfn.WORKDAY.INTL(A19,O$5,"1000000",Holidays!A:A)+hour(A19)/24+MINUTE(A19)/1440,"")</f>
        <v>44628.67083</v>
      </c>
      <c r="P19" s="64" t="s">
        <v>2718</v>
      </c>
      <c r="Q19" s="56"/>
      <c r="R19" s="66">
        <f t="shared" si="5"/>
        <v>1505.313077</v>
      </c>
      <c r="S19" s="66"/>
      <c r="T19" s="66"/>
      <c r="U19" s="64">
        <f>if(O19,_xlfn.WORKDAY.INTL(O19,U$5,"1000000",Holidays!A:A)+hour(O19)/24+MINUTE(O19)/1440,"")</f>
        <v>44629.67083</v>
      </c>
      <c r="V19" s="64" t="str">
        <f t="shared" si="6"/>
        <v/>
      </c>
      <c r="W19" s="66"/>
      <c r="X19" s="66">
        <f t="shared" si="7"/>
        <v>1504.313077</v>
      </c>
      <c r="Y19" s="66"/>
      <c r="Z19" s="66"/>
      <c r="AA19" s="66"/>
      <c r="AB19" s="63"/>
      <c r="AC19" s="63"/>
      <c r="AD19" s="63"/>
      <c r="AE19" s="63"/>
      <c r="AF19" s="63"/>
      <c r="AG19" s="63"/>
      <c r="AH19" s="63" t="str">
        <f t="shared" si="14"/>
        <v/>
      </c>
      <c r="AI19" s="63" t="str">
        <f>if(AH19,_xlfn.workday.intl(int(AH19),0,"1000000",Holidays!A:A)+18/24,"")</f>
        <v/>
      </c>
      <c r="AJ19" s="64" t="str">
        <f t="shared" si="8"/>
        <v/>
      </c>
      <c r="AK19" s="65"/>
      <c r="AL19" s="66" t="str">
        <f t="shared" si="9"/>
        <v/>
      </c>
      <c r="AM19" s="66"/>
      <c r="AN19" s="63" t="str">
        <f>if(AJ19,if(and(hour(AJ19+AN$5)&gt;11,(hour(AJ19+AN$5)&lt;20)),AJ19+AN$5,_xlfn.workday.intl(int(AJ19),1,"1000000",Holidays!A:A)+hour(AJ19+AN$5-$B$1)/24+minute(AJ19)/1440),"")</f>
        <v/>
      </c>
      <c r="AO19" s="64" t="str">
        <f t="shared" si="15"/>
        <v/>
      </c>
      <c r="AP19" s="56"/>
      <c r="AQ19" s="66" t="str">
        <f t="shared" si="16"/>
        <v/>
      </c>
      <c r="AR19" s="66"/>
      <c r="AS19" s="63" t="str">
        <f>if(AJ19,if(and(hour(AJ19+AS$5)&gt;11,(hour(AJ19+AS$5)&lt;20)),AJ19+AS$5,_xlfn.workday.intl(int(AJ19),1,"1000000",Holidays!A:A)+hour(AJ19+AS$5-$B$1)/24+minute(AJ19)/1440),"")</f>
        <v/>
      </c>
      <c r="AT19" s="64" t="str">
        <f t="shared" si="12"/>
        <v/>
      </c>
      <c r="AU19" s="56"/>
      <c r="AV19" s="66" t="str">
        <f t="shared" si="13"/>
        <v/>
      </c>
      <c r="AW19" s="66"/>
      <c r="AX19" s="65" t="s">
        <v>2719</v>
      </c>
    </row>
    <row r="20">
      <c r="A20" s="55">
        <v>44626.67297591435</v>
      </c>
      <c r="B20" s="56"/>
      <c r="C20" s="57"/>
      <c r="D20" s="57"/>
      <c r="E20" s="57"/>
      <c r="F20" s="57"/>
      <c r="G20" s="58">
        <f>if(A20,_xlfn.workday.intl(int(A20),1,"1000000",Holidays!A:A)+17/24,"")</f>
        <v>44628.70833</v>
      </c>
      <c r="H20" s="59">
        <f t="shared" si="1"/>
        <v>44744.45666</v>
      </c>
      <c r="I20" s="62" t="s">
        <v>2713</v>
      </c>
      <c r="J20" s="61">
        <f t="shared" si="2"/>
        <v>115.7483271</v>
      </c>
      <c r="K20" s="58">
        <f>if(G20,_xlfn.workday.intl(int(G20),0,"1000000",Holidays!A:A)+19/24,"")</f>
        <v>44628.79167</v>
      </c>
      <c r="L20" s="59">
        <f t="shared" si="3"/>
        <v>44744.45669</v>
      </c>
      <c r="M20" s="62" t="s">
        <v>2713</v>
      </c>
      <c r="N20" s="61">
        <f t="shared" si="4"/>
        <v>115.6650258</v>
      </c>
      <c r="O20" s="63">
        <f>if(A20,_xlfn.WORKDAY.INTL(A20,O$5,"1000000",Holidays!A:A)+hour(A20)/24+MINUTE(A20)/1440,"")</f>
        <v>44628.67292</v>
      </c>
      <c r="P20" s="64">
        <v>44744.45672587963</v>
      </c>
      <c r="Q20" s="65" t="s">
        <v>2713</v>
      </c>
      <c r="R20" s="66">
        <f t="shared" si="5"/>
        <v>115.7838092</v>
      </c>
      <c r="S20" s="66"/>
      <c r="T20" s="65" t="s">
        <v>2713</v>
      </c>
      <c r="U20" s="64">
        <f>if(O20,_xlfn.WORKDAY.INTL(O20,U$5,"1000000",Holidays!A:A)+hour(O20)/24+MINUTE(O20)/1440,"")</f>
        <v>44629.67292</v>
      </c>
      <c r="V20" s="64">
        <f t="shared" si="6"/>
        <v>44924.79556</v>
      </c>
      <c r="W20" s="65" t="s">
        <v>2713</v>
      </c>
      <c r="X20" s="66">
        <f t="shared" si="7"/>
        <v>295.1226383</v>
      </c>
      <c r="Y20" s="65" t="s">
        <v>2713</v>
      </c>
      <c r="Z20" s="66"/>
      <c r="AA20" s="66"/>
      <c r="AB20" s="67">
        <v>1.0</v>
      </c>
      <c r="AC20" s="67">
        <v>2.0</v>
      </c>
      <c r="AD20" s="67">
        <v>3.0</v>
      </c>
      <c r="AE20" s="63"/>
      <c r="AF20" s="63"/>
      <c r="AG20" s="63"/>
      <c r="AH20" s="63">
        <f t="shared" si="14"/>
        <v>44750.45673</v>
      </c>
      <c r="AI20" s="63">
        <f>if(AH20,_xlfn.workday.intl(int(AH20),0,"1000000",Holidays!A:A)+18/24,"")</f>
        <v>44750.75</v>
      </c>
      <c r="AJ20" s="64">
        <f t="shared" si="8"/>
        <v>44733.66352</v>
      </c>
      <c r="AK20" s="65" t="s">
        <v>2713</v>
      </c>
      <c r="AL20" s="66" t="str">
        <f t="shared" si="9"/>
        <v/>
      </c>
      <c r="AM20" s="66"/>
      <c r="AN20" s="63">
        <f>if(AJ20,if(and(hour(AJ20+AN$5)&gt;11,(hour(AJ20+AN$5)&lt;20)),AJ20+AN$5,_xlfn.workday.intl(int(AJ20),1,"1000000",Holidays!A:A)+hour(AJ20+AN$5-$B$1)/24+minute(AJ20)/1440),"")</f>
        <v>44734.66352</v>
      </c>
      <c r="AO20" s="64">
        <f t="shared" si="15"/>
        <v>44744.45679</v>
      </c>
      <c r="AP20" s="65" t="s">
        <v>2713</v>
      </c>
      <c r="AQ20" s="66">
        <f t="shared" si="16"/>
        <v>9.793274838</v>
      </c>
      <c r="AR20" s="66"/>
      <c r="AS20" s="63">
        <f>if(AJ20,if(and(hour(AJ20+AS$5)&gt;11,(hour(AJ20+AS$5)&lt;20)),AJ20+AS$5,_xlfn.workday.intl(int(AJ20),1,"1000000",Holidays!A:A)+hour(AJ20+AS$5-$B$1)/24+minute(AJ20)/1440),"")</f>
        <v>44735.66352</v>
      </c>
      <c r="AT20" s="64">
        <f t="shared" si="12"/>
        <v>44744.45682</v>
      </c>
      <c r="AU20" s="65" t="s">
        <v>2715</v>
      </c>
      <c r="AV20" s="66">
        <f t="shared" si="13"/>
        <v>8.793306574</v>
      </c>
      <c r="AW20" s="66"/>
      <c r="AX20" s="65" t="s">
        <v>2713</v>
      </c>
    </row>
    <row r="21">
      <c r="A21" s="55">
        <v>44628.492840625</v>
      </c>
      <c r="B21" s="56"/>
      <c r="C21" s="57"/>
      <c r="D21" s="57"/>
      <c r="E21" s="57"/>
      <c r="F21" s="57"/>
      <c r="G21" s="58">
        <f>if(A21,_xlfn.workday.intl(int(A21),1,"1000000",Holidays!A:A)+17/24,"")</f>
        <v>44629.70833</v>
      </c>
      <c r="H21" s="59">
        <f t="shared" si="1"/>
        <v>44744.45637</v>
      </c>
      <c r="I21" s="62" t="s">
        <v>2713</v>
      </c>
      <c r="J21" s="61">
        <f t="shared" si="2"/>
        <v>114.7480412</v>
      </c>
      <c r="K21" s="58">
        <f>if(G21,_xlfn.workday.intl(int(G21),0,"1000000",Holidays!A:A)+19/24,"")</f>
        <v>44629.79167</v>
      </c>
      <c r="L21" s="59">
        <f t="shared" si="3"/>
        <v>44744.45644</v>
      </c>
      <c r="M21" s="62" t="s">
        <v>2713</v>
      </c>
      <c r="N21" s="61">
        <f t="shared" si="4"/>
        <v>114.6647717</v>
      </c>
      <c r="O21" s="63">
        <f>if(A21,_xlfn.WORKDAY.INTL(A21,O$5,"1000000",Holidays!A:A)+hour(A21)/24+MINUTE(A21)/1440,"")</f>
        <v>44629.49236</v>
      </c>
      <c r="P21" s="64">
        <v>44744.45647640046</v>
      </c>
      <c r="Q21" s="65" t="s">
        <v>2713</v>
      </c>
      <c r="R21" s="66">
        <f t="shared" si="5"/>
        <v>114.9641153</v>
      </c>
      <c r="S21" s="66"/>
      <c r="T21" s="65" t="s">
        <v>2713</v>
      </c>
      <c r="U21" s="64">
        <f>if(O21,_xlfn.WORKDAY.INTL(O21,U$5,"1000000",Holidays!A:A)+hour(O21)/24+MINUTE(O21)/1440,"")</f>
        <v>44630.49236</v>
      </c>
      <c r="V21" s="64">
        <f t="shared" si="6"/>
        <v>44924.79553</v>
      </c>
      <c r="W21" s="65" t="s">
        <v>2713</v>
      </c>
      <c r="X21" s="66">
        <f t="shared" si="7"/>
        <v>294.3031727</v>
      </c>
      <c r="Y21" s="65" t="s">
        <v>2713</v>
      </c>
      <c r="Z21" s="66"/>
      <c r="AA21" s="66"/>
      <c r="AB21" s="67">
        <v>1.0</v>
      </c>
      <c r="AC21" s="67">
        <v>2.0</v>
      </c>
      <c r="AD21" s="67">
        <v>3.0</v>
      </c>
      <c r="AE21" s="63"/>
      <c r="AF21" s="63"/>
      <c r="AG21" s="63"/>
      <c r="AH21" s="63">
        <f t="shared" si="14"/>
        <v>44750.45648</v>
      </c>
      <c r="AI21" s="63">
        <f>if(AH21,_xlfn.workday.intl(int(AH21),0,"1000000",Holidays!A:A)+18/24,"")</f>
        <v>44750.75</v>
      </c>
      <c r="AJ21" s="64">
        <f t="shared" si="8"/>
        <v>44733.66358</v>
      </c>
      <c r="AK21" s="65" t="s">
        <v>2713</v>
      </c>
      <c r="AL21" s="66" t="str">
        <f t="shared" si="9"/>
        <v/>
      </c>
      <c r="AM21" s="66"/>
      <c r="AN21" s="63">
        <f>if(AJ21,if(and(hour(AJ21+AN$5)&gt;11,(hour(AJ21+AN$5)&lt;20)),AJ21+AN$5,_xlfn.workday.intl(int(AJ21),1,"1000000",Holidays!A:A)+hour(AJ21+AN$5-$B$1)/24+minute(AJ21)/1440),"")</f>
        <v>44734.66358</v>
      </c>
      <c r="AO21" s="64">
        <f t="shared" si="15"/>
        <v>44744.45654</v>
      </c>
      <c r="AP21" s="65" t="s">
        <v>2713</v>
      </c>
      <c r="AQ21" s="66">
        <f t="shared" si="16"/>
        <v>9.792958785</v>
      </c>
      <c r="AR21" s="66"/>
      <c r="AS21" s="63">
        <f>if(AJ21,if(and(hour(AJ21+AS$5)&gt;11,(hour(AJ21+AS$5)&lt;20)),AJ21+AS$5,_xlfn.workday.intl(int(AJ21),1,"1000000",Holidays!A:A)+hour(AJ21+AS$5-$B$1)/24+minute(AJ21)/1440),"")</f>
        <v>44735.66358</v>
      </c>
      <c r="AT21" s="64">
        <f t="shared" si="12"/>
        <v>44744.45657</v>
      </c>
      <c r="AU21" s="65" t="s">
        <v>2715</v>
      </c>
      <c r="AV21" s="66">
        <f t="shared" si="13"/>
        <v>8.792991181</v>
      </c>
      <c r="AW21" s="66"/>
      <c r="AX21" s="65" t="s">
        <v>2713</v>
      </c>
    </row>
    <row r="22">
      <c r="A22" s="55">
        <v>44629.47896633102</v>
      </c>
      <c r="B22" s="56"/>
      <c r="C22" s="57"/>
      <c r="D22" s="57"/>
      <c r="E22" s="77"/>
      <c r="F22" s="57"/>
      <c r="G22" s="58">
        <f>if(A22,_xlfn.workday.intl(int(A22),1,"1000000",Holidays!A:A)+17/24,"")</f>
        <v>44630.70833</v>
      </c>
      <c r="H22" s="59">
        <f t="shared" si="1"/>
        <v>44744.45604</v>
      </c>
      <c r="I22" s="62" t="s">
        <v>2713</v>
      </c>
      <c r="J22" s="61">
        <f t="shared" si="2"/>
        <v>113.7477079</v>
      </c>
      <c r="K22" s="58">
        <f>if(G22,_xlfn.workday.intl(int(G22),0,"1000000",Holidays!A:A)+19/24,"")</f>
        <v>44630.79167</v>
      </c>
      <c r="L22" s="59">
        <f t="shared" si="3"/>
        <v>44744.45607</v>
      </c>
      <c r="M22" s="62" t="s">
        <v>2713</v>
      </c>
      <c r="N22" s="61">
        <f t="shared" si="4"/>
        <v>113.6644033</v>
      </c>
      <c r="O22" s="63">
        <f>if(A22,_xlfn.WORKDAY.INTL(A22,O$5,"1000000",Holidays!A:A)+hour(A22)/24+MINUTE(A22)/1440,"")</f>
        <v>44630.47847</v>
      </c>
      <c r="P22" s="64">
        <v>44744.45609684028</v>
      </c>
      <c r="Q22" s="65" t="s">
        <v>2713</v>
      </c>
      <c r="R22" s="66">
        <f t="shared" si="5"/>
        <v>113.9776246</v>
      </c>
      <c r="S22" s="66"/>
      <c r="T22" s="65" t="s">
        <v>2713</v>
      </c>
      <c r="U22" s="64">
        <f>if(O22,_xlfn.WORKDAY.INTL(O22,U$5,"1000000",Holidays!A:A)+hour(O22)/24+MINUTE(O22)/1440,"")</f>
        <v>44631.47847</v>
      </c>
      <c r="V22" s="64">
        <f t="shared" si="6"/>
        <v>44924.79551</v>
      </c>
      <c r="W22" s="65" t="s">
        <v>2713</v>
      </c>
      <c r="X22" s="66">
        <f t="shared" si="7"/>
        <v>293.3170353</v>
      </c>
      <c r="Y22" s="65" t="s">
        <v>2713</v>
      </c>
      <c r="Z22" s="66"/>
      <c r="AA22" s="66"/>
      <c r="AB22" s="67">
        <v>1.0</v>
      </c>
      <c r="AC22" s="67">
        <v>2.0</v>
      </c>
      <c r="AD22" s="67">
        <v>3.0</v>
      </c>
      <c r="AE22" s="63"/>
      <c r="AF22" s="63"/>
      <c r="AG22" s="63"/>
      <c r="AH22" s="63">
        <f t="shared" si="14"/>
        <v>44750.4561</v>
      </c>
      <c r="AI22" s="63">
        <f>if(AH22,_xlfn.workday.intl(int(AH22),0,"1000000",Holidays!A:A)+18/24,"")</f>
        <v>44750.75</v>
      </c>
      <c r="AJ22" s="64">
        <f t="shared" si="8"/>
        <v>44733.66365</v>
      </c>
      <c r="AK22" s="65" t="s">
        <v>2713</v>
      </c>
      <c r="AL22" s="66" t="str">
        <f t="shared" si="9"/>
        <v/>
      </c>
      <c r="AM22" s="66"/>
      <c r="AN22" s="63">
        <f>if(AJ22,if(and(hour(AJ22+AN$5)&gt;11,(hour(AJ22+AN$5)&lt;20)),AJ22+AN$5,_xlfn.workday.intl(int(AJ22),1,"1000000",Holidays!A:A)+hour(AJ22+AN$5-$B$1)/24+minute(AJ22)/1440),"")</f>
        <v>44734.66365</v>
      </c>
      <c r="AO22" s="64">
        <f t="shared" si="15"/>
        <v>44744.45617</v>
      </c>
      <c r="AP22" s="65" t="s">
        <v>2713</v>
      </c>
      <c r="AQ22" s="66">
        <f t="shared" si="16"/>
        <v>9.792520799</v>
      </c>
      <c r="AR22" s="66"/>
      <c r="AS22" s="63">
        <f>if(AJ22,if(and(hour(AJ22+AS$5)&gt;11,(hour(AJ22+AS$5)&lt;20)),AJ22+AS$5,_xlfn.workday.intl(int(AJ22),1,"1000000",Holidays!A:A)+hour(AJ22+AS$5-$B$1)/24+minute(AJ22)/1440),"")</f>
        <v>44735.66365</v>
      </c>
      <c r="AT22" s="64">
        <f t="shared" si="12"/>
        <v>44744.4562</v>
      </c>
      <c r="AU22" s="65" t="s">
        <v>2715</v>
      </c>
      <c r="AV22" s="66">
        <f t="shared" si="13"/>
        <v>8.792552211</v>
      </c>
      <c r="AW22" s="66"/>
      <c r="AX22" s="65" t="s">
        <v>2713</v>
      </c>
    </row>
    <row r="23">
      <c r="A23" s="55">
        <v>44635.7216875</v>
      </c>
      <c r="B23" s="56"/>
      <c r="C23" s="57"/>
      <c r="D23" s="57"/>
      <c r="E23" s="57"/>
      <c r="F23" s="57"/>
      <c r="G23" s="58">
        <f>if(A23,_xlfn.workday.intl(int(A23),1,"1000000",Holidays!A:A)+17/24,"")</f>
        <v>44636.70833</v>
      </c>
      <c r="H23" s="59" t="str">
        <f t="shared" si="1"/>
        <v/>
      </c>
      <c r="I23" s="60"/>
      <c r="J23" s="61">
        <f t="shared" si="2"/>
        <v>1497.275577</v>
      </c>
      <c r="K23" s="58">
        <f>if(G23,_xlfn.workday.intl(int(G23),0,"1000000",Holidays!A:A)+19/24,"")</f>
        <v>44636.79167</v>
      </c>
      <c r="L23" s="59" t="str">
        <f t="shared" si="3"/>
        <v/>
      </c>
      <c r="M23" s="60"/>
      <c r="N23" s="61">
        <f t="shared" si="4"/>
        <v>1497.192243</v>
      </c>
      <c r="O23" s="63">
        <f>if(A23,_xlfn.WORKDAY.INTL(A23,O$5,"1000000",Holidays!A:A)+hour(A23)/24+MINUTE(A23)/1440,"")</f>
        <v>44636.72153</v>
      </c>
      <c r="P23" s="64" t="s">
        <v>2718</v>
      </c>
      <c r="Q23" s="56"/>
      <c r="R23" s="66">
        <f t="shared" si="5"/>
        <v>1497.262382</v>
      </c>
      <c r="S23" s="66"/>
      <c r="T23" s="66"/>
      <c r="U23" s="64">
        <f>if(O23,_xlfn.WORKDAY.INTL(O23,U$5,"1000000",Holidays!A:A)+hour(O23)/24+MINUTE(O23)/1440,"")</f>
        <v>44637.72153</v>
      </c>
      <c r="V23" s="64" t="str">
        <f t="shared" si="6"/>
        <v/>
      </c>
      <c r="W23" s="66"/>
      <c r="X23" s="66">
        <f t="shared" si="7"/>
        <v>1496.262382</v>
      </c>
      <c r="Y23" s="66"/>
      <c r="Z23" s="66"/>
      <c r="AA23" s="66"/>
      <c r="AB23" s="63"/>
      <c r="AC23" s="63"/>
      <c r="AD23" s="63"/>
      <c r="AE23" s="63"/>
      <c r="AF23" s="63"/>
      <c r="AG23" s="63"/>
      <c r="AH23" s="63" t="str">
        <f t="shared" si="14"/>
        <v/>
      </c>
      <c r="AI23" s="63" t="str">
        <f>if(AH23,_xlfn.workday.intl(int(AH23),0,"1000000",Holidays!A:A)+18/24,"")</f>
        <v/>
      </c>
      <c r="AJ23" s="64" t="str">
        <f t="shared" si="8"/>
        <v/>
      </c>
      <c r="AK23" s="56"/>
      <c r="AL23" s="66" t="str">
        <f t="shared" si="9"/>
        <v/>
      </c>
      <c r="AM23" s="66"/>
      <c r="AN23" s="63" t="str">
        <f>if(AJ23,if(and(hour(AJ23+AN$5)&gt;11,(hour(AJ23+AN$5)&lt;20)),AJ23+AN$5,_xlfn.workday.intl(int(AJ23),1,"1000000",Holidays!A:A)+hour(AJ23+AN$5-$B$1)/24+minute(AJ23)/1440),"")</f>
        <v/>
      </c>
      <c r="AO23" s="64" t="str">
        <f t="shared" si="15"/>
        <v/>
      </c>
      <c r="AP23" s="56"/>
      <c r="AQ23" s="66" t="str">
        <f t="shared" si="16"/>
        <v/>
      </c>
      <c r="AR23" s="66"/>
      <c r="AS23" s="63" t="str">
        <f>if(AJ23,if(and(hour(AJ23+AS$5)&gt;11,(hour(AJ23+AS$5)&lt;20)),AJ23+AS$5,_xlfn.workday.intl(int(AJ23),1,"1000000",Holidays!A:A)+hour(AJ23+AS$5-$B$1)/24+minute(AJ23)/1440),"")</f>
        <v/>
      </c>
      <c r="AT23" s="64" t="str">
        <f t="shared" si="12"/>
        <v/>
      </c>
      <c r="AU23" s="56"/>
      <c r="AV23" s="66" t="str">
        <f t="shared" si="13"/>
        <v/>
      </c>
      <c r="AW23" s="66"/>
      <c r="AX23" s="65" t="s">
        <v>2717</v>
      </c>
    </row>
    <row r="24">
      <c r="A24" s="55">
        <v>44636.49301585648</v>
      </c>
      <c r="B24" s="56"/>
      <c r="C24" s="57"/>
      <c r="D24" s="57"/>
      <c r="E24" s="57"/>
      <c r="F24" s="57"/>
      <c r="G24" s="58">
        <f>if(A24,_xlfn.workday.intl(int(A24),1,"1000000",Holidays!A:A)+17/24,"")</f>
        <v>44637.70833</v>
      </c>
      <c r="H24" s="59">
        <f t="shared" si="1"/>
        <v>44744.4555</v>
      </c>
      <c r="I24" s="62" t="s">
        <v>2713</v>
      </c>
      <c r="J24" s="61">
        <f t="shared" si="2"/>
        <v>106.747162</v>
      </c>
      <c r="K24" s="58">
        <f>if(G24,_xlfn.workday.intl(int(G24),0,"1000000",Holidays!A:A)+19/24,"")</f>
        <v>44637.79167</v>
      </c>
      <c r="L24" s="59">
        <f t="shared" si="3"/>
        <v>44744.45553</v>
      </c>
      <c r="M24" s="62" t="s">
        <v>2713</v>
      </c>
      <c r="N24" s="61">
        <f t="shared" si="4"/>
        <v>106.6638621</v>
      </c>
      <c r="O24" s="63">
        <f>if(A24,_xlfn.WORKDAY.INTL(A24,O$5,"1000000",Holidays!A:A)+hour(A24)/24+MINUTE(A24)/1440,"")</f>
        <v>44637.49236</v>
      </c>
      <c r="P24" s="64">
        <v>44744.45556545139</v>
      </c>
      <c r="Q24" s="65" t="s">
        <v>2713</v>
      </c>
      <c r="R24" s="66">
        <f t="shared" si="5"/>
        <v>106.9632043</v>
      </c>
      <c r="S24" s="66"/>
      <c r="T24" s="65" t="s">
        <v>2713</v>
      </c>
      <c r="U24" s="64">
        <f>if(O24,_xlfn.WORKDAY.INTL(O24,U$5,"1000000",Holidays!A:A)+hour(O24)/24+MINUTE(O24)/1440,"")</f>
        <v>44638.49236</v>
      </c>
      <c r="V24" s="64">
        <f t="shared" si="6"/>
        <v>44924.79602</v>
      </c>
      <c r="W24" s="65" t="s">
        <v>2713</v>
      </c>
      <c r="X24" s="66">
        <f t="shared" si="7"/>
        <v>286.3036623</v>
      </c>
      <c r="Y24" s="65" t="s">
        <v>2713</v>
      </c>
      <c r="Z24" s="66"/>
      <c r="AA24" s="66"/>
      <c r="AB24" s="67">
        <v>1.0</v>
      </c>
      <c r="AC24" s="67">
        <v>2.0</v>
      </c>
      <c r="AD24" s="63"/>
      <c r="AE24" s="63"/>
      <c r="AF24" s="63"/>
      <c r="AG24" s="63"/>
      <c r="AH24" s="63">
        <f t="shared" si="14"/>
        <v>44747.45557</v>
      </c>
      <c r="AI24" s="63">
        <f>if(AH24,_xlfn.workday.intl(int(AH24),0,"1000000",Holidays!A:A)+18/24,"")</f>
        <v>44747.75</v>
      </c>
      <c r="AJ24" s="64">
        <f t="shared" si="8"/>
        <v>44733.66405</v>
      </c>
      <c r="AK24" s="65" t="s">
        <v>2713</v>
      </c>
      <c r="AL24" s="66" t="str">
        <f t="shared" si="9"/>
        <v/>
      </c>
      <c r="AM24" s="66"/>
      <c r="AN24" s="63">
        <f>if(AJ24,if(and(hour(AJ24+AN$5)&gt;11,(hour(AJ24+AN$5)&lt;20)),AJ24+AN$5,_xlfn.workday.intl(int(AJ24),1,"1000000",Holidays!A:A)+hour(AJ24+AN$5-$B$1)/24+minute(AJ24)/1440),"")</f>
        <v>44734.66405</v>
      </c>
      <c r="AO24" s="64">
        <f t="shared" si="15"/>
        <v>44744.45567</v>
      </c>
      <c r="AP24" s="65" t="s">
        <v>2713</v>
      </c>
      <c r="AQ24" s="66">
        <f t="shared" si="16"/>
        <v>9.791625405</v>
      </c>
      <c r="AR24" s="66"/>
      <c r="AS24" s="63">
        <f>if(AJ24,if(and(hour(AJ24+AS$5)&gt;11,(hour(AJ24+AS$5)&lt;20)),AJ24+AS$5,_xlfn.workday.intl(int(AJ24),1,"1000000",Holidays!A:A)+hour(AJ24+AS$5-$B$1)/24+minute(AJ24)/1440),"")</f>
        <v>44735.66405</v>
      </c>
      <c r="AT24" s="64">
        <f t="shared" si="12"/>
        <v>44744.45571</v>
      </c>
      <c r="AU24" s="65" t="s">
        <v>2715</v>
      </c>
      <c r="AV24" s="66">
        <f t="shared" si="13"/>
        <v>8.791665174</v>
      </c>
      <c r="AW24" s="66"/>
      <c r="AX24" s="65" t="s">
        <v>2713</v>
      </c>
    </row>
    <row r="25" ht="25.5" customHeight="1">
      <c r="A25" s="55">
        <v>44636.49452060185</v>
      </c>
      <c r="B25" s="56"/>
      <c r="C25" s="57"/>
      <c r="D25" s="57"/>
      <c r="E25" s="57"/>
      <c r="F25" s="57"/>
      <c r="G25" s="58">
        <f>if(A25,_xlfn.workday.intl(int(A25),1,"1000000",Holidays!A:A)+17/24,"")</f>
        <v>44637.70833</v>
      </c>
      <c r="H25" s="59" t="str">
        <f t="shared" si="1"/>
        <v/>
      </c>
      <c r="I25" s="60"/>
      <c r="J25" s="61">
        <f t="shared" si="2"/>
        <v>1496.275577</v>
      </c>
      <c r="K25" s="58">
        <f>if(G25,_xlfn.workday.intl(int(G25),0,"1000000",Holidays!A:A)+19/24,"")</f>
        <v>44637.79167</v>
      </c>
      <c r="L25" s="59">
        <f t="shared" si="3"/>
        <v>44744.77639</v>
      </c>
      <c r="M25" s="62" t="s">
        <v>2713</v>
      </c>
      <c r="N25" s="61">
        <f t="shared" si="4"/>
        <v>106.9847184</v>
      </c>
      <c r="O25" s="63">
        <f>if(A25,_xlfn.WORKDAY.INTL(A25,O$5,"1000000",Holidays!A:A)+hour(A25)/24+MINUTE(A25)/1440,"")</f>
        <v>44637.49444</v>
      </c>
      <c r="P25" s="64">
        <v>44744.45523446759</v>
      </c>
      <c r="Q25" s="65" t="s">
        <v>2713</v>
      </c>
      <c r="R25" s="66">
        <f t="shared" si="5"/>
        <v>106.96079</v>
      </c>
      <c r="S25" s="66"/>
      <c r="T25" s="65" t="s">
        <v>2713</v>
      </c>
      <c r="U25" s="64">
        <f>if(O25,_xlfn.WORKDAY.INTL(O25,U$5,"1000000",Holidays!A:A)+hour(O25)/24+MINUTE(O25)/1440,"")</f>
        <v>44638.49444</v>
      </c>
      <c r="V25" s="64">
        <f t="shared" si="6"/>
        <v>44924.79604</v>
      </c>
      <c r="W25" s="65" t="s">
        <v>2713</v>
      </c>
      <c r="X25" s="66">
        <f t="shared" si="7"/>
        <v>286.3015981</v>
      </c>
      <c r="Y25" s="65" t="s">
        <v>2713</v>
      </c>
      <c r="Z25" s="66"/>
      <c r="AA25" s="66"/>
      <c r="AB25" s="67">
        <v>6.0</v>
      </c>
      <c r="AC25" s="67">
        <v>1.0</v>
      </c>
      <c r="AD25" s="63"/>
      <c r="AE25" s="63"/>
      <c r="AF25" s="63"/>
      <c r="AG25" s="63"/>
      <c r="AH25" s="63">
        <f t="shared" si="14"/>
        <v>44751.45523</v>
      </c>
      <c r="AI25" s="63">
        <f>if(AH25,_xlfn.workday.intl(int(AH25),0,"1000000",Holidays!A:A)+18/24,"")</f>
        <v>44751.75</v>
      </c>
      <c r="AJ25" s="64">
        <f t="shared" si="8"/>
        <v>44733.66458</v>
      </c>
      <c r="AK25" s="65" t="s">
        <v>2713</v>
      </c>
      <c r="AL25" s="66" t="str">
        <f t="shared" si="9"/>
        <v/>
      </c>
      <c r="AM25" s="66"/>
      <c r="AN25" s="63">
        <f>if(AJ25,if(and(hour(AJ25+AN$5)&gt;11,(hour(AJ25+AN$5)&lt;20)),AJ25+AN$5,_xlfn.workday.intl(int(AJ25),1,"1000000",Holidays!A:A)+hour(AJ25+AN$5-$B$1)/24+minute(AJ25)/1440),"")</f>
        <v>44734.66458</v>
      </c>
      <c r="AO25" s="64">
        <f t="shared" si="15"/>
        <v>44744.45529</v>
      </c>
      <c r="AP25" s="65" t="s">
        <v>2713</v>
      </c>
      <c r="AQ25" s="66">
        <f t="shared" si="16"/>
        <v>9.790710764</v>
      </c>
      <c r="AR25" s="66"/>
      <c r="AS25" s="63">
        <f>if(AJ25,if(and(hour(AJ25+AS$5)&gt;11,(hour(AJ25+AS$5)&lt;20)),AJ25+AS$5,_xlfn.workday.intl(int(AJ25),1,"1000000",Holidays!A:A)+hour(AJ25+AS$5-$B$1)/24+minute(AJ25)/1440),"")</f>
        <v>44735.66458</v>
      </c>
      <c r="AT25" s="64">
        <f t="shared" si="12"/>
        <v>44744.45533</v>
      </c>
      <c r="AU25" s="65" t="s">
        <v>2715</v>
      </c>
      <c r="AV25" s="66">
        <f t="shared" si="13"/>
        <v>8.790750567</v>
      </c>
      <c r="AW25" s="66"/>
      <c r="AX25" s="65" t="s">
        <v>2713</v>
      </c>
    </row>
    <row r="26">
      <c r="A26" s="55">
        <v>44636.497870844905</v>
      </c>
      <c r="B26" s="56"/>
      <c r="C26" s="57"/>
      <c r="D26" s="57"/>
      <c r="E26" s="57"/>
      <c r="F26" s="57"/>
      <c r="G26" s="58">
        <f>if(A26,_xlfn.workday.intl(int(A26),1,"1000000",Holidays!A:A)+17/24,"")</f>
        <v>44637.70833</v>
      </c>
      <c r="H26" s="59" t="str">
        <f t="shared" si="1"/>
        <v/>
      </c>
      <c r="I26" s="60"/>
      <c r="J26" s="61">
        <f t="shared" si="2"/>
        <v>1496.275577</v>
      </c>
      <c r="K26" s="58">
        <f>if(G26,_xlfn.workday.intl(int(G26),0,"1000000",Holidays!A:A)+19/24,"")</f>
        <v>44637.79167</v>
      </c>
      <c r="L26" s="59" t="str">
        <f t="shared" si="3"/>
        <v/>
      </c>
      <c r="M26" s="60"/>
      <c r="N26" s="61">
        <f t="shared" si="4"/>
        <v>1496.192243</v>
      </c>
      <c r="O26" s="63">
        <f>if(A26,_xlfn.WORKDAY.INTL(A26,O$5,"1000000",Holidays!A:A)+hour(A26)/24+MINUTE(A26)/1440,"")</f>
        <v>44637.49722</v>
      </c>
      <c r="P26" s="64" t="s">
        <v>2718</v>
      </c>
      <c r="Q26" s="56"/>
      <c r="R26" s="66">
        <f t="shared" si="5"/>
        <v>1496.486688</v>
      </c>
      <c r="S26" s="66"/>
      <c r="T26" s="66"/>
      <c r="U26" s="64">
        <f>if(O26,_xlfn.WORKDAY.INTL(O26,U$5,"1000000",Holidays!A:A)+hour(O26)/24+MINUTE(O26)/1440,"")</f>
        <v>44638.49722</v>
      </c>
      <c r="V26" s="64" t="str">
        <f t="shared" si="6"/>
        <v/>
      </c>
      <c r="W26" s="66"/>
      <c r="X26" s="66">
        <f t="shared" si="7"/>
        <v>1495.486688</v>
      </c>
      <c r="Y26" s="66"/>
      <c r="Z26" s="66"/>
      <c r="AA26" s="66"/>
      <c r="AB26" s="63"/>
      <c r="AC26" s="63"/>
      <c r="AD26" s="63"/>
      <c r="AE26" s="63"/>
      <c r="AF26" s="63"/>
      <c r="AG26" s="63"/>
      <c r="AH26" s="63" t="str">
        <f t="shared" si="14"/>
        <v/>
      </c>
      <c r="AI26" s="63" t="str">
        <f>if(AH26,_xlfn.workday.intl(int(AH26),0,"1000000",Holidays!A:A)+18/24,"")</f>
        <v/>
      </c>
      <c r="AJ26" s="64" t="str">
        <f t="shared" si="8"/>
        <v/>
      </c>
      <c r="AK26" s="56"/>
      <c r="AL26" s="66" t="str">
        <f t="shared" si="9"/>
        <v/>
      </c>
      <c r="AM26" s="66"/>
      <c r="AN26" s="63" t="str">
        <f>if(AJ26,if(and(hour(AJ26+AN$5)&gt;11,(hour(AJ26+AN$5)&lt;20)),AJ26+AN$5,_xlfn.workday.intl(int(AJ26),1,"1000000",Holidays!A:A)+hour(AJ26+AN$5-$B$1)/24+minute(AJ26)/1440),"")</f>
        <v/>
      </c>
      <c r="AO26" s="64" t="str">
        <f t="shared" si="15"/>
        <v/>
      </c>
      <c r="AP26" s="56"/>
      <c r="AQ26" s="66" t="str">
        <f t="shared" si="16"/>
        <v/>
      </c>
      <c r="AR26" s="66"/>
      <c r="AS26" s="63" t="str">
        <f>if(AJ26,if(and(hour(AJ26+AS$5)&gt;11,(hour(AJ26+AS$5)&lt;20)),AJ26+AS$5,_xlfn.workday.intl(int(AJ26),1,"1000000",Holidays!A:A)+hour(AJ26+AS$5-$B$1)/24+minute(AJ26)/1440),"")</f>
        <v/>
      </c>
      <c r="AT26" s="64" t="str">
        <f t="shared" si="12"/>
        <v/>
      </c>
      <c r="AU26" s="56"/>
      <c r="AV26" s="66" t="str">
        <f t="shared" si="13"/>
        <v/>
      </c>
      <c r="AW26" s="66"/>
      <c r="AX26" s="65" t="s">
        <v>2719</v>
      </c>
    </row>
    <row r="27">
      <c r="A27" s="55">
        <v>44636.501674178246</v>
      </c>
      <c r="B27" s="56"/>
      <c r="C27" s="57"/>
      <c r="D27" s="57"/>
      <c r="E27" s="57"/>
      <c r="F27" s="57"/>
      <c r="G27" s="58">
        <f>if(A27,_xlfn.workday.intl(int(A27),1,"1000000",Holidays!A:A)+17/24,"")</f>
        <v>44637.70833</v>
      </c>
      <c r="H27" s="59" t="str">
        <f t="shared" si="1"/>
        <v/>
      </c>
      <c r="I27" s="60"/>
      <c r="J27" s="61">
        <f t="shared" si="2"/>
        <v>1496.275577</v>
      </c>
      <c r="K27" s="58">
        <f>if(G27,_xlfn.workday.intl(int(G27),0,"1000000",Holidays!A:A)+19/24,"")</f>
        <v>44637.79167</v>
      </c>
      <c r="L27" s="59" t="str">
        <f t="shared" si="3"/>
        <v/>
      </c>
      <c r="M27" s="60"/>
      <c r="N27" s="61">
        <f t="shared" si="4"/>
        <v>1496.192243</v>
      </c>
      <c r="O27" s="63">
        <f>if(A27,_xlfn.WORKDAY.INTL(A27,O$5,"1000000",Holidays!A:A)+hour(A27)/24+MINUTE(A27)/1440,"")</f>
        <v>44637.50139</v>
      </c>
      <c r="P27" s="64" t="s">
        <v>2718</v>
      </c>
      <c r="Q27" s="56"/>
      <c r="R27" s="66">
        <f t="shared" si="5"/>
        <v>1496.482521</v>
      </c>
      <c r="S27" s="66"/>
      <c r="T27" s="66"/>
      <c r="U27" s="64">
        <f>if(O27,_xlfn.WORKDAY.INTL(O27,U$5,"1000000",Holidays!A:A)+hour(O27)/24+MINUTE(O27)/1440,"")</f>
        <v>44638.50139</v>
      </c>
      <c r="V27" s="64" t="str">
        <f t="shared" si="6"/>
        <v/>
      </c>
      <c r="W27" s="66"/>
      <c r="X27" s="66">
        <f t="shared" si="7"/>
        <v>1495.482521</v>
      </c>
      <c r="Y27" s="66"/>
      <c r="Z27" s="66"/>
      <c r="AA27" s="66"/>
      <c r="AB27" s="67">
        <v>2.0</v>
      </c>
      <c r="AC27" s="63"/>
      <c r="AD27" s="63"/>
      <c r="AE27" s="63"/>
      <c r="AF27" s="63"/>
      <c r="AG27" s="63"/>
      <c r="AH27" s="63" t="str">
        <f t="shared" si="14"/>
        <v/>
      </c>
      <c r="AI27" s="63" t="str">
        <f>if(AH27,_xlfn.workday.intl(int(AH27),0,"1000000",Holidays!A:A)+18/24,"")</f>
        <v/>
      </c>
      <c r="AJ27" s="64" t="str">
        <f t="shared" si="8"/>
        <v/>
      </c>
      <c r="AK27" s="56"/>
      <c r="AL27" s="66" t="str">
        <f t="shared" si="9"/>
        <v/>
      </c>
      <c r="AM27" s="66"/>
      <c r="AN27" s="63" t="str">
        <f>if(AJ27,if(and(hour(AJ27+AN$5)&gt;11,(hour(AJ27+AN$5)&lt;20)),AJ27+AN$5,_xlfn.workday.intl(int(AJ27),1,"1000000",Holidays!A:A)+hour(AJ27+AN$5-$B$1)/24+minute(AJ27)/1440),"")</f>
        <v/>
      </c>
      <c r="AO27" s="64" t="str">
        <f t="shared" si="15"/>
        <v/>
      </c>
      <c r="AP27" s="56"/>
      <c r="AQ27" s="66" t="str">
        <f t="shared" si="16"/>
        <v/>
      </c>
      <c r="AR27" s="66"/>
      <c r="AS27" s="63" t="str">
        <f>if(AJ27,if(and(hour(AJ27+AS$5)&gt;11,(hour(AJ27+AS$5)&lt;20)),AJ27+AS$5,_xlfn.workday.intl(int(AJ27),1,"1000000",Holidays!A:A)+hour(AJ27+AS$5-$B$1)/24+minute(AJ27)/1440),"")</f>
        <v/>
      </c>
      <c r="AT27" s="64" t="str">
        <f t="shared" si="12"/>
        <v/>
      </c>
      <c r="AU27" s="56"/>
      <c r="AV27" s="66" t="str">
        <f t="shared" si="13"/>
        <v/>
      </c>
      <c r="AW27" s="66"/>
      <c r="AX27" s="65" t="s">
        <v>2717</v>
      </c>
    </row>
    <row r="28">
      <c r="A28" s="55">
        <v>44636.50929306713</v>
      </c>
      <c r="B28" s="56"/>
      <c r="C28" s="57"/>
      <c r="D28" s="57"/>
      <c r="E28" s="57"/>
      <c r="F28" s="57"/>
      <c r="G28" s="58">
        <f>if(A28,_xlfn.workday.intl(int(A28),1,"1000000",Holidays!A:A)+17/24,"")</f>
        <v>44637.70833</v>
      </c>
      <c r="H28" s="59" t="str">
        <f t="shared" si="1"/>
        <v/>
      </c>
      <c r="I28" s="60"/>
      <c r="J28" s="61">
        <f t="shared" si="2"/>
        <v>1496.275577</v>
      </c>
      <c r="K28" s="58">
        <f>if(G28,_xlfn.workday.intl(int(G28),0,"1000000",Holidays!A:A)+19/24,"")</f>
        <v>44637.79167</v>
      </c>
      <c r="L28" s="59" t="str">
        <f t="shared" si="3"/>
        <v/>
      </c>
      <c r="M28" s="60"/>
      <c r="N28" s="61">
        <f t="shared" si="4"/>
        <v>1496.192243</v>
      </c>
      <c r="O28" s="63">
        <f>if(A28,_xlfn.WORKDAY.INTL(A28,O$5,"1000000",Holidays!A:A)+hour(A28)/24+MINUTE(A28)/1440,"")</f>
        <v>44637.50903</v>
      </c>
      <c r="P28" s="64" t="s">
        <v>2718</v>
      </c>
      <c r="Q28" s="56"/>
      <c r="R28" s="66">
        <f t="shared" si="5"/>
        <v>1496.474882</v>
      </c>
      <c r="S28" s="66"/>
      <c r="T28" s="66"/>
      <c r="U28" s="64">
        <f>if(O28,_xlfn.WORKDAY.INTL(O28,U$5,"1000000",Holidays!A:A)+hour(O28)/24+MINUTE(O28)/1440,"")</f>
        <v>44638.50903</v>
      </c>
      <c r="V28" s="64" t="str">
        <f t="shared" si="6"/>
        <v/>
      </c>
      <c r="W28" s="66"/>
      <c r="X28" s="66">
        <f t="shared" si="7"/>
        <v>1495.474882</v>
      </c>
      <c r="Y28" s="66"/>
      <c r="Z28" s="66"/>
      <c r="AA28" s="66"/>
      <c r="AB28" s="63"/>
      <c r="AC28" s="63"/>
      <c r="AD28" s="63"/>
      <c r="AE28" s="63"/>
      <c r="AF28" s="63"/>
      <c r="AG28" s="63"/>
      <c r="AH28" s="63" t="str">
        <f t="shared" si="14"/>
        <v/>
      </c>
      <c r="AI28" s="63" t="str">
        <f>if(AH28,_xlfn.workday.intl(int(AH28),0,"1000000",Holidays!A:A)+18/24,"")</f>
        <v/>
      </c>
      <c r="AJ28" s="65"/>
      <c r="AK28" s="56"/>
      <c r="AL28" s="66" t="str">
        <f t="shared" si="9"/>
        <v/>
      </c>
      <c r="AM28" s="66"/>
      <c r="AN28" s="63" t="str">
        <f>if(AJ28,if(and(hour(AJ28+AN$5)&gt;11,(hour(AJ28+AN$5)&lt;20)),AJ28+AN$5,_xlfn.workday.intl(int(AJ28),1,"1000000",Holidays!A:A)+hour(AJ28+AN$5-$B$1)/24+minute(AJ28)/1440),"")</f>
        <v/>
      </c>
      <c r="AO28" s="64" t="str">
        <f t="shared" si="15"/>
        <v/>
      </c>
      <c r="AP28" s="56"/>
      <c r="AQ28" s="66" t="str">
        <f t="shared" si="16"/>
        <v/>
      </c>
      <c r="AR28" s="66"/>
      <c r="AS28" s="63" t="str">
        <f>if(AJ28,if(and(hour(AJ28+AS$5)&gt;11,(hour(AJ28+AS$5)&lt;20)),AJ28+AS$5,_xlfn.workday.intl(int(AJ28),1,"1000000",Holidays!A:A)+hour(AJ28+AS$5-$B$1)/24+minute(AJ28)/1440),"")</f>
        <v/>
      </c>
      <c r="AT28" s="64" t="str">
        <f t="shared" si="12"/>
        <v/>
      </c>
      <c r="AU28" s="56"/>
      <c r="AV28" s="66" t="str">
        <f t="shared" si="13"/>
        <v/>
      </c>
      <c r="AW28" s="66"/>
      <c r="AX28" s="65" t="s">
        <v>2717</v>
      </c>
    </row>
    <row r="29">
      <c r="A29" s="55">
        <v>44636.52566329861</v>
      </c>
      <c r="B29" s="56"/>
      <c r="C29" s="57"/>
      <c r="D29" s="57"/>
      <c r="E29" s="57"/>
      <c r="F29" s="57"/>
      <c r="G29" s="58">
        <f>if(A29,_xlfn.workday.intl(int(A29),1,"1000000",Holidays!A:A)+17/24,"")</f>
        <v>44637.70833</v>
      </c>
      <c r="H29" s="59">
        <f t="shared" si="1"/>
        <v>44744.47923</v>
      </c>
      <c r="I29" s="62" t="s">
        <v>2713</v>
      </c>
      <c r="J29" s="61">
        <f t="shared" si="2"/>
        <v>106.7708949</v>
      </c>
      <c r="K29" s="58">
        <f>if(G29,_xlfn.workday.intl(int(G29),0,"1000000",Holidays!A:A)+19/24,"")</f>
        <v>44637.79167</v>
      </c>
      <c r="L29" s="59">
        <f t="shared" si="3"/>
        <v>44744.45415</v>
      </c>
      <c r="M29" s="62" t="s">
        <v>2713</v>
      </c>
      <c r="N29" s="61">
        <f t="shared" si="4"/>
        <v>106.6624836</v>
      </c>
      <c r="O29" s="63">
        <f>if(A29,_xlfn.WORKDAY.INTL(A29,O$5,"1000000",Holidays!A:A)+hour(A29)/24+MINUTE(A29)/1440,"")</f>
        <v>44637.525</v>
      </c>
      <c r="P29" s="64">
        <v>44744.45418512731</v>
      </c>
      <c r="Q29" s="65" t="s">
        <v>2713</v>
      </c>
      <c r="R29" s="66">
        <f t="shared" si="5"/>
        <v>106.9291851</v>
      </c>
      <c r="S29" s="66"/>
      <c r="T29" s="65" t="s">
        <v>2713</v>
      </c>
      <c r="U29" s="64">
        <f>if(O29,_xlfn.WORKDAY.INTL(O29,U$5,"1000000",Holidays!A:A)+hour(O29)/24+MINUTE(O29)/1440,"")</f>
        <v>44638.525</v>
      </c>
      <c r="V29" s="64">
        <f t="shared" si="6"/>
        <v>44924.80244</v>
      </c>
      <c r="W29" s="65" t="s">
        <v>2713</v>
      </c>
      <c r="X29" s="66">
        <f t="shared" si="7"/>
        <v>286.2774355</v>
      </c>
      <c r="Y29" s="65" t="s">
        <v>2713</v>
      </c>
      <c r="Z29" s="66"/>
      <c r="AA29" s="66"/>
      <c r="AB29" s="67">
        <v>1.0</v>
      </c>
      <c r="AC29" s="67">
        <v>2.0</v>
      </c>
      <c r="AD29" s="63"/>
      <c r="AE29" s="63"/>
      <c r="AF29" s="63"/>
      <c r="AG29" s="63"/>
      <c r="AH29" s="63">
        <f t="shared" si="14"/>
        <v>44747.45419</v>
      </c>
      <c r="AI29" s="63">
        <f>if(AH29,_xlfn.workday.intl(int(AH29),0,"1000000",Holidays!A:A)+18/24,"")</f>
        <v>44747.75</v>
      </c>
      <c r="AJ29" s="64">
        <f t="shared" ref="AJ29:AJ109" si="17">if(AJ29,AJ29,if(AK29&lt;&gt;"",$A$1,""))</f>
        <v>44744.45431</v>
      </c>
      <c r="AK29" s="65" t="s">
        <v>2713</v>
      </c>
      <c r="AL29" s="66" t="str">
        <f t="shared" si="9"/>
        <v/>
      </c>
      <c r="AM29" s="66"/>
      <c r="AN29" s="63">
        <f>if(AJ29,if(and(hour(AJ29+AN$5)&gt;11,(hour(AJ29+AN$5)&lt;20)),AJ29+AN$5,_xlfn.workday.intl(int(AJ29),1,"1000000",Holidays!A:A)+hour(AJ29+AN$5-$B$1)/24+minute(AJ29)/1440),"")</f>
        <v>44745.45417</v>
      </c>
      <c r="AO29" s="64">
        <f t="shared" si="15"/>
        <v>44744.45435</v>
      </c>
      <c r="AP29" s="65" t="s">
        <v>2713</v>
      </c>
      <c r="AQ29" s="66" t="str">
        <f t="shared" si="16"/>
        <v/>
      </c>
      <c r="AR29" s="66"/>
      <c r="AS29" s="63">
        <f>if(AJ29,if(and(hour(AJ29+AS$5)&gt;11,(hour(AJ29+AS$5)&lt;20)),AJ29+AS$5,_xlfn.workday.intl(int(AJ29),1,"1000000",Holidays!A:A)+hour(AJ29+AS$5-$B$1)/24+minute(AJ29)/1440),"")</f>
        <v>44745.45417</v>
      </c>
      <c r="AT29" s="64">
        <f t="shared" si="12"/>
        <v>44744.45437</v>
      </c>
      <c r="AU29" s="65" t="s">
        <v>2715</v>
      </c>
      <c r="AV29" s="66" t="str">
        <f t="shared" si="13"/>
        <v/>
      </c>
      <c r="AW29" s="66"/>
      <c r="AX29" s="65" t="s">
        <v>2713</v>
      </c>
    </row>
    <row r="30">
      <c r="A30" s="55">
        <v>44643.68842210648</v>
      </c>
      <c r="B30" s="56"/>
      <c r="C30" s="57"/>
      <c r="D30" s="57"/>
      <c r="E30" s="57"/>
      <c r="F30" s="57"/>
      <c r="G30" s="58">
        <f>if(A30,_xlfn.workday.intl(int(A30),1,"1000000",Holidays!A:A)+17/24,"")</f>
        <v>44644.70833</v>
      </c>
      <c r="H30" s="59" t="str">
        <f t="shared" si="1"/>
        <v/>
      </c>
      <c r="I30" s="60"/>
      <c r="J30" s="61">
        <f t="shared" si="2"/>
        <v>1489.275577</v>
      </c>
      <c r="K30" s="58">
        <f>if(G30,_xlfn.workday.intl(int(G30),0,"1000000",Holidays!A:A)+19/24,"")</f>
        <v>44644.79167</v>
      </c>
      <c r="L30" s="59" t="str">
        <f t="shared" si="3"/>
        <v/>
      </c>
      <c r="M30" s="60"/>
      <c r="N30" s="61">
        <f t="shared" si="4"/>
        <v>1489.192243</v>
      </c>
      <c r="O30" s="63">
        <f>if(A30,_xlfn.WORKDAY.INTL(A30,O$5,"1000000",Holidays!A:A)+hour(A30)/24+MINUTE(A30)/1440,"")</f>
        <v>44644.68819</v>
      </c>
      <c r="P30" s="64" t="s">
        <v>2718</v>
      </c>
      <c r="Q30" s="56"/>
      <c r="R30" s="66">
        <f t="shared" si="5"/>
        <v>1489.295715</v>
      </c>
      <c r="S30" s="66"/>
      <c r="T30" s="66"/>
      <c r="U30" s="64">
        <f>if(O30,_xlfn.WORKDAY.INTL(O30,U$5,"1000000",Holidays!A:A)+hour(O30)/24+MINUTE(O30)/1440,"")</f>
        <v>44645.68819</v>
      </c>
      <c r="V30" s="64" t="str">
        <f t="shared" si="6"/>
        <v/>
      </c>
      <c r="W30" s="66"/>
      <c r="X30" s="66">
        <f t="shared" si="7"/>
        <v>1488.295715</v>
      </c>
      <c r="Y30" s="66"/>
      <c r="Z30" s="66"/>
      <c r="AA30" s="66"/>
      <c r="AB30" s="63"/>
      <c r="AC30" s="63"/>
      <c r="AD30" s="63"/>
      <c r="AE30" s="63"/>
      <c r="AF30" s="63"/>
      <c r="AG30" s="63"/>
      <c r="AH30" s="63" t="str">
        <f t="shared" si="14"/>
        <v/>
      </c>
      <c r="AI30" s="63" t="str">
        <f>if(AH30,_xlfn.workday.intl(int(AH30),0,"1000000",Holidays!A:A)+18/24,"")</f>
        <v/>
      </c>
      <c r="AJ30" s="64" t="str">
        <f t="shared" si="17"/>
        <v/>
      </c>
      <c r="AK30" s="56"/>
      <c r="AL30" s="66" t="str">
        <f t="shared" si="9"/>
        <v/>
      </c>
      <c r="AM30" s="66"/>
      <c r="AN30" s="63" t="str">
        <f>if(AJ30,if(and(hour(AJ30+AN$5)&gt;11,(hour(AJ30+AN$5)&lt;20)),AJ30+AN$5,_xlfn.workday.intl(int(AJ30),1,"1000000",Holidays!A:A)+hour(AJ30+AN$5-$B$1)/24+minute(AJ30)/1440),"")</f>
        <v/>
      </c>
      <c r="AO30" s="64" t="str">
        <f t="shared" si="15"/>
        <v/>
      </c>
      <c r="AP30" s="56"/>
      <c r="AQ30" s="66" t="str">
        <f t="shared" si="16"/>
        <v/>
      </c>
      <c r="AR30" s="66"/>
      <c r="AS30" s="63" t="str">
        <f>if(AJ30,if(and(hour(AJ30+AS$5)&gt;11,(hour(AJ30+AS$5)&lt;20)),AJ30+AS$5,_xlfn.workday.intl(int(AJ30),1,"1000000",Holidays!A:A)+hour(AJ30+AS$5-$B$1)/24+minute(AJ30)/1440),"")</f>
        <v/>
      </c>
      <c r="AT30" s="64" t="str">
        <f t="shared" si="12"/>
        <v/>
      </c>
      <c r="AU30" s="56"/>
      <c r="AV30" s="66" t="str">
        <f t="shared" si="13"/>
        <v/>
      </c>
      <c r="AW30" s="66"/>
      <c r="AX30" s="65" t="s">
        <v>2719</v>
      </c>
    </row>
    <row r="31">
      <c r="A31" s="55">
        <v>44643.68978079861</v>
      </c>
      <c r="B31" s="56"/>
      <c r="C31" s="57"/>
      <c r="D31" s="57"/>
      <c r="E31" s="77"/>
      <c r="F31" s="57"/>
      <c r="G31" s="58">
        <f>if(A31,_xlfn.workday.intl(int(A31),1,"1000000",Holidays!A:A)+17/24,"")</f>
        <v>44644.70833</v>
      </c>
      <c r="H31" s="59" t="str">
        <f t="shared" si="1"/>
        <v/>
      </c>
      <c r="I31" s="60"/>
      <c r="J31" s="61">
        <f t="shared" si="2"/>
        <v>1489.275577</v>
      </c>
      <c r="K31" s="58">
        <f>if(G31,_xlfn.workday.intl(int(G31),0,"1000000",Holidays!A:A)+19/24,"")</f>
        <v>44644.79167</v>
      </c>
      <c r="L31" s="59" t="str">
        <f t="shared" si="3"/>
        <v/>
      </c>
      <c r="M31" s="60"/>
      <c r="N31" s="61">
        <f t="shared" si="4"/>
        <v>1489.192243</v>
      </c>
      <c r="O31" s="63">
        <f>if(A31,_xlfn.WORKDAY.INTL(A31,O$5,"1000000",Holidays!A:A)+hour(A31)/24+MINUTE(A31)/1440,"")</f>
        <v>44644.68958</v>
      </c>
      <c r="P31" s="64" t="s">
        <v>2718</v>
      </c>
      <c r="Q31" s="56"/>
      <c r="R31" s="66">
        <f t="shared" si="5"/>
        <v>1489.294327</v>
      </c>
      <c r="S31" s="66"/>
      <c r="T31" s="66"/>
      <c r="U31" s="64">
        <f>if(O31,_xlfn.WORKDAY.INTL(O31,U$5,"1000000",Holidays!A:A)+hour(O31)/24+MINUTE(O31)/1440,"")</f>
        <v>44645.68958</v>
      </c>
      <c r="V31" s="64" t="str">
        <f t="shared" si="6"/>
        <v/>
      </c>
      <c r="W31" s="66"/>
      <c r="X31" s="66">
        <f t="shared" si="7"/>
        <v>1488.294327</v>
      </c>
      <c r="Y31" s="66"/>
      <c r="Z31" s="66"/>
      <c r="AA31" s="66"/>
      <c r="AB31" s="63"/>
      <c r="AC31" s="63"/>
      <c r="AD31" s="63"/>
      <c r="AE31" s="63"/>
      <c r="AF31" s="63"/>
      <c r="AG31" s="63"/>
      <c r="AH31" s="63" t="str">
        <f t="shared" si="14"/>
        <v/>
      </c>
      <c r="AI31" s="63" t="str">
        <f>if(AH31,_xlfn.workday.intl(int(AH31),0,"1000000",Holidays!A:A)+18/24,"")</f>
        <v/>
      </c>
      <c r="AJ31" s="64" t="str">
        <f t="shared" si="17"/>
        <v/>
      </c>
      <c r="AK31" s="56"/>
      <c r="AL31" s="66" t="str">
        <f t="shared" si="9"/>
        <v/>
      </c>
      <c r="AM31" s="66"/>
      <c r="AN31" s="63" t="str">
        <f>if(AJ31,if(and(hour(AJ31+AN$5)&gt;11,(hour(AJ31+AN$5)&lt;20)),AJ31+AN$5,_xlfn.workday.intl(int(AJ31),1,"1000000",Holidays!A:A)+hour(AJ31+AN$5-$B$1)/24+minute(AJ31)/1440),"")</f>
        <v/>
      </c>
      <c r="AO31" s="64" t="str">
        <f t="shared" si="15"/>
        <v/>
      </c>
      <c r="AP31" s="56"/>
      <c r="AQ31" s="66" t="str">
        <f t="shared" si="16"/>
        <v/>
      </c>
      <c r="AR31" s="66"/>
      <c r="AS31" s="63" t="str">
        <f>if(AJ31,if(and(hour(AJ31+AS$5)&gt;11,(hour(AJ31+AS$5)&lt;20)),AJ31+AS$5,_xlfn.workday.intl(int(AJ31),1,"1000000",Holidays!A:A)+hour(AJ31+AS$5-$B$1)/24+minute(AJ31)/1440),"")</f>
        <v/>
      </c>
      <c r="AT31" s="64" t="str">
        <f t="shared" si="12"/>
        <v/>
      </c>
      <c r="AU31" s="56"/>
      <c r="AV31" s="66" t="str">
        <f t="shared" si="13"/>
        <v/>
      </c>
      <c r="AW31" s="66"/>
      <c r="AX31" s="65" t="s">
        <v>2717</v>
      </c>
    </row>
    <row r="32">
      <c r="A32" s="55">
        <v>44643.691218912034</v>
      </c>
      <c r="B32" s="56"/>
      <c r="C32" s="57"/>
      <c r="D32" s="57"/>
      <c r="E32" s="57"/>
      <c r="F32" s="57"/>
      <c r="G32" s="58">
        <f>if(A32,_xlfn.workday.intl(int(A32),1,"1000000",Holidays!A:A)+17/24,"")</f>
        <v>44644.70833</v>
      </c>
      <c r="H32" s="59" t="str">
        <f t="shared" si="1"/>
        <v/>
      </c>
      <c r="I32" s="60"/>
      <c r="J32" s="61">
        <f t="shared" si="2"/>
        <v>1489.275577</v>
      </c>
      <c r="K32" s="58">
        <f>if(G32,_xlfn.workday.intl(int(G32),0,"1000000",Holidays!A:A)+19/24,"")</f>
        <v>44644.79167</v>
      </c>
      <c r="L32" s="59" t="str">
        <f t="shared" si="3"/>
        <v/>
      </c>
      <c r="M32" s="60"/>
      <c r="N32" s="61">
        <f t="shared" si="4"/>
        <v>1489.192243</v>
      </c>
      <c r="O32" s="63">
        <f>if(A32,_xlfn.WORKDAY.INTL(A32,O$5,"1000000",Holidays!A:A)+hour(A32)/24+MINUTE(A32)/1440,"")</f>
        <v>44644.69097</v>
      </c>
      <c r="P32" s="64" t="s">
        <v>2718</v>
      </c>
      <c r="Q32" s="56"/>
      <c r="R32" s="66">
        <f t="shared" si="5"/>
        <v>1489.292938</v>
      </c>
      <c r="S32" s="66"/>
      <c r="T32" s="66"/>
      <c r="U32" s="64">
        <f>if(O32,_xlfn.WORKDAY.INTL(O32,U$5,"1000000",Holidays!A:A)+hour(O32)/24+MINUTE(O32)/1440,"")</f>
        <v>44645.69097</v>
      </c>
      <c r="V32" s="64" t="str">
        <f t="shared" si="6"/>
        <v/>
      </c>
      <c r="W32" s="66"/>
      <c r="X32" s="66">
        <f t="shared" si="7"/>
        <v>1488.292938</v>
      </c>
      <c r="Y32" s="66"/>
      <c r="Z32" s="66"/>
      <c r="AA32" s="66"/>
      <c r="AB32" s="63"/>
      <c r="AC32" s="63"/>
      <c r="AD32" s="63"/>
      <c r="AE32" s="63"/>
      <c r="AF32" s="63"/>
      <c r="AG32" s="63"/>
      <c r="AH32" s="63" t="str">
        <f t="shared" si="14"/>
        <v/>
      </c>
      <c r="AI32" s="63" t="str">
        <f>if(AH32,_xlfn.workday.intl(int(AH32),0,"1000000",Holidays!A:A)+18/24,"")</f>
        <v/>
      </c>
      <c r="AJ32" s="64" t="str">
        <f t="shared" si="17"/>
        <v/>
      </c>
      <c r="AK32" s="56"/>
      <c r="AL32" s="66" t="str">
        <f t="shared" si="9"/>
        <v/>
      </c>
      <c r="AM32" s="66"/>
      <c r="AN32" s="63" t="str">
        <f>if(AJ32,if(and(hour(AJ32+AN$5)&gt;11,(hour(AJ32+AN$5)&lt;20)),AJ32+AN$5,_xlfn.workday.intl(int(AJ32),1,"1000000",Holidays!A:A)+hour(AJ32+AN$5-$B$1)/24+minute(AJ32)/1440),"")</f>
        <v/>
      </c>
      <c r="AO32" s="64" t="str">
        <f t="shared" si="15"/>
        <v/>
      </c>
      <c r="AP32" s="56"/>
      <c r="AQ32" s="66" t="str">
        <f t="shared" si="16"/>
        <v/>
      </c>
      <c r="AR32" s="66"/>
      <c r="AS32" s="63" t="str">
        <f>if(AJ32,if(and(hour(AJ32+AS$5)&gt;11,(hour(AJ32+AS$5)&lt;20)),AJ32+AS$5,_xlfn.workday.intl(int(AJ32),1,"1000000",Holidays!A:A)+hour(AJ32+AS$5-$B$1)/24+minute(AJ32)/1440),"")</f>
        <v/>
      </c>
      <c r="AT32" s="64" t="str">
        <f t="shared" si="12"/>
        <v/>
      </c>
      <c r="AU32" s="56"/>
      <c r="AV32" s="66" t="str">
        <f t="shared" si="13"/>
        <v/>
      </c>
      <c r="AW32" s="66"/>
      <c r="AX32" s="65" t="s">
        <v>2719</v>
      </c>
    </row>
    <row r="33">
      <c r="A33" s="55">
        <v>44643.69221607639</v>
      </c>
      <c r="B33" s="56"/>
      <c r="C33" s="57"/>
      <c r="D33" s="57"/>
      <c r="E33" s="57"/>
      <c r="F33" s="57"/>
      <c r="G33" s="58">
        <f>if(A33,_xlfn.workday.intl(int(A33),1,"1000000",Holidays!A:A)+17/24,"")</f>
        <v>44644.70833</v>
      </c>
      <c r="H33" s="59" t="str">
        <f t="shared" si="1"/>
        <v/>
      </c>
      <c r="I33" s="60"/>
      <c r="J33" s="61">
        <f t="shared" si="2"/>
        <v>1489.275577</v>
      </c>
      <c r="K33" s="58">
        <f>if(G33,_xlfn.workday.intl(int(G33),0,"1000000",Holidays!A:A)+19/24,"")</f>
        <v>44644.79167</v>
      </c>
      <c r="L33" s="59" t="str">
        <f t="shared" si="3"/>
        <v/>
      </c>
      <c r="M33" s="60"/>
      <c r="N33" s="61">
        <f t="shared" si="4"/>
        <v>1489.192243</v>
      </c>
      <c r="O33" s="63">
        <f>if(A33,_xlfn.WORKDAY.INTL(A33,O$5,"1000000",Holidays!A:A)+hour(A33)/24+MINUTE(A33)/1440,"")</f>
        <v>44644.69167</v>
      </c>
      <c r="P33" s="64" t="s">
        <v>2718</v>
      </c>
      <c r="Q33" s="56"/>
      <c r="R33" s="66">
        <f t="shared" si="5"/>
        <v>1489.292243</v>
      </c>
      <c r="S33" s="66"/>
      <c r="T33" s="66"/>
      <c r="U33" s="64">
        <f>if(O33,_xlfn.WORKDAY.INTL(O33,U$5,"1000000",Holidays!A:A)+hour(O33)/24+MINUTE(O33)/1440,"")</f>
        <v>44645.69167</v>
      </c>
      <c r="V33" s="64" t="str">
        <f t="shared" si="6"/>
        <v/>
      </c>
      <c r="W33" s="66"/>
      <c r="X33" s="66">
        <f t="shared" si="7"/>
        <v>1488.292243</v>
      </c>
      <c r="Y33" s="66"/>
      <c r="Z33" s="66"/>
      <c r="AA33" s="66"/>
      <c r="AB33" s="63"/>
      <c r="AC33" s="63"/>
      <c r="AD33" s="63"/>
      <c r="AE33" s="63"/>
      <c r="AF33" s="63"/>
      <c r="AG33" s="63"/>
      <c r="AH33" s="63" t="str">
        <f t="shared" si="14"/>
        <v/>
      </c>
      <c r="AI33" s="63" t="str">
        <f>if(AH33,_xlfn.workday.intl(int(AH33),0,"1000000",Holidays!A:A)+18/24,"")</f>
        <v/>
      </c>
      <c r="AJ33" s="64" t="str">
        <f t="shared" si="17"/>
        <v/>
      </c>
      <c r="AK33" s="56"/>
      <c r="AL33" s="66" t="str">
        <f t="shared" si="9"/>
        <v/>
      </c>
      <c r="AM33" s="66"/>
      <c r="AN33" s="63" t="str">
        <f>if(AJ33,if(and(hour(AJ33+AN$5)&gt;11,(hour(AJ33+AN$5)&lt;20)),AJ33+AN$5,_xlfn.workday.intl(int(AJ33),1,"1000000",Holidays!A:A)+hour(AJ33+AN$5-$B$1)/24+minute(AJ33)/1440),"")</f>
        <v/>
      </c>
      <c r="AO33" s="64" t="str">
        <f t="shared" si="15"/>
        <v/>
      </c>
      <c r="AP33" s="56"/>
      <c r="AQ33" s="66" t="str">
        <f t="shared" si="16"/>
        <v/>
      </c>
      <c r="AR33" s="66"/>
      <c r="AS33" s="63" t="str">
        <f>if(AJ33,if(and(hour(AJ33+AS$5)&gt;11,(hour(AJ33+AS$5)&lt;20)),AJ33+AS$5,_xlfn.workday.intl(int(AJ33),1,"1000000",Holidays!A:A)+hour(AJ33+AS$5-$B$1)/24+minute(AJ33)/1440),"")</f>
        <v/>
      </c>
      <c r="AT33" s="64" t="str">
        <f t="shared" si="12"/>
        <v/>
      </c>
      <c r="AU33" s="56"/>
      <c r="AV33" s="66" t="str">
        <f t="shared" si="13"/>
        <v/>
      </c>
      <c r="AW33" s="66"/>
      <c r="AX33" s="65" t="s">
        <v>2719</v>
      </c>
    </row>
    <row r="34">
      <c r="A34" s="55">
        <v>44643.69308625</v>
      </c>
      <c r="B34" s="56"/>
      <c r="C34" s="57"/>
      <c r="D34" s="57"/>
      <c r="E34" s="57"/>
      <c r="F34" s="57"/>
      <c r="G34" s="58">
        <f>if(A34,_xlfn.workday.intl(int(A34),1,"1000000",Holidays!A:A)+17/24,"")</f>
        <v>44644.70833</v>
      </c>
      <c r="H34" s="59" t="str">
        <f t="shared" si="1"/>
        <v/>
      </c>
      <c r="I34" s="60"/>
      <c r="J34" s="61">
        <f t="shared" si="2"/>
        <v>1489.275577</v>
      </c>
      <c r="K34" s="58">
        <f>if(G34,_xlfn.workday.intl(int(G34),0,"1000000",Holidays!A:A)+19/24,"")</f>
        <v>44644.79167</v>
      </c>
      <c r="L34" s="59" t="str">
        <f t="shared" si="3"/>
        <v/>
      </c>
      <c r="M34" s="60"/>
      <c r="N34" s="61">
        <f t="shared" si="4"/>
        <v>1489.192243</v>
      </c>
      <c r="O34" s="63">
        <f>if(A34,_xlfn.WORKDAY.INTL(A34,O$5,"1000000",Holidays!A:A)+hour(A34)/24+MINUTE(A34)/1440,"")</f>
        <v>44644.69306</v>
      </c>
      <c r="P34" s="64" t="s">
        <v>2718</v>
      </c>
      <c r="Q34" s="56"/>
      <c r="R34" s="66">
        <f t="shared" si="5"/>
        <v>1489.290854</v>
      </c>
      <c r="S34" s="66"/>
      <c r="T34" s="66"/>
      <c r="U34" s="64">
        <f>if(O34,_xlfn.WORKDAY.INTL(O34,U$5,"1000000",Holidays!A:A)+hour(O34)/24+MINUTE(O34)/1440,"")</f>
        <v>44645.69306</v>
      </c>
      <c r="V34" s="64" t="str">
        <f t="shared" si="6"/>
        <v/>
      </c>
      <c r="W34" s="66"/>
      <c r="X34" s="66">
        <f t="shared" si="7"/>
        <v>1488.290854</v>
      </c>
      <c r="Y34" s="66"/>
      <c r="Z34" s="66"/>
      <c r="AA34" s="66"/>
      <c r="AB34" s="63"/>
      <c r="AC34" s="63"/>
      <c r="AD34" s="63"/>
      <c r="AE34" s="63"/>
      <c r="AF34" s="63"/>
      <c r="AG34" s="63"/>
      <c r="AH34" s="63" t="str">
        <f t="shared" si="14"/>
        <v/>
      </c>
      <c r="AI34" s="63" t="str">
        <f>if(AH34,_xlfn.workday.intl(int(AH34),0,"1000000",Holidays!A:A)+18/24,"")</f>
        <v/>
      </c>
      <c r="AJ34" s="64" t="str">
        <f t="shared" si="17"/>
        <v/>
      </c>
      <c r="AK34" s="56"/>
      <c r="AL34" s="66" t="str">
        <f t="shared" si="9"/>
        <v/>
      </c>
      <c r="AM34" s="66"/>
      <c r="AN34" s="63" t="str">
        <f>if(AJ34,if(and(hour(AJ34+AN$5)&gt;11,(hour(AJ34+AN$5)&lt;20)),AJ34+AN$5,_xlfn.workday.intl(int(AJ34),1,"1000000",Holidays!A:A)+hour(AJ34+AN$5-$B$1)/24+minute(AJ34)/1440),"")</f>
        <v/>
      </c>
      <c r="AO34" s="64" t="str">
        <f t="shared" si="15"/>
        <v/>
      </c>
      <c r="AP34" s="56"/>
      <c r="AQ34" s="66" t="str">
        <f t="shared" si="16"/>
        <v/>
      </c>
      <c r="AR34" s="66"/>
      <c r="AS34" s="63" t="str">
        <f>if(AJ34,if(and(hour(AJ34+AS$5)&gt;11,(hour(AJ34+AS$5)&lt;20)),AJ34+AS$5,_xlfn.workday.intl(int(AJ34),1,"1000000",Holidays!A:A)+hour(AJ34+AS$5-$B$1)/24+minute(AJ34)/1440),"")</f>
        <v/>
      </c>
      <c r="AT34" s="64" t="str">
        <f t="shared" si="12"/>
        <v/>
      </c>
      <c r="AU34" s="56"/>
      <c r="AV34" s="66" t="str">
        <f t="shared" si="13"/>
        <v/>
      </c>
      <c r="AW34" s="66"/>
      <c r="AX34" s="65" t="s">
        <v>2717</v>
      </c>
    </row>
    <row r="35">
      <c r="A35" s="55">
        <v>44645.58288913194</v>
      </c>
      <c r="B35" s="56"/>
      <c r="C35" s="57"/>
      <c r="D35" s="57"/>
      <c r="E35" s="57"/>
      <c r="F35" s="57"/>
      <c r="G35" s="58">
        <f>if(A35,_xlfn.workday.intl(int(A35),1,"1000000",Holidays!A:A)+17/24,"")</f>
        <v>44646.70833</v>
      </c>
      <c r="H35" s="59" t="str">
        <f t="shared" si="1"/>
        <v/>
      </c>
      <c r="I35" s="60"/>
      <c r="J35" s="61">
        <f t="shared" si="2"/>
        <v>1487.275577</v>
      </c>
      <c r="K35" s="58">
        <f>if(G35,_xlfn.workday.intl(int(G35),0,"1000000",Holidays!A:A)+19/24,"")</f>
        <v>44646.79167</v>
      </c>
      <c r="L35" s="59" t="str">
        <f t="shared" si="3"/>
        <v/>
      </c>
      <c r="M35" s="60"/>
      <c r="N35" s="61">
        <f t="shared" si="4"/>
        <v>1487.192243</v>
      </c>
      <c r="O35" s="63">
        <f>if(A35,_xlfn.WORKDAY.INTL(A35,O$5,"1000000",Holidays!A:A)+hour(A35)/24+MINUTE(A35)/1440,"")</f>
        <v>44646.58264</v>
      </c>
      <c r="P35" s="64" t="s">
        <v>2718</v>
      </c>
      <c r="Q35" s="56"/>
      <c r="R35" s="66">
        <f t="shared" si="5"/>
        <v>1487.401271</v>
      </c>
      <c r="S35" s="66"/>
      <c r="T35" s="66"/>
      <c r="U35" s="64">
        <f>if(O35,_xlfn.WORKDAY.INTL(O35,U$5,"1000000",Holidays!A:A)+hour(O35)/24+MINUTE(O35)/1440,"")</f>
        <v>44647.58264</v>
      </c>
      <c r="V35" s="64" t="str">
        <f t="shared" si="6"/>
        <v/>
      </c>
      <c r="W35" s="66"/>
      <c r="X35" s="66">
        <f t="shared" si="7"/>
        <v>1486.401271</v>
      </c>
      <c r="Y35" s="66"/>
      <c r="Z35" s="66"/>
      <c r="AA35" s="66"/>
      <c r="AB35" s="63"/>
      <c r="AC35" s="63"/>
      <c r="AD35" s="63"/>
      <c r="AE35" s="63"/>
      <c r="AF35" s="63"/>
      <c r="AG35" s="63"/>
      <c r="AH35" s="63" t="str">
        <f t="shared" si="14"/>
        <v/>
      </c>
      <c r="AI35" s="63" t="str">
        <f>if(AH35,_xlfn.workday.intl(int(AH35),0,"1000000",Holidays!A:A)+18/24,"")</f>
        <v/>
      </c>
      <c r="AJ35" s="64" t="str">
        <f t="shared" si="17"/>
        <v/>
      </c>
      <c r="AK35" s="56"/>
      <c r="AL35" s="66" t="str">
        <f t="shared" si="9"/>
        <v/>
      </c>
      <c r="AM35" s="66"/>
      <c r="AN35" s="63" t="str">
        <f>if(AJ35,if(and(hour(AJ35+AN$5)&gt;11,(hour(AJ35+AN$5)&lt;20)),AJ35+AN$5,_xlfn.workday.intl(int(AJ35),1,"1000000",Holidays!A:A)+hour(AJ35+AN$5-$B$1)/24+minute(AJ35)/1440),"")</f>
        <v/>
      </c>
      <c r="AO35" s="64" t="str">
        <f t="shared" si="15"/>
        <v/>
      </c>
      <c r="AP35" s="56"/>
      <c r="AQ35" s="66" t="str">
        <f t="shared" si="16"/>
        <v/>
      </c>
      <c r="AR35" s="66"/>
      <c r="AS35" s="63" t="str">
        <f>if(AJ35,if(and(hour(AJ35+AS$5)&gt;11,(hour(AJ35+AS$5)&lt;20)),AJ35+AS$5,_xlfn.workday.intl(int(AJ35),1,"1000000",Holidays!A:A)+hour(AJ35+AS$5-$B$1)/24+minute(AJ35)/1440),"")</f>
        <v/>
      </c>
      <c r="AT35" s="64" t="str">
        <f t="shared" si="12"/>
        <v/>
      </c>
      <c r="AU35" s="56"/>
      <c r="AV35" s="66" t="str">
        <f t="shared" si="13"/>
        <v/>
      </c>
      <c r="AW35" s="66"/>
      <c r="AX35" s="65" t="s">
        <v>2719</v>
      </c>
    </row>
    <row r="36">
      <c r="A36" s="55">
        <v>44645.801577245365</v>
      </c>
      <c r="B36" s="56"/>
      <c r="C36" s="57"/>
      <c r="D36" s="57"/>
      <c r="E36" s="57"/>
      <c r="F36" s="57"/>
      <c r="G36" s="58">
        <f>if(A36,_xlfn.workday.intl(int(A36),1,"1000000",Holidays!A:A)+17/24,"")</f>
        <v>44646.70833</v>
      </c>
      <c r="H36" s="59">
        <f t="shared" si="1"/>
        <v>44744.47462</v>
      </c>
      <c r="I36" s="62" t="s">
        <v>2713</v>
      </c>
      <c r="J36" s="61">
        <f t="shared" si="2"/>
        <v>97.76628502</v>
      </c>
      <c r="K36" s="58">
        <f>if(G36,_xlfn.workday.intl(int(G36),0,"1000000",Holidays!A:A)+19/24,"")</f>
        <v>44646.79167</v>
      </c>
      <c r="L36" s="59">
        <f t="shared" si="3"/>
        <v>44744.45276</v>
      </c>
      <c r="M36" s="62" t="s">
        <v>2713</v>
      </c>
      <c r="N36" s="61">
        <f t="shared" si="4"/>
        <v>97.66109205</v>
      </c>
      <c r="O36" s="63">
        <f>if(A36,_xlfn.WORKDAY.INTL(A36,O$5,"1000000",Holidays!A:A)+hour(A36)/24+MINUTE(A36)/1440,"")</f>
        <v>44646.80139</v>
      </c>
      <c r="P36" s="64">
        <v>44744.452788703704</v>
      </c>
      <c r="Q36" s="65" t="s">
        <v>2713</v>
      </c>
      <c r="R36" s="66">
        <f t="shared" si="5"/>
        <v>97.65139981</v>
      </c>
      <c r="S36" s="66"/>
      <c r="T36" s="65" t="s">
        <v>2713</v>
      </c>
      <c r="U36" s="64">
        <f>if(O36,_xlfn.WORKDAY.INTL(O36,U$5,"1000000",Holidays!A:A)+hour(O36)/24+MINUTE(O36)/1440,"")</f>
        <v>44647.80139</v>
      </c>
      <c r="V36" s="64">
        <f t="shared" si="6"/>
        <v>44924.8044</v>
      </c>
      <c r="W36" s="65" t="s">
        <v>2713</v>
      </c>
      <c r="X36" s="66">
        <f t="shared" si="7"/>
        <v>277.0030111</v>
      </c>
      <c r="Y36" s="65" t="s">
        <v>2713</v>
      </c>
      <c r="Z36" s="66"/>
      <c r="AA36" s="66"/>
      <c r="AB36" s="67">
        <v>1.0</v>
      </c>
      <c r="AC36" s="67">
        <v>2.0</v>
      </c>
      <c r="AD36" s="67">
        <v>3.0</v>
      </c>
      <c r="AE36" s="67">
        <v>4.0</v>
      </c>
      <c r="AF36" s="63"/>
      <c r="AG36" s="63"/>
      <c r="AH36" s="63">
        <f t="shared" si="14"/>
        <v>44754.45279</v>
      </c>
      <c r="AI36" s="63">
        <f>if(AH36,_xlfn.workday.intl(int(AH36),0,"1000000",Holidays!A:A)+18/24,"")</f>
        <v>44754.75</v>
      </c>
      <c r="AJ36" s="64">
        <f t="shared" si="17"/>
        <v>44733.66497</v>
      </c>
      <c r="AK36" s="65" t="s">
        <v>2713</v>
      </c>
      <c r="AL36" s="66" t="str">
        <f t="shared" si="9"/>
        <v/>
      </c>
      <c r="AM36" s="66"/>
      <c r="AN36" s="63">
        <f>if(AJ36,if(and(hour(AJ36+AN$5)&gt;11,(hour(AJ36+AN$5)&lt;20)),AJ36+AN$5,_xlfn.workday.intl(int(AJ36),1,"1000000",Holidays!A:A)+hour(AJ36+AN$5-$B$1)/24+minute(AJ36)/1440),"")</f>
        <v>44734.66497</v>
      </c>
      <c r="AO36" s="64">
        <f t="shared" si="15"/>
        <v>44744.45287</v>
      </c>
      <c r="AP36" s="65" t="s">
        <v>2713</v>
      </c>
      <c r="AQ36" s="66">
        <f t="shared" si="16"/>
        <v>9.787897905</v>
      </c>
      <c r="AR36" s="66"/>
      <c r="AS36" s="63">
        <f>if(AJ36,if(and(hour(AJ36+AS$5)&gt;11,(hour(AJ36+AS$5)&lt;20)),AJ36+AS$5,_xlfn.workday.intl(int(AJ36),1,"1000000",Holidays!A:A)+hour(AJ36+AS$5-$B$1)/24+minute(AJ36)/1440),"")</f>
        <v>44735.66497</v>
      </c>
      <c r="AT36" s="64">
        <f t="shared" si="12"/>
        <v>44744.4529</v>
      </c>
      <c r="AU36" s="65" t="s">
        <v>2715</v>
      </c>
      <c r="AV36" s="66">
        <f t="shared" si="13"/>
        <v>8.787931771</v>
      </c>
      <c r="AW36" s="66"/>
      <c r="AX36" s="65" t="s">
        <v>2713</v>
      </c>
    </row>
    <row r="37">
      <c r="A37" s="55">
        <v>44678.49157111111</v>
      </c>
      <c r="B37" s="56"/>
      <c r="C37" s="57"/>
      <c r="D37" s="57"/>
      <c r="E37" s="57"/>
      <c r="F37" s="57"/>
      <c r="G37" s="58">
        <f>if(A37,_xlfn.workday.intl(int(A37),1,"1000000",Holidays!A:A)+17/24,"")</f>
        <v>44679.70833</v>
      </c>
      <c r="H37" s="59" t="str">
        <f t="shared" si="1"/>
        <v/>
      </c>
      <c r="I37" s="60"/>
      <c r="J37" s="61">
        <f t="shared" si="2"/>
        <v>1454.275577</v>
      </c>
      <c r="K37" s="58">
        <f>if(G37,_xlfn.workday.intl(int(G37),0,"1000000",Holidays!A:A)+19/24,"")</f>
        <v>44679.79167</v>
      </c>
      <c r="L37" s="59" t="str">
        <f t="shared" si="3"/>
        <v/>
      </c>
      <c r="M37" s="60"/>
      <c r="N37" s="61">
        <f t="shared" si="4"/>
        <v>1454.192243</v>
      </c>
      <c r="O37" s="63">
        <f>if(A37,_xlfn.WORKDAY.INTL(A37,O$5,"1000000",Holidays!A:A)+hour(A37)/24+MINUTE(A37)/1440,"")</f>
        <v>44679.49097</v>
      </c>
      <c r="P37" s="64" t="s">
        <v>2718</v>
      </c>
      <c r="Q37" s="56"/>
      <c r="R37" s="66">
        <f t="shared" si="5"/>
        <v>1454.492938</v>
      </c>
      <c r="S37" s="66"/>
      <c r="T37" s="66"/>
      <c r="U37" s="64">
        <f>if(O37,_xlfn.WORKDAY.INTL(O37,U$5,"1000000",Holidays!A:A)+hour(O37)/24+MINUTE(O37)/1440,"")</f>
        <v>44680.49097</v>
      </c>
      <c r="V37" s="64" t="str">
        <f t="shared" si="6"/>
        <v/>
      </c>
      <c r="W37" s="66"/>
      <c r="X37" s="66">
        <f t="shared" si="7"/>
        <v>1453.492938</v>
      </c>
      <c r="Y37" s="66"/>
      <c r="Z37" s="66"/>
      <c r="AA37" s="66"/>
      <c r="AB37" s="63"/>
      <c r="AC37" s="63"/>
      <c r="AD37" s="63"/>
      <c r="AE37" s="63"/>
      <c r="AF37" s="63"/>
      <c r="AG37" s="63"/>
      <c r="AH37" s="63" t="str">
        <f t="shared" si="14"/>
        <v/>
      </c>
      <c r="AI37" s="63" t="str">
        <f>if(AH37,_xlfn.workday.intl(int(AH37),0,"1000000",Holidays!A:A)+18/24,"")</f>
        <v/>
      </c>
      <c r="AJ37" s="64" t="str">
        <f t="shared" si="17"/>
        <v/>
      </c>
      <c r="AK37" s="56"/>
      <c r="AL37" s="66" t="str">
        <f t="shared" si="9"/>
        <v/>
      </c>
      <c r="AM37" s="66"/>
      <c r="AN37" s="63" t="str">
        <f>if(AJ37,if(and(hour(AJ37+AN$5)&gt;11,(hour(AJ37+AN$5)&lt;20)),AJ37+AN$5,_xlfn.workday.intl(int(AJ37),1,"1000000",Holidays!A:A)+hour(AJ37+AN$5-$B$1)/24+minute(AJ37)/1440),"")</f>
        <v/>
      </c>
      <c r="AO37" s="64" t="str">
        <f t="shared" si="15"/>
        <v/>
      </c>
      <c r="AP37" s="56"/>
      <c r="AQ37" s="66" t="str">
        <f t="shared" si="16"/>
        <v/>
      </c>
      <c r="AR37" s="66"/>
      <c r="AS37" s="63" t="str">
        <f>if(AJ37,if(and(hour(AJ37+AS$5)&gt;11,(hour(AJ37+AS$5)&lt;20)),AJ37+AS$5,_xlfn.workday.intl(int(AJ37),1,"1000000",Holidays!A:A)+hour(AJ37+AS$5-$B$1)/24+minute(AJ37)/1440),"")</f>
        <v/>
      </c>
      <c r="AT37" s="64" t="str">
        <f t="shared" si="12"/>
        <v/>
      </c>
      <c r="AU37" s="56"/>
      <c r="AV37" s="66" t="str">
        <f t="shared" si="13"/>
        <v/>
      </c>
      <c r="AW37" s="66"/>
      <c r="AX37" s="65" t="s">
        <v>2719</v>
      </c>
    </row>
    <row r="38">
      <c r="A38" s="55">
        <v>44678.49276230324</v>
      </c>
      <c r="B38" s="56"/>
      <c r="C38" s="57"/>
      <c r="D38" s="57"/>
      <c r="E38" s="57"/>
      <c r="F38" s="57"/>
      <c r="G38" s="58">
        <f>if(A38,_xlfn.workday.intl(int(A38),1,"1000000",Holidays!A:A)+17/24,"")</f>
        <v>44679.70833</v>
      </c>
      <c r="H38" s="59">
        <f t="shared" si="1"/>
        <v>44744.45149</v>
      </c>
      <c r="I38" s="62" t="s">
        <v>2713</v>
      </c>
      <c r="J38" s="61">
        <f t="shared" si="2"/>
        <v>64.7431608</v>
      </c>
      <c r="K38" s="58">
        <f>if(G38,_xlfn.workday.intl(int(G38),0,"1000000",Holidays!A:A)+19/24,"")</f>
        <v>44679.79167</v>
      </c>
      <c r="L38" s="59">
        <f t="shared" si="3"/>
        <v>44744.45152</v>
      </c>
      <c r="M38" s="62" t="s">
        <v>2713</v>
      </c>
      <c r="N38" s="61">
        <f t="shared" si="4"/>
        <v>64.65985777</v>
      </c>
      <c r="O38" s="63">
        <f>if(A38,_xlfn.WORKDAY.INTL(A38,O$5,"1000000",Holidays!A:A)+hour(A38)/24+MINUTE(A38)/1440,"")</f>
        <v>44679.49236</v>
      </c>
      <c r="P38" s="64">
        <v>44744.451633414355</v>
      </c>
      <c r="Q38" s="65" t="s">
        <v>2713</v>
      </c>
      <c r="R38" s="66">
        <f t="shared" si="5"/>
        <v>64.9592723</v>
      </c>
      <c r="S38" s="66"/>
      <c r="T38" s="65" t="s">
        <v>2713</v>
      </c>
      <c r="U38" s="64">
        <f>if(O38,_xlfn.WORKDAY.INTL(O38,U$5,"1000000",Holidays!A:A)+hour(O38)/24+MINUTE(O38)/1440,"")</f>
        <v>44680.49236</v>
      </c>
      <c r="V38" s="64">
        <f t="shared" si="6"/>
        <v>44924.80517</v>
      </c>
      <c r="W38" s="65" t="s">
        <v>2713</v>
      </c>
      <c r="X38" s="66">
        <f t="shared" si="7"/>
        <v>244.3128108</v>
      </c>
      <c r="Y38" s="65" t="s">
        <v>2713</v>
      </c>
      <c r="Z38" s="66"/>
      <c r="AA38" s="66"/>
      <c r="AB38" s="67">
        <v>1.0</v>
      </c>
      <c r="AC38" s="67">
        <v>2.0</v>
      </c>
      <c r="AD38" s="67">
        <v>3.0</v>
      </c>
      <c r="AE38" s="63"/>
      <c r="AF38" s="63"/>
      <c r="AG38" s="63"/>
      <c r="AH38" s="63">
        <f t="shared" si="14"/>
        <v>44750.45163</v>
      </c>
      <c r="AI38" s="63">
        <f>if(AH38,_xlfn.workday.intl(int(AH38),0,"1000000",Holidays!A:A)+18/24,"")</f>
        <v>44750.75</v>
      </c>
      <c r="AJ38" s="64">
        <f t="shared" si="17"/>
        <v>44733.66541</v>
      </c>
      <c r="AK38" s="65" t="s">
        <v>2713</v>
      </c>
      <c r="AL38" s="66" t="str">
        <f t="shared" si="9"/>
        <v/>
      </c>
      <c r="AM38" s="66"/>
      <c r="AN38" s="63">
        <f>if(AJ38,if(and(hour(AJ38+AN$5)&gt;11,(hour(AJ38+AN$5)&lt;20)),AJ38+AN$5,_xlfn.workday.intl(int(AJ38),1,"1000000",Holidays!A:A)+hour(AJ38+AN$5-$B$1)/24+minute(AJ38)/1440),"")</f>
        <v>44734.66541</v>
      </c>
      <c r="AO38" s="64">
        <f t="shared" si="15"/>
        <v>44744.45169</v>
      </c>
      <c r="AP38" s="65" t="s">
        <v>2713</v>
      </c>
      <c r="AQ38" s="66">
        <f t="shared" si="16"/>
        <v>9.786273565</v>
      </c>
      <c r="AR38" s="66"/>
      <c r="AS38" s="63">
        <f>if(AJ38,if(and(hour(AJ38+AS$5)&gt;11,(hour(AJ38+AS$5)&lt;20)),AJ38+AS$5,_xlfn.workday.intl(int(AJ38),1,"1000000",Holidays!A:A)+hour(AJ38+AS$5-$B$1)/24+minute(AJ38)/1440),"")</f>
        <v>44735.66541</v>
      </c>
      <c r="AT38" s="64">
        <f t="shared" si="12"/>
        <v>44744.45172</v>
      </c>
      <c r="AU38" s="65" t="s">
        <v>2715</v>
      </c>
      <c r="AV38" s="66">
        <f t="shared" si="13"/>
        <v>8.786304572</v>
      </c>
      <c r="AW38" s="66"/>
      <c r="AX38" s="65" t="s">
        <v>2713</v>
      </c>
    </row>
    <row r="39">
      <c r="A39" s="55">
        <v>44680.7361696875</v>
      </c>
      <c r="B39" s="56"/>
      <c r="C39" s="57"/>
      <c r="D39" s="57"/>
      <c r="E39" s="57"/>
      <c r="F39" s="57"/>
      <c r="G39" s="58">
        <f>if(A39,_xlfn.workday.intl(int(A39),1,"1000000",Holidays!A:A)+17/24,"")</f>
        <v>44681.70833</v>
      </c>
      <c r="H39" s="59">
        <f t="shared" si="1"/>
        <v>44744.4518</v>
      </c>
      <c r="I39" s="62" t="s">
        <v>2713</v>
      </c>
      <c r="J39" s="61">
        <f t="shared" si="2"/>
        <v>62.74347006</v>
      </c>
      <c r="K39" s="58">
        <f>if(G39,_xlfn.workday.intl(int(G39),0,"1000000",Holidays!A:A)+19/24,"")</f>
        <v>44681.79167</v>
      </c>
      <c r="L39" s="59">
        <f t="shared" si="3"/>
        <v>44744.45182</v>
      </c>
      <c r="M39" s="62" t="s">
        <v>2713</v>
      </c>
      <c r="N39" s="61">
        <f t="shared" si="4"/>
        <v>62.66015492</v>
      </c>
      <c r="O39" s="63">
        <f>if(A39,_xlfn.WORKDAY.INTL(A39,O$5,"1000000",Holidays!A:A)+hour(A39)/24+MINUTE(A39)/1440,"")</f>
        <v>44681.73611</v>
      </c>
      <c r="P39" s="64">
        <v>44744.45183583333</v>
      </c>
      <c r="Q39" s="65" t="s">
        <v>2713</v>
      </c>
      <c r="R39" s="66">
        <f t="shared" si="5"/>
        <v>62.71572472</v>
      </c>
      <c r="S39" s="66"/>
      <c r="T39" s="65" t="s">
        <v>2713</v>
      </c>
      <c r="U39" s="64">
        <f>if(O39,_xlfn.WORKDAY.INTL(O39,U$5,"1000000",Holidays!A:A)+hour(O39)/24+MINUTE(O39)/1440,"")</f>
        <v>44682.73611</v>
      </c>
      <c r="V39" s="64">
        <f t="shared" si="6"/>
        <v>44924.80519</v>
      </c>
      <c r="W39" s="65" t="s">
        <v>2713</v>
      </c>
      <c r="X39" s="66">
        <f t="shared" si="7"/>
        <v>242.0690796</v>
      </c>
      <c r="Y39" s="65" t="s">
        <v>2713</v>
      </c>
      <c r="Z39" s="66"/>
      <c r="AA39" s="66"/>
      <c r="AB39" s="67">
        <v>1.0</v>
      </c>
      <c r="AC39" s="67">
        <v>1.0</v>
      </c>
      <c r="AD39" s="67">
        <v>2.0</v>
      </c>
      <c r="AE39" s="67">
        <v>3.0</v>
      </c>
      <c r="AF39" s="67">
        <v>4.0</v>
      </c>
      <c r="AG39" s="63"/>
      <c r="AH39" s="63">
        <f t="shared" si="14"/>
        <v>44755.45184</v>
      </c>
      <c r="AI39" s="63">
        <f>if(AH39,_xlfn.workday.intl(int(AH39),0,"1000000",Holidays!A:A)+18/24,"")</f>
        <v>44755.75</v>
      </c>
      <c r="AJ39" s="64">
        <f t="shared" si="17"/>
        <v>44744.45194</v>
      </c>
      <c r="AK39" s="65" t="s">
        <v>2713</v>
      </c>
      <c r="AL39" s="66" t="str">
        <f t="shared" si="9"/>
        <v/>
      </c>
      <c r="AM39" s="66"/>
      <c r="AN39" s="63">
        <f>if(AJ39,if(and(hour(AJ39+AN$5)&gt;11,(hour(AJ39+AN$5)&lt;20)),AJ39+AN$5,_xlfn.workday.intl(int(AJ39),1,"1000000",Holidays!A:A)+hour(AJ39+AN$5-$B$1)/24+minute(AJ39)/1440),"")</f>
        <v>44745.45139</v>
      </c>
      <c r="AO39" s="64">
        <f t="shared" si="15"/>
        <v>44744.45195</v>
      </c>
      <c r="AP39" s="65" t="s">
        <v>2713</v>
      </c>
      <c r="AQ39" s="66" t="str">
        <f t="shared" si="16"/>
        <v/>
      </c>
      <c r="AR39" s="66"/>
      <c r="AS39" s="63">
        <f>if(AJ39,if(and(hour(AJ39+AS$5)&gt;11,(hour(AJ39+AS$5)&lt;20)),AJ39+AS$5,_xlfn.workday.intl(int(AJ39),1,"1000000",Holidays!A:A)+hour(AJ39+AS$5-$B$1)/24+minute(AJ39)/1440),"")</f>
        <v>44745.45139</v>
      </c>
      <c r="AT39" s="64">
        <f t="shared" si="12"/>
        <v>44744.45198</v>
      </c>
      <c r="AU39" s="65" t="s">
        <v>2715</v>
      </c>
      <c r="AV39" s="66" t="str">
        <f t="shared" si="13"/>
        <v/>
      </c>
      <c r="AW39" s="66"/>
      <c r="AX39" s="65" t="s">
        <v>2713</v>
      </c>
    </row>
    <row r="40">
      <c r="A40" s="55">
        <v>44680.73756034722</v>
      </c>
      <c r="B40" s="56"/>
      <c r="C40" s="57"/>
      <c r="D40" s="57"/>
      <c r="E40" s="57"/>
      <c r="F40" s="57"/>
      <c r="G40" s="58">
        <f>if(A40,_xlfn.workday.intl(int(A40),1,"1000000",Holidays!A:A)+17/24,"")</f>
        <v>44681.70833</v>
      </c>
      <c r="H40" s="59">
        <f t="shared" si="1"/>
        <v>44744.45208</v>
      </c>
      <c r="I40" s="62" t="s">
        <v>2713</v>
      </c>
      <c r="J40" s="61">
        <f t="shared" si="2"/>
        <v>62.74374392</v>
      </c>
      <c r="K40" s="58">
        <f>if(G40,_xlfn.workday.intl(int(G40),0,"1000000",Holidays!A:A)+19/24,"")</f>
        <v>44681.79167</v>
      </c>
      <c r="L40" s="59">
        <f t="shared" si="3"/>
        <v>44744.45209</v>
      </c>
      <c r="M40" s="62" t="s">
        <v>2713</v>
      </c>
      <c r="N40" s="61">
        <f t="shared" si="4"/>
        <v>62.660425</v>
      </c>
      <c r="O40" s="63">
        <f>if(A40,_xlfn.WORKDAY.INTL(A40,O$5,"1000000",Holidays!A:A)+hour(A40)/24+MINUTE(A40)/1440,"")</f>
        <v>44681.7375</v>
      </c>
      <c r="P40" s="64">
        <v>44744.45211006944</v>
      </c>
      <c r="Q40" s="65" t="s">
        <v>2713</v>
      </c>
      <c r="R40" s="66">
        <f t="shared" si="5"/>
        <v>62.71461007</v>
      </c>
      <c r="S40" s="66"/>
      <c r="T40" s="65" t="s">
        <v>2713</v>
      </c>
      <c r="U40" s="64">
        <f>if(O40,_xlfn.WORKDAY.INTL(O40,U$5,"1000000",Holidays!A:A)+hour(O40)/24+MINUTE(O40)/1440,"")</f>
        <v>44682.7375</v>
      </c>
      <c r="V40" s="64">
        <f t="shared" si="6"/>
        <v>44924.8052</v>
      </c>
      <c r="W40" s="65" t="s">
        <v>2713</v>
      </c>
      <c r="X40" s="66">
        <f t="shared" si="7"/>
        <v>242.0677037</v>
      </c>
      <c r="Y40" s="65" t="s">
        <v>2713</v>
      </c>
      <c r="Z40" s="66"/>
      <c r="AA40" s="66"/>
      <c r="AB40" s="67">
        <v>1.0</v>
      </c>
      <c r="AC40" s="67">
        <v>3.0</v>
      </c>
      <c r="AD40" s="67">
        <v>4.0</v>
      </c>
      <c r="AE40" s="63"/>
      <c r="AF40" s="63"/>
      <c r="AG40" s="63"/>
      <c r="AH40" s="63">
        <f t="shared" si="14"/>
        <v>44752.45211</v>
      </c>
      <c r="AI40" s="63">
        <f>if(AH40,_xlfn.workday.intl(int(AH40),0,"1000000",Holidays!A:A)+18/24,"")</f>
        <v>44752.75</v>
      </c>
      <c r="AJ40" s="64">
        <f t="shared" si="17"/>
        <v>44733.66551</v>
      </c>
      <c r="AK40" s="65" t="s">
        <v>2713</v>
      </c>
      <c r="AL40" s="66" t="str">
        <f t="shared" si="9"/>
        <v/>
      </c>
      <c r="AM40" s="66"/>
      <c r="AN40" s="63">
        <f>if(AJ40,if(and(hour(AJ40+AN$5)&gt;11,(hour(AJ40+AN$5)&lt;20)),AJ40+AN$5,_xlfn.workday.intl(int(AJ40),1,"1000000",Holidays!A:A)+hour(AJ40+AN$5-$B$1)/24+minute(AJ40)/1440),"")</f>
        <v>44734.66551</v>
      </c>
      <c r="AO40" s="64">
        <f t="shared" si="15"/>
        <v>44744.45216</v>
      </c>
      <c r="AP40" s="65" t="s">
        <v>2713</v>
      </c>
      <c r="AQ40" s="66">
        <f t="shared" si="16"/>
        <v>9.786641748</v>
      </c>
      <c r="AR40" s="66"/>
      <c r="AS40" s="63">
        <f>if(AJ40,if(and(hour(AJ40+AS$5)&gt;11,(hour(AJ40+AS$5)&lt;20)),AJ40+AS$5,_xlfn.workday.intl(int(AJ40),1,"1000000",Holidays!A:A)+hour(AJ40+AS$5-$B$1)/24+minute(AJ40)/1440),"")</f>
        <v>44735.66551</v>
      </c>
      <c r="AT40" s="64">
        <f t="shared" si="12"/>
        <v>44744.45217</v>
      </c>
      <c r="AU40" s="65" t="s">
        <v>2715</v>
      </c>
      <c r="AV40" s="66">
        <f t="shared" si="13"/>
        <v>8.786656968</v>
      </c>
      <c r="AW40" s="66"/>
      <c r="AX40" s="65" t="s">
        <v>2713</v>
      </c>
    </row>
    <row r="41">
      <c r="A41" s="55">
        <v>44680.73905730324</v>
      </c>
      <c r="B41" s="56"/>
      <c r="C41" s="57"/>
      <c r="D41" s="57"/>
      <c r="E41" s="57"/>
      <c r="F41" s="57"/>
      <c r="G41" s="58">
        <f>if(A41,_xlfn.workday.intl(int(A41),1,"1000000",Holidays!A:A)+17/24,"")</f>
        <v>44681.70833</v>
      </c>
      <c r="H41" s="59" t="str">
        <f t="shared" si="1"/>
        <v/>
      </c>
      <c r="I41" s="60"/>
      <c r="J41" s="61">
        <f t="shared" si="2"/>
        <v>1452.275577</v>
      </c>
      <c r="K41" s="58">
        <f>if(G41,_xlfn.workday.intl(int(G41),0,"1000000",Holidays!A:A)+19/24,"")</f>
        <v>44681.79167</v>
      </c>
      <c r="L41" s="59" t="str">
        <f t="shared" si="3"/>
        <v/>
      </c>
      <c r="M41" s="60"/>
      <c r="N41" s="61">
        <f t="shared" si="4"/>
        <v>1452.192243</v>
      </c>
      <c r="O41" s="63">
        <f>if(A41,_xlfn.WORKDAY.INTL(A41,O$5,"1000000",Holidays!A:A)+hour(A41)/24+MINUTE(A41)/1440,"")</f>
        <v>44681.73889</v>
      </c>
      <c r="P41" s="64" t="s">
        <v>2718</v>
      </c>
      <c r="Q41" s="56"/>
      <c r="R41" s="66">
        <f t="shared" si="5"/>
        <v>1452.245021</v>
      </c>
      <c r="S41" s="66"/>
      <c r="T41" s="66"/>
      <c r="U41" s="64">
        <f>if(O41,_xlfn.WORKDAY.INTL(O41,U$5,"1000000",Holidays!A:A)+hour(O41)/24+MINUTE(O41)/1440,"")</f>
        <v>44682.73889</v>
      </c>
      <c r="V41" s="64" t="str">
        <f t="shared" si="6"/>
        <v/>
      </c>
      <c r="W41" s="66"/>
      <c r="X41" s="66">
        <f t="shared" si="7"/>
        <v>1451.245021</v>
      </c>
      <c r="Y41" s="66"/>
      <c r="Z41" s="66"/>
      <c r="AA41" s="66"/>
      <c r="AB41" s="63"/>
      <c r="AC41" s="63"/>
      <c r="AD41" s="63"/>
      <c r="AE41" s="63"/>
      <c r="AF41" s="63"/>
      <c r="AG41" s="63"/>
      <c r="AH41" s="63" t="str">
        <f t="shared" si="14"/>
        <v/>
      </c>
      <c r="AI41" s="63" t="str">
        <f>if(AH41,_xlfn.workday.intl(int(AH41),0,"1000000",Holidays!A:A)+18/24,"")</f>
        <v/>
      </c>
      <c r="AJ41" s="64">
        <f t="shared" si="17"/>
        <v>44733.66557</v>
      </c>
      <c r="AK41" s="65" t="s">
        <v>2713</v>
      </c>
      <c r="AL41" s="66" t="str">
        <f t="shared" si="9"/>
        <v/>
      </c>
      <c r="AM41" s="66"/>
      <c r="AN41" s="63">
        <f>if(AJ41,if(and(hour(AJ41+AN$5)&gt;11,(hour(AJ41+AN$5)&lt;20)),AJ41+AN$5,_xlfn.workday.intl(int(AJ41),1,"1000000",Holidays!A:A)+hour(AJ41+AN$5-$B$1)/24+minute(AJ41)/1440),"")</f>
        <v>44734.66557</v>
      </c>
      <c r="AO41" s="64" t="str">
        <f t="shared" si="15"/>
        <v/>
      </c>
      <c r="AP41" s="56"/>
      <c r="AQ41" s="66">
        <f t="shared" si="16"/>
        <v>1399.318335</v>
      </c>
      <c r="AR41" s="66"/>
      <c r="AS41" s="63">
        <f>if(AJ41,if(and(hour(AJ41+AS$5)&gt;11,(hour(AJ41+AS$5)&lt;20)),AJ41+AS$5,_xlfn.workday.intl(int(AJ41),1,"1000000",Holidays!A:A)+hour(AJ41+AS$5-$B$1)/24+minute(AJ41)/1440),"")</f>
        <v>44735.66557</v>
      </c>
      <c r="AT41" s="64" t="str">
        <f t="shared" si="12"/>
        <v/>
      </c>
      <c r="AU41" s="56"/>
      <c r="AV41" s="66">
        <f t="shared" si="13"/>
        <v>1398.318335</v>
      </c>
      <c r="AW41" s="66"/>
      <c r="AX41" s="65" t="s">
        <v>2720</v>
      </c>
    </row>
    <row r="42">
      <c r="A42" s="55">
        <v>44681.558092349536</v>
      </c>
      <c r="B42" s="56"/>
      <c r="C42" s="57"/>
      <c r="D42" s="57"/>
      <c r="E42" s="57"/>
      <c r="F42" s="57"/>
      <c r="G42" s="58">
        <f>if(A42,_xlfn.workday.intl(int(A42),1,"1000000",Holidays!A:A)+17/24,"")</f>
        <v>44682.70833</v>
      </c>
      <c r="H42" s="59" t="str">
        <f t="shared" si="1"/>
        <v/>
      </c>
      <c r="I42" s="60"/>
      <c r="J42" s="61">
        <f t="shared" si="2"/>
        <v>1451.275577</v>
      </c>
      <c r="K42" s="58">
        <f>if(G42,_xlfn.workday.intl(int(G42),0,"1000000",Holidays!A:A)+19/24,"")</f>
        <v>44682.79167</v>
      </c>
      <c r="L42" s="59" t="str">
        <f t="shared" si="3"/>
        <v/>
      </c>
      <c r="M42" s="60"/>
      <c r="N42" s="61">
        <f t="shared" si="4"/>
        <v>1451.192243</v>
      </c>
      <c r="O42" s="63">
        <f>if(A42,_xlfn.WORKDAY.INTL(A42,O$5,"1000000",Holidays!A:A)+hour(A42)/24+MINUTE(A42)/1440,"")</f>
        <v>44682.55764</v>
      </c>
      <c r="P42" s="64">
        <v>44924.80608736111</v>
      </c>
      <c r="Q42" s="65" t="s">
        <v>2713</v>
      </c>
      <c r="R42" s="66">
        <f t="shared" si="5"/>
        <v>242.2484485</v>
      </c>
      <c r="S42" s="66"/>
      <c r="T42" s="65" t="s">
        <v>2713</v>
      </c>
      <c r="U42" s="64">
        <f>if(O42,_xlfn.WORKDAY.INTL(O42,U$5,"1000000",Holidays!A:A)+hour(O42)/24+MINUTE(O42)/1440,"")</f>
        <v>44684.55764</v>
      </c>
      <c r="V42" s="64">
        <f t="shared" si="6"/>
        <v>44924.80592</v>
      </c>
      <c r="W42" s="65" t="s">
        <v>2713</v>
      </c>
      <c r="X42" s="66">
        <f t="shared" si="7"/>
        <v>240.2482784</v>
      </c>
      <c r="Y42" s="65" t="s">
        <v>2713</v>
      </c>
      <c r="Z42" s="66"/>
      <c r="AA42" s="66"/>
      <c r="AB42" s="67">
        <v>1.0</v>
      </c>
      <c r="AC42" s="67">
        <v>3.0</v>
      </c>
      <c r="AD42" s="63"/>
      <c r="AE42" s="63"/>
      <c r="AF42" s="63"/>
      <c r="AG42" s="63"/>
      <c r="AH42" s="63">
        <f t="shared" si="14"/>
        <v>44928.80609</v>
      </c>
      <c r="AI42" s="63">
        <f>if(AH42,_xlfn.workday.intl(int(AH42),0,"1000000",Holidays!A:A)+18/24,"")</f>
        <v>44928.75</v>
      </c>
      <c r="AJ42" s="64">
        <f t="shared" si="17"/>
        <v>44728.73318</v>
      </c>
      <c r="AK42" s="65" t="s">
        <v>2721</v>
      </c>
      <c r="AL42" s="66" t="str">
        <f t="shared" si="9"/>
        <v/>
      </c>
      <c r="AM42" s="66"/>
      <c r="AN42" s="63">
        <f>if(AJ42,if(and(hour(AJ42+AN$5)&gt;11,(hour(AJ42+AN$5)&lt;20)),AJ42+AN$5,_xlfn.workday.intl(int(AJ42),1,"1000000",Holidays!A:A)+hour(AJ42+AN$5-$B$1)/24+minute(AJ42)/1440),"")</f>
        <v>44729.73318</v>
      </c>
      <c r="AO42" s="64">
        <f t="shared" si="15"/>
        <v>44924.80564</v>
      </c>
      <c r="AP42" s="65" t="s">
        <v>2713</v>
      </c>
      <c r="AQ42" s="66">
        <f t="shared" si="16"/>
        <v>195.0724629</v>
      </c>
      <c r="AR42" s="66"/>
      <c r="AS42" s="63">
        <f>if(AJ42,if(and(hour(AJ42+AS$5)&gt;11,(hour(AJ42+AS$5)&lt;20)),AJ42+AS$5,_xlfn.workday.intl(int(AJ42),1,"1000000",Holidays!A:A)+hour(AJ42+AS$5-$B$1)/24+minute(AJ42)/1440),"")</f>
        <v>44730.73318</v>
      </c>
      <c r="AT42" s="64">
        <f t="shared" si="12"/>
        <v>44835.48879</v>
      </c>
      <c r="AU42" s="65" t="s">
        <v>2715</v>
      </c>
      <c r="AV42" s="66">
        <f t="shared" si="13"/>
        <v>104.7556131</v>
      </c>
      <c r="AW42" s="66"/>
      <c r="AX42" s="65" t="s">
        <v>2721</v>
      </c>
    </row>
    <row r="43">
      <c r="A43" s="55">
        <v>44684.6108640625</v>
      </c>
      <c r="B43" s="56"/>
      <c r="C43" s="57"/>
      <c r="D43" s="57"/>
      <c r="E43" s="57"/>
      <c r="F43" s="57"/>
      <c r="G43" s="58">
        <f>if(A43,_xlfn.workday.intl(int(A43),1,"1000000",Holidays!A:A)+17/24,"")</f>
        <v>44685.70833</v>
      </c>
      <c r="H43" s="59" t="str">
        <f t="shared" si="1"/>
        <v/>
      </c>
      <c r="I43" s="60"/>
      <c r="J43" s="61">
        <f t="shared" si="2"/>
        <v>1448.275577</v>
      </c>
      <c r="K43" s="58">
        <f>if(G43,_xlfn.workday.intl(int(G43),0,"1000000",Holidays!A:A)+19/24,"")</f>
        <v>44685.79167</v>
      </c>
      <c r="L43" s="59" t="str">
        <f t="shared" si="3"/>
        <v/>
      </c>
      <c r="M43" s="60"/>
      <c r="N43" s="61">
        <f t="shared" si="4"/>
        <v>1448.192243</v>
      </c>
      <c r="O43" s="63">
        <f>if(A43,_xlfn.WORKDAY.INTL(A43,O$5,"1000000",Holidays!A:A)+hour(A43)/24+MINUTE(A43)/1440,"")</f>
        <v>44685.61042</v>
      </c>
      <c r="P43" s="64" t="s">
        <v>2718</v>
      </c>
      <c r="Q43" s="56"/>
      <c r="R43" s="66">
        <f t="shared" si="5"/>
        <v>1448.373493</v>
      </c>
      <c r="S43" s="66"/>
      <c r="T43" s="66"/>
      <c r="U43" s="64">
        <f>if(O43,_xlfn.WORKDAY.INTL(O43,U$5,"1000000",Holidays!A:A)+hour(O43)/24+MINUTE(O43)/1440,"")</f>
        <v>44686.61042</v>
      </c>
      <c r="V43" s="64" t="str">
        <f t="shared" si="6"/>
        <v/>
      </c>
      <c r="W43" s="66"/>
      <c r="X43" s="66">
        <f t="shared" si="7"/>
        <v>1447.373493</v>
      </c>
      <c r="Y43" s="66"/>
      <c r="Z43" s="66"/>
      <c r="AA43" s="66"/>
      <c r="AB43" s="63"/>
      <c r="AC43" s="63"/>
      <c r="AD43" s="63"/>
      <c r="AE43" s="63"/>
      <c r="AF43" s="63"/>
      <c r="AG43" s="63"/>
      <c r="AH43" s="63" t="str">
        <f t="shared" si="14"/>
        <v/>
      </c>
      <c r="AI43" s="63" t="str">
        <f>if(AH43,_xlfn.workday.intl(int(AH43),0,"1000000",Holidays!A:A)+18/24,"")</f>
        <v/>
      </c>
      <c r="AJ43" s="64" t="str">
        <f t="shared" si="17"/>
        <v/>
      </c>
      <c r="AK43" s="56"/>
      <c r="AL43" s="66" t="str">
        <f t="shared" si="9"/>
        <v/>
      </c>
      <c r="AM43" s="66"/>
      <c r="AN43" s="63" t="str">
        <f>if(AJ43,if(and(hour(AJ43+AN$5)&gt;11,(hour(AJ43+AN$5)&lt;20)),AJ43+AN$5,_xlfn.workday.intl(int(AJ43),1,"1000000",Holidays!A:A)+hour(AJ43+AN$5-$B$1)/24+minute(AJ43)/1440),"")</f>
        <v/>
      </c>
      <c r="AO43" s="64" t="str">
        <f t="shared" si="15"/>
        <v/>
      </c>
      <c r="AP43" s="56"/>
      <c r="AQ43" s="66" t="str">
        <f t="shared" si="16"/>
        <v/>
      </c>
      <c r="AR43" s="66"/>
      <c r="AS43" s="63" t="str">
        <f>if(AJ43,if(and(hour(AJ43+AS$5)&gt;11,(hour(AJ43+AS$5)&lt;20)),AJ43+AS$5,_xlfn.workday.intl(int(AJ43),1,"1000000",Holidays!A:A)+hour(AJ43+AS$5-$B$1)/24+minute(AJ43)/1440),"")</f>
        <v/>
      </c>
      <c r="AT43" s="64" t="str">
        <f t="shared" si="12"/>
        <v/>
      </c>
      <c r="AU43" s="56"/>
      <c r="AV43" s="66" t="str">
        <f t="shared" si="13"/>
        <v/>
      </c>
      <c r="AW43" s="66"/>
      <c r="AX43" s="65" t="s">
        <v>2720</v>
      </c>
    </row>
    <row r="44">
      <c r="A44" s="55">
        <v>44685.48934518518</v>
      </c>
      <c r="B44" s="56"/>
      <c r="C44" s="57"/>
      <c r="D44" s="57"/>
      <c r="E44" s="57"/>
      <c r="F44" s="57"/>
      <c r="G44" s="58">
        <f>if(A44,_xlfn.workday.intl(int(A44),1,"1000000",Holidays!A:A)+17/24,"")</f>
        <v>44686.70833</v>
      </c>
      <c r="H44" s="59" t="str">
        <f t="shared" si="1"/>
        <v/>
      </c>
      <c r="I44" s="60"/>
      <c r="J44" s="61">
        <f t="shared" si="2"/>
        <v>1447.275577</v>
      </c>
      <c r="K44" s="58">
        <f>if(G44,_xlfn.workday.intl(int(G44),0,"1000000",Holidays!A:A)+19/24,"")</f>
        <v>44686.79167</v>
      </c>
      <c r="L44" s="59" t="str">
        <f t="shared" si="3"/>
        <v/>
      </c>
      <c r="M44" s="60"/>
      <c r="N44" s="61">
        <f t="shared" si="4"/>
        <v>1447.192243</v>
      </c>
      <c r="O44" s="63">
        <f>if(A44,_xlfn.WORKDAY.INTL(A44,O$5,"1000000",Holidays!A:A)+hour(A44)/24+MINUTE(A44)/1440,"")</f>
        <v>44686.48889</v>
      </c>
      <c r="P44" s="64" t="s">
        <v>2718</v>
      </c>
      <c r="Q44" s="56"/>
      <c r="R44" s="66">
        <f t="shared" si="5"/>
        <v>1447.495021</v>
      </c>
      <c r="S44" s="66"/>
      <c r="T44" s="66"/>
      <c r="U44" s="64">
        <f>if(O44,_xlfn.WORKDAY.INTL(O44,U$5,"1000000",Holidays!A:A)+hour(O44)/24+MINUTE(O44)/1440,"")</f>
        <v>44687.48889</v>
      </c>
      <c r="V44" s="64" t="str">
        <f t="shared" si="6"/>
        <v/>
      </c>
      <c r="W44" s="66"/>
      <c r="X44" s="66">
        <f t="shared" si="7"/>
        <v>1446.495021</v>
      </c>
      <c r="Y44" s="66"/>
      <c r="Z44" s="66"/>
      <c r="AA44" s="66"/>
      <c r="AB44" s="63"/>
      <c r="AC44" s="63"/>
      <c r="AD44" s="63"/>
      <c r="AE44" s="63"/>
      <c r="AF44" s="63"/>
      <c r="AG44" s="63"/>
      <c r="AH44" s="63" t="str">
        <f t="shared" si="14"/>
        <v/>
      </c>
      <c r="AI44" s="63" t="str">
        <f>IF(AH44,_xlfn.workday.intl(int(AH44),0,"1000000",Holidays!A:A)+18/24,"")</f>
        <v/>
      </c>
      <c r="AJ44" s="64" t="str">
        <f t="shared" si="17"/>
        <v/>
      </c>
      <c r="AK44" s="56"/>
      <c r="AL44" s="66" t="str">
        <f t="shared" si="9"/>
        <v/>
      </c>
      <c r="AM44" s="66"/>
      <c r="AN44" s="63" t="str">
        <f>if(AJ44,if(and(hour(AJ44+AN$5)&gt;11,(hour(AJ44+AN$5)&lt;20)),AJ44+AN$5,_xlfn.workday.intl(int(AJ44),1,"1000000",Holidays!A:A)+hour(AJ44+AN$5-$B$1)/24+minute(AJ44)/1440),"")</f>
        <v/>
      </c>
      <c r="AO44" s="64" t="str">
        <f t="shared" si="15"/>
        <v/>
      </c>
      <c r="AP44" s="56"/>
      <c r="AQ44" s="66" t="str">
        <f t="shared" si="16"/>
        <v/>
      </c>
      <c r="AR44" s="66"/>
      <c r="AS44" s="63" t="str">
        <f>if(AJ44,if(and(hour(AJ44+AS$5)&gt;11,(hour(AJ44+AS$5)&lt;20)),AJ44+AS$5,_xlfn.workday.intl(int(AJ44),1,"1000000",Holidays!A:A)+hour(AJ44+AS$5-$B$1)/24+minute(AJ44)/1440),"")</f>
        <v/>
      </c>
      <c r="AT44" s="64" t="str">
        <f t="shared" si="12"/>
        <v/>
      </c>
      <c r="AU44" s="56"/>
      <c r="AV44" s="66" t="str">
        <f t="shared" si="13"/>
        <v/>
      </c>
      <c r="AW44" s="66"/>
      <c r="AX44" s="65" t="s">
        <v>2720</v>
      </c>
    </row>
    <row r="45">
      <c r="A45" s="55">
        <v>44689.48435130787</v>
      </c>
      <c r="B45" s="56"/>
      <c r="C45" s="57"/>
      <c r="D45" s="57"/>
      <c r="E45" s="57"/>
      <c r="F45" s="57"/>
      <c r="G45" s="58">
        <f>if(A45,_xlfn.workday.intl(int(A45),1,"1000000",Holidays!A:A)+17/24,"")</f>
        <v>44691.70833</v>
      </c>
      <c r="H45" s="59">
        <f t="shared" si="1"/>
        <v>44744.46095</v>
      </c>
      <c r="I45" s="62" t="s">
        <v>2713</v>
      </c>
      <c r="J45" s="61">
        <f t="shared" si="2"/>
        <v>52.75261509</v>
      </c>
      <c r="K45" s="58">
        <f>if(G45,_xlfn.workday.intl(int(G45),0,"1000000",Holidays!A:A)+19/24,"")</f>
        <v>44691.79167</v>
      </c>
      <c r="L45" s="59">
        <f t="shared" si="3"/>
        <v>44744.461</v>
      </c>
      <c r="M45" s="62" t="s">
        <v>2713</v>
      </c>
      <c r="N45" s="61">
        <f t="shared" si="4"/>
        <v>52.66933832</v>
      </c>
      <c r="O45" s="63">
        <f>if(A45,_xlfn.WORKDAY.INTL(A45,O$5,"1000000",Holidays!A:A)+hour(A45)/24+MINUTE(A45)/1440,"")</f>
        <v>44691.48403</v>
      </c>
      <c r="P45" s="64">
        <v>44744.46108554398</v>
      </c>
      <c r="Q45" s="65" t="s">
        <v>2713</v>
      </c>
      <c r="R45" s="66">
        <f t="shared" si="5"/>
        <v>52.97705777</v>
      </c>
      <c r="S45" s="66"/>
      <c r="T45" s="66"/>
      <c r="U45" s="64">
        <f>if(O45,_xlfn.WORKDAY.INTL(O45,U$5,"1000000",Holidays!A:A)+hour(O45)/24+MINUTE(O45)/1440,"")</f>
        <v>44692.48403</v>
      </c>
      <c r="V45" s="64" t="str">
        <f t="shared" si="6"/>
        <v/>
      </c>
      <c r="W45" s="66"/>
      <c r="X45" s="66">
        <f t="shared" si="7"/>
        <v>1441.499882</v>
      </c>
      <c r="Y45" s="66"/>
      <c r="Z45" s="66"/>
      <c r="AA45" s="66"/>
      <c r="AB45" s="67"/>
      <c r="AC45" s="67"/>
      <c r="AD45" s="63"/>
      <c r="AE45" s="63"/>
      <c r="AF45" s="63"/>
      <c r="AG45" s="63"/>
      <c r="AH45" s="63">
        <f t="shared" si="14"/>
        <v>44744.46109</v>
      </c>
      <c r="AI45" s="63">
        <f>if(AH45,_xlfn.workday.intl(int(AH45),0,"1000000",Holidays!A:A)+18/24,"")</f>
        <v>44744.75</v>
      </c>
      <c r="AJ45" s="64">
        <f t="shared" si="17"/>
        <v>44733.66601</v>
      </c>
      <c r="AK45" s="65" t="s">
        <v>2713</v>
      </c>
      <c r="AL45" s="66" t="str">
        <f t="shared" si="9"/>
        <v/>
      </c>
      <c r="AM45" s="66"/>
      <c r="AN45" s="63">
        <f>if(AJ45,if(and(hour(AJ45+AN$5)&gt;11,(hour(AJ45+AN$5)&lt;20)),AJ45+AN$5,_xlfn.workday.intl(int(AJ45),1,"1000000",Holidays!A:A)+hour(AJ45+AN$5-$B$1)/24+minute(AJ45)/1440),"")</f>
        <v>44734.66601</v>
      </c>
      <c r="AO45" s="64">
        <f t="shared" si="15"/>
        <v>44744.46115</v>
      </c>
      <c r="AP45" s="65" t="s">
        <v>2713</v>
      </c>
      <c r="AQ45" s="66">
        <f t="shared" si="16"/>
        <v>9.795138484</v>
      </c>
      <c r="AR45" s="66"/>
      <c r="AS45" s="63">
        <f>if(AJ45,if(and(hour(AJ45+AS$5)&gt;11,(hour(AJ45+AS$5)&lt;20)),AJ45+AS$5,_xlfn.workday.intl(int(AJ45),1,"1000000",Holidays!A:A)+hour(AJ45+AS$5-$B$1)/24+minute(AJ45)/1440),"")</f>
        <v>44735.66601</v>
      </c>
      <c r="AT45" s="64">
        <f t="shared" si="12"/>
        <v>44744.46118</v>
      </c>
      <c r="AU45" s="65" t="s">
        <v>2715</v>
      </c>
      <c r="AV45" s="66">
        <f t="shared" si="13"/>
        <v>8.79517066</v>
      </c>
      <c r="AW45" s="66"/>
      <c r="AX45" s="65" t="s">
        <v>2713</v>
      </c>
    </row>
    <row r="46">
      <c r="A46" s="55">
        <v>44694.487345347225</v>
      </c>
      <c r="B46" s="56"/>
      <c r="C46" s="57"/>
      <c r="D46" s="57"/>
      <c r="E46" s="57"/>
      <c r="F46" s="57"/>
      <c r="G46" s="58">
        <f>if(A46,_xlfn.workday.intl(int(A46),1,"1000000",Holidays!A:A)+17/24,"")</f>
        <v>44695.70833</v>
      </c>
      <c r="H46" s="59">
        <f t="shared" si="1"/>
        <v>44744.46131</v>
      </c>
      <c r="I46" s="62" t="s">
        <v>2713</v>
      </c>
      <c r="J46" s="61">
        <f t="shared" si="2"/>
        <v>48.75297286</v>
      </c>
      <c r="K46" s="58">
        <f>if(G46,_xlfn.workday.intl(int(G46),0,"1000000",Holidays!A:A)+19/24,"")</f>
        <v>44695.79167</v>
      </c>
      <c r="L46" s="59">
        <f t="shared" si="3"/>
        <v>44744.46133</v>
      </c>
      <c r="M46" s="62" t="s">
        <v>2713</v>
      </c>
      <c r="N46" s="61">
        <f t="shared" si="4"/>
        <v>48.66966345</v>
      </c>
      <c r="O46" s="63">
        <f>if(A46,_xlfn.WORKDAY.INTL(A46,O$5,"1000000",Holidays!A:A)+hour(A46)/24+MINUTE(A46)/1440,"")</f>
        <v>44695.48681</v>
      </c>
      <c r="P46" s="64">
        <v>44744.461348032404</v>
      </c>
      <c r="Q46" s="65" t="s">
        <v>2713</v>
      </c>
      <c r="R46" s="66">
        <f t="shared" si="5"/>
        <v>48.97454248</v>
      </c>
      <c r="S46" s="66"/>
      <c r="T46" s="66"/>
      <c r="U46" s="64">
        <f>if(O46,_xlfn.WORKDAY.INTL(O46,U$5,"1000000",Holidays!A:A)+hour(O46)/24+MINUTE(O46)/1440,"")</f>
        <v>44696.48681</v>
      </c>
      <c r="V46" s="64" t="str">
        <f t="shared" si="6"/>
        <v/>
      </c>
      <c r="W46" s="66"/>
      <c r="X46" s="66">
        <f t="shared" si="7"/>
        <v>1437.497104</v>
      </c>
      <c r="Y46" s="66"/>
      <c r="Z46" s="66"/>
      <c r="AA46" s="66"/>
      <c r="AB46" s="63"/>
      <c r="AC46" s="63"/>
      <c r="AD46" s="63"/>
      <c r="AE46" s="63"/>
      <c r="AF46" s="63"/>
      <c r="AG46" s="63"/>
      <c r="AH46" s="63">
        <f t="shared" si="14"/>
        <v>44744.46135</v>
      </c>
      <c r="AI46" s="63">
        <f>if(AH46,_xlfn.workday.intl(int(AH46),0,"1000000",Holidays!A:A)+18/24,"")</f>
        <v>44744.75</v>
      </c>
      <c r="AJ46" s="64">
        <f t="shared" si="17"/>
        <v>44733.66611</v>
      </c>
      <c r="AK46" s="65" t="s">
        <v>2713</v>
      </c>
      <c r="AL46" s="66" t="str">
        <f t="shared" si="9"/>
        <v/>
      </c>
      <c r="AM46" s="66"/>
      <c r="AN46" s="63">
        <f>if(AJ46,if(and(hour(AJ46+AN$5)&gt;11,(hour(AJ46+AN$5)&lt;20)),AJ46+AN$5,_xlfn.workday.intl(int(AJ46),1,"1000000",Holidays!A:A)+hour(AJ46+AN$5-$B$1)/24+minute(AJ46)/1440),"")</f>
        <v>44734.66611</v>
      </c>
      <c r="AO46" s="64">
        <f t="shared" si="15"/>
        <v>44744.4614</v>
      </c>
      <c r="AP46" s="65" t="s">
        <v>2713</v>
      </c>
      <c r="AQ46" s="66">
        <f t="shared" si="16"/>
        <v>9.795298275</v>
      </c>
      <c r="AR46" s="66"/>
      <c r="AS46" s="63">
        <f>if(AJ46,if(and(hour(AJ46+AS$5)&gt;11,(hour(AJ46+AS$5)&lt;20)),AJ46+AS$5,_xlfn.workday.intl(int(AJ46),1,"1000000",Holidays!A:A)+hour(AJ46+AS$5-$B$1)/24+minute(AJ46)/1440),"")</f>
        <v>44735.66611</v>
      </c>
      <c r="AT46" s="64">
        <f t="shared" si="12"/>
        <v>44744.46173</v>
      </c>
      <c r="AU46" s="65" t="s">
        <v>2715</v>
      </c>
      <c r="AV46" s="66">
        <f t="shared" si="13"/>
        <v>8.795623125</v>
      </c>
      <c r="AW46" s="66"/>
      <c r="AX46" s="65" t="s">
        <v>2713</v>
      </c>
    </row>
    <row r="47">
      <c r="A47" s="55">
        <v>44694.488543263884</v>
      </c>
      <c r="B47" s="56"/>
      <c r="C47" s="57"/>
      <c r="D47" s="57"/>
      <c r="E47" s="57"/>
      <c r="F47" s="57"/>
      <c r="G47" s="58">
        <f>if(A47,_xlfn.workday.intl(int(A47),1,"1000000",Holidays!A:A)+17/24,"")</f>
        <v>44695.70833</v>
      </c>
      <c r="H47" s="59">
        <f t="shared" si="1"/>
        <v>44744.46155</v>
      </c>
      <c r="I47" s="62" t="s">
        <v>2713</v>
      </c>
      <c r="J47" s="61">
        <f t="shared" si="2"/>
        <v>48.75321941</v>
      </c>
      <c r="K47" s="58">
        <f>if(G47,_xlfn.workday.intl(int(G47),0,"1000000",Holidays!A:A)+19/24,"")</f>
        <v>44695.79167</v>
      </c>
      <c r="L47" s="59">
        <f t="shared" si="3"/>
        <v>44744.46157</v>
      </c>
      <c r="M47" s="62" t="s">
        <v>2713</v>
      </c>
      <c r="N47" s="61">
        <f t="shared" si="4"/>
        <v>48.66990652</v>
      </c>
      <c r="O47" s="63">
        <f>if(A47,_xlfn.WORKDAY.INTL(A47,O$5,"1000000",Holidays!A:A)+hour(A47)/24+MINUTE(A47)/1440,"")</f>
        <v>44695.48819</v>
      </c>
      <c r="P47" s="64">
        <v>44744.461588252314</v>
      </c>
      <c r="Q47" s="65" t="s">
        <v>2713</v>
      </c>
      <c r="R47" s="66">
        <f t="shared" si="5"/>
        <v>48.97339381</v>
      </c>
      <c r="S47" s="66"/>
      <c r="T47" s="66"/>
      <c r="U47" s="64">
        <f>if(O47,_xlfn.WORKDAY.INTL(O47,U$5,"1000000",Holidays!A:A)+hour(O47)/24+MINUTE(O47)/1440,"")</f>
        <v>44696.48819</v>
      </c>
      <c r="V47" s="64" t="str">
        <f t="shared" si="6"/>
        <v/>
      </c>
      <c r="W47" s="66"/>
      <c r="X47" s="66">
        <f t="shared" si="7"/>
        <v>1437.495715</v>
      </c>
      <c r="Y47" s="66"/>
      <c r="Z47" s="66"/>
      <c r="AA47" s="66"/>
      <c r="AB47" s="63"/>
      <c r="AC47" s="63"/>
      <c r="AD47" s="63"/>
      <c r="AE47" s="63"/>
      <c r="AF47" s="63"/>
      <c r="AG47" s="63"/>
      <c r="AH47" s="63">
        <f t="shared" si="14"/>
        <v>44744.46159</v>
      </c>
      <c r="AI47" s="63">
        <f>if(AH47,_xlfn.workday.intl(int(AH47),0,"1000000",Holidays!A:A)+18/24,"")</f>
        <v>44744.75</v>
      </c>
      <c r="AJ47" s="64">
        <f t="shared" si="17"/>
        <v>44733.66628</v>
      </c>
      <c r="AK47" s="65" t="s">
        <v>2713</v>
      </c>
      <c r="AL47" s="66" t="str">
        <f t="shared" si="9"/>
        <v/>
      </c>
      <c r="AM47" s="66"/>
      <c r="AN47" s="63">
        <f>if(AJ47,if(and(hour(AJ47+AN$5)&gt;11,(hour(AJ47+AN$5)&lt;20)),AJ47+AN$5,_xlfn.workday.intl(int(AJ47),1,"1000000",Holidays!A:A)+hour(AJ47+AN$5-$B$1)/24+minute(AJ47)/1440),"")</f>
        <v>44734.66628</v>
      </c>
      <c r="AO47" s="64">
        <f t="shared" si="15"/>
        <v>44744.46164</v>
      </c>
      <c r="AP47" s="65" t="s">
        <v>2713</v>
      </c>
      <c r="AQ47" s="66">
        <f t="shared" si="16"/>
        <v>9.795362859</v>
      </c>
      <c r="AR47" s="66"/>
      <c r="AS47" s="63">
        <f>if(AJ47,if(and(hour(AJ47+AS$5)&gt;11,(hour(AJ47+AS$5)&lt;20)),AJ47+AS$5,_xlfn.workday.intl(int(AJ47),1,"1000000",Holidays!A:A)+hour(AJ47+AS$5-$B$1)/24+minute(AJ47)/1440),"")</f>
        <v>44735.66628</v>
      </c>
      <c r="AT47" s="64">
        <f t="shared" si="12"/>
        <v>44744.46171</v>
      </c>
      <c r="AU47" s="65" t="s">
        <v>2715</v>
      </c>
      <c r="AV47" s="66">
        <f t="shared" si="13"/>
        <v>8.79542853</v>
      </c>
      <c r="AW47" s="66"/>
      <c r="AX47" s="65" t="s">
        <v>2713</v>
      </c>
    </row>
    <row r="48">
      <c r="A48" s="55">
        <v>44694.48998949074</v>
      </c>
      <c r="B48" s="56"/>
      <c r="C48" s="57"/>
      <c r="D48" s="57"/>
      <c r="E48" s="57"/>
      <c r="F48" s="57"/>
      <c r="G48" s="58">
        <f>if(A48,_xlfn.workday.intl(int(A48),1,"1000000",Holidays!A:A)+17/24,"")</f>
        <v>44695.70833</v>
      </c>
      <c r="H48" s="59" t="str">
        <f t="shared" si="1"/>
        <v/>
      </c>
      <c r="I48" s="60"/>
      <c r="J48" s="61">
        <f t="shared" si="2"/>
        <v>1438.275577</v>
      </c>
      <c r="K48" s="58">
        <f>if(G48,_xlfn.workday.intl(int(G48),0,"1000000",Holidays!A:A)+19/24,"")</f>
        <v>44695.79167</v>
      </c>
      <c r="L48" s="59" t="str">
        <f t="shared" si="3"/>
        <v/>
      </c>
      <c r="M48" s="60"/>
      <c r="N48" s="61">
        <f t="shared" si="4"/>
        <v>1438.192243</v>
      </c>
      <c r="O48" s="63">
        <f>if(A48,_xlfn.WORKDAY.INTL(A48,O$5,"1000000",Holidays!A:A)+hour(A48)/24+MINUTE(A48)/1440,"")</f>
        <v>44695.48958</v>
      </c>
      <c r="P48" s="64" t="s">
        <v>2718</v>
      </c>
      <c r="Q48" s="56"/>
      <c r="R48" s="66">
        <f t="shared" si="5"/>
        <v>1438.494327</v>
      </c>
      <c r="S48" s="66"/>
      <c r="T48" s="66"/>
      <c r="U48" s="64">
        <f>if(O48,_xlfn.WORKDAY.INTL(O48,U$5,"1000000",Holidays!A:A)+hour(O48)/24+MINUTE(O48)/1440,"")</f>
        <v>44696.48958</v>
      </c>
      <c r="V48" s="64" t="str">
        <f t="shared" si="6"/>
        <v/>
      </c>
      <c r="W48" s="66"/>
      <c r="X48" s="66">
        <f t="shared" si="7"/>
        <v>1437.494327</v>
      </c>
      <c r="Y48" s="66"/>
      <c r="Z48" s="66"/>
      <c r="AA48" s="66"/>
      <c r="AB48" s="67"/>
      <c r="AC48" s="63"/>
      <c r="AD48" s="63"/>
      <c r="AE48" s="63"/>
      <c r="AF48" s="63"/>
      <c r="AG48" s="63"/>
      <c r="AH48" s="63" t="str">
        <f t="shared" si="14"/>
        <v/>
      </c>
      <c r="AI48" s="63" t="str">
        <f>if(AH48,_xlfn.workday.intl(int(AH48),0,"1000000",Holidays!A:A)+18/24,"")</f>
        <v/>
      </c>
      <c r="AJ48" s="64" t="str">
        <f t="shared" si="17"/>
        <v/>
      </c>
      <c r="AK48" s="56"/>
      <c r="AL48" s="66" t="str">
        <f t="shared" si="9"/>
        <v/>
      </c>
      <c r="AM48" s="66"/>
      <c r="AN48" s="63" t="str">
        <f>if(AJ48,if(and(hour(AJ48+AN$5)&gt;11,(hour(AJ48+AN$5)&lt;20)),AJ48+AN$5,_xlfn.workday.intl(int(AJ48),1,"1000000",Holidays!A:A)+hour(AJ48+AN$5-$B$1)/24+minute(AJ48)/1440),"")</f>
        <v/>
      </c>
      <c r="AO48" s="64" t="str">
        <f t="shared" si="15"/>
        <v/>
      </c>
      <c r="AP48" s="56"/>
      <c r="AQ48" s="66" t="str">
        <f t="shared" si="16"/>
        <v/>
      </c>
      <c r="AR48" s="66"/>
      <c r="AS48" s="63" t="str">
        <f>if(AJ48,if(and(hour(AJ48+AS$5)&gt;11,(hour(AJ48+AS$5)&lt;20)),AJ48+AS$5,_xlfn.workday.intl(int(AJ48),1,"1000000",Holidays!A:A)+hour(AJ48+AS$5-$B$1)/24+minute(AJ48)/1440),"")</f>
        <v/>
      </c>
      <c r="AT48" s="64" t="str">
        <f t="shared" si="12"/>
        <v/>
      </c>
      <c r="AU48" s="56"/>
      <c r="AV48" s="66" t="str">
        <f t="shared" si="13"/>
        <v/>
      </c>
      <c r="AW48" s="66"/>
      <c r="AX48" s="65" t="s">
        <v>2717</v>
      </c>
    </row>
    <row r="49">
      <c r="A49" s="55">
        <v>44709.64866075231</v>
      </c>
      <c r="B49" s="56"/>
      <c r="C49" s="57"/>
      <c r="D49" s="57"/>
      <c r="E49" s="57"/>
      <c r="F49" s="57"/>
      <c r="G49" s="58">
        <f>if(A49,_xlfn.workday.intl(int(A49),1,"1000000",Holidays!A:A)+17/24,"")</f>
        <v>44710.70833</v>
      </c>
      <c r="H49" s="59" t="str">
        <f t="shared" si="1"/>
        <v/>
      </c>
      <c r="I49" s="60"/>
      <c r="J49" s="61">
        <f t="shared" si="2"/>
        <v>1423.275577</v>
      </c>
      <c r="K49" s="58">
        <f>if(G49,_xlfn.workday.intl(int(G49),0,"1000000",Holidays!A:A)+19/24,"")</f>
        <v>44710.79167</v>
      </c>
      <c r="L49" s="59" t="str">
        <f t="shared" si="3"/>
        <v/>
      </c>
      <c r="M49" s="60"/>
      <c r="N49" s="61">
        <f t="shared" si="4"/>
        <v>1423.192243</v>
      </c>
      <c r="O49" s="63">
        <f>if(A49,_xlfn.WORKDAY.INTL(A49,O$5,"1000000",Holidays!A:A)+hour(A49)/24+MINUTE(A49)/1440,"")</f>
        <v>44710.64861</v>
      </c>
      <c r="P49" s="64" t="s">
        <v>2718</v>
      </c>
      <c r="Q49" s="56"/>
      <c r="R49" s="66">
        <f t="shared" si="5"/>
        <v>1423.335299</v>
      </c>
      <c r="S49" s="66"/>
      <c r="T49" s="66"/>
      <c r="U49" s="64">
        <f>if(O49,_xlfn.WORKDAY.INTL(O49,U$5,"1000000",Holidays!A:A)+hour(O49)/24+MINUTE(O49)/1440,"")</f>
        <v>44712.64861</v>
      </c>
      <c r="V49" s="64" t="str">
        <f t="shared" si="6"/>
        <v/>
      </c>
      <c r="W49" s="66"/>
      <c r="X49" s="66">
        <f t="shared" si="7"/>
        <v>1421.335299</v>
      </c>
      <c r="Y49" s="66"/>
      <c r="Z49" s="66"/>
      <c r="AA49" s="66"/>
      <c r="AB49" s="63"/>
      <c r="AC49" s="63"/>
      <c r="AD49" s="63"/>
      <c r="AE49" s="63"/>
      <c r="AF49" s="63"/>
      <c r="AG49" s="63"/>
      <c r="AH49" s="63" t="str">
        <f t="shared" si="14"/>
        <v/>
      </c>
      <c r="AI49" s="63" t="str">
        <f>if(AH49,_xlfn.workday.intl(int(AH49),0,"1000000",Holidays!A:A)+18/24,"")</f>
        <v/>
      </c>
      <c r="AJ49" s="64" t="str">
        <f t="shared" si="17"/>
        <v/>
      </c>
      <c r="AK49" s="56"/>
      <c r="AL49" s="66" t="str">
        <f t="shared" si="9"/>
        <v/>
      </c>
      <c r="AM49" s="66"/>
      <c r="AN49" s="63" t="str">
        <f>if(AJ49,if(and(hour(AJ49+AN$5)&gt;11,(hour(AJ49+AN$5)&lt;20)),AJ49+AN$5,_xlfn.workday.intl(int(AJ49),1,"1000000",Holidays!A:A)+hour(AJ49+AN$5-$B$1)/24+minute(AJ49)/1440),"")</f>
        <v/>
      </c>
      <c r="AO49" s="64" t="str">
        <f t="shared" si="15"/>
        <v/>
      </c>
      <c r="AP49" s="56"/>
      <c r="AQ49" s="66" t="str">
        <f t="shared" si="16"/>
        <v/>
      </c>
      <c r="AR49" s="66"/>
      <c r="AS49" s="63" t="str">
        <f>if(AJ49,if(and(hour(AJ49+AS$5)&gt;11,(hour(AJ49+AS$5)&lt;20)),AJ49+AS$5,_xlfn.workday.intl(int(AJ49),1,"1000000",Holidays!A:A)+hour(AJ49+AS$5-$B$1)/24+minute(AJ49)/1440),"")</f>
        <v/>
      </c>
      <c r="AT49" s="64" t="str">
        <f t="shared" si="12"/>
        <v/>
      </c>
      <c r="AU49" s="56"/>
      <c r="AV49" s="66" t="str">
        <f t="shared" si="13"/>
        <v/>
      </c>
      <c r="AW49" s="66"/>
      <c r="AX49" s="65" t="s">
        <v>2713</v>
      </c>
    </row>
    <row r="50">
      <c r="A50" s="55">
        <v>44710.513034895834</v>
      </c>
      <c r="B50" s="56"/>
      <c r="C50" s="57"/>
      <c r="D50" s="57"/>
      <c r="E50" s="57"/>
      <c r="F50" s="57"/>
      <c r="G50" s="58">
        <f>if(A50,_xlfn.workday.intl(int(A50),1,"1000000",Holidays!A:A)+17/24,"")</f>
        <v>44712.70833</v>
      </c>
      <c r="H50" s="59" t="str">
        <f t="shared" si="1"/>
        <v/>
      </c>
      <c r="I50" s="60"/>
      <c r="J50" s="61">
        <f t="shared" si="2"/>
        <v>1421.275577</v>
      </c>
      <c r="K50" s="58">
        <f>if(G50,_xlfn.workday.intl(int(G50),0,"1000000",Holidays!A:A)+19/24,"")</f>
        <v>44712.79167</v>
      </c>
      <c r="L50" s="59" t="str">
        <f t="shared" si="3"/>
        <v/>
      </c>
      <c r="M50" s="60"/>
      <c r="N50" s="61">
        <f t="shared" si="4"/>
        <v>1421.192243</v>
      </c>
      <c r="O50" s="63">
        <f>if(A50,_xlfn.WORKDAY.INTL(A50,O$5,"1000000",Holidays!A:A)+hour(A50)/24+MINUTE(A50)/1440,"")</f>
        <v>44712.5125</v>
      </c>
      <c r="P50" s="64" t="s">
        <v>2718</v>
      </c>
      <c r="Q50" s="56"/>
      <c r="R50" s="66">
        <f t="shared" si="5"/>
        <v>1421.47141</v>
      </c>
      <c r="S50" s="66"/>
      <c r="T50" s="66"/>
      <c r="U50" s="64">
        <f>if(O50,_xlfn.WORKDAY.INTL(O50,U$5,"1000000",Holidays!A:A)+hour(O50)/24+MINUTE(O50)/1440,"")</f>
        <v>44713.5125</v>
      </c>
      <c r="V50" s="64" t="str">
        <f t="shared" si="6"/>
        <v/>
      </c>
      <c r="W50" s="66"/>
      <c r="X50" s="66">
        <f t="shared" si="7"/>
        <v>1420.47141</v>
      </c>
      <c r="Y50" s="66"/>
      <c r="Z50" s="66"/>
      <c r="AA50" s="66"/>
      <c r="AB50" s="67"/>
      <c r="AC50" s="63"/>
      <c r="AD50" s="63"/>
      <c r="AE50" s="63"/>
      <c r="AF50" s="63"/>
      <c r="AG50" s="63"/>
      <c r="AH50" s="63" t="str">
        <f t="shared" si="14"/>
        <v/>
      </c>
      <c r="AI50" s="63" t="str">
        <f>if(AH50,_xlfn.workday.intl(int(AH50),0,"1000000",Holidays!A:A)+18/24,"")</f>
        <v/>
      </c>
      <c r="AJ50" s="64" t="str">
        <f t="shared" si="17"/>
        <v/>
      </c>
      <c r="AK50" s="56"/>
      <c r="AL50" s="66" t="str">
        <f t="shared" si="9"/>
        <v/>
      </c>
      <c r="AM50" s="66"/>
      <c r="AN50" s="63" t="str">
        <f>if(AJ50,if(and(hour(AJ50+AN$5)&gt;11,(hour(AJ50+AN$5)&lt;20)),AJ50+AN$5,_xlfn.workday.intl(int(AJ50),1,"1000000",Holidays!A:A)+hour(AJ50+AN$5-$B$1)/24+minute(AJ50)/1440),"")</f>
        <v/>
      </c>
      <c r="AO50" s="64" t="str">
        <f t="shared" si="15"/>
        <v/>
      </c>
      <c r="AP50" s="56"/>
      <c r="AQ50" s="66" t="str">
        <f t="shared" si="16"/>
        <v/>
      </c>
      <c r="AR50" s="66"/>
      <c r="AS50" s="63" t="str">
        <f>if(AJ50,if(and(hour(AJ50+AS$5)&gt;11,(hour(AJ50+AS$5)&lt;20)),AJ50+AS$5,_xlfn.workday.intl(int(AJ50),1,"1000000",Holidays!A:A)+hour(AJ50+AS$5-$B$1)/24+minute(AJ50)/1440),"")</f>
        <v/>
      </c>
      <c r="AT50" s="64" t="str">
        <f t="shared" si="12"/>
        <v/>
      </c>
      <c r="AU50" s="56"/>
      <c r="AV50" s="66" t="str">
        <f t="shared" si="13"/>
        <v/>
      </c>
      <c r="AW50" s="66"/>
      <c r="AX50" s="65" t="s">
        <v>2722</v>
      </c>
    </row>
    <row r="51">
      <c r="A51" s="55">
        <v>44710.51469099537</v>
      </c>
      <c r="B51" s="56"/>
      <c r="C51" s="57"/>
      <c r="D51" s="57"/>
      <c r="E51" s="57"/>
      <c r="F51" s="57"/>
      <c r="G51" s="58">
        <f>if(A51,_xlfn.workday.intl(int(A51),1,"1000000",Holidays!A:A)+17/24,"")</f>
        <v>44712.70833</v>
      </c>
      <c r="H51" s="59" t="str">
        <f t="shared" si="1"/>
        <v/>
      </c>
      <c r="I51" s="60"/>
      <c r="J51" s="61">
        <f t="shared" si="2"/>
        <v>1421.275577</v>
      </c>
      <c r="K51" s="58">
        <f>if(G51,_xlfn.workday.intl(int(G51),0,"1000000",Holidays!A:A)+19/24,"")</f>
        <v>44712.79167</v>
      </c>
      <c r="L51" s="59" t="str">
        <f t="shared" si="3"/>
        <v/>
      </c>
      <c r="M51" s="60"/>
      <c r="N51" s="61">
        <f t="shared" si="4"/>
        <v>1421.192243</v>
      </c>
      <c r="O51" s="63">
        <f>if(A51,_xlfn.WORKDAY.INTL(A51,O$5,"1000000",Holidays!A:A)+hour(A51)/24+MINUTE(A51)/1440,"")</f>
        <v>44712.51458</v>
      </c>
      <c r="P51" s="64" t="s">
        <v>2718</v>
      </c>
      <c r="Q51" s="56"/>
      <c r="R51" s="66">
        <f t="shared" si="5"/>
        <v>1421.469327</v>
      </c>
      <c r="S51" s="66"/>
      <c r="T51" s="66"/>
      <c r="U51" s="64">
        <f>if(O51,_xlfn.WORKDAY.INTL(O51,U$5,"1000000",Holidays!A:A)+hour(O51)/24+MINUTE(O51)/1440,"")</f>
        <v>44713.51458</v>
      </c>
      <c r="V51" s="64" t="str">
        <f t="shared" si="6"/>
        <v/>
      </c>
      <c r="W51" s="66"/>
      <c r="X51" s="66">
        <f t="shared" si="7"/>
        <v>1420.469327</v>
      </c>
      <c r="Y51" s="66"/>
      <c r="Z51" s="66"/>
      <c r="AA51" s="66"/>
      <c r="AB51" s="63"/>
      <c r="AC51" s="63"/>
      <c r="AD51" s="63"/>
      <c r="AE51" s="63"/>
      <c r="AF51" s="63"/>
      <c r="AG51" s="63"/>
      <c r="AH51" s="63" t="str">
        <f t="shared" si="14"/>
        <v/>
      </c>
      <c r="AI51" s="63" t="str">
        <f>if(AH51,_xlfn.workday.intl(int(AH51),0,"1000000",Holidays!A:A)+18/24,"")</f>
        <v/>
      </c>
      <c r="AJ51" s="64" t="str">
        <f t="shared" si="17"/>
        <v/>
      </c>
      <c r="AK51" s="56"/>
      <c r="AL51" s="66" t="str">
        <f t="shared" si="9"/>
        <v/>
      </c>
      <c r="AM51" s="66"/>
      <c r="AN51" s="63" t="str">
        <f>if(AJ51,if(and(hour(AJ51+AN$5)&gt;11,(hour(AJ51+AN$5)&lt;20)),AJ51+AN$5,_xlfn.workday.intl(int(AJ51),1,"1000000",Holidays!A:A)+hour(AJ51+AN$5-$B$1)/24+minute(AJ51)/1440),"")</f>
        <v/>
      </c>
      <c r="AO51" s="64" t="str">
        <f t="shared" si="15"/>
        <v/>
      </c>
      <c r="AP51" s="56"/>
      <c r="AQ51" s="66" t="str">
        <f t="shared" si="16"/>
        <v/>
      </c>
      <c r="AR51" s="66"/>
      <c r="AS51" s="63" t="str">
        <f>if(AJ51,if(and(hour(AJ51+AS$5)&gt;11,(hour(AJ51+AS$5)&lt;20)),AJ51+AS$5,_xlfn.workday.intl(int(AJ51),1,"1000000",Holidays!A:A)+hour(AJ51+AS$5-$B$1)/24+minute(AJ51)/1440),"")</f>
        <v/>
      </c>
      <c r="AT51" s="64" t="str">
        <f t="shared" si="12"/>
        <v/>
      </c>
      <c r="AU51" s="56"/>
      <c r="AV51" s="66" t="str">
        <f t="shared" si="13"/>
        <v/>
      </c>
      <c r="AW51" s="66"/>
      <c r="AX51" s="65" t="s">
        <v>2722</v>
      </c>
    </row>
    <row r="52">
      <c r="A52" s="55">
        <v>44720.52035638889</v>
      </c>
      <c r="B52" s="56"/>
      <c r="C52" s="57"/>
      <c r="D52" s="57"/>
      <c r="E52" s="57"/>
      <c r="F52" s="57"/>
      <c r="G52" s="58">
        <f>if(A52,_xlfn.workday.intl(int(A52),1,"1000000",Holidays!A:A)+17/24,"")</f>
        <v>44721.70833</v>
      </c>
      <c r="H52" s="59" t="str">
        <f t="shared" si="1"/>
        <v/>
      </c>
      <c r="I52" s="60"/>
      <c r="J52" s="61">
        <f t="shared" si="2"/>
        <v>1412.275577</v>
      </c>
      <c r="K52" s="58">
        <f>if(G52,_xlfn.workday.intl(int(G52),0,"1000000",Holidays!A:A)+19/24,"")</f>
        <v>44721.79167</v>
      </c>
      <c r="L52" s="59" t="str">
        <f t="shared" si="3"/>
        <v/>
      </c>
      <c r="M52" s="60"/>
      <c r="N52" s="61">
        <f t="shared" si="4"/>
        <v>1412.192243</v>
      </c>
      <c r="O52" s="63">
        <f>if(A52,_xlfn.WORKDAY.INTL(A52,O$5,"1000000",Holidays!A:A)+hour(A52)/24+MINUTE(A52)/1440,"")</f>
        <v>44721.52014</v>
      </c>
      <c r="P52" s="64" t="s">
        <v>2718</v>
      </c>
      <c r="Q52" s="56"/>
      <c r="R52" s="66">
        <f t="shared" si="5"/>
        <v>1412.463771</v>
      </c>
      <c r="S52" s="66"/>
      <c r="T52" s="66"/>
      <c r="U52" s="64">
        <f>if(O52,_xlfn.WORKDAY.INTL(O52,U$5,"1000000",Holidays!A:A)+hour(O52)/24+MINUTE(O52)/1440,"")</f>
        <v>44722.52014</v>
      </c>
      <c r="V52" s="64" t="str">
        <f t="shared" si="6"/>
        <v/>
      </c>
      <c r="W52" s="66"/>
      <c r="X52" s="66">
        <f t="shared" si="7"/>
        <v>1411.463771</v>
      </c>
      <c r="Y52" s="66"/>
      <c r="Z52" s="66"/>
      <c r="AA52" s="66"/>
      <c r="AB52" s="67"/>
      <c r="AC52" s="63"/>
      <c r="AD52" s="67"/>
      <c r="AE52" s="67"/>
      <c r="AF52" s="63"/>
      <c r="AG52" s="63"/>
      <c r="AH52" s="63" t="str">
        <f t="shared" si="14"/>
        <v/>
      </c>
      <c r="AI52" s="63" t="str">
        <f>if(AH52,_xlfn.workday.intl(int(AH52),0,"1000000",Holidays!A:A)+18/24,"")</f>
        <v/>
      </c>
      <c r="AJ52" s="64" t="str">
        <f t="shared" si="17"/>
        <v/>
      </c>
      <c r="AK52" s="56"/>
      <c r="AL52" s="66" t="str">
        <f t="shared" si="9"/>
        <v/>
      </c>
      <c r="AM52" s="66"/>
      <c r="AN52" s="63" t="str">
        <f>if(AJ52,if(and(hour(AJ52+AN$5)&gt;11,(hour(AJ52+AN$5)&lt;20)),AJ52+AN$5,_xlfn.workday.intl(int(AJ52),1,"1000000",Holidays!A:A)+hour(AJ52+AN$5-$B$1)/24+minute(AJ52)/1440),"")</f>
        <v/>
      </c>
      <c r="AO52" s="64" t="str">
        <f t="shared" si="15"/>
        <v/>
      </c>
      <c r="AP52" s="56"/>
      <c r="AQ52" s="66" t="str">
        <f t="shared" si="16"/>
        <v/>
      </c>
      <c r="AR52" s="66"/>
      <c r="AS52" s="63" t="str">
        <f>if(AJ52,if(and(hour(AJ52+AS$5)&gt;11,(hour(AJ52+AS$5)&lt;20)),AJ52+AS$5,_xlfn.workday.intl(int(AJ52),1,"1000000",Holidays!A:A)+hour(AJ52+AS$5-$B$1)/24+minute(AJ52)/1440),"")</f>
        <v/>
      </c>
      <c r="AT52" s="64" t="str">
        <f t="shared" si="12"/>
        <v/>
      </c>
      <c r="AU52" s="56"/>
      <c r="AV52" s="66" t="str">
        <f t="shared" si="13"/>
        <v/>
      </c>
      <c r="AW52" s="66"/>
      <c r="AX52" s="65" t="s">
        <v>2720</v>
      </c>
    </row>
    <row r="53">
      <c r="A53" s="55">
        <v>44720.52380028935</v>
      </c>
      <c r="B53" s="56"/>
      <c r="C53" s="57"/>
      <c r="D53" s="57"/>
      <c r="E53" s="57"/>
      <c r="F53" s="57"/>
      <c r="G53" s="58">
        <f>if(A53,_xlfn.workday.intl(int(A53),1,"1000000",Holidays!A:A)+17/24,"")</f>
        <v>44721.70833</v>
      </c>
      <c r="H53" s="59">
        <f t="shared" si="1"/>
        <v>44744.44389</v>
      </c>
      <c r="I53" s="62" t="s">
        <v>2713</v>
      </c>
      <c r="J53" s="61">
        <f t="shared" si="2"/>
        <v>22.7355541</v>
      </c>
      <c r="K53" s="58">
        <f>if(G53,_xlfn.workday.intl(int(G53),0,"1000000",Holidays!A:A)+19/24,"")</f>
        <v>44721.79167</v>
      </c>
      <c r="L53" s="59">
        <f t="shared" si="3"/>
        <v>44744.44393</v>
      </c>
      <c r="M53" s="62" t="s">
        <v>2713</v>
      </c>
      <c r="N53" s="61">
        <f t="shared" si="4"/>
        <v>22.65226191</v>
      </c>
      <c r="O53" s="63">
        <f>if(A53,_xlfn.WORKDAY.INTL(A53,O$5,"1000000",Holidays!A:A)+hour(A53)/24+MINUTE(A53)/1440,"")</f>
        <v>44721.52361</v>
      </c>
      <c r="P53" s="64">
        <v>44744.443965983795</v>
      </c>
      <c r="Q53" s="65" t="s">
        <v>2713</v>
      </c>
      <c r="R53" s="66">
        <f t="shared" si="5"/>
        <v>22.92035487</v>
      </c>
      <c r="S53" s="66"/>
      <c r="T53" s="66"/>
      <c r="U53" s="64">
        <f>if(O53,_xlfn.WORKDAY.INTL(O53,U$5,"1000000",Holidays!A:A)+hour(O53)/24+MINUTE(O53)/1440,"")</f>
        <v>44722.52361</v>
      </c>
      <c r="V53" s="64" t="str">
        <f t="shared" si="6"/>
        <v/>
      </c>
      <c r="W53" s="66"/>
      <c r="X53" s="66">
        <f t="shared" si="7"/>
        <v>1411.460299</v>
      </c>
      <c r="Y53" s="66"/>
      <c r="Z53" s="66"/>
      <c r="AA53" s="66"/>
      <c r="AB53" s="63"/>
      <c r="AC53" s="63"/>
      <c r="AD53" s="63"/>
      <c r="AE53" s="63"/>
      <c r="AF53" s="63"/>
      <c r="AG53" s="63"/>
      <c r="AH53" s="63">
        <f t="shared" si="14"/>
        <v>44744.44397</v>
      </c>
      <c r="AI53" s="63">
        <f>if(AH53,_xlfn.workday.intl(int(AH53),0,"1000000",Holidays!A:A)+18/24,"")</f>
        <v>44744.75</v>
      </c>
      <c r="AJ53" s="64">
        <f t="shared" si="17"/>
        <v>44733.66647</v>
      </c>
      <c r="AK53" s="65" t="s">
        <v>2713</v>
      </c>
      <c r="AL53" s="66" t="str">
        <f t="shared" si="9"/>
        <v/>
      </c>
      <c r="AM53" s="66"/>
      <c r="AN53" s="63">
        <f>if(AJ53,if(and(hour(AJ53+AN$5)&gt;11,(hour(AJ53+AN$5)&lt;20)),AJ53+AN$5,_xlfn.workday.intl(int(AJ53),1,"1000000",Holidays!A:A)+hour(AJ53+AN$5-$B$1)/24+minute(AJ53)/1440),"")</f>
        <v>44734.66647</v>
      </c>
      <c r="AO53" s="64">
        <f t="shared" si="15"/>
        <v>44744.44406</v>
      </c>
      <c r="AP53" s="65" t="s">
        <v>2713</v>
      </c>
      <c r="AQ53" s="66">
        <f t="shared" si="16"/>
        <v>9.777598819</v>
      </c>
      <c r="AR53" s="66"/>
      <c r="AS53" s="63">
        <f>if(AJ53,if(and(hour(AJ53+AS$5)&gt;11,(hour(AJ53+AS$5)&lt;20)),AJ53+AS$5,_xlfn.workday.intl(int(AJ53),1,"1000000",Holidays!A:A)+hour(AJ53+AS$5-$B$1)/24+minute(AJ53)/1440),"")</f>
        <v>44735.66647</v>
      </c>
      <c r="AT53" s="64">
        <f t="shared" si="12"/>
        <v>44744.44426</v>
      </c>
      <c r="AU53" s="65" t="s">
        <v>2715</v>
      </c>
      <c r="AV53" s="66">
        <f t="shared" si="13"/>
        <v>8.777793704</v>
      </c>
      <c r="AW53" s="66"/>
      <c r="AX53" s="65" t="s">
        <v>2713</v>
      </c>
    </row>
    <row r="54">
      <c r="A54" s="55">
        <v>44720.52517504629</v>
      </c>
      <c r="B54" s="56"/>
      <c r="C54" s="57"/>
      <c r="D54" s="57"/>
      <c r="E54" s="57"/>
      <c r="F54" s="57"/>
      <c r="G54" s="58">
        <f>if(A54,_xlfn.workday.intl(int(A54),1,"1000000",Holidays!A:A)+17/24,"")</f>
        <v>44721.70833</v>
      </c>
      <c r="H54" s="59">
        <f t="shared" si="1"/>
        <v>44750.72778</v>
      </c>
      <c r="I54" s="62" t="s">
        <v>2713</v>
      </c>
      <c r="J54" s="61">
        <f t="shared" si="2"/>
        <v>29.01945094</v>
      </c>
      <c r="K54" s="58">
        <f>if(G54,_xlfn.workday.intl(int(G54),0,"1000000",Holidays!A:A)+19/24,"")</f>
        <v>44721.79167</v>
      </c>
      <c r="L54" s="59">
        <f t="shared" si="3"/>
        <v>44750.72782</v>
      </c>
      <c r="M54" s="62" t="s">
        <v>2713</v>
      </c>
      <c r="N54" s="61">
        <f t="shared" si="4"/>
        <v>28.93615273</v>
      </c>
      <c r="O54" s="63">
        <f>if(A54,_xlfn.WORKDAY.INTL(A54,O$5,"1000000",Holidays!A:A)+hour(A54)/24+MINUTE(A54)/1440,"")</f>
        <v>44721.525</v>
      </c>
      <c r="P54" s="64">
        <v>44750.72070171296</v>
      </c>
      <c r="Q54" s="65" t="s">
        <v>2713</v>
      </c>
      <c r="R54" s="66">
        <f t="shared" si="5"/>
        <v>29.19570171</v>
      </c>
      <c r="S54" s="66"/>
      <c r="T54" s="66"/>
      <c r="U54" s="64">
        <f>if(O54,_xlfn.WORKDAY.INTL(O54,U$5,"1000000",Holidays!A:A)+hour(O54)/24+MINUTE(O54)/1440,"")</f>
        <v>44722.525</v>
      </c>
      <c r="V54" s="64" t="str">
        <f t="shared" si="6"/>
        <v/>
      </c>
      <c r="W54" s="66"/>
      <c r="X54" s="66">
        <f t="shared" si="7"/>
        <v>1411.45891</v>
      </c>
      <c r="Y54" s="66"/>
      <c r="Z54" s="66"/>
      <c r="AA54" s="66"/>
      <c r="AB54" s="63"/>
      <c r="AC54" s="63"/>
      <c r="AD54" s="63"/>
      <c r="AE54" s="63"/>
      <c r="AF54" s="63"/>
      <c r="AG54" s="63"/>
      <c r="AH54" s="63">
        <f t="shared" si="14"/>
        <v>44750.7207</v>
      </c>
      <c r="AI54" s="63">
        <f>if(AH54,_xlfn.workday.intl(int(AH54),0,"1000000",Holidays!A:A)+18/24,"")</f>
        <v>44750.75</v>
      </c>
      <c r="AJ54" s="64">
        <f t="shared" si="17"/>
        <v>44750.72789</v>
      </c>
      <c r="AK54" s="65" t="s">
        <v>2713</v>
      </c>
      <c r="AL54" s="66" t="str">
        <f t="shared" si="9"/>
        <v/>
      </c>
      <c r="AM54" s="66"/>
      <c r="AN54" s="63">
        <f>if(AJ54,if(and(hour(AJ54+AN$5)&gt;11,(hour(AJ54+AN$5)&lt;20)),AJ54+AN$5,_xlfn.workday.intl(int(AJ54),1,"1000000",Holidays!A:A)+hour(AJ54+AN$5-$B$1)/24+minute(AJ54)/1440),"")</f>
        <v>44751.72789</v>
      </c>
      <c r="AO54" s="64">
        <f t="shared" si="15"/>
        <v>44750.72793</v>
      </c>
      <c r="AP54" s="65" t="s">
        <v>2713</v>
      </c>
      <c r="AQ54" s="66" t="str">
        <f t="shared" si="16"/>
        <v/>
      </c>
      <c r="AR54" s="66"/>
      <c r="AS54" s="63">
        <f>if(AJ54,if(and(hour(AJ54+AS$5)&gt;11,(hour(AJ54+AS$5)&lt;20)),AJ54+AS$5,_xlfn.workday.intl(int(AJ54),1,"1000000",Holidays!A:A)+hour(AJ54+AS$5-$B$1)/24+minute(AJ54)/1440),"")</f>
        <v>44752.72789</v>
      </c>
      <c r="AT54" s="64">
        <f t="shared" si="12"/>
        <v>44750.72812</v>
      </c>
      <c r="AU54" s="65" t="s">
        <v>2715</v>
      </c>
      <c r="AV54" s="66" t="str">
        <f t="shared" si="13"/>
        <v/>
      </c>
      <c r="AW54" s="66"/>
      <c r="AX54" s="65" t="s">
        <v>2713</v>
      </c>
    </row>
    <row r="55">
      <c r="A55" s="55">
        <v>44720.52640135417</v>
      </c>
      <c r="B55" s="56"/>
      <c r="C55" s="57"/>
      <c r="D55" s="57"/>
      <c r="E55" s="57"/>
      <c r="F55" s="57"/>
      <c r="G55" s="58">
        <f>if(A55,_xlfn.workday.intl(int(A55),1,"1000000",Holidays!A:A)+17/24,"")</f>
        <v>44721.70833</v>
      </c>
      <c r="H55" s="59">
        <f t="shared" si="1"/>
        <v>44744.44492</v>
      </c>
      <c r="I55" s="62" t="s">
        <v>2713</v>
      </c>
      <c r="J55" s="61">
        <f t="shared" si="2"/>
        <v>22.73658985</v>
      </c>
      <c r="K55" s="58">
        <f>if(G55,_xlfn.workday.intl(int(G55),0,"1000000",Holidays!A:A)+19/24,"")</f>
        <v>44721.79167</v>
      </c>
      <c r="L55" s="59">
        <f t="shared" si="3"/>
        <v>44744.44495</v>
      </c>
      <c r="M55" s="62" t="s">
        <v>2713</v>
      </c>
      <c r="N55" s="61">
        <f t="shared" si="4"/>
        <v>22.65328769</v>
      </c>
      <c r="O55" s="63">
        <f>if(A55,_xlfn.WORKDAY.INTL(A55,O$5,"1000000",Holidays!A:A)+hour(A55)/24+MINUTE(A55)/1440,"")</f>
        <v>44721.52639</v>
      </c>
      <c r="P55" s="64">
        <v>44744.444994317135</v>
      </c>
      <c r="Q55" s="65" t="s">
        <v>2713</v>
      </c>
      <c r="R55" s="66">
        <f t="shared" si="5"/>
        <v>22.91860543</v>
      </c>
      <c r="S55" s="66"/>
      <c r="T55" s="66"/>
      <c r="U55" s="64">
        <f>if(O55,_xlfn.WORKDAY.INTL(O55,U$5,"1000000",Holidays!A:A)+hour(O55)/24+MINUTE(O55)/1440,"")</f>
        <v>44722.52639</v>
      </c>
      <c r="V55" s="64" t="str">
        <f t="shared" si="6"/>
        <v/>
      </c>
      <c r="W55" s="66"/>
      <c r="X55" s="66">
        <f t="shared" si="7"/>
        <v>1411.457521</v>
      </c>
      <c r="Y55" s="66"/>
      <c r="Z55" s="66"/>
      <c r="AA55" s="66"/>
      <c r="AB55" s="63"/>
      <c r="AC55" s="63"/>
      <c r="AD55" s="63"/>
      <c r="AE55" s="63"/>
      <c r="AF55" s="63"/>
      <c r="AG55" s="63"/>
      <c r="AH55" s="63">
        <f t="shared" si="14"/>
        <v>44744.44499</v>
      </c>
      <c r="AI55" s="63">
        <f>if(AH55,_xlfn.workday.intl(int(AH55),0,"1000000",Holidays!A:A)+18/24,"")</f>
        <v>44744.75</v>
      </c>
      <c r="AJ55" s="64">
        <f t="shared" si="17"/>
        <v>44744.44508</v>
      </c>
      <c r="AK55" s="65" t="s">
        <v>2713</v>
      </c>
      <c r="AL55" s="66" t="str">
        <f t="shared" si="9"/>
        <v/>
      </c>
      <c r="AM55" s="66"/>
      <c r="AN55" s="63">
        <f>if(AJ55,if(and(hour(AJ55+AN$5)&gt;11,(hour(AJ55+AN$5)&lt;20)),AJ55+AN$5,_xlfn.workday.intl(int(AJ55),1,"1000000",Holidays!A:A)+hour(AJ55+AN$5-$B$1)/24+minute(AJ55)/1440),"")</f>
        <v>44745.44444</v>
      </c>
      <c r="AO55" s="64">
        <f t="shared" si="15"/>
        <v>44744.44512</v>
      </c>
      <c r="AP55" s="65" t="s">
        <v>2713</v>
      </c>
      <c r="AQ55" s="66" t="str">
        <f t="shared" si="16"/>
        <v/>
      </c>
      <c r="AR55" s="66"/>
      <c r="AS55" s="63">
        <f>if(AJ55,if(and(hour(AJ55+AS$5)&gt;11,(hour(AJ55+AS$5)&lt;20)),AJ55+AS$5,_xlfn.workday.intl(int(AJ55),1,"1000000",Holidays!A:A)+hour(AJ55+AS$5-$B$1)/24+minute(AJ55)/1440),"")</f>
        <v>44745.44444</v>
      </c>
      <c r="AT55" s="64">
        <f t="shared" si="12"/>
        <v>44744.44515</v>
      </c>
      <c r="AU55" s="65" t="s">
        <v>2715</v>
      </c>
      <c r="AV55" s="66" t="str">
        <f t="shared" si="13"/>
        <v/>
      </c>
      <c r="AW55" s="66"/>
      <c r="AX55" s="65" t="s">
        <v>2713</v>
      </c>
    </row>
    <row r="56">
      <c r="A56" s="78">
        <v>44722.53628998843</v>
      </c>
      <c r="B56" s="79"/>
      <c r="C56" s="80"/>
      <c r="D56" s="80"/>
      <c r="E56" s="80"/>
      <c r="F56" s="80"/>
      <c r="G56" s="58">
        <f>if(A56,_xlfn.workday.intl(int(A56),1,"1000000",Holidays!A:A)+17/24,"")</f>
        <v>44723.70833</v>
      </c>
      <c r="H56" s="59">
        <f t="shared" si="1"/>
        <v>44744.44531</v>
      </c>
      <c r="I56" s="62" t="s">
        <v>2713</v>
      </c>
      <c r="J56" s="61">
        <f t="shared" si="2"/>
        <v>20.73697962</v>
      </c>
      <c r="K56" s="58">
        <f>if(G56,_xlfn.workday.intl(int(G56),0,"1000000",Holidays!A:A)+19/24,"")</f>
        <v>44723.79167</v>
      </c>
      <c r="L56" s="59">
        <f t="shared" si="3"/>
        <v>44744.44534</v>
      </c>
      <c r="M56" s="62" t="s">
        <v>2713</v>
      </c>
      <c r="N56" s="61">
        <f t="shared" si="4"/>
        <v>20.65367125</v>
      </c>
      <c r="O56" s="63">
        <f>if(A56,_xlfn.WORKDAY.INTL(A56,O$5,"1000000",Holidays!A:A)+hour(A56)/24+MINUTE(A56)/1440,"")</f>
        <v>44723.53611</v>
      </c>
      <c r="P56" s="64">
        <v>44744.445363032406</v>
      </c>
      <c r="Q56" s="65" t="s">
        <v>2713</v>
      </c>
      <c r="R56" s="66">
        <f t="shared" si="5"/>
        <v>20.90925192</v>
      </c>
      <c r="S56" s="66"/>
      <c r="T56" s="66"/>
      <c r="U56" s="64">
        <f>if(O56,_xlfn.WORKDAY.INTL(O56,U$5,"1000000",Holidays!A:A)+hour(O56)/24+MINUTE(O56)/1440,"")</f>
        <v>44724.53611</v>
      </c>
      <c r="V56" s="64" t="str">
        <f t="shared" si="6"/>
        <v/>
      </c>
      <c r="W56" s="66"/>
      <c r="X56" s="66">
        <f t="shared" si="7"/>
        <v>1409.447799</v>
      </c>
      <c r="Y56" s="66"/>
      <c r="Z56" s="66"/>
      <c r="AA56" s="66"/>
      <c r="AB56" s="63"/>
      <c r="AC56" s="63"/>
      <c r="AD56" s="63"/>
      <c r="AE56" s="63"/>
      <c r="AF56" s="63"/>
      <c r="AG56" s="63"/>
      <c r="AH56" s="63">
        <f t="shared" si="14"/>
        <v>44744.44536</v>
      </c>
      <c r="AI56" s="63">
        <f>if(AH56,_xlfn.workday.intl(int(AH56),0,"1000000",Holidays!A:A)+18/24,"")</f>
        <v>44744.75</v>
      </c>
      <c r="AJ56" s="64">
        <f t="shared" si="17"/>
        <v>44744.4454</v>
      </c>
      <c r="AK56" s="65" t="s">
        <v>2713</v>
      </c>
      <c r="AL56" s="66" t="str">
        <f t="shared" si="9"/>
        <v/>
      </c>
      <c r="AM56" s="66"/>
      <c r="AN56" s="63">
        <f>if(AJ56,if(and(hour(AJ56+AN$5)&gt;11,(hour(AJ56+AN$5)&lt;20)),AJ56+AN$5,_xlfn.workday.intl(int(AJ56),1,"1000000",Holidays!A:A)+hour(AJ56+AN$5-$B$1)/24+minute(AJ56)/1440),"")</f>
        <v>44745.44514</v>
      </c>
      <c r="AO56" s="64">
        <f t="shared" si="15"/>
        <v>44744.44541</v>
      </c>
      <c r="AP56" s="65" t="s">
        <v>2713</v>
      </c>
      <c r="AQ56" s="66" t="str">
        <f t="shared" si="16"/>
        <v/>
      </c>
      <c r="AR56" s="66"/>
      <c r="AS56" s="63">
        <f>if(AJ56,if(and(hour(AJ56+AS$5)&gt;11,(hour(AJ56+AS$5)&lt;20)),AJ56+AS$5,_xlfn.workday.intl(int(AJ56),1,"1000000",Holidays!A:A)+hour(AJ56+AS$5-$B$1)/24+minute(AJ56)/1440),"")</f>
        <v>44745.44514</v>
      </c>
      <c r="AT56" s="64">
        <f t="shared" si="12"/>
        <v>44744.44544</v>
      </c>
      <c r="AU56" s="65" t="s">
        <v>2715</v>
      </c>
      <c r="AV56" s="66" t="str">
        <f t="shared" si="13"/>
        <v/>
      </c>
      <c r="AW56" s="66"/>
      <c r="AX56" s="65" t="s">
        <v>2713</v>
      </c>
    </row>
    <row r="57">
      <c r="A57" s="55">
        <v>44726.54175554398</v>
      </c>
      <c r="B57" s="56"/>
      <c r="C57" s="57"/>
      <c r="D57" s="57"/>
      <c r="E57" s="57"/>
      <c r="F57" s="57"/>
      <c r="G57" s="58">
        <f>if(A57,_xlfn.workday.intl(int(A57),1,"1000000",Holidays!A:A)+17/24,"")</f>
        <v>44727.70833</v>
      </c>
      <c r="H57" s="59" t="str">
        <f t="shared" si="1"/>
        <v/>
      </c>
      <c r="I57" s="60"/>
      <c r="J57" s="61">
        <f t="shared" si="2"/>
        <v>1406.275577</v>
      </c>
      <c r="K57" s="58">
        <f>if(G57,_xlfn.workday.intl(int(G57),0,"1000000",Holidays!A:A)+19/24,"")</f>
        <v>44727.79167</v>
      </c>
      <c r="L57" s="59" t="str">
        <f t="shared" si="3"/>
        <v/>
      </c>
      <c r="M57" s="60"/>
      <c r="N57" s="61">
        <f t="shared" si="4"/>
        <v>1406.192243</v>
      </c>
      <c r="O57" s="63">
        <f>if(A57,_xlfn.WORKDAY.INTL(A57,O$5,"1000000",Holidays!A:A)+hour(A57)/24+MINUTE(A57)/1440,"")</f>
        <v>44727.54167</v>
      </c>
      <c r="P57" s="64" t="s">
        <v>2718</v>
      </c>
      <c r="Q57" s="56"/>
      <c r="R57" s="66">
        <f t="shared" si="5"/>
        <v>1406.442243</v>
      </c>
      <c r="S57" s="66"/>
      <c r="T57" s="66"/>
      <c r="U57" s="64">
        <f>if(O57,_xlfn.WORKDAY.INTL(O57,U$5,"1000000",Holidays!A:A)+hour(O57)/24+MINUTE(O57)/1440,"")</f>
        <v>44728.54167</v>
      </c>
      <c r="V57" s="64" t="str">
        <f t="shared" si="6"/>
        <v/>
      </c>
      <c r="W57" s="66"/>
      <c r="X57" s="66">
        <f t="shared" si="7"/>
        <v>1405.442243</v>
      </c>
      <c r="Y57" s="66"/>
      <c r="Z57" s="66"/>
      <c r="AA57" s="66"/>
      <c r="AB57" s="63"/>
      <c r="AC57" s="63"/>
      <c r="AD57" s="63"/>
      <c r="AE57" s="63"/>
      <c r="AF57" s="63"/>
      <c r="AG57" s="63"/>
      <c r="AH57" s="63" t="str">
        <f t="shared" si="14"/>
        <v/>
      </c>
      <c r="AI57" s="63" t="str">
        <f>if(AH57,_xlfn.workday.intl(int(AH57),0,"1000000",Holidays!A:A)+18/24,"")</f>
        <v/>
      </c>
      <c r="AJ57" s="64" t="str">
        <f t="shared" si="17"/>
        <v/>
      </c>
      <c r="AK57" s="56"/>
      <c r="AL57" s="66" t="str">
        <f t="shared" si="9"/>
        <v/>
      </c>
      <c r="AM57" s="66"/>
      <c r="AN57" s="63" t="str">
        <f>if(AJ57,if(and(hour(AJ57+AN$5)&gt;11,(hour(AJ57+AN$5)&lt;20)),AJ57+AN$5,_xlfn.workday.intl(int(AJ57),1,"1000000",Holidays!A:A)+hour(AJ57+AN$5-$B$1)/24+minute(AJ57)/1440),"")</f>
        <v/>
      </c>
      <c r="AO57" s="64" t="str">
        <f t="shared" si="15"/>
        <v/>
      </c>
      <c r="AP57" s="56"/>
      <c r="AQ57" s="66" t="str">
        <f t="shared" si="16"/>
        <v/>
      </c>
      <c r="AR57" s="66"/>
      <c r="AS57" s="63" t="str">
        <f>if(AJ57,if(and(hour(AJ57+AS$5)&gt;11,(hour(AJ57+AS$5)&lt;20)),AJ57+AS$5,_xlfn.workday.intl(int(AJ57),1,"1000000",Holidays!A:A)+hour(AJ57+AS$5-$B$1)/24+minute(AJ57)/1440),"")</f>
        <v/>
      </c>
      <c r="AT57" s="64" t="str">
        <f t="shared" si="12"/>
        <v/>
      </c>
      <c r="AU57" s="56"/>
      <c r="AV57" s="66" t="str">
        <f t="shared" si="13"/>
        <v/>
      </c>
      <c r="AW57" s="66"/>
      <c r="AX57" s="65" t="s">
        <v>2719</v>
      </c>
    </row>
    <row r="58">
      <c r="A58" s="55">
        <v>44727.52788971065</v>
      </c>
      <c r="B58" s="56"/>
      <c r="C58" s="57"/>
      <c r="D58" s="57"/>
      <c r="E58" s="57"/>
      <c r="F58" s="57"/>
      <c r="G58" s="58">
        <f>if(A58,_xlfn.workday.intl(int(A58),1,"1000000",Holidays!A:A)+17/24,"")</f>
        <v>44728.70833</v>
      </c>
      <c r="H58" s="59">
        <f t="shared" si="1"/>
        <v>44744.44596</v>
      </c>
      <c r="I58" s="62" t="s">
        <v>2713</v>
      </c>
      <c r="J58" s="61">
        <f t="shared" si="2"/>
        <v>15.73762463</v>
      </c>
      <c r="K58" s="58">
        <f>if(G58,_xlfn.workday.intl(int(G58),0,"1000000",Holidays!A:A)+19/24,"")</f>
        <v>44728.79167</v>
      </c>
      <c r="L58" s="59">
        <f t="shared" si="3"/>
        <v>44744.44599</v>
      </c>
      <c r="M58" s="62" t="s">
        <v>2713</v>
      </c>
      <c r="N58" s="61">
        <f t="shared" si="4"/>
        <v>15.65432125</v>
      </c>
      <c r="O58" s="63">
        <f>if(A58,_xlfn.WORKDAY.INTL(A58,O$5,"1000000",Holidays!A:A)+hour(A58)/24+MINUTE(A58)/1440,"")</f>
        <v>44728.52778</v>
      </c>
      <c r="P58" s="64">
        <v>44744.44601726852</v>
      </c>
      <c r="Q58" s="65" t="s">
        <v>2713</v>
      </c>
      <c r="R58" s="66">
        <f t="shared" si="5"/>
        <v>15.91823949</v>
      </c>
      <c r="S58" s="66"/>
      <c r="T58" s="66"/>
      <c r="U58" s="64">
        <f>if(O58,_xlfn.WORKDAY.INTL(O58,U$5,"1000000",Holidays!A:A)+hour(O58)/24+MINUTE(O58)/1440,"")</f>
        <v>44729.52778</v>
      </c>
      <c r="V58" s="64" t="str">
        <f t="shared" si="6"/>
        <v/>
      </c>
      <c r="W58" s="66"/>
      <c r="X58" s="66">
        <f t="shared" si="7"/>
        <v>1404.456132</v>
      </c>
      <c r="Y58" s="66"/>
      <c r="Z58" s="66"/>
      <c r="AA58" s="66"/>
      <c r="AB58" s="63"/>
      <c r="AC58" s="63"/>
      <c r="AD58" s="63"/>
      <c r="AE58" s="63"/>
      <c r="AF58" s="63"/>
      <c r="AG58" s="63"/>
      <c r="AH58" s="63">
        <f t="shared" si="14"/>
        <v>44744.44602</v>
      </c>
      <c r="AI58" s="63">
        <f>if(AH58,_xlfn.workday.intl(int(AH58),0,"1000000",Holidays!A:A)+18/24,"")</f>
        <v>44744.75</v>
      </c>
      <c r="AJ58" s="64">
        <f t="shared" si="17"/>
        <v>44744.44607</v>
      </c>
      <c r="AK58" s="65" t="s">
        <v>2713</v>
      </c>
      <c r="AL58" s="66" t="str">
        <f t="shared" si="9"/>
        <v/>
      </c>
      <c r="AM58" s="66"/>
      <c r="AN58" s="63">
        <f>if(AJ58,if(and(hour(AJ58+AN$5)&gt;11,(hour(AJ58+AN$5)&lt;20)),AJ58+AN$5,_xlfn.workday.intl(int(AJ58),1,"1000000",Holidays!A:A)+hour(AJ58+AN$5-$B$1)/24+minute(AJ58)/1440),"")</f>
        <v>44745.44583</v>
      </c>
      <c r="AO58" s="64">
        <f t="shared" si="15"/>
        <v>44744.4461</v>
      </c>
      <c r="AP58" s="65" t="s">
        <v>2713</v>
      </c>
      <c r="AQ58" s="66" t="str">
        <f t="shared" si="16"/>
        <v/>
      </c>
      <c r="AR58" s="66"/>
      <c r="AS58" s="63">
        <f>if(AJ58,if(and(hour(AJ58+AS$5)&gt;11,(hour(AJ58+AS$5)&lt;20)),AJ58+AS$5,_xlfn.workday.intl(int(AJ58),1,"1000000",Holidays!A:A)+hour(AJ58+AS$5-$B$1)/24+minute(AJ58)/1440),"")</f>
        <v>44745.44583</v>
      </c>
      <c r="AT58" s="64">
        <f t="shared" si="12"/>
        <v>44744.44613</v>
      </c>
      <c r="AU58" s="65" t="s">
        <v>2715</v>
      </c>
      <c r="AV58" s="66" t="str">
        <f t="shared" si="13"/>
        <v/>
      </c>
      <c r="AW58" s="66"/>
      <c r="AX58" s="65" t="s">
        <v>2713</v>
      </c>
    </row>
    <row r="59">
      <c r="A59" s="55">
        <v>44727.567520219905</v>
      </c>
      <c r="B59" s="56"/>
      <c r="C59" s="57"/>
      <c r="D59" s="57"/>
      <c r="E59" s="57"/>
      <c r="F59" s="57"/>
      <c r="G59" s="58">
        <f>if(A59,_xlfn.workday.intl(int(A59),1,"1000000",Holidays!A:A)+17/24,"")</f>
        <v>44728.70833</v>
      </c>
      <c r="H59" s="59" t="str">
        <f t="shared" si="1"/>
        <v/>
      </c>
      <c r="I59" s="60"/>
      <c r="J59" s="61">
        <f t="shared" si="2"/>
        <v>1405.275577</v>
      </c>
      <c r="K59" s="58">
        <f>if(G59,_xlfn.workday.intl(int(G59),0,"1000000",Holidays!A:A)+19/24,"")</f>
        <v>44728.79167</v>
      </c>
      <c r="L59" s="59" t="str">
        <f t="shared" si="3"/>
        <v/>
      </c>
      <c r="M59" s="60"/>
      <c r="N59" s="61">
        <f t="shared" si="4"/>
        <v>1405.192243</v>
      </c>
      <c r="O59" s="63">
        <f>if(A59,_xlfn.WORKDAY.INTL(A59,O$5,"1000000",Holidays!A:A)+hour(A59)/24+MINUTE(A59)/1440,"")</f>
        <v>44728.56736</v>
      </c>
      <c r="P59" s="64" t="s">
        <v>2718</v>
      </c>
      <c r="Q59" s="56"/>
      <c r="R59" s="66">
        <f t="shared" si="5"/>
        <v>1405.416549</v>
      </c>
      <c r="S59" s="66"/>
      <c r="T59" s="66"/>
      <c r="U59" s="64">
        <f>if(O59,_xlfn.WORKDAY.INTL(O59,U$5,"1000000",Holidays!A:A)+hour(O59)/24+MINUTE(O59)/1440,"")</f>
        <v>44729.56736</v>
      </c>
      <c r="V59" s="64" t="str">
        <f t="shared" si="6"/>
        <v/>
      </c>
      <c r="W59" s="66"/>
      <c r="X59" s="66">
        <f t="shared" si="7"/>
        <v>1404.416549</v>
      </c>
      <c r="Y59" s="66"/>
      <c r="Z59" s="66"/>
      <c r="AA59" s="66"/>
      <c r="AB59" s="63"/>
      <c r="AC59" s="63"/>
      <c r="AD59" s="63"/>
      <c r="AE59" s="63"/>
      <c r="AF59" s="63"/>
      <c r="AG59" s="63"/>
      <c r="AH59" s="63" t="str">
        <f t="shared" si="14"/>
        <v/>
      </c>
      <c r="AI59" s="63" t="str">
        <f>if(AH59,_xlfn.workday.intl(int(AH59),0,"1000000",Holidays!A:A)+18/24,"")</f>
        <v/>
      </c>
      <c r="AJ59" s="64" t="str">
        <f t="shared" si="17"/>
        <v/>
      </c>
      <c r="AK59" s="56"/>
      <c r="AL59" s="66" t="str">
        <f t="shared" si="9"/>
        <v/>
      </c>
      <c r="AM59" s="66"/>
      <c r="AN59" s="63" t="str">
        <f>if(AJ59,if(and(hour(AJ59+AN$5)&gt;11,(hour(AJ59+AN$5)&lt;20)),AJ59+AN$5,_xlfn.workday.intl(int(AJ59),1,"1000000",Holidays!A:A)+hour(AJ59+AN$5-$B$1)/24+minute(AJ59)/1440),"")</f>
        <v/>
      </c>
      <c r="AO59" s="64" t="str">
        <f t="shared" si="15"/>
        <v/>
      </c>
      <c r="AP59" s="56"/>
      <c r="AQ59" s="66" t="str">
        <f t="shared" si="16"/>
        <v/>
      </c>
      <c r="AR59" s="66"/>
      <c r="AS59" s="63" t="str">
        <f>if(AJ59,if(and(hour(AJ59+AS$5)&gt;11,(hour(AJ59+AS$5)&lt;20)),AJ59+AS$5,_xlfn.workday.intl(int(AJ59),1,"1000000",Holidays!A:A)+hour(AJ59+AS$5-$B$1)/24+minute(AJ59)/1440),"")</f>
        <v/>
      </c>
      <c r="AT59" s="64" t="str">
        <f t="shared" si="12"/>
        <v/>
      </c>
      <c r="AU59" s="65"/>
      <c r="AV59" s="66" t="str">
        <f t="shared" si="13"/>
        <v/>
      </c>
      <c r="AW59" s="66"/>
      <c r="AX59" s="65" t="s">
        <v>2719</v>
      </c>
    </row>
    <row r="60">
      <c r="A60" s="78">
        <v>44728.738535462966</v>
      </c>
      <c r="B60" s="79"/>
      <c r="C60" s="80"/>
      <c r="D60" s="80"/>
      <c r="E60" s="80"/>
      <c r="F60" s="80"/>
      <c r="G60" s="58">
        <f>if(A60,_xlfn.workday.intl(int(A60),1,"1000000",Holidays!A:A)+17/24,"")</f>
        <v>44729.70833</v>
      </c>
      <c r="H60" s="59">
        <f t="shared" si="1"/>
        <v>44745.69675</v>
      </c>
      <c r="I60" s="62" t="s">
        <v>2713</v>
      </c>
      <c r="J60" s="61">
        <f t="shared" si="2"/>
        <v>15.98841874</v>
      </c>
      <c r="K60" s="58">
        <f>if(G60,_xlfn.workday.intl(int(G60),0,"1000000",Holidays!A:A)+19/24,"")</f>
        <v>44729.79167</v>
      </c>
      <c r="L60" s="59">
        <f t="shared" si="3"/>
        <v>44745.69744</v>
      </c>
      <c r="M60" s="62" t="s">
        <v>2713</v>
      </c>
      <c r="N60" s="61">
        <f t="shared" si="4"/>
        <v>15.90577683</v>
      </c>
      <c r="O60" s="63">
        <f>if(A60,_xlfn.WORKDAY.INTL(A60,O$5,"1000000",Holidays!A:A)+hour(A60)/24+MINUTE(A60)/1440,"")</f>
        <v>44729.73819</v>
      </c>
      <c r="P60" s="64">
        <v>44745.697530729165</v>
      </c>
      <c r="Q60" s="65" t="s">
        <v>2713</v>
      </c>
      <c r="R60" s="66">
        <f t="shared" si="5"/>
        <v>15.95933628</v>
      </c>
      <c r="S60" s="66"/>
      <c r="T60" s="66"/>
      <c r="U60" s="64">
        <f>if(O60,_xlfn.WORKDAY.INTL(O60,U$5,"1000000",Holidays!A:A)+hour(O60)/24+MINUTE(O60)/1440,"")</f>
        <v>44730.73819</v>
      </c>
      <c r="V60" s="64" t="str">
        <f t="shared" si="6"/>
        <v/>
      </c>
      <c r="W60" s="66"/>
      <c r="X60" s="66">
        <f t="shared" si="7"/>
        <v>1403.245715</v>
      </c>
      <c r="Y60" s="66"/>
      <c r="Z60" s="66"/>
      <c r="AA60" s="66"/>
      <c r="AB60" s="63"/>
      <c r="AC60" s="63"/>
      <c r="AD60" s="63"/>
      <c r="AE60" s="63"/>
      <c r="AF60" s="63"/>
      <c r="AG60" s="63"/>
      <c r="AH60" s="63">
        <f t="shared" si="14"/>
        <v>44745.69753</v>
      </c>
      <c r="AI60" s="63">
        <f>if(AH60,_xlfn.workday.intl(int(AH60),0,"1000000",Holidays!A:A)+18/24,"")</f>
        <v>44745.75</v>
      </c>
      <c r="AJ60" s="64" t="str">
        <f t="shared" si="17"/>
        <v/>
      </c>
      <c r="AK60" s="56"/>
      <c r="AL60" s="66">
        <f t="shared" si="9"/>
        <v>1388.23391</v>
      </c>
      <c r="AM60" s="66"/>
      <c r="AN60" s="63" t="str">
        <f>if(AJ60,if(and(hour(AJ60+AN$5)&gt;11,(hour(AJ60+AN$5)&lt;20)),AJ60+AN$5,_xlfn.workday.intl(int(AJ60),1,"1000000",Holidays!A:A)+hour(AJ60+AN$5-$B$1)/24+minute(AJ60)/1440),"")</f>
        <v/>
      </c>
      <c r="AO60" s="64" t="str">
        <f t="shared" si="15"/>
        <v/>
      </c>
      <c r="AP60" s="56"/>
      <c r="AQ60" s="66" t="str">
        <f t="shared" si="16"/>
        <v/>
      </c>
      <c r="AR60" s="66"/>
      <c r="AS60" s="63" t="str">
        <f>if(AJ60,if(and(hour(AJ60+AS$5)&gt;11,(hour(AJ60+AS$5)&lt;20)),AJ60+AS$5,_xlfn.workday.intl(int(AJ60),1,"1000000",Holidays!A:A)+hour(AJ60+AS$5-$B$1)/24+minute(AJ60)/1440),"")</f>
        <v/>
      </c>
      <c r="AT60" s="64" t="str">
        <f t="shared" si="12"/>
        <v/>
      </c>
      <c r="AU60" s="56"/>
      <c r="AV60" s="66" t="str">
        <f t="shared" si="13"/>
        <v/>
      </c>
      <c r="AW60" s="66"/>
      <c r="AX60" s="56"/>
    </row>
    <row r="61">
      <c r="A61" s="55">
        <v>44730.703461006946</v>
      </c>
      <c r="B61" s="56"/>
      <c r="C61" s="57"/>
      <c r="D61" s="57"/>
      <c r="E61" s="57"/>
      <c r="F61" s="57"/>
      <c r="G61" s="58">
        <f>if(A61,_xlfn.workday.intl(int(A61),1,"1000000",Holidays!A:A)+17/24,"")</f>
        <v>44731.70833</v>
      </c>
      <c r="H61" s="59" t="str">
        <f t="shared" si="1"/>
        <v/>
      </c>
      <c r="I61" s="60"/>
      <c r="J61" s="61">
        <f t="shared" si="2"/>
        <v>1402.275577</v>
      </c>
      <c r="K61" s="58">
        <f>if(G61,_xlfn.workday.intl(int(G61),0,"1000000",Holidays!A:A)+19/24,"")</f>
        <v>44731.79167</v>
      </c>
      <c r="L61" s="59" t="str">
        <f t="shared" si="3"/>
        <v/>
      </c>
      <c r="M61" s="60"/>
      <c r="N61" s="61">
        <f t="shared" si="4"/>
        <v>1402.192243</v>
      </c>
      <c r="O61" s="63">
        <f>if(A61,_xlfn.WORKDAY.INTL(A61,O$5,"1000000",Holidays!A:A)+hour(A61)/24+MINUTE(A61)/1440,"")</f>
        <v>44731.70278</v>
      </c>
      <c r="P61" s="64" t="s">
        <v>2718</v>
      </c>
      <c r="Q61" s="56"/>
      <c r="R61" s="66">
        <f t="shared" si="5"/>
        <v>1402.281132</v>
      </c>
      <c r="S61" s="66"/>
      <c r="T61" s="66"/>
      <c r="U61" s="64">
        <f>if(O61,_xlfn.WORKDAY.INTL(O61,U$5,"1000000",Holidays!A:A)+hour(O61)/24+MINUTE(O61)/1440,"")</f>
        <v>44733.70278</v>
      </c>
      <c r="V61" s="64" t="str">
        <f t="shared" si="6"/>
        <v/>
      </c>
      <c r="W61" s="66"/>
      <c r="X61" s="66">
        <f t="shared" si="7"/>
        <v>1400.281132</v>
      </c>
      <c r="Y61" s="66"/>
      <c r="Z61" s="66"/>
      <c r="AA61" s="66"/>
      <c r="AB61" s="63"/>
      <c r="AC61" s="63"/>
      <c r="AD61" s="63"/>
      <c r="AE61" s="63"/>
      <c r="AF61" s="63"/>
      <c r="AG61" s="63"/>
      <c r="AH61" s="63" t="str">
        <f t="shared" si="14"/>
        <v/>
      </c>
      <c r="AI61" s="63" t="str">
        <f>if(AH61,_xlfn.workday.intl(int(AH61),0,"1000000",Holidays!A:A)+18/24,"")</f>
        <v/>
      </c>
      <c r="AJ61" s="64" t="str">
        <f t="shared" si="17"/>
        <v/>
      </c>
      <c r="AK61" s="56"/>
      <c r="AL61" s="66" t="str">
        <f t="shared" si="9"/>
        <v/>
      </c>
      <c r="AM61" s="66"/>
      <c r="AN61" s="63" t="str">
        <f>if(AJ61,if(and(hour(AJ61+AN$5)&gt;11,(hour(AJ61+AN$5)&lt;20)),AJ61+AN$5,_xlfn.workday.intl(int(AJ61),1,"1000000",Holidays!A:A)+hour(AJ61+AN$5-$B$1)/24+minute(AJ61)/1440),"")</f>
        <v/>
      </c>
      <c r="AO61" s="64" t="str">
        <f t="shared" si="15"/>
        <v/>
      </c>
      <c r="AP61" s="56"/>
      <c r="AQ61" s="66" t="str">
        <f t="shared" si="16"/>
        <v/>
      </c>
      <c r="AR61" s="66"/>
      <c r="AS61" s="63" t="str">
        <f>if(AJ61,if(and(hour(AJ61+AS$5)&gt;11,(hour(AJ61+AS$5)&lt;20)),AJ61+AS$5,_xlfn.workday.intl(int(AJ61),1,"1000000",Holidays!A:A)+hour(AJ61+AS$5-$B$1)/24+minute(AJ61)/1440),"")</f>
        <v/>
      </c>
      <c r="AT61" s="64" t="str">
        <f t="shared" si="12"/>
        <v/>
      </c>
      <c r="AU61" s="56"/>
      <c r="AV61" s="66" t="str">
        <f t="shared" si="13"/>
        <v/>
      </c>
      <c r="AW61" s="66"/>
      <c r="AX61" s="65" t="s">
        <v>2719</v>
      </c>
    </row>
    <row r="62">
      <c r="A62" s="55">
        <v>44730.705676921294</v>
      </c>
      <c r="B62" s="56"/>
      <c r="C62" s="57"/>
      <c r="D62" s="57"/>
      <c r="E62" s="57"/>
      <c r="F62" s="57"/>
      <c r="G62" s="58">
        <f>if(A62,_xlfn.workday.intl(int(A62),1,"1000000",Holidays!A:A)+17/24,"")</f>
        <v>44731.70833</v>
      </c>
      <c r="H62" s="59" t="str">
        <f t="shared" si="1"/>
        <v/>
      </c>
      <c r="I62" s="60"/>
      <c r="J62" s="61">
        <f t="shared" si="2"/>
        <v>1402.275577</v>
      </c>
      <c r="K62" s="58">
        <f>if(G62,_xlfn.workday.intl(int(G62),0,"1000000",Holidays!A:A)+19/24,"")</f>
        <v>44731.79167</v>
      </c>
      <c r="L62" s="59" t="str">
        <f t="shared" si="3"/>
        <v/>
      </c>
      <c r="M62" s="60"/>
      <c r="N62" s="61">
        <f t="shared" si="4"/>
        <v>1402.192243</v>
      </c>
      <c r="O62" s="63">
        <f>if(A62,_xlfn.WORKDAY.INTL(A62,O$5,"1000000",Holidays!A:A)+hour(A62)/24+MINUTE(A62)/1440,"")</f>
        <v>44731.70556</v>
      </c>
      <c r="P62" s="64" t="s">
        <v>2718</v>
      </c>
      <c r="Q62" s="56"/>
      <c r="R62" s="66">
        <f t="shared" si="5"/>
        <v>1402.278354</v>
      </c>
      <c r="S62" s="66"/>
      <c r="T62" s="66"/>
      <c r="U62" s="64">
        <f>if(O62,_xlfn.WORKDAY.INTL(O62,U$5,"1000000",Holidays!A:A)+hour(O62)/24+MINUTE(O62)/1440,"")</f>
        <v>44733.70556</v>
      </c>
      <c r="V62" s="64" t="str">
        <f t="shared" si="6"/>
        <v/>
      </c>
      <c r="W62" s="66"/>
      <c r="X62" s="66">
        <f t="shared" si="7"/>
        <v>1400.278354</v>
      </c>
      <c r="Y62" s="66"/>
      <c r="Z62" s="66"/>
      <c r="AA62" s="66"/>
      <c r="AB62" s="63"/>
      <c r="AC62" s="63"/>
      <c r="AD62" s="63"/>
      <c r="AE62" s="63"/>
      <c r="AF62" s="63"/>
      <c r="AG62" s="63"/>
      <c r="AH62" s="63" t="str">
        <f t="shared" si="14"/>
        <v/>
      </c>
      <c r="AI62" s="63" t="str">
        <f>if(AH62,_xlfn.workday.intl(int(AH62),0,"1000000",Holidays!A:A)+18/24,"")</f>
        <v/>
      </c>
      <c r="AJ62" s="64" t="str">
        <f t="shared" si="17"/>
        <v/>
      </c>
      <c r="AK62" s="56"/>
      <c r="AL62" s="66" t="str">
        <f t="shared" si="9"/>
        <v/>
      </c>
      <c r="AM62" s="66"/>
      <c r="AN62" s="63" t="str">
        <f>if(AJ62,if(and(hour(AJ62+AN$5)&gt;11,(hour(AJ62+AN$5)&lt;20)),AJ62+AN$5,_xlfn.workday.intl(int(AJ62),1,"1000000",Holidays!A:A)+hour(AJ62+AN$5-$B$1)/24+minute(AJ62)/1440),"")</f>
        <v/>
      </c>
      <c r="AO62" s="64" t="str">
        <f t="shared" si="15"/>
        <v/>
      </c>
      <c r="AP62" s="56"/>
      <c r="AQ62" s="66" t="str">
        <f t="shared" si="16"/>
        <v/>
      </c>
      <c r="AR62" s="66"/>
      <c r="AS62" s="63" t="str">
        <f>if(AJ62,if(and(hour(AJ62+AS$5)&gt;11,(hour(AJ62+AS$5)&lt;20)),AJ62+AS$5,_xlfn.workday.intl(int(AJ62),1,"1000000",Holidays!A:A)+hour(AJ62+AS$5-$B$1)/24+minute(AJ62)/1440),"")</f>
        <v/>
      </c>
      <c r="AT62" s="64">
        <f t="shared" si="12"/>
        <v>44842.65778</v>
      </c>
      <c r="AU62" s="65" t="s">
        <v>2715</v>
      </c>
      <c r="AV62" s="66" t="str">
        <f t="shared" si="13"/>
        <v/>
      </c>
      <c r="AW62" s="66"/>
      <c r="AX62" s="65" t="s">
        <v>2713</v>
      </c>
    </row>
    <row r="63">
      <c r="A63" s="55">
        <v>44730.70748164352</v>
      </c>
      <c r="B63" s="56"/>
      <c r="C63" s="57"/>
      <c r="D63" s="57"/>
      <c r="E63" s="57"/>
      <c r="F63" s="57"/>
      <c r="G63" s="58">
        <f>if(A63,_xlfn.workday.intl(int(A63),1,"1000000",Holidays!A:A)+17/24,"")</f>
        <v>44731.70833</v>
      </c>
      <c r="H63" s="59">
        <f t="shared" si="1"/>
        <v>44772.51634</v>
      </c>
      <c r="I63" s="62" t="s">
        <v>2713</v>
      </c>
      <c r="J63" s="61">
        <f t="shared" si="2"/>
        <v>40.80800638</v>
      </c>
      <c r="K63" s="58">
        <f>if(G63,_xlfn.workday.intl(int(G63),0,"1000000",Holidays!A:A)+19/24,"")</f>
        <v>44731.79167</v>
      </c>
      <c r="L63" s="59">
        <f t="shared" si="3"/>
        <v>44772.51621</v>
      </c>
      <c r="M63" s="62" t="s">
        <v>2713</v>
      </c>
      <c r="N63" s="61">
        <f t="shared" si="4"/>
        <v>40.72454813</v>
      </c>
      <c r="O63" s="63">
        <f>if(A63,_xlfn.WORKDAY.INTL(A63,O$5,"1000000",Holidays!A:A)+hour(A63)/24+MINUTE(A63)/1440,"")</f>
        <v>44731.70694</v>
      </c>
      <c r="P63" s="64">
        <v>44766.711620092596</v>
      </c>
      <c r="Q63" s="65" t="s">
        <v>2713</v>
      </c>
      <c r="R63" s="66">
        <f t="shared" si="5"/>
        <v>35.00467565</v>
      </c>
      <c r="S63" s="66"/>
      <c r="T63" s="66"/>
      <c r="U63" s="64">
        <f>if(O63,_xlfn.WORKDAY.INTL(O63,U$5,"1000000",Holidays!A:A)+hour(O63)/24+MINUTE(O63)/1440,"")</f>
        <v>44733.70694</v>
      </c>
      <c r="V63" s="64" t="str">
        <f t="shared" si="6"/>
        <v/>
      </c>
      <c r="W63" s="66"/>
      <c r="X63" s="66">
        <f t="shared" si="7"/>
        <v>1400.276965</v>
      </c>
      <c r="Y63" s="66"/>
      <c r="Z63" s="66"/>
      <c r="AA63" s="66"/>
      <c r="AB63" s="63"/>
      <c r="AC63" s="63"/>
      <c r="AD63" s="63"/>
      <c r="AE63" s="63"/>
      <c r="AF63" s="63"/>
      <c r="AG63" s="63"/>
      <c r="AH63" s="63">
        <f t="shared" si="14"/>
        <v>44766.71162</v>
      </c>
      <c r="AI63" s="63">
        <f>if(AH63,_xlfn.workday.intl(int(AH63),0,"1000000",Holidays!A:A)+18/24,"")</f>
        <v>44766.75</v>
      </c>
      <c r="AJ63" s="64">
        <f t="shared" si="17"/>
        <v>44772.51643</v>
      </c>
      <c r="AK63" s="65" t="s">
        <v>2713</v>
      </c>
      <c r="AL63" s="66">
        <f t="shared" si="9"/>
        <v>5.766427546</v>
      </c>
      <c r="AM63" s="66"/>
      <c r="AN63" s="63">
        <f>if(AJ63,if(and(hour(AJ63+AN$5)&gt;11,(hour(AJ63+AN$5)&lt;20)),AJ63+AN$5,_xlfn.workday.intl(int(AJ63),1,"1000000",Holidays!A:A)+hour(AJ63+AN$5-$B$1)/24+minute(AJ63)/1440),"")</f>
        <v>44773.51643</v>
      </c>
      <c r="AO63" s="64">
        <f t="shared" si="15"/>
        <v>44772.51647</v>
      </c>
      <c r="AP63" s="65" t="s">
        <v>2713</v>
      </c>
      <c r="AQ63" s="66" t="str">
        <f t="shared" si="16"/>
        <v/>
      </c>
      <c r="AR63" s="66"/>
      <c r="AS63" s="63">
        <f>if(AJ63,if(and(hour(AJ63+AS$5)&gt;11,(hour(AJ63+AS$5)&lt;20)),AJ63+AS$5,_xlfn.workday.intl(int(AJ63),1,"1000000",Holidays!A:A)+hour(AJ63+AS$5-$B$1)/24+minute(AJ63)/1440),"")</f>
        <v>44774.51643</v>
      </c>
      <c r="AT63" s="64">
        <f t="shared" si="12"/>
        <v>44772.51651</v>
      </c>
      <c r="AU63" s="65" t="s">
        <v>2715</v>
      </c>
      <c r="AV63" s="66" t="str">
        <f t="shared" si="13"/>
        <v/>
      </c>
      <c r="AW63" s="66"/>
      <c r="AX63" s="65" t="s">
        <v>2713</v>
      </c>
    </row>
    <row r="64">
      <c r="A64" s="55">
        <v>44730.70899471064</v>
      </c>
      <c r="B64" s="56"/>
      <c r="C64" s="57"/>
      <c r="D64" s="57"/>
      <c r="E64" s="57"/>
      <c r="F64" s="57"/>
      <c r="G64" s="58">
        <f>if(A64,_xlfn.workday.intl(int(A64),1,"1000000",Holidays!A:A)+17/24,"")</f>
        <v>44731.70833</v>
      </c>
      <c r="H64" s="59" t="str">
        <f t="shared" si="1"/>
        <v/>
      </c>
      <c r="I64" s="60"/>
      <c r="J64" s="61">
        <f t="shared" si="2"/>
        <v>1402.275577</v>
      </c>
      <c r="K64" s="58">
        <f>if(G64,_xlfn.workday.intl(int(G64),0,"1000000",Holidays!A:A)+19/24,"")</f>
        <v>44731.79167</v>
      </c>
      <c r="L64" s="59">
        <f t="shared" si="3"/>
        <v>44777.49824</v>
      </c>
      <c r="M64" s="62" t="s">
        <v>2713</v>
      </c>
      <c r="N64" s="61">
        <f t="shared" si="4"/>
        <v>45.70657644</v>
      </c>
      <c r="O64" s="63">
        <f>if(A64,_xlfn.WORKDAY.INTL(A64,O$5,"1000000",Holidays!A:A)+hour(A64)/24+MINUTE(A64)/1440,"")</f>
        <v>44731.70833</v>
      </c>
      <c r="P64" s="64">
        <v>44777.49829798611</v>
      </c>
      <c r="Q64" s="65" t="s">
        <v>2713</v>
      </c>
      <c r="R64" s="66">
        <f t="shared" si="5"/>
        <v>45.78996465</v>
      </c>
      <c r="S64" s="66"/>
      <c r="T64" s="66"/>
      <c r="U64" s="64">
        <f>if(O64,_xlfn.WORKDAY.INTL(O64,U$5,"1000000",Holidays!A:A)+hour(O64)/24+MINUTE(O64)/1440,"")</f>
        <v>44733.70833</v>
      </c>
      <c r="V64" s="64" t="str">
        <f t="shared" si="6"/>
        <v/>
      </c>
      <c r="W64" s="66"/>
      <c r="X64" s="66">
        <f t="shared" si="7"/>
        <v>1400.275577</v>
      </c>
      <c r="Y64" s="66"/>
      <c r="Z64" s="66"/>
      <c r="AA64" s="66"/>
      <c r="AB64" s="67">
        <v>1.0</v>
      </c>
      <c r="AC64" s="63"/>
      <c r="AD64" s="63"/>
      <c r="AE64" s="63"/>
      <c r="AF64" s="63"/>
      <c r="AG64" s="63"/>
      <c r="AH64" s="63">
        <f t="shared" si="14"/>
        <v>44778.4983</v>
      </c>
      <c r="AI64" s="63">
        <f>if(AH64,_xlfn.workday.intl(int(AH64),0,"1000000",Holidays!A:A)+18/24,"")</f>
        <v>44778.75</v>
      </c>
      <c r="AJ64" s="64" t="str">
        <f t="shared" si="17"/>
        <v/>
      </c>
      <c r="AK64" s="56"/>
      <c r="AL64" s="66">
        <f t="shared" si="9"/>
        <v>1355.23391</v>
      </c>
      <c r="AM64" s="66"/>
      <c r="AN64" s="63" t="str">
        <f>if(AJ64,if(and(hour(AJ64+AN$5)&gt;11,(hour(AJ64+AN$5)&lt;20)),AJ64+AN$5,_xlfn.workday.intl(int(AJ64),1,"1000000",Holidays!A:A)+hour(AJ64+AN$5-$B$1)/24+minute(AJ64)/1440),"")</f>
        <v/>
      </c>
      <c r="AO64" s="64">
        <f t="shared" si="15"/>
        <v>44777.49848</v>
      </c>
      <c r="AP64" s="65" t="s">
        <v>2713</v>
      </c>
      <c r="AQ64" s="66" t="str">
        <f t="shared" si="16"/>
        <v/>
      </c>
      <c r="AR64" s="66"/>
      <c r="AS64" s="63" t="str">
        <f>if(AJ64,if(and(hour(AJ64+AS$5)&gt;11,(hour(AJ64+AS$5)&lt;20)),AJ64+AS$5,_xlfn.workday.intl(int(AJ64),1,"1000000",Holidays!A:A)+hour(AJ64+AS$5-$B$1)/24+minute(AJ64)/1440),"")</f>
        <v/>
      </c>
      <c r="AT64" s="64">
        <f t="shared" si="12"/>
        <v>44905.62177</v>
      </c>
      <c r="AU64" s="65" t="s">
        <v>2715</v>
      </c>
      <c r="AV64" s="66" t="str">
        <f t="shared" si="13"/>
        <v/>
      </c>
      <c r="AW64" s="66"/>
      <c r="AX64" s="65" t="s">
        <v>2713</v>
      </c>
    </row>
    <row r="65">
      <c r="A65" s="55">
        <v>44730.710912905095</v>
      </c>
      <c r="B65" s="56"/>
      <c r="C65" s="57"/>
      <c r="D65" s="57"/>
      <c r="E65" s="57"/>
      <c r="F65" s="57"/>
      <c r="G65" s="58">
        <f>if(A65,_xlfn.workday.intl(int(A65),1,"1000000",Holidays!A:A)+17/24,"")</f>
        <v>44731.70833</v>
      </c>
      <c r="H65" s="59">
        <f t="shared" si="1"/>
        <v>44777.49781</v>
      </c>
      <c r="I65" s="62" t="s">
        <v>2713</v>
      </c>
      <c r="J65" s="61">
        <f t="shared" si="2"/>
        <v>45.78947289</v>
      </c>
      <c r="K65" s="58">
        <f>if(G65,_xlfn.workday.intl(int(G65),0,"1000000",Holidays!A:A)+19/24,"")</f>
        <v>44731.79167</v>
      </c>
      <c r="L65" s="59">
        <f t="shared" si="3"/>
        <v>44777.49785</v>
      </c>
      <c r="M65" s="62" t="s">
        <v>2713</v>
      </c>
      <c r="N65" s="61">
        <f t="shared" si="4"/>
        <v>45.70617954</v>
      </c>
      <c r="O65" s="63">
        <f>if(A65,_xlfn.WORKDAY.INTL(A65,O$5,"1000000",Holidays!A:A)+hour(A65)/24+MINUTE(A65)/1440,"")</f>
        <v>44731.71042</v>
      </c>
      <c r="P65" s="64">
        <v>44777.49788037037</v>
      </c>
      <c r="Q65" s="65" t="s">
        <v>2713</v>
      </c>
      <c r="R65" s="66">
        <f t="shared" si="5"/>
        <v>45.7874637</v>
      </c>
      <c r="S65" s="66"/>
      <c r="T65" s="66"/>
      <c r="U65" s="64">
        <f>if(O65,_xlfn.WORKDAY.INTL(O65,U$5,"1000000",Holidays!A:A)+hour(O65)/24+MINUTE(O65)/1440,"")</f>
        <v>44733.71042</v>
      </c>
      <c r="V65" s="64" t="str">
        <f t="shared" si="6"/>
        <v/>
      </c>
      <c r="W65" s="66"/>
      <c r="X65" s="66">
        <f t="shared" si="7"/>
        <v>1400.273493</v>
      </c>
      <c r="Y65" s="66"/>
      <c r="Z65" s="66"/>
      <c r="AA65" s="66"/>
      <c r="AB65" s="67">
        <v>1.0</v>
      </c>
      <c r="AC65" s="63"/>
      <c r="AD65" s="63"/>
      <c r="AE65" s="63"/>
      <c r="AF65" s="63"/>
      <c r="AG65" s="63"/>
      <c r="AH65" s="63">
        <f t="shared" si="14"/>
        <v>44778.49788</v>
      </c>
      <c r="AI65" s="63">
        <f>if(AH65,_xlfn.workday.intl(int(AH65),0,"1000000",Holidays!A:A)+18/24,"")</f>
        <v>44778.75</v>
      </c>
      <c r="AJ65" s="64" t="str">
        <f t="shared" si="17"/>
        <v/>
      </c>
      <c r="AK65" s="56"/>
      <c r="AL65" s="66">
        <f t="shared" si="9"/>
        <v>1355.23391</v>
      </c>
      <c r="AM65" s="66"/>
      <c r="AN65" s="63" t="str">
        <f>if(AJ65,if(and(hour(AJ65+AN$5)&gt;11,(hour(AJ65+AN$5)&lt;20)),AJ65+AN$5,_xlfn.workday.intl(int(AJ65),1,"1000000",Holidays!A:A)+hour(AJ65+AN$5-$B$1)/24+minute(AJ65)/1440),"")</f>
        <v/>
      </c>
      <c r="AO65" s="64">
        <f t="shared" si="15"/>
        <v>44777.498</v>
      </c>
      <c r="AP65" s="65" t="s">
        <v>2713</v>
      </c>
      <c r="AQ65" s="66" t="str">
        <f t="shared" si="16"/>
        <v/>
      </c>
      <c r="AR65" s="66"/>
      <c r="AS65" s="63" t="str">
        <f>if(AJ65,if(and(hour(AJ65+AS$5)&gt;11,(hour(AJ65+AS$5)&lt;20)),AJ65+AS$5,_xlfn.workday.intl(int(AJ65),1,"1000000",Holidays!A:A)+hour(AJ65+AS$5-$B$1)/24+minute(AJ65)/1440),"")</f>
        <v/>
      </c>
      <c r="AT65" s="64" t="str">
        <f t="shared" si="12"/>
        <v/>
      </c>
      <c r="AU65" s="56"/>
      <c r="AV65" s="66" t="str">
        <f t="shared" si="13"/>
        <v/>
      </c>
      <c r="AW65" s="66"/>
      <c r="AX65" s="65" t="s">
        <v>2719</v>
      </c>
    </row>
    <row r="66">
      <c r="A66" s="55">
        <v>44730.71485365741</v>
      </c>
      <c r="B66" s="56"/>
      <c r="C66" s="57"/>
      <c r="D66" s="57"/>
      <c r="E66" s="57"/>
      <c r="F66" s="57"/>
      <c r="G66" s="58">
        <f>if(A66,_xlfn.workday.intl(int(A66),1,"1000000",Holidays!A:A)+17/24,"")</f>
        <v>44731.70833</v>
      </c>
      <c r="H66" s="59" t="str">
        <f t="shared" si="1"/>
        <v/>
      </c>
      <c r="I66" s="60"/>
      <c r="J66" s="61">
        <f t="shared" si="2"/>
        <v>1402.275577</v>
      </c>
      <c r="K66" s="58">
        <f>if(G66,_xlfn.workday.intl(int(G66),0,"1000000",Holidays!A:A)+19/24,"")</f>
        <v>44731.79167</v>
      </c>
      <c r="L66" s="59" t="str">
        <f t="shared" si="3"/>
        <v/>
      </c>
      <c r="M66" s="60"/>
      <c r="N66" s="61">
        <f t="shared" si="4"/>
        <v>1402.192243</v>
      </c>
      <c r="O66" s="63">
        <f>if(A66,_xlfn.WORKDAY.INTL(A66,O$5,"1000000",Holidays!A:A)+hour(A66)/24+MINUTE(A66)/1440,"")</f>
        <v>44731.71458</v>
      </c>
      <c r="P66" s="64" t="s">
        <v>2718</v>
      </c>
      <c r="Q66" s="56"/>
      <c r="R66" s="66">
        <f t="shared" si="5"/>
        <v>1402.269327</v>
      </c>
      <c r="S66" s="66"/>
      <c r="T66" s="66"/>
      <c r="U66" s="64">
        <f>if(O66,_xlfn.WORKDAY.INTL(O66,U$5,"1000000",Holidays!A:A)+hour(O66)/24+MINUTE(O66)/1440,"")</f>
        <v>44733.71458</v>
      </c>
      <c r="V66" s="64" t="str">
        <f t="shared" si="6"/>
        <v/>
      </c>
      <c r="W66" s="66"/>
      <c r="X66" s="66">
        <f t="shared" si="7"/>
        <v>1400.269327</v>
      </c>
      <c r="Y66" s="66"/>
      <c r="Z66" s="66"/>
      <c r="AA66" s="66"/>
      <c r="AB66" s="63"/>
      <c r="AC66" s="63"/>
      <c r="AD66" s="63"/>
      <c r="AE66" s="63"/>
      <c r="AF66" s="63"/>
      <c r="AG66" s="63"/>
      <c r="AH66" s="63" t="str">
        <f t="shared" si="14"/>
        <v/>
      </c>
      <c r="AI66" s="63" t="str">
        <f>if(AH66,_xlfn.workday.intl(int(AH66),0,"1000000",Holidays!A:A)+18/24,"")</f>
        <v/>
      </c>
      <c r="AJ66" s="64" t="str">
        <f t="shared" si="17"/>
        <v/>
      </c>
      <c r="AK66" s="56"/>
      <c r="AL66" s="66" t="str">
        <f t="shared" si="9"/>
        <v/>
      </c>
      <c r="AM66" s="66"/>
      <c r="AN66" s="63" t="str">
        <f>if(AJ66,if(and(hour(AJ66+AN$5)&gt;11,(hour(AJ66+AN$5)&lt;20)),AJ66+AN$5,_xlfn.workday.intl(int(AJ66),1,"1000000",Holidays!A:A)+hour(AJ66+AN$5-$B$1)/24+minute(AJ66)/1440),"")</f>
        <v/>
      </c>
      <c r="AO66" s="64" t="str">
        <f t="shared" si="15"/>
        <v/>
      </c>
      <c r="AP66" s="56"/>
      <c r="AQ66" s="66" t="str">
        <f t="shared" si="16"/>
        <v/>
      </c>
      <c r="AR66" s="66"/>
      <c r="AS66" s="63" t="str">
        <f>if(AJ66,if(and(hour(AJ66+AS$5)&gt;11,(hour(AJ66+AS$5)&lt;20)),AJ66+AS$5,_xlfn.workday.intl(int(AJ66),1,"1000000",Holidays!A:A)+hour(AJ66+AS$5-$B$1)/24+minute(AJ66)/1440),"")</f>
        <v/>
      </c>
      <c r="AT66" s="64" t="str">
        <f t="shared" si="12"/>
        <v/>
      </c>
      <c r="AU66" s="56"/>
      <c r="AV66" s="66" t="str">
        <f t="shared" si="13"/>
        <v/>
      </c>
      <c r="AW66" s="66"/>
      <c r="AX66" s="65" t="s">
        <v>2717</v>
      </c>
    </row>
    <row r="67">
      <c r="A67" s="55">
        <v>44733.55170283565</v>
      </c>
      <c r="B67" s="56"/>
      <c r="C67" s="57"/>
      <c r="D67" s="57"/>
      <c r="E67" s="57"/>
      <c r="F67" s="57"/>
      <c r="G67" s="58">
        <f>if(A67,_xlfn.workday.intl(int(A67),1,"1000000",Holidays!A:A)+17/24,"")</f>
        <v>44734.70833</v>
      </c>
      <c r="H67" s="59">
        <f t="shared" si="1"/>
        <v>44744.46385</v>
      </c>
      <c r="I67" s="62" t="s">
        <v>2713</v>
      </c>
      <c r="J67" s="61">
        <f t="shared" si="2"/>
        <v>9.755521169</v>
      </c>
      <c r="K67" s="58">
        <f>if(G67,_xlfn.workday.intl(int(G67),0,"1000000",Holidays!A:A)+19/24,"")</f>
        <v>44734.79167</v>
      </c>
      <c r="L67" s="59">
        <f t="shared" si="3"/>
        <v>44744.46392</v>
      </c>
      <c r="M67" s="62" t="s">
        <v>2713</v>
      </c>
      <c r="N67" s="61">
        <f t="shared" si="4"/>
        <v>9.672250579</v>
      </c>
      <c r="O67" s="63">
        <f>if(A67,_xlfn.WORKDAY.INTL(A67,O$5,"1000000",Holidays!A:A)+hour(A67)/24+MINUTE(A67)/1440,"")</f>
        <v>44734.55139</v>
      </c>
      <c r="P67" s="64">
        <v>44744.463952777776</v>
      </c>
      <c r="Q67" s="65" t="s">
        <v>2713</v>
      </c>
      <c r="R67" s="66">
        <f t="shared" si="5"/>
        <v>9.912563889</v>
      </c>
      <c r="S67" s="66"/>
      <c r="T67" s="66"/>
      <c r="U67" s="64">
        <f>if(O67,_xlfn.WORKDAY.INTL(O67,U$5,"1000000",Holidays!A:A)+hour(O67)/24+MINUTE(O67)/1440,"")</f>
        <v>44735.55139</v>
      </c>
      <c r="V67" s="64" t="str">
        <f t="shared" si="6"/>
        <v/>
      </c>
      <c r="W67" s="66"/>
      <c r="X67" s="66">
        <f t="shared" si="7"/>
        <v>1398.432521</v>
      </c>
      <c r="Y67" s="66"/>
      <c r="Z67" s="66"/>
      <c r="AA67" s="66"/>
      <c r="AB67" s="63"/>
      <c r="AC67" s="63"/>
      <c r="AD67" s="63"/>
      <c r="AE67" s="63"/>
      <c r="AF67" s="63"/>
      <c r="AG67" s="63"/>
      <c r="AH67" s="63">
        <f t="shared" si="14"/>
        <v>44744.46395</v>
      </c>
      <c r="AI67" s="63">
        <f>if(AH67,_xlfn.workday.intl(int(AH67),0,"1000000",Holidays!A:A)+18/24,"")</f>
        <v>44744.75</v>
      </c>
      <c r="AJ67" s="64">
        <f t="shared" si="17"/>
        <v>44744.46402</v>
      </c>
      <c r="AK67" s="65" t="s">
        <v>2713</v>
      </c>
      <c r="AL67" s="66" t="str">
        <f t="shared" si="9"/>
        <v/>
      </c>
      <c r="AM67" s="66"/>
      <c r="AN67" s="63">
        <f>if(AJ67,if(and(hour(AJ67+AN$5)&gt;11,(hour(AJ67+AN$5)&lt;20)),AJ67+AN$5,_xlfn.workday.intl(int(AJ67),1,"1000000",Holidays!A:A)+hour(AJ67+AN$5-$B$1)/24+minute(AJ67)/1440),"")</f>
        <v>44745.46389</v>
      </c>
      <c r="AO67" s="64">
        <f t="shared" si="15"/>
        <v>44744.46405</v>
      </c>
      <c r="AP67" s="65" t="s">
        <v>2713</v>
      </c>
      <c r="AQ67" s="66" t="str">
        <f t="shared" si="16"/>
        <v/>
      </c>
      <c r="AR67" s="66"/>
      <c r="AS67" s="63">
        <f>if(AJ67,if(and(hour(AJ67+AS$5)&gt;11,(hour(AJ67+AS$5)&lt;20)),AJ67+AS$5,_xlfn.workday.intl(int(AJ67),1,"1000000",Holidays!A:A)+hour(AJ67+AS$5-$B$1)/24+minute(AJ67)/1440),"")</f>
        <v>44745.46389</v>
      </c>
      <c r="AT67" s="64">
        <f t="shared" si="12"/>
        <v>44744.46409</v>
      </c>
      <c r="AU67" s="65" t="s">
        <v>2715</v>
      </c>
      <c r="AV67" s="66" t="str">
        <f t="shared" si="13"/>
        <v/>
      </c>
      <c r="AW67" s="66"/>
      <c r="AX67" s="65" t="s">
        <v>2713</v>
      </c>
    </row>
    <row r="68">
      <c r="A68" s="55">
        <v>44741.75047413194</v>
      </c>
      <c r="B68" s="56"/>
      <c r="C68" s="57"/>
      <c r="D68" s="57"/>
      <c r="E68" s="57"/>
      <c r="F68" s="57"/>
      <c r="G68" s="58">
        <f>if(A68,_xlfn.workday.intl(int(A68),1,"1000000",Holidays!A:A)+17/24,"")</f>
        <v>44742.70833</v>
      </c>
      <c r="H68" s="59">
        <f t="shared" si="1"/>
        <v>44761.51372</v>
      </c>
      <c r="I68" s="62" t="s">
        <v>2713</v>
      </c>
      <c r="J68" s="61">
        <f t="shared" si="2"/>
        <v>18.80539028</v>
      </c>
      <c r="K68" s="58">
        <f>if(G68,_xlfn.workday.intl(int(G68),0,"1000000",Holidays!A:A)+19/24,"")</f>
        <v>44742.79167</v>
      </c>
      <c r="L68" s="59">
        <f t="shared" si="3"/>
        <v>44773.57345</v>
      </c>
      <c r="M68" s="62" t="s">
        <v>2713</v>
      </c>
      <c r="N68" s="61">
        <f t="shared" si="4"/>
        <v>30.78177953</v>
      </c>
      <c r="O68" s="63">
        <f>if(A68,_xlfn.WORKDAY.INTL(A68,O$5,"1000000",Holidays!A:A)+hour(A68)/24+MINUTE(A68)/1440,"")</f>
        <v>44742.75</v>
      </c>
      <c r="P68" s="64">
        <v>44761.73943158565</v>
      </c>
      <c r="Q68" s="65" t="s">
        <v>2713</v>
      </c>
      <c r="R68" s="66">
        <f t="shared" si="5"/>
        <v>18.98943159</v>
      </c>
      <c r="S68" s="66"/>
      <c r="T68" s="66"/>
      <c r="U68" s="64">
        <f>if(O68,_xlfn.WORKDAY.INTL(O68,U$5,"1000000",Holidays!A:A)+hour(O68)/24+MINUTE(O68)/1440,"")</f>
        <v>44743.75</v>
      </c>
      <c r="V68" s="64" t="str">
        <f t="shared" si="6"/>
        <v/>
      </c>
      <c r="W68" s="66"/>
      <c r="X68" s="66">
        <f t="shared" si="7"/>
        <v>1390.23391</v>
      </c>
      <c r="Y68" s="66"/>
      <c r="Z68" s="66"/>
      <c r="AA68" s="66"/>
      <c r="AB68" s="63"/>
      <c r="AC68" s="63"/>
      <c r="AD68" s="63"/>
      <c r="AE68" s="63"/>
      <c r="AF68" s="63"/>
      <c r="AG68" s="63"/>
      <c r="AH68" s="63">
        <f t="shared" si="14"/>
        <v>44761.73943</v>
      </c>
      <c r="AI68" s="63">
        <f>if(AH68,_xlfn.workday.intl(int(AH68),0,"1000000",Holidays!A:A)+18/24,"")</f>
        <v>44761.75</v>
      </c>
      <c r="AJ68" s="64" t="str">
        <f t="shared" si="17"/>
        <v/>
      </c>
      <c r="AK68" s="56"/>
      <c r="AL68" s="66">
        <f t="shared" si="9"/>
        <v>1372.23391</v>
      </c>
      <c r="AM68" s="66"/>
      <c r="AN68" s="63" t="str">
        <f>if(AJ68,if(and(hour(AJ68+AN$5)&gt;11,(hour(AJ68+AN$5)&lt;20)),AJ68+AN$5,_xlfn.workday.intl(int(AJ68),1,"1000000",Holidays!A:A)+hour(AJ68+AN$5-$B$1)/24+minute(AJ68)/1440),"")</f>
        <v/>
      </c>
      <c r="AO68" s="64" t="str">
        <f t="shared" si="15"/>
        <v/>
      </c>
      <c r="AP68" s="56"/>
      <c r="AQ68" s="66" t="str">
        <f t="shared" si="16"/>
        <v/>
      </c>
      <c r="AR68" s="66"/>
      <c r="AS68" s="63" t="str">
        <f>if(AJ68,if(and(hour(AJ68+AS$5)&gt;11,(hour(AJ68+AS$5)&lt;20)),AJ68+AS$5,_xlfn.workday.intl(int(AJ68),1,"1000000",Holidays!A:A)+hour(AJ68+AS$5-$B$1)/24+minute(AJ68)/1440),"")</f>
        <v/>
      </c>
      <c r="AT68" s="64" t="str">
        <f t="shared" si="12"/>
        <v/>
      </c>
      <c r="AU68" s="56"/>
      <c r="AV68" s="66" t="str">
        <f t="shared" si="13"/>
        <v/>
      </c>
      <c r="AW68" s="66"/>
      <c r="AX68" s="65" t="s">
        <v>2717</v>
      </c>
    </row>
    <row r="69">
      <c r="A69" s="55">
        <v>44741.75163284723</v>
      </c>
      <c r="B69" s="56"/>
      <c r="C69" s="57"/>
      <c r="D69" s="57"/>
      <c r="E69" s="57"/>
      <c r="F69" s="57"/>
      <c r="G69" s="58">
        <f>if(A69,_xlfn.workday.intl(int(A69),1,"1000000",Holidays!A:A)+17/24,"")</f>
        <v>44742.70833</v>
      </c>
      <c r="H69" s="59">
        <f t="shared" si="1"/>
        <v>44761.51377</v>
      </c>
      <c r="I69" s="62" t="s">
        <v>2713</v>
      </c>
      <c r="J69" s="61">
        <f t="shared" si="2"/>
        <v>18.80543178</v>
      </c>
      <c r="K69" s="58">
        <f>if(G69,_xlfn.workday.intl(int(G69),0,"1000000",Holidays!A:A)+19/24,"")</f>
        <v>44742.79167</v>
      </c>
      <c r="L69" s="59">
        <f t="shared" si="3"/>
        <v>44773.57345</v>
      </c>
      <c r="M69" s="62" t="s">
        <v>2713</v>
      </c>
      <c r="N69" s="61">
        <f t="shared" si="4"/>
        <v>30.78177953</v>
      </c>
      <c r="O69" s="63">
        <f>if(A69,_xlfn.WORKDAY.INTL(A69,O$5,"1000000",Holidays!A:A)+hour(A69)/24+MINUTE(A69)/1440,"")</f>
        <v>44742.75139</v>
      </c>
      <c r="P69" s="64">
        <v>44747.619598125</v>
      </c>
      <c r="Q69" s="65" t="s">
        <v>2713</v>
      </c>
      <c r="R69" s="66">
        <f t="shared" si="5"/>
        <v>4.868209236</v>
      </c>
      <c r="S69" s="66"/>
      <c r="T69" s="66"/>
      <c r="U69" s="64">
        <f>if(O69,_xlfn.WORKDAY.INTL(O69,U$5,"1000000",Holidays!A:A)+hour(O69)/24+MINUTE(O69)/1440,"")</f>
        <v>44743.75139</v>
      </c>
      <c r="V69" s="64" t="str">
        <f t="shared" si="6"/>
        <v/>
      </c>
      <c r="W69" s="66"/>
      <c r="X69" s="66">
        <f t="shared" si="7"/>
        <v>1390.232521</v>
      </c>
      <c r="Y69" s="66"/>
      <c r="Z69" s="66"/>
      <c r="AA69" s="66"/>
      <c r="AB69" s="63"/>
      <c r="AC69" s="63"/>
      <c r="AD69" s="63"/>
      <c r="AE69" s="63"/>
      <c r="AF69" s="63"/>
      <c r="AG69" s="63"/>
      <c r="AH69" s="63">
        <f t="shared" si="14"/>
        <v>44747.6196</v>
      </c>
      <c r="AI69" s="63">
        <f>if(AH69,_xlfn.workday.intl(int(AH69),0,"1000000",Holidays!A:A)+18/24,"")</f>
        <v>44747.75</v>
      </c>
      <c r="AJ69" s="64" t="str">
        <f t="shared" si="17"/>
        <v/>
      </c>
      <c r="AK69" s="56"/>
      <c r="AL69" s="66">
        <f t="shared" si="9"/>
        <v>1386.23391</v>
      </c>
      <c r="AM69" s="66"/>
      <c r="AN69" s="63" t="str">
        <f>if(AJ69,if(and(hour(AJ69+AN$5)&gt;11,(hour(AJ69+AN$5)&lt;20)),AJ69+AN$5,_xlfn.workday.intl(int(AJ69),1,"1000000",Holidays!A:A)+hour(AJ69+AN$5-$B$1)/24+minute(AJ69)/1440),"")</f>
        <v/>
      </c>
      <c r="AO69" s="64" t="str">
        <f t="shared" si="15"/>
        <v/>
      </c>
      <c r="AP69" s="56"/>
      <c r="AQ69" s="66" t="str">
        <f t="shared" si="16"/>
        <v/>
      </c>
      <c r="AR69" s="66"/>
      <c r="AS69" s="63" t="str">
        <f>if(AJ69,if(and(hour(AJ69+AS$5)&gt;11,(hour(AJ69+AS$5)&lt;20)),AJ69+AS$5,_xlfn.workday.intl(int(AJ69),1,"1000000",Holidays!A:A)+hour(AJ69+AS$5-$B$1)/24+minute(AJ69)/1440),"")</f>
        <v/>
      </c>
      <c r="AT69" s="64" t="str">
        <f t="shared" si="12"/>
        <v/>
      </c>
      <c r="AU69" s="56"/>
      <c r="AV69" s="66" t="str">
        <f t="shared" si="13"/>
        <v/>
      </c>
      <c r="AW69" s="66"/>
      <c r="AX69" s="65" t="s">
        <v>2717</v>
      </c>
    </row>
    <row r="70">
      <c r="A70" s="55">
        <v>44743.57284453703</v>
      </c>
      <c r="B70" s="56"/>
      <c r="C70" s="57"/>
      <c r="D70" s="57"/>
      <c r="E70" s="57"/>
      <c r="F70" s="57"/>
      <c r="G70" s="58">
        <f>if(A70,_xlfn.workday.intl(int(A70),1,"1000000",Holidays!A:A)+17/24,"")</f>
        <v>44744.70833</v>
      </c>
      <c r="H70" s="59"/>
      <c r="I70" s="62"/>
      <c r="J70" s="61">
        <f t="shared" si="2"/>
        <v>1389.275577</v>
      </c>
      <c r="K70" s="58">
        <f>if(G70,_xlfn.workday.intl(int(G70),0,"1000000",Holidays!A:A)+19/24,"")</f>
        <v>44744.79167</v>
      </c>
      <c r="L70" s="59">
        <f t="shared" si="3"/>
        <v>44773.57345</v>
      </c>
      <c r="M70" s="62" t="s">
        <v>2713</v>
      </c>
      <c r="N70" s="61">
        <f t="shared" si="4"/>
        <v>28.78177953</v>
      </c>
      <c r="O70" s="63">
        <f>if(A70,_xlfn.WORKDAY.INTL(A70,O$5,"1000000",Holidays!A:A)+hour(A70)/24+MINUTE(A70)/1440,"")</f>
        <v>44744.57222</v>
      </c>
      <c r="P70" s="64">
        <v>44773.57344619213</v>
      </c>
      <c r="Q70" s="65" t="s">
        <v>2713</v>
      </c>
      <c r="R70" s="66">
        <f t="shared" si="5"/>
        <v>29.00122397</v>
      </c>
      <c r="S70" s="66"/>
      <c r="T70" s="66"/>
      <c r="U70" s="64">
        <f>if(O70,_xlfn.WORKDAY.INTL(O70,U$5,"1000000",Holidays!A:A)+hour(O70)/24+MINUTE(O70)/1440,"")</f>
        <v>44745.57222</v>
      </c>
      <c r="V70" s="64" t="str">
        <f t="shared" si="6"/>
        <v/>
      </c>
      <c r="W70" s="66"/>
      <c r="X70" s="66">
        <f t="shared" si="7"/>
        <v>1388.411688</v>
      </c>
      <c r="Y70" s="66"/>
      <c r="Z70" s="66"/>
      <c r="AA70" s="66"/>
      <c r="AB70" s="63"/>
      <c r="AC70" s="63"/>
      <c r="AD70" s="63"/>
      <c r="AE70" s="63"/>
      <c r="AF70" s="63"/>
      <c r="AG70" s="63"/>
      <c r="AH70" s="63">
        <f t="shared" si="14"/>
        <v>44773.57345</v>
      </c>
      <c r="AI70" s="63">
        <f>if(AH70,_xlfn.workday.intl(int(AH70),0,"1000000",Holidays!A:A)+18/24,"")</f>
        <v>44773.75</v>
      </c>
      <c r="AJ70" s="64" t="str">
        <f t="shared" si="17"/>
        <v/>
      </c>
      <c r="AK70" s="56"/>
      <c r="AL70" s="66">
        <f t="shared" si="9"/>
        <v>1360.23391</v>
      </c>
      <c r="AM70" s="66"/>
      <c r="AN70" s="63" t="str">
        <f>if(AJ70,if(and(hour(AJ70+AN$5)&gt;11,(hour(AJ70+AN$5)&lt;20)),AJ70+AN$5,_xlfn.workday.intl(int(AJ70),1,"1000000",Holidays!A:A)+hour(AJ70+AN$5-$B$1)/24+minute(AJ70)/1440),"")</f>
        <v/>
      </c>
      <c r="AO70" s="64" t="str">
        <f t="shared" si="15"/>
        <v/>
      </c>
      <c r="AP70" s="56"/>
      <c r="AQ70" s="66" t="str">
        <f t="shared" si="16"/>
        <v/>
      </c>
      <c r="AR70" s="66"/>
      <c r="AS70" s="63" t="str">
        <f>if(AJ70,if(and(hour(AJ70+AS$5)&gt;11,(hour(AJ70+AS$5)&lt;20)),AJ70+AS$5,_xlfn.workday.intl(int(AJ70),1,"1000000",Holidays!A:A)+hour(AJ70+AS$5-$B$1)/24+minute(AJ70)/1440),"")</f>
        <v/>
      </c>
      <c r="AT70" s="64" t="str">
        <f t="shared" si="12"/>
        <v/>
      </c>
      <c r="AU70" s="56"/>
      <c r="AV70" s="66" t="str">
        <f t="shared" si="13"/>
        <v/>
      </c>
      <c r="AW70" s="66"/>
      <c r="AX70" s="65" t="s">
        <v>2719</v>
      </c>
    </row>
    <row r="71">
      <c r="A71" s="55">
        <v>44743.672299328704</v>
      </c>
      <c r="B71" s="56"/>
      <c r="C71" s="57"/>
      <c r="D71" s="57"/>
      <c r="E71" s="57"/>
      <c r="F71" s="57"/>
      <c r="G71" s="58">
        <f>if(A71,_xlfn.workday.intl(int(A71),1,"1000000",Holidays!A:A)+17/24,"")</f>
        <v>44744.70833</v>
      </c>
      <c r="H71" s="59">
        <f t="shared" ref="H71:H95" si="18">if(H71,H71,if(I71&lt;&gt;"",$A$1,""))</f>
        <v>44761.51394</v>
      </c>
      <c r="I71" s="62" t="s">
        <v>2713</v>
      </c>
      <c r="J71" s="61">
        <f t="shared" si="2"/>
        <v>16.80560969</v>
      </c>
      <c r="K71" s="58">
        <f>if(G71,_xlfn.workday.intl(int(G71),0,"1000000",Holidays!A:A)+19/24,"")</f>
        <v>44744.79167</v>
      </c>
      <c r="L71" s="59">
        <f t="shared" si="3"/>
        <v>44773.57308</v>
      </c>
      <c r="M71" s="62" t="s">
        <v>2713</v>
      </c>
      <c r="N71" s="61">
        <f t="shared" si="4"/>
        <v>28.78141498</v>
      </c>
      <c r="O71" s="63">
        <f>if(A71,_xlfn.WORKDAY.INTL(A71,O$5,"1000000",Holidays!A:A)+hour(A71)/24+MINUTE(A71)/1440,"")</f>
        <v>44744.67222</v>
      </c>
      <c r="P71" s="64">
        <v>44745.63181017361</v>
      </c>
      <c r="Q71" s="65" t="s">
        <v>2713</v>
      </c>
      <c r="R71" s="66">
        <f t="shared" si="5"/>
        <v>0.9595879514</v>
      </c>
      <c r="S71" s="66"/>
      <c r="T71" s="66"/>
      <c r="U71" s="64">
        <f>if(O71,_xlfn.WORKDAY.INTL(O71,U$5,"1000000",Holidays!A:A)+hour(O71)/24+MINUTE(O71)/1440,"")</f>
        <v>44745.67222</v>
      </c>
      <c r="V71" s="64" t="str">
        <f t="shared" si="6"/>
        <v/>
      </c>
      <c r="W71" s="66"/>
      <c r="X71" s="66">
        <f t="shared" si="7"/>
        <v>1388.311688</v>
      </c>
      <c r="Y71" s="66"/>
      <c r="Z71" s="66"/>
      <c r="AA71" s="66"/>
      <c r="AB71" s="67">
        <v>3.0</v>
      </c>
      <c r="AC71" s="67">
        <v>5.0</v>
      </c>
      <c r="AD71" s="67">
        <v>10.0</v>
      </c>
      <c r="AE71" s="67">
        <v>4.0</v>
      </c>
      <c r="AF71" s="63"/>
      <c r="AG71" s="63"/>
      <c r="AH71" s="63">
        <f t="shared" si="14"/>
        <v>44767.63181</v>
      </c>
      <c r="AI71" s="63">
        <f>if(AH71,_xlfn.workday.intl(int(AH71),0,"1000000",Holidays!A:A)+18/24,"")</f>
        <v>44767.75</v>
      </c>
      <c r="AJ71" s="64" t="str">
        <f t="shared" si="17"/>
        <v/>
      </c>
      <c r="AK71" s="56"/>
      <c r="AL71" s="66">
        <f t="shared" si="9"/>
        <v>1366.23391</v>
      </c>
      <c r="AM71" s="66"/>
      <c r="AN71" s="63" t="str">
        <f>if(AJ71,if(and(hour(AJ71+AN$5)&gt;11,(hour(AJ71+AN$5)&lt;20)),AJ71+AN$5,_xlfn.workday.intl(int(AJ71),1,"1000000",Holidays!A:A)+hour(AJ71+AN$5-$B$1)/24+minute(AJ71)/1440),"")</f>
        <v/>
      </c>
      <c r="AO71" s="64" t="str">
        <f t="shared" si="15"/>
        <v/>
      </c>
      <c r="AP71" s="56"/>
      <c r="AQ71" s="66" t="str">
        <f t="shared" si="16"/>
        <v/>
      </c>
      <c r="AR71" s="66"/>
      <c r="AS71" s="63" t="str">
        <f>if(AJ71,if(and(hour(AJ71+AS$5)&gt;11,(hour(AJ71+AS$5)&lt;20)),AJ71+AS$5,_xlfn.workday.intl(int(AJ71),1,"1000000",Holidays!A:A)+hour(AJ71+AS$5-$B$1)/24+minute(AJ71)/1440),"")</f>
        <v/>
      </c>
      <c r="AT71" s="64" t="str">
        <f t="shared" si="12"/>
        <v/>
      </c>
      <c r="AU71" s="56"/>
      <c r="AV71" s="66" t="str">
        <f t="shared" si="13"/>
        <v/>
      </c>
      <c r="AW71" s="66"/>
      <c r="AX71" s="65" t="s">
        <v>2723</v>
      </c>
    </row>
    <row r="72">
      <c r="A72" s="55">
        <v>44744.65057268519</v>
      </c>
      <c r="B72" s="56"/>
      <c r="C72" s="57"/>
      <c r="D72" s="57"/>
      <c r="E72" s="57"/>
      <c r="F72" s="57"/>
      <c r="G72" s="81">
        <f>if(A72,_xlfn.workday.intl(int(A72),1,"1000000",Holidays!A:A)+17/24,"")</f>
        <v>44745.70833</v>
      </c>
      <c r="H72" s="59">
        <f t="shared" si="18"/>
        <v>44761.51389</v>
      </c>
      <c r="I72" s="62" t="s">
        <v>2713</v>
      </c>
      <c r="J72" s="61">
        <f t="shared" si="2"/>
        <v>15.8055564</v>
      </c>
      <c r="K72" s="58">
        <f>if(G72,_xlfn.workday.intl(int(G72),0,"1000000",Holidays!A:A)+19/24,"")</f>
        <v>44745.79167</v>
      </c>
      <c r="L72" s="59">
        <f t="shared" si="3"/>
        <v>44773.57308</v>
      </c>
      <c r="M72" s="62" t="s">
        <v>2713</v>
      </c>
      <c r="N72" s="61">
        <f t="shared" si="4"/>
        <v>27.78141498</v>
      </c>
      <c r="O72" s="63">
        <f>if(A72,_xlfn.WORKDAY.INTL(A72,O$5,"1000000",Holidays!A:A)+hour(A72)/24+MINUTE(A72)/1440,"")</f>
        <v>44745.65</v>
      </c>
      <c r="P72" s="64">
        <v>44744.776385081015</v>
      </c>
      <c r="Q72" s="65" t="s">
        <v>2713</v>
      </c>
      <c r="R72" s="66" t="str">
        <f t="shared" si="5"/>
        <v/>
      </c>
      <c r="S72" s="66"/>
      <c r="T72" s="66"/>
      <c r="U72" s="64">
        <f>if(O72,_xlfn.WORKDAY.INTL(O72,U$5,"1000000",Holidays!A:A)+hour(O72)/24+MINUTE(O72)/1440,"")</f>
        <v>44747.65</v>
      </c>
      <c r="V72" s="64" t="str">
        <f t="shared" si="6"/>
        <v/>
      </c>
      <c r="W72" s="66"/>
      <c r="X72" s="66">
        <f t="shared" si="7"/>
        <v>1386.33391</v>
      </c>
      <c r="Y72" s="66"/>
      <c r="Z72" s="66"/>
      <c r="AA72" s="66"/>
      <c r="AB72" s="67">
        <v>1.0</v>
      </c>
      <c r="AC72" s="67"/>
      <c r="AD72" s="63"/>
      <c r="AE72" s="63"/>
      <c r="AF72" s="63"/>
      <c r="AG72" s="63"/>
      <c r="AH72" s="63">
        <f t="shared" si="14"/>
        <v>44745.77639</v>
      </c>
      <c r="AI72" s="63">
        <f>if(AH72,_xlfn.workday.intl(int(AH72),0,"1000000",Holidays!A:A)+18/24,"")</f>
        <v>44745.75</v>
      </c>
      <c r="AJ72" s="64" t="str">
        <f t="shared" si="17"/>
        <v/>
      </c>
      <c r="AK72" s="56"/>
      <c r="AL72" s="66">
        <f t="shared" si="9"/>
        <v>1388.23391</v>
      </c>
      <c r="AM72" s="66"/>
      <c r="AN72" s="63" t="str">
        <f>if(AJ72,if(and(hour(AJ72+AN$5)&gt;11,(hour(AJ72+AN$5)&lt;20)),AJ72+AN$5,_xlfn.workday.intl(int(AJ72),1,"1000000",Holidays!A:A)+hour(AJ72+AN$5-$B$1)/24+minute(AJ72)/1440),"")</f>
        <v/>
      </c>
      <c r="AO72" s="64" t="str">
        <f t="shared" si="15"/>
        <v/>
      </c>
      <c r="AP72" s="56"/>
      <c r="AQ72" s="66" t="str">
        <f t="shared" si="16"/>
        <v/>
      </c>
      <c r="AR72" s="66"/>
      <c r="AS72" s="63" t="str">
        <f>if(AJ72,if(and(hour(AJ72+AS$5)&gt;11,(hour(AJ72+AS$5)&lt;20)),AJ72+AS$5,_xlfn.workday.intl(int(AJ72),1,"1000000",Holidays!A:A)+hour(AJ72+AS$5-$B$1)/24+minute(AJ72)/1440),"")</f>
        <v/>
      </c>
      <c r="AT72" s="64" t="str">
        <f t="shared" si="12"/>
        <v/>
      </c>
      <c r="AU72" s="56"/>
      <c r="AV72" s="66" t="str">
        <f t="shared" si="13"/>
        <v/>
      </c>
      <c r="AW72" s="66"/>
      <c r="AX72" s="65" t="s">
        <v>2723</v>
      </c>
    </row>
    <row r="73">
      <c r="A73" s="55">
        <v>44745.765673263886</v>
      </c>
      <c r="B73" s="56"/>
      <c r="C73" s="57"/>
      <c r="D73" s="57"/>
      <c r="E73" s="57"/>
      <c r="F73" s="57"/>
      <c r="G73" s="58">
        <f>if(A73,_xlfn.workday.intl(int(A73),1,"1000000",Holidays!A:A)+17/24,"")</f>
        <v>44747.70833</v>
      </c>
      <c r="H73" s="59">
        <f t="shared" si="18"/>
        <v>44777.49683</v>
      </c>
      <c r="I73" s="62" t="s">
        <v>2713</v>
      </c>
      <c r="J73" s="61">
        <f t="shared" si="2"/>
        <v>29.78849176</v>
      </c>
      <c r="K73" s="58">
        <f>if(G73,_xlfn.workday.intl(int(G73),0,"1000000",Holidays!A:A)+19/24,"")</f>
        <v>44747.79167</v>
      </c>
      <c r="L73" s="59">
        <f t="shared" si="3"/>
        <v>44773.57308</v>
      </c>
      <c r="M73" s="62" t="s">
        <v>2713</v>
      </c>
      <c r="N73" s="61">
        <f t="shared" si="4"/>
        <v>25.78141498</v>
      </c>
      <c r="O73" s="63">
        <f>if(A73,_xlfn.WORKDAY.INTL(A73,O$5,"1000000",Holidays!A:A)+hour(A73)/24+MINUTE(A73)/1440,"")</f>
        <v>44747.76528</v>
      </c>
      <c r="P73" s="64">
        <v>44747.619598125</v>
      </c>
      <c r="Q73" s="65" t="s">
        <v>2713</v>
      </c>
      <c r="R73" s="66" t="str">
        <f t="shared" si="5"/>
        <v/>
      </c>
      <c r="S73" s="66"/>
      <c r="T73" s="66"/>
      <c r="U73" s="64">
        <f>if(O73,_xlfn.WORKDAY.INTL(O73,U$5,"1000000",Holidays!A:A)+hour(O73)/24+MINUTE(O73)/1440,"")</f>
        <v>44748.76528</v>
      </c>
      <c r="V73" s="64" t="str">
        <f t="shared" si="6"/>
        <v/>
      </c>
      <c r="W73" s="66"/>
      <c r="X73" s="66">
        <f t="shared" si="7"/>
        <v>1385.218632</v>
      </c>
      <c r="Y73" s="66"/>
      <c r="Z73" s="66"/>
      <c r="AA73" s="66"/>
      <c r="AB73" s="63"/>
      <c r="AC73" s="63"/>
      <c r="AD73" s="63"/>
      <c r="AE73" s="63"/>
      <c r="AF73" s="63"/>
      <c r="AG73" s="63"/>
      <c r="AH73" s="63">
        <f t="shared" si="14"/>
        <v>44747.6196</v>
      </c>
      <c r="AI73" s="63">
        <f>if(AH73,_xlfn.workday.intl(int(AH73),0,"1000000",Holidays!A:A)+18/24,"")</f>
        <v>44747.75</v>
      </c>
      <c r="AJ73" s="64" t="str">
        <f t="shared" si="17"/>
        <v/>
      </c>
      <c r="AK73" s="56"/>
      <c r="AL73" s="66">
        <f t="shared" si="9"/>
        <v>1386.23391</v>
      </c>
      <c r="AM73" s="66"/>
      <c r="AN73" s="63" t="str">
        <f>if(AJ73,if(and(hour(AJ73+AN$5)&gt;11,(hour(AJ73+AN$5)&lt;20)),AJ73+AN$5,_xlfn.workday.intl(int(AJ73),1,"1000000",Holidays!A:A)+hour(AJ73+AN$5-$B$1)/24+minute(AJ73)/1440),"")</f>
        <v/>
      </c>
      <c r="AO73" s="64" t="str">
        <f t="shared" si="15"/>
        <v/>
      </c>
      <c r="AP73" s="56"/>
      <c r="AQ73" s="66" t="str">
        <f t="shared" si="16"/>
        <v/>
      </c>
      <c r="AR73" s="66"/>
      <c r="AS73" s="63" t="str">
        <f>if(AJ73,if(and(hour(AJ73+AS$5)&gt;11,(hour(AJ73+AS$5)&lt;20)),AJ73+AS$5,_xlfn.workday.intl(int(AJ73),1,"1000000",Holidays!A:A)+hour(AJ73+AS$5-$B$1)/24+minute(AJ73)/1440),"")</f>
        <v/>
      </c>
      <c r="AT73" s="64" t="str">
        <f t="shared" si="12"/>
        <v/>
      </c>
      <c r="AU73" s="56"/>
      <c r="AV73" s="66" t="str">
        <f t="shared" si="13"/>
        <v/>
      </c>
      <c r="AW73" s="66"/>
      <c r="AX73" s="65" t="s">
        <v>2722</v>
      </c>
    </row>
    <row r="74">
      <c r="A74" s="55">
        <v>44747.52466962963</v>
      </c>
      <c r="B74" s="56"/>
      <c r="C74" s="57"/>
      <c r="D74" s="57"/>
      <c r="E74" s="57"/>
      <c r="F74" s="57"/>
      <c r="G74" s="58">
        <f>if(A74,_xlfn.workday.intl(int(A74),1,"1000000",Holidays!A:A)+17/24,"")</f>
        <v>44748.70833</v>
      </c>
      <c r="H74" s="59">
        <f t="shared" si="18"/>
        <v>44761.50839</v>
      </c>
      <c r="I74" s="62" t="s">
        <v>2713</v>
      </c>
      <c r="J74" s="61">
        <f t="shared" si="2"/>
        <v>12.80005824</v>
      </c>
      <c r="K74" s="58">
        <f>if(G74,_xlfn.workday.intl(int(G74),0,"1000000",Holidays!A:A)+19/24,"")</f>
        <v>44748.79167</v>
      </c>
      <c r="L74" s="59">
        <f t="shared" si="3"/>
        <v>44761.50843</v>
      </c>
      <c r="M74" s="62" t="s">
        <v>2713</v>
      </c>
      <c r="N74" s="61">
        <f t="shared" si="4"/>
        <v>12.7167624</v>
      </c>
      <c r="O74" s="63">
        <f>if(A74,_xlfn.WORKDAY.INTL(A74,O$5,"1000000",Holidays!A:A)+hour(A74)/24+MINUTE(A74)/1440,"")</f>
        <v>44748.52431</v>
      </c>
      <c r="P74" s="64">
        <v>44750.72070171296</v>
      </c>
      <c r="Q74" s="65" t="s">
        <v>2713</v>
      </c>
      <c r="R74" s="66">
        <f t="shared" si="5"/>
        <v>2.196396157</v>
      </c>
      <c r="S74" s="66"/>
      <c r="T74" s="66"/>
      <c r="U74" s="64">
        <f>if(O74,_xlfn.WORKDAY.INTL(O74,U$5,"1000000",Holidays!A:A)+hour(O74)/24+MINUTE(O74)/1440,"")</f>
        <v>44749.52431</v>
      </c>
      <c r="V74" s="64" t="str">
        <f t="shared" si="6"/>
        <v/>
      </c>
      <c r="W74" s="66"/>
      <c r="X74" s="66">
        <f t="shared" si="7"/>
        <v>1384.459604</v>
      </c>
      <c r="Y74" s="66"/>
      <c r="Z74" s="66"/>
      <c r="AA74" s="66"/>
      <c r="AB74" s="63"/>
      <c r="AC74" s="63"/>
      <c r="AD74" s="63"/>
      <c r="AE74" s="63"/>
      <c r="AF74" s="63"/>
      <c r="AG74" s="63"/>
      <c r="AH74" s="63">
        <f t="shared" si="14"/>
        <v>44750.7207</v>
      </c>
      <c r="AI74" s="63">
        <f>if(AH74,_xlfn.workday.intl(int(AH74),0,"1000000",Holidays!A:A)+18/24,"")</f>
        <v>44750.75</v>
      </c>
      <c r="AJ74" s="64">
        <f t="shared" si="17"/>
        <v>44757.54136</v>
      </c>
      <c r="AK74" s="65" t="s">
        <v>2713</v>
      </c>
      <c r="AL74" s="66">
        <f t="shared" si="9"/>
        <v>6.791356435</v>
      </c>
      <c r="AM74" s="66"/>
      <c r="AN74" s="63">
        <f>if(AJ74,if(and(hour(AJ74+AN$5)&gt;11,(hour(AJ74+AN$5)&lt;20)),AJ74+AN$5,_xlfn.workday.intl(int(AJ74),1,"1000000",Holidays!A:A)+hour(AJ74+AN$5-$B$1)/24+minute(AJ74)/1440),"")</f>
        <v>44758.54136</v>
      </c>
      <c r="AO74" s="64">
        <f t="shared" si="15"/>
        <v>44757.54141</v>
      </c>
      <c r="AP74" s="65" t="s">
        <v>2713</v>
      </c>
      <c r="AQ74" s="66" t="str">
        <f t="shared" si="16"/>
        <v/>
      </c>
      <c r="AR74" s="66"/>
      <c r="AS74" s="63">
        <f>if(AJ74,if(and(hour(AJ74+AS$5)&gt;11,(hour(AJ74+AS$5)&lt;20)),AJ74+AS$5,_xlfn.workday.intl(int(AJ74),1,"1000000",Holidays!A:A)+hour(AJ74+AS$5-$B$1)/24+minute(AJ74)/1440),"")</f>
        <v>44759.54136</v>
      </c>
      <c r="AT74" s="64">
        <f t="shared" si="12"/>
        <v>44757.54151</v>
      </c>
      <c r="AU74" s="65" t="s">
        <v>2715</v>
      </c>
      <c r="AV74" s="66" t="str">
        <f t="shared" si="13"/>
        <v/>
      </c>
      <c r="AW74" s="66"/>
      <c r="AX74" s="65" t="s">
        <v>2713</v>
      </c>
    </row>
    <row r="75">
      <c r="A75" s="55">
        <v>44752.56354459491</v>
      </c>
      <c r="B75" s="56"/>
      <c r="C75" s="57"/>
      <c r="D75" s="57"/>
      <c r="E75" s="57"/>
      <c r="F75" s="57"/>
      <c r="G75" s="58">
        <f>if(A75,_xlfn.workday.intl(int(A75),1,"1000000",Holidays!A:A)+17/24,"")</f>
        <v>44754.70833</v>
      </c>
      <c r="H75" s="59" t="str">
        <f t="shared" si="18"/>
        <v/>
      </c>
      <c r="I75" s="60"/>
      <c r="J75" s="61">
        <f t="shared" si="2"/>
        <v>1379.275577</v>
      </c>
      <c r="K75" s="58">
        <f>if(G75,_xlfn.workday.intl(int(G75),0,"1000000",Holidays!A:A)+19/24,"")</f>
        <v>44754.79167</v>
      </c>
      <c r="L75" s="59">
        <f t="shared" si="3"/>
        <v>44772.51575</v>
      </c>
      <c r="M75" s="62" t="s">
        <v>2713</v>
      </c>
      <c r="N75" s="61">
        <f t="shared" si="4"/>
        <v>17.7240792</v>
      </c>
      <c r="O75" s="63">
        <f>if(A75,_xlfn.WORKDAY.INTL(A75,O$5,"1000000",Holidays!A:A)+hour(A75)/24+MINUTE(A75)/1440,"")</f>
        <v>44754.56319</v>
      </c>
      <c r="P75" s="64">
        <v>44761.51227086806</v>
      </c>
      <c r="Q75" s="65" t="s">
        <v>2713</v>
      </c>
      <c r="R75" s="66">
        <f t="shared" si="5"/>
        <v>6.949076424</v>
      </c>
      <c r="S75" s="66"/>
      <c r="T75" s="66"/>
      <c r="U75" s="64">
        <f>if(O75,_xlfn.WORKDAY.INTL(O75,U$5,"1000000",Holidays!A:A)+hour(O75)/24+MINUTE(O75)/1440,"")</f>
        <v>44755.56319</v>
      </c>
      <c r="V75" s="64" t="str">
        <f t="shared" si="6"/>
        <v/>
      </c>
      <c r="W75" s="66"/>
      <c r="X75" s="66">
        <f t="shared" si="7"/>
        <v>1378.420715</v>
      </c>
      <c r="Y75" s="66"/>
      <c r="Z75" s="66"/>
      <c r="AA75" s="66"/>
      <c r="AB75" s="63"/>
      <c r="AC75" s="63"/>
      <c r="AD75" s="63"/>
      <c r="AE75" s="63"/>
      <c r="AF75" s="63"/>
      <c r="AG75" s="63"/>
      <c r="AH75" s="63">
        <f t="shared" si="14"/>
        <v>44761.51227</v>
      </c>
      <c r="AI75" s="63">
        <f>if(AH75,_xlfn.workday.intl(int(AH75),0,"1000000",Holidays!A:A)+18/24,"")</f>
        <v>44761.75</v>
      </c>
      <c r="AJ75" s="64" t="str">
        <f t="shared" si="17"/>
        <v/>
      </c>
      <c r="AK75" s="56"/>
      <c r="AL75" s="66">
        <f t="shared" si="9"/>
        <v>1372.23391</v>
      </c>
      <c r="AM75" s="66"/>
      <c r="AN75" s="63" t="str">
        <f>if(AJ75,if(and(hour(AJ75+AN$5)&gt;11,(hour(AJ75+AN$5)&lt;20)),AJ75+AN$5,_xlfn.workday.intl(int(AJ75),1,"1000000",Holidays!A:A)+hour(AJ75+AN$5-$B$1)/24+minute(AJ75)/1440),"")</f>
        <v/>
      </c>
      <c r="AO75" s="64" t="str">
        <f t="shared" si="15"/>
        <v/>
      </c>
      <c r="AP75" s="56"/>
      <c r="AQ75" s="66" t="str">
        <f t="shared" si="16"/>
        <v/>
      </c>
      <c r="AR75" s="66"/>
      <c r="AS75" s="63" t="str">
        <f>if(AJ75,if(and(hour(AJ75+AS$5)&gt;11,(hour(AJ75+AS$5)&lt;20)),AJ75+AS$5,_xlfn.workday.intl(int(AJ75),1,"1000000",Holidays!A:A)+hour(AJ75+AS$5-$B$1)/24+minute(AJ75)/1440),"")</f>
        <v/>
      </c>
      <c r="AT75" s="64" t="str">
        <f t="shared" si="12"/>
        <v/>
      </c>
      <c r="AU75" s="56"/>
      <c r="AV75" s="66" t="str">
        <f t="shared" si="13"/>
        <v/>
      </c>
      <c r="AW75" s="66"/>
      <c r="AX75" s="65" t="s">
        <v>2722</v>
      </c>
    </row>
    <row r="76">
      <c r="A76" s="55">
        <v>44754.54739295139</v>
      </c>
      <c r="B76" s="56"/>
      <c r="C76" s="57"/>
      <c r="D76" s="57"/>
      <c r="E76" s="57"/>
      <c r="F76" s="57"/>
      <c r="G76" s="58">
        <f>if(A76,_xlfn.workday.intl(int(A76),1,"1000000",Holidays!A:A)+17/24,"")</f>
        <v>44755.70833</v>
      </c>
      <c r="H76" s="59" t="str">
        <f t="shared" si="18"/>
        <v/>
      </c>
      <c r="I76" s="60"/>
      <c r="J76" s="61">
        <f t="shared" si="2"/>
        <v>1378.275577</v>
      </c>
      <c r="K76" s="58">
        <f>if(G76,_xlfn.workday.intl(int(G76),0,"1000000",Holidays!A:A)+19/24,"")</f>
        <v>44755.79167</v>
      </c>
      <c r="L76" s="59">
        <f t="shared" si="3"/>
        <v>44772.51575</v>
      </c>
      <c r="M76" s="62" t="s">
        <v>2713</v>
      </c>
      <c r="N76" s="61">
        <f t="shared" si="4"/>
        <v>16.7240792</v>
      </c>
      <c r="O76" s="63">
        <f>if(A76,_xlfn.WORKDAY.INTL(A76,O$5,"1000000",Holidays!A:A)+hour(A76)/24+MINUTE(A76)/1440,"")</f>
        <v>44755.54722</v>
      </c>
      <c r="P76" s="64">
        <v>44754.577718125</v>
      </c>
      <c r="Q76" s="65" t="s">
        <v>2713</v>
      </c>
      <c r="R76" s="66" t="str">
        <f t="shared" si="5"/>
        <v/>
      </c>
      <c r="S76" s="66"/>
      <c r="T76" s="66"/>
      <c r="U76" s="64">
        <f>if(O76,_xlfn.WORKDAY.INTL(O76,U$5,"1000000",Holidays!A:A)+hour(O76)/24+MINUTE(O76)/1440,"")</f>
        <v>44756.54722</v>
      </c>
      <c r="V76" s="64" t="str">
        <f t="shared" si="6"/>
        <v/>
      </c>
      <c r="W76" s="66"/>
      <c r="X76" s="66">
        <f t="shared" si="7"/>
        <v>1377.436688</v>
      </c>
      <c r="Y76" s="66"/>
      <c r="Z76" s="66"/>
      <c r="AA76" s="66"/>
      <c r="AB76" s="63"/>
      <c r="AC76" s="63"/>
      <c r="AD76" s="63"/>
      <c r="AE76" s="63"/>
      <c r="AF76" s="63"/>
      <c r="AG76" s="63"/>
      <c r="AH76" s="63">
        <f t="shared" si="14"/>
        <v>44754.57772</v>
      </c>
      <c r="AI76" s="63">
        <f>if(AH76,_xlfn.workday.intl(int(AH76),0,"1000000",Holidays!A:A)+18/24,"")</f>
        <v>44754.75</v>
      </c>
      <c r="AJ76" s="64" t="str">
        <f t="shared" si="17"/>
        <v/>
      </c>
      <c r="AK76" s="56"/>
      <c r="AL76" s="66">
        <f t="shared" si="9"/>
        <v>1379.23391</v>
      </c>
      <c r="AM76" s="66"/>
      <c r="AN76" s="63" t="str">
        <f>if(AJ76,if(and(hour(AJ76+AN$5)&gt;11,(hour(AJ76+AN$5)&lt;20)),AJ76+AN$5,_xlfn.workday.intl(int(AJ76),1,"1000000",Holidays!A:A)+hour(AJ76+AN$5-$B$1)/24+minute(AJ76)/1440),"")</f>
        <v/>
      </c>
      <c r="AO76" s="64" t="str">
        <f t="shared" si="15"/>
        <v/>
      </c>
      <c r="AP76" s="56"/>
      <c r="AQ76" s="66" t="str">
        <f t="shared" si="16"/>
        <v/>
      </c>
      <c r="AR76" s="66"/>
      <c r="AS76" s="63" t="str">
        <f>if(AJ76,if(and(hour(AJ76+AS$5)&gt;11,(hour(AJ76+AS$5)&lt;20)),AJ76+AS$5,_xlfn.workday.intl(int(AJ76),1,"1000000",Holidays!A:A)+hour(AJ76+AS$5-$B$1)/24+minute(AJ76)/1440),"")</f>
        <v/>
      </c>
      <c r="AT76" s="64" t="str">
        <f t="shared" si="12"/>
        <v/>
      </c>
      <c r="AU76" s="56"/>
      <c r="AV76" s="66" t="str">
        <f t="shared" si="13"/>
        <v/>
      </c>
      <c r="AW76" s="66"/>
      <c r="AX76" s="65" t="s">
        <v>2722</v>
      </c>
    </row>
    <row r="77">
      <c r="A77" s="55">
        <v>44754.58265486111</v>
      </c>
      <c r="B77" s="56"/>
      <c r="C77" s="57"/>
      <c r="D77" s="57"/>
      <c r="E77" s="57"/>
      <c r="F77" s="57"/>
      <c r="G77" s="58">
        <f>if(A77,_xlfn.workday.intl(int(A77),1,"1000000",Holidays!A:A)+17/24,"")</f>
        <v>44755.70833</v>
      </c>
      <c r="H77" s="59" t="str">
        <f t="shared" si="18"/>
        <v/>
      </c>
      <c r="I77" s="60"/>
      <c r="J77" s="61">
        <f t="shared" si="2"/>
        <v>1378.275577</v>
      </c>
      <c r="K77" s="58">
        <f>if(G77,_xlfn.workday.intl(int(G77),0,"1000000",Holidays!A:A)+19/24,"")</f>
        <v>44755.79167</v>
      </c>
      <c r="L77" s="59">
        <f t="shared" si="3"/>
        <v>44772.51534</v>
      </c>
      <c r="M77" s="62" t="s">
        <v>2713</v>
      </c>
      <c r="N77" s="61">
        <f t="shared" si="4"/>
        <v>16.7236725</v>
      </c>
      <c r="O77" s="63">
        <f>if(A77,_xlfn.WORKDAY.INTL(A77,O$5,"1000000",Holidays!A:A)+hour(A77)/24+MINUTE(A77)/1440,"")</f>
        <v>44755.58264</v>
      </c>
      <c r="P77" s="64">
        <v>44757.54118372685</v>
      </c>
      <c r="Q77" s="65" t="s">
        <v>2713</v>
      </c>
      <c r="R77" s="66">
        <f t="shared" si="5"/>
        <v>1.958544838</v>
      </c>
      <c r="S77" s="66"/>
      <c r="T77" s="66"/>
      <c r="U77" s="64">
        <f>if(O77,_xlfn.WORKDAY.INTL(O77,U$5,"1000000",Holidays!A:A)+hour(O77)/24+MINUTE(O77)/1440,"")</f>
        <v>44756.58264</v>
      </c>
      <c r="V77" s="64" t="str">
        <f t="shared" si="6"/>
        <v/>
      </c>
      <c r="W77" s="66"/>
      <c r="X77" s="66">
        <f t="shared" si="7"/>
        <v>1377.401271</v>
      </c>
      <c r="Y77" s="66"/>
      <c r="Z77" s="66"/>
      <c r="AA77" s="66"/>
      <c r="AB77" s="63"/>
      <c r="AC77" s="63"/>
      <c r="AD77" s="63"/>
      <c r="AE77" s="63"/>
      <c r="AF77" s="63"/>
      <c r="AG77" s="63"/>
      <c r="AH77" s="63">
        <f t="shared" si="14"/>
        <v>44757.54118</v>
      </c>
      <c r="AI77" s="63">
        <f>if(AH77,_xlfn.workday.intl(int(AH77),0,"1000000",Holidays!A:A)+18/24,"")</f>
        <v>44757.75</v>
      </c>
      <c r="AJ77" s="64" t="str">
        <f t="shared" si="17"/>
        <v/>
      </c>
      <c r="AK77" s="56"/>
      <c r="AL77" s="66">
        <f t="shared" si="9"/>
        <v>1376.23391</v>
      </c>
      <c r="AM77" s="66"/>
      <c r="AN77" s="63" t="str">
        <f>if(AJ77,if(and(hour(AJ77+AN$5)&gt;11,(hour(AJ77+AN$5)&lt;20)),AJ77+AN$5,_xlfn.workday.intl(int(AJ77),1,"1000000",Holidays!A:A)+hour(AJ77+AN$5-$B$1)/24+minute(AJ77)/1440),"")</f>
        <v/>
      </c>
      <c r="AO77" s="64" t="str">
        <f t="shared" si="15"/>
        <v/>
      </c>
      <c r="AP77" s="56"/>
      <c r="AQ77" s="66" t="str">
        <f t="shared" si="16"/>
        <v/>
      </c>
      <c r="AR77" s="66"/>
      <c r="AS77" s="63" t="str">
        <f>if(AJ77,if(and(hour(AJ77+AS$5)&gt;11,(hour(AJ77+AS$5)&lt;20)),AJ77+AS$5,_xlfn.workday.intl(int(AJ77),1,"1000000",Holidays!A:A)+hour(AJ77+AS$5-$B$1)/24+minute(AJ77)/1440),"")</f>
        <v/>
      </c>
      <c r="AT77" s="64" t="str">
        <f t="shared" si="12"/>
        <v/>
      </c>
      <c r="AU77" s="56"/>
      <c r="AV77" s="66" t="str">
        <f t="shared" si="13"/>
        <v/>
      </c>
      <c r="AW77" s="66"/>
      <c r="AX77" s="65" t="s">
        <v>2722</v>
      </c>
    </row>
    <row r="78">
      <c r="A78" s="55">
        <v>44754.5835421875</v>
      </c>
      <c r="B78" s="56"/>
      <c r="C78" s="57"/>
      <c r="D78" s="57"/>
      <c r="E78" s="57"/>
      <c r="F78" s="57"/>
      <c r="G78" s="58">
        <f>if(A78,_xlfn.workday.intl(int(A78),1,"1000000",Holidays!A:A)+17/24,"")</f>
        <v>44755.70833</v>
      </c>
      <c r="H78" s="59">
        <f t="shared" si="18"/>
        <v>44761.50768</v>
      </c>
      <c r="I78" s="62" t="s">
        <v>2713</v>
      </c>
      <c r="J78" s="61">
        <f t="shared" si="2"/>
        <v>5.799350324</v>
      </c>
      <c r="K78" s="58">
        <f>if(G78,_xlfn.workday.intl(int(G78),0,"1000000",Holidays!A:A)+19/24,"")</f>
        <v>44755.79167</v>
      </c>
      <c r="L78" s="59">
        <f t="shared" si="3"/>
        <v>44761.50774</v>
      </c>
      <c r="M78" s="62" t="s">
        <v>2713</v>
      </c>
      <c r="N78" s="61">
        <f t="shared" si="4"/>
        <v>5.716069687</v>
      </c>
      <c r="O78" s="63">
        <f>if(A78,_xlfn.WORKDAY.INTL(A78,O$5,"1000000",Holidays!A:A)+hour(A78)/24+MINUTE(A78)/1440,"")</f>
        <v>44755.58333</v>
      </c>
      <c r="P78" s="64">
        <v>44757.54096184028</v>
      </c>
      <c r="Q78" s="65" t="s">
        <v>2713</v>
      </c>
      <c r="R78" s="66">
        <f t="shared" si="5"/>
        <v>1.957628507</v>
      </c>
      <c r="S78" s="66"/>
      <c r="T78" s="66"/>
      <c r="U78" s="64">
        <f>if(O78,_xlfn.WORKDAY.INTL(O78,U$5,"1000000",Holidays!A:A)+hour(O78)/24+MINUTE(O78)/1440,"")</f>
        <v>44756.58333</v>
      </c>
      <c r="V78" s="64" t="str">
        <f t="shared" si="6"/>
        <v/>
      </c>
      <c r="W78" s="66"/>
      <c r="X78" s="66">
        <f t="shared" si="7"/>
        <v>1377.400577</v>
      </c>
      <c r="Y78" s="66"/>
      <c r="Z78" s="66"/>
      <c r="AA78" s="66"/>
      <c r="AB78" s="63"/>
      <c r="AC78" s="63"/>
      <c r="AD78" s="63"/>
      <c r="AE78" s="63"/>
      <c r="AF78" s="63"/>
      <c r="AG78" s="63"/>
      <c r="AH78" s="63">
        <f t="shared" si="14"/>
        <v>44757.54096</v>
      </c>
      <c r="AI78" s="63">
        <f>if(AH78,_xlfn.workday.intl(int(AH78),0,"1000000",Holidays!A:A)+18/24,"")</f>
        <v>44757.75</v>
      </c>
      <c r="AJ78" s="64">
        <f t="shared" si="17"/>
        <v>44761.50783</v>
      </c>
      <c r="AK78" s="65" t="s">
        <v>2713</v>
      </c>
      <c r="AL78" s="66">
        <f t="shared" si="9"/>
        <v>3.757827419</v>
      </c>
      <c r="AM78" s="66"/>
      <c r="AN78" s="63">
        <f>if(AJ78,if(and(hour(AJ78+AN$5)&gt;11,(hour(AJ78+AN$5)&lt;20)),AJ78+AN$5,_xlfn.workday.intl(int(AJ78),1,"1000000",Holidays!A:A)+hour(AJ78+AN$5-$B$1)/24+minute(AJ78)/1440),"")</f>
        <v>44762.50783</v>
      </c>
      <c r="AO78" s="64">
        <f t="shared" si="15"/>
        <v>44761.50786</v>
      </c>
      <c r="AP78" s="65" t="s">
        <v>2713</v>
      </c>
      <c r="AQ78" s="66" t="str">
        <f t="shared" si="16"/>
        <v/>
      </c>
      <c r="AR78" s="66"/>
      <c r="AS78" s="63">
        <f>if(AJ78,if(and(hour(AJ78+AS$5)&gt;11,(hour(AJ78+AS$5)&lt;20)),AJ78+AS$5,_xlfn.workday.intl(int(AJ78),1,"1000000",Holidays!A:A)+hour(AJ78+AS$5-$B$1)/24+minute(AJ78)/1440),"")</f>
        <v>44763.50783</v>
      </c>
      <c r="AT78" s="64">
        <f t="shared" si="12"/>
        <v>44761.5079</v>
      </c>
      <c r="AU78" s="65" t="s">
        <v>2715</v>
      </c>
      <c r="AV78" s="66" t="str">
        <f t="shared" si="13"/>
        <v/>
      </c>
      <c r="AW78" s="66"/>
      <c r="AX78" s="65" t="s">
        <v>2713</v>
      </c>
    </row>
    <row r="79">
      <c r="A79" s="55">
        <v>44754.611883680554</v>
      </c>
      <c r="B79" s="56"/>
      <c r="C79" s="57"/>
      <c r="D79" s="57"/>
      <c r="E79" s="57"/>
      <c r="F79" s="57"/>
      <c r="G79" s="58">
        <f>if(A79,_xlfn.workday.intl(int(A79),1,"1000000",Holidays!A:A)+17/24,"")</f>
        <v>44755.70833</v>
      </c>
      <c r="H79" s="59" t="str">
        <f t="shared" si="18"/>
        <v/>
      </c>
      <c r="I79" s="60"/>
      <c r="J79" s="61">
        <f t="shared" si="2"/>
        <v>1378.275577</v>
      </c>
      <c r="K79" s="58">
        <f>if(G79,_xlfn.workday.intl(int(G79),0,"1000000",Holidays!A:A)+19/24,"")</f>
        <v>44755.79167</v>
      </c>
      <c r="L79" s="59">
        <f t="shared" si="3"/>
        <v>44772.51522</v>
      </c>
      <c r="M79" s="62" t="s">
        <v>2713</v>
      </c>
      <c r="N79" s="61">
        <f t="shared" si="4"/>
        <v>16.72355054</v>
      </c>
      <c r="O79" s="63">
        <f>if(A79,_xlfn.WORKDAY.INTL(A79,O$5,"1000000",Holidays!A:A)+hour(A79)/24+MINUTE(A79)/1440,"")</f>
        <v>44755.61181</v>
      </c>
      <c r="P79" s="64">
        <v>44757.54025814815</v>
      </c>
      <c r="Q79" s="65" t="s">
        <v>2713</v>
      </c>
      <c r="R79" s="66">
        <f t="shared" si="5"/>
        <v>1.928452593</v>
      </c>
      <c r="S79" s="66"/>
      <c r="T79" s="66"/>
      <c r="U79" s="64">
        <f>if(O79,_xlfn.WORKDAY.INTL(O79,U$5,"1000000",Holidays!A:A)+hour(O79)/24+MINUTE(O79)/1440,"")</f>
        <v>44756.61181</v>
      </c>
      <c r="V79" s="64" t="str">
        <f t="shared" si="6"/>
        <v/>
      </c>
      <c r="W79" s="66"/>
      <c r="X79" s="66">
        <f t="shared" si="7"/>
        <v>1377.372104</v>
      </c>
      <c r="Y79" s="66"/>
      <c r="Z79" s="66"/>
      <c r="AA79" s="66"/>
      <c r="AB79" s="63"/>
      <c r="AC79" s="63"/>
      <c r="AD79" s="63"/>
      <c r="AE79" s="63"/>
      <c r="AF79" s="63"/>
      <c r="AG79" s="63"/>
      <c r="AH79" s="63">
        <f t="shared" si="14"/>
        <v>44757.54026</v>
      </c>
      <c r="AI79" s="63">
        <f>if(AH79,_xlfn.workday.intl(int(AH79),0,"1000000",Holidays!A:A)+18/24,"")</f>
        <v>44757.75</v>
      </c>
      <c r="AJ79" s="64" t="str">
        <f t="shared" si="17"/>
        <v/>
      </c>
      <c r="AK79" s="56"/>
      <c r="AL79" s="66">
        <f t="shared" si="9"/>
        <v>1376.23391</v>
      </c>
      <c r="AM79" s="66"/>
      <c r="AN79" s="63" t="str">
        <f>if(AJ79,if(and(hour(AJ79+AN$5)&gt;11,(hour(AJ79+AN$5)&lt;20)),AJ79+AN$5,_xlfn.workday.intl(int(AJ79),1,"1000000",Holidays!A:A)+hour(AJ79+AN$5-$B$1)/24+minute(AJ79)/1440),"")</f>
        <v/>
      </c>
      <c r="AO79" s="64" t="str">
        <f t="shared" si="15"/>
        <v/>
      </c>
      <c r="AP79" s="56"/>
      <c r="AQ79" s="66" t="str">
        <f t="shared" si="16"/>
        <v/>
      </c>
      <c r="AR79" s="66"/>
      <c r="AS79" s="63" t="str">
        <f>if(AJ79,if(and(hour(AJ79+AS$5)&gt;11,(hour(AJ79+AS$5)&lt;20)),AJ79+AS$5,_xlfn.workday.intl(int(AJ79),1,"1000000",Holidays!A:A)+hour(AJ79+AS$5-$B$1)/24+minute(AJ79)/1440),"")</f>
        <v/>
      </c>
      <c r="AT79" s="64" t="str">
        <f t="shared" si="12"/>
        <v/>
      </c>
      <c r="AU79" s="56"/>
      <c r="AV79" s="66" t="str">
        <f t="shared" si="13"/>
        <v/>
      </c>
      <c r="AW79" s="66"/>
      <c r="AX79" s="65" t="s">
        <v>2719</v>
      </c>
    </row>
    <row r="80">
      <c r="A80" s="55">
        <v>44755.68266373842</v>
      </c>
      <c r="B80" s="56"/>
      <c r="C80" s="57"/>
      <c r="D80" s="57"/>
      <c r="E80" s="77"/>
      <c r="F80" s="57"/>
      <c r="G80" s="58" t="str">
        <f>if(#REF!,_xlfn.workday.intl(int(#REF!),1,"1000000",Holidays!A:A)+17/24,"")</f>
        <v>#REF!</v>
      </c>
      <c r="H80" s="59">
        <f t="shared" si="18"/>
        <v>44761.50674</v>
      </c>
      <c r="I80" s="62" t="s">
        <v>2713</v>
      </c>
      <c r="J80" s="61" t="str">
        <f t="shared" si="2"/>
        <v>#REF!</v>
      </c>
      <c r="K80" s="58" t="str">
        <f>if(G80,_xlfn.workday.intl(int(G80),0,"1000000",Holidays!A:A)+19/24,"")</f>
        <v>#REF!</v>
      </c>
      <c r="L80" s="59">
        <f t="shared" si="3"/>
        <v>44761.50681</v>
      </c>
      <c r="M80" s="62" t="s">
        <v>2713</v>
      </c>
      <c r="N80" s="61" t="str">
        <f t="shared" si="4"/>
        <v>#REF!</v>
      </c>
      <c r="O80" s="63">
        <f>if(A80,_xlfn.WORKDAY.INTL(A80,O$5,"1000000",Holidays!A:A)+hour(A80)/24+MINUTE(A80)/1440,"")</f>
        <v>44756.68264</v>
      </c>
      <c r="P80" s="64">
        <v>44757.54053625</v>
      </c>
      <c r="Q80" s="65" t="s">
        <v>2713</v>
      </c>
      <c r="R80" s="66">
        <f t="shared" si="5"/>
        <v>0.8578973611</v>
      </c>
      <c r="S80" s="66"/>
      <c r="T80" s="66"/>
      <c r="U80" s="64">
        <f>if(O80,_xlfn.WORKDAY.INTL(O80,U$5,"1000000",Holidays!A:A)+hour(O80)/24+MINUTE(O80)/1440,"")</f>
        <v>44757.68264</v>
      </c>
      <c r="V80" s="64" t="str">
        <f t="shared" si="6"/>
        <v/>
      </c>
      <c r="W80" s="66"/>
      <c r="X80" s="66">
        <f t="shared" si="7"/>
        <v>1376.301271</v>
      </c>
      <c r="Y80" s="66"/>
      <c r="Z80" s="66"/>
      <c r="AA80" s="66"/>
      <c r="AB80" s="63"/>
      <c r="AC80" s="63"/>
      <c r="AD80" s="63"/>
      <c r="AE80" s="63"/>
      <c r="AF80" s="63"/>
      <c r="AG80" s="63"/>
      <c r="AH80" s="63">
        <f t="shared" si="14"/>
        <v>44757.54054</v>
      </c>
      <c r="AI80" s="63">
        <f>if(AH80,_xlfn.workday.intl(int(AH80),0,"1000000",Holidays!A:A)+18/24,"")</f>
        <v>44757.75</v>
      </c>
      <c r="AJ80" s="64">
        <f t="shared" si="17"/>
        <v>44761.50692</v>
      </c>
      <c r="AK80" s="65" t="s">
        <v>2713</v>
      </c>
      <c r="AL80" s="66">
        <f t="shared" si="9"/>
        <v>3.756920949</v>
      </c>
      <c r="AM80" s="66"/>
      <c r="AN80" s="63">
        <f>if(AJ80,if(and(hour(AJ80+AN$5)&gt;11,(hour(AJ80+AN$5)&lt;20)),AJ80+AN$5,_xlfn.workday.intl(int(AJ80),1,"1000000",Holidays!A:A)+hour(AJ80+AN$5-$B$1)/24+minute(AJ80)/1440),"")</f>
        <v>44762.50692</v>
      </c>
      <c r="AO80" s="64">
        <f t="shared" si="15"/>
        <v>44761.50697</v>
      </c>
      <c r="AP80" s="65" t="s">
        <v>2713</v>
      </c>
      <c r="AQ80" s="66" t="str">
        <f t="shared" si="16"/>
        <v/>
      </c>
      <c r="AR80" s="66"/>
      <c r="AS80" s="63">
        <f>if(AJ80,if(and(hour(AJ80+AS$5)&gt;11,(hour(AJ80+AS$5)&lt;20)),AJ80+AS$5,_xlfn.workday.intl(int(AJ80),1,"1000000",Holidays!A:A)+hour(AJ80+AS$5-$B$1)/24+minute(AJ80)/1440),"")</f>
        <v>44763.50692</v>
      </c>
      <c r="AT80" s="64">
        <f t="shared" si="12"/>
        <v>44761.50704</v>
      </c>
      <c r="AU80" s="65" t="s">
        <v>2715</v>
      </c>
      <c r="AV80" s="66" t="str">
        <f t="shared" si="13"/>
        <v/>
      </c>
      <c r="AW80" s="66"/>
      <c r="AX80" s="65" t="s">
        <v>2713</v>
      </c>
    </row>
    <row r="81">
      <c r="A81" s="19">
        <v>44757.52115123843</v>
      </c>
      <c r="B81" s="56"/>
      <c r="C81" s="57"/>
      <c r="D81" s="57"/>
      <c r="E81" s="77"/>
      <c r="F81" s="57"/>
      <c r="G81" s="58">
        <f>if(A80,_xlfn.workday.intl(int(A80),1,"1000000",Holidays!A:A)+17/24,"")</f>
        <v>44756.70833</v>
      </c>
      <c r="H81" s="59" t="str">
        <f t="shared" si="18"/>
        <v/>
      </c>
      <c r="I81" s="60"/>
      <c r="J81" s="61">
        <f t="shared" si="2"/>
        <v>1377.275577</v>
      </c>
      <c r="K81" s="58">
        <f>if(G81,_xlfn.workday.intl(int(G81),0,"1000000",Holidays!A:A)+19/24,"")</f>
        <v>44756.79167</v>
      </c>
      <c r="L81" s="59">
        <f t="shared" si="3"/>
        <v>44772.51507</v>
      </c>
      <c r="M81" s="62" t="s">
        <v>2713</v>
      </c>
      <c r="N81" s="61">
        <f t="shared" si="4"/>
        <v>15.72340096</v>
      </c>
      <c r="O81" s="63">
        <f>if(A81,_xlfn.WORKDAY.INTL(A81,O$5,"1000000",Holidays!A:A)+hour(A81)/24+MINUTE(A81)/1440,"")</f>
        <v>44758.52083</v>
      </c>
      <c r="P81" s="64">
        <v>44757.54004266203</v>
      </c>
      <c r="Q81" s="65" t="s">
        <v>2713</v>
      </c>
      <c r="R81" s="66" t="str">
        <f t="shared" si="5"/>
        <v/>
      </c>
      <c r="S81" s="66"/>
      <c r="T81" s="66"/>
      <c r="U81" s="64">
        <f>if(O81,_xlfn.WORKDAY.INTL(O81,U$5,"1000000",Holidays!A:A)+hour(O81)/24+MINUTE(O81)/1440,"")</f>
        <v>44759.52083</v>
      </c>
      <c r="V81" s="64" t="str">
        <f t="shared" si="6"/>
        <v/>
      </c>
      <c r="W81" s="66"/>
      <c r="X81" s="66">
        <f t="shared" si="7"/>
        <v>1374.463077</v>
      </c>
      <c r="Y81" s="66"/>
      <c r="Z81" s="66"/>
      <c r="AA81" s="66"/>
      <c r="AB81" s="63"/>
      <c r="AC81" s="63"/>
      <c r="AD81" s="63"/>
      <c r="AE81" s="63"/>
      <c r="AF81" s="63"/>
      <c r="AG81" s="63"/>
      <c r="AH81" s="63">
        <f t="shared" si="14"/>
        <v>44757.54004</v>
      </c>
      <c r="AI81" s="63">
        <f>if(AH81,_xlfn.workday.intl(int(AH81),0,"1000000",Holidays!A:A)+18/24,"")</f>
        <v>44757.75</v>
      </c>
      <c r="AJ81" s="64">
        <f t="shared" si="17"/>
        <v>44887.75772</v>
      </c>
      <c r="AK81" s="65" t="s">
        <v>2713</v>
      </c>
      <c r="AL81" s="66">
        <f t="shared" si="9"/>
        <v>130.0077247</v>
      </c>
      <c r="AM81" s="66"/>
      <c r="AN81" s="63">
        <f>if(AJ81,if(and(hour(AJ81+AN$5)&gt;11,(hour(AJ81+AN$5)&lt;20)),AJ81+AN$5,_xlfn.workday.intl(int(AJ81),1,"1000000",Holidays!A:A)+hour(AJ81+AN$5-$B$1)/24+minute(AJ81)/1440),"")</f>
        <v>44888.75772</v>
      </c>
      <c r="AO81" s="64">
        <f t="shared" si="15"/>
        <v>44887.75776</v>
      </c>
      <c r="AP81" s="65" t="s">
        <v>2713</v>
      </c>
      <c r="AQ81" s="66" t="str">
        <f t="shared" si="16"/>
        <v/>
      </c>
      <c r="AR81" s="66"/>
      <c r="AS81" s="63">
        <f>if(AJ81,if(and(hour(AJ81+AS$5)&gt;11,(hour(AJ81+AS$5)&lt;20)),AJ81+AS$5,_xlfn.workday.intl(int(AJ81),1,"1000000",Holidays!A:A)+hour(AJ81+AS$5-$B$1)/24+minute(AJ81)/1440),"")</f>
        <v>44889.75772</v>
      </c>
      <c r="AT81" s="64">
        <f t="shared" si="12"/>
        <v>44887.75778</v>
      </c>
      <c r="AU81" s="65" t="s">
        <v>2715</v>
      </c>
      <c r="AV81" s="66" t="str">
        <f t="shared" si="13"/>
        <v/>
      </c>
      <c r="AW81" s="66"/>
      <c r="AX81" s="65" t="s">
        <v>2713</v>
      </c>
    </row>
    <row r="82">
      <c r="A82" s="55">
        <v>44758.59361398148</v>
      </c>
      <c r="B82" s="56"/>
      <c r="C82" s="57"/>
      <c r="D82" s="57"/>
      <c r="E82" s="57"/>
      <c r="F82" s="57"/>
      <c r="G82" s="58">
        <f>if(A82,_xlfn.workday.intl(int(A82),1,"1000000",Holidays!A:A)+17/24,"")</f>
        <v>44759.70833</v>
      </c>
      <c r="H82" s="59" t="str">
        <f t="shared" si="18"/>
        <v/>
      </c>
      <c r="I82" s="60"/>
      <c r="J82" s="61">
        <f t="shared" si="2"/>
        <v>1374.275577</v>
      </c>
      <c r="K82" s="58">
        <f>if(G82,_xlfn.workday.intl(int(G82),0,"1000000",Holidays!A:A)+19/24,"")</f>
        <v>44759.79167</v>
      </c>
      <c r="L82" s="59">
        <f t="shared" si="3"/>
        <v>44772.51475</v>
      </c>
      <c r="M82" s="62" t="s">
        <v>2713</v>
      </c>
      <c r="N82" s="61">
        <f t="shared" si="4"/>
        <v>12.72308311</v>
      </c>
      <c r="O82" s="63">
        <f>if(A82,_xlfn.WORKDAY.INTL(A82,O$5,"1000000",Holidays!A:A)+hour(A82)/24+MINUTE(A82)/1440,"")</f>
        <v>44759.59306</v>
      </c>
      <c r="P82" s="64">
        <v>44769.63500876157</v>
      </c>
      <c r="Q82" s="65" t="s">
        <v>2713</v>
      </c>
      <c r="R82" s="66">
        <f t="shared" si="5"/>
        <v>10.04195321</v>
      </c>
      <c r="S82" s="66"/>
      <c r="T82" s="66"/>
      <c r="U82" s="64">
        <f>if(O82,_xlfn.WORKDAY.INTL(O82,U$5,"1000000",Holidays!A:A)+hour(O82)/24+MINUTE(O82)/1440,"")</f>
        <v>44761.59306</v>
      </c>
      <c r="V82" s="64" t="str">
        <f t="shared" si="6"/>
        <v/>
      </c>
      <c r="W82" s="66"/>
      <c r="X82" s="66">
        <f t="shared" si="7"/>
        <v>1372.390854</v>
      </c>
      <c r="Y82" s="66"/>
      <c r="Z82" s="66"/>
      <c r="AA82" s="66"/>
      <c r="AB82" s="67">
        <v>5.0</v>
      </c>
      <c r="AC82" s="67">
        <v>2.0</v>
      </c>
      <c r="AD82" s="63"/>
      <c r="AE82" s="63"/>
      <c r="AF82" s="63"/>
      <c r="AG82" s="63"/>
      <c r="AH82" s="63">
        <f t="shared" si="14"/>
        <v>44776.63501</v>
      </c>
      <c r="AI82" s="63">
        <f>if(AH82,_xlfn.workday.intl(int(AH82),0,"1000000",Holidays!A:A)+18/24,"")</f>
        <v>44776.75</v>
      </c>
      <c r="AJ82" s="64" t="str">
        <f t="shared" si="17"/>
        <v/>
      </c>
      <c r="AK82" s="56"/>
      <c r="AL82" s="66">
        <f t="shared" si="9"/>
        <v>1357.23391</v>
      </c>
      <c r="AM82" s="66"/>
      <c r="AN82" s="63" t="str">
        <f>if(AJ82,if(and(hour(AJ82+AN$5)&gt;11,(hour(AJ82+AN$5)&lt;20)),AJ82+AN$5,_xlfn.workday.intl(int(AJ82),1,"1000000",Holidays!A:A)+hour(AJ82+AN$5-$B$1)/24+minute(AJ82)/1440),"")</f>
        <v/>
      </c>
      <c r="AO82" s="64">
        <f t="shared" si="15"/>
        <v>44777.49522</v>
      </c>
      <c r="AP82" s="65" t="s">
        <v>2713</v>
      </c>
      <c r="AQ82" s="66" t="str">
        <f t="shared" si="16"/>
        <v/>
      </c>
      <c r="AR82" s="66"/>
      <c r="AS82" s="63" t="str">
        <f>if(AJ82,if(and(hour(AJ82+AS$5)&gt;11,(hour(AJ82+AS$5)&lt;20)),AJ82+AS$5,_xlfn.workday.intl(int(AJ82),1,"1000000",Holidays!A:A)+hour(AJ82+AS$5-$B$1)/24+minute(AJ82)/1440),"")</f>
        <v/>
      </c>
      <c r="AT82" s="64" t="str">
        <f t="shared" si="12"/>
        <v/>
      </c>
      <c r="AU82" s="56"/>
      <c r="AV82" s="66" t="str">
        <f t="shared" si="13"/>
        <v/>
      </c>
      <c r="AW82" s="66"/>
      <c r="AX82" s="65" t="s">
        <v>2723</v>
      </c>
    </row>
    <row r="83">
      <c r="A83" s="55">
        <v>44761.51624570602</v>
      </c>
      <c r="B83" s="56"/>
      <c r="C83" s="57"/>
      <c r="D83" s="57"/>
      <c r="E83" s="57"/>
      <c r="F83" s="57"/>
      <c r="G83" s="58">
        <f>if(A83,_xlfn.workday.intl(int(A83),1,"1000000",Holidays!A:A)+17/24,"")</f>
        <v>44762.70833</v>
      </c>
      <c r="H83" s="59">
        <f t="shared" si="18"/>
        <v>44777.4946</v>
      </c>
      <c r="I83" s="62" t="s">
        <v>2713</v>
      </c>
      <c r="J83" s="61">
        <f t="shared" si="2"/>
        <v>14.78626523</v>
      </c>
      <c r="K83" s="58">
        <f>if(G83,_xlfn.workday.intl(int(G83),0,"1000000",Holidays!A:A)+19/24,"")</f>
        <v>44762.79167</v>
      </c>
      <c r="L83" s="59">
        <f t="shared" si="3"/>
        <v>44773.57383</v>
      </c>
      <c r="M83" s="62" t="s">
        <v>2713</v>
      </c>
      <c r="N83" s="61">
        <f t="shared" si="4"/>
        <v>10.78216267</v>
      </c>
      <c r="O83" s="63">
        <f>if(A83,_xlfn.WORKDAY.INTL(A83,O$5,"1000000",Holidays!A:A)+hour(A83)/24+MINUTE(A83)/1440,"")</f>
        <v>44762.51597</v>
      </c>
      <c r="P83" s="64">
        <v>44763.474769849534</v>
      </c>
      <c r="Q83" s="65" t="s">
        <v>2713</v>
      </c>
      <c r="R83" s="66">
        <f t="shared" si="5"/>
        <v>0.9587976273</v>
      </c>
      <c r="S83" s="66"/>
      <c r="T83" s="66"/>
      <c r="U83" s="64">
        <f>if(O83,_xlfn.WORKDAY.INTL(O83,U$5,"1000000",Holidays!A:A)+hour(O83)/24+MINUTE(O83)/1440,"")</f>
        <v>44763.51597</v>
      </c>
      <c r="V83" s="64" t="str">
        <f t="shared" si="6"/>
        <v/>
      </c>
      <c r="W83" s="66"/>
      <c r="X83" s="66">
        <f t="shared" si="7"/>
        <v>1370.467938</v>
      </c>
      <c r="Y83" s="66"/>
      <c r="Z83" s="66"/>
      <c r="AA83" s="66"/>
      <c r="AB83" s="67">
        <v>1.0</v>
      </c>
      <c r="AC83" s="63"/>
      <c r="AD83" s="63"/>
      <c r="AE83" s="63"/>
      <c r="AF83" s="63"/>
      <c r="AG83" s="63"/>
      <c r="AH83" s="63">
        <f t="shared" si="14"/>
        <v>44764.47477</v>
      </c>
      <c r="AI83" s="63">
        <f>if(AH83,_xlfn.workday.intl(int(AH83),0,"1000000",Holidays!A:A)+18/24,"")</f>
        <v>44764.75</v>
      </c>
      <c r="AJ83" s="64">
        <f t="shared" si="17"/>
        <v>44778.54177</v>
      </c>
      <c r="AK83" s="65" t="s">
        <v>2713</v>
      </c>
      <c r="AL83" s="66">
        <f t="shared" si="9"/>
        <v>13.79177147</v>
      </c>
      <c r="AM83" s="66"/>
      <c r="AN83" s="63">
        <f>if(AJ83,if(and(hour(AJ83+AN$5)&gt;11,(hour(AJ83+AN$5)&lt;20)),AJ83+AN$5,_xlfn.workday.intl(int(AJ83),1,"1000000",Holidays!A:A)+hour(AJ83+AN$5-$B$1)/24+minute(AJ83)/1440),"")</f>
        <v>44779.54177</v>
      </c>
      <c r="AO83" s="64">
        <f t="shared" si="15"/>
        <v>44777.49478</v>
      </c>
      <c r="AP83" s="65" t="s">
        <v>2713</v>
      </c>
      <c r="AQ83" s="66" t="str">
        <f t="shared" si="16"/>
        <v/>
      </c>
      <c r="AR83" s="66"/>
      <c r="AS83" s="63">
        <f>if(AJ83,if(and(hour(AJ83+AS$5)&gt;11,(hour(AJ83+AS$5)&lt;20)),AJ83+AS$5,_xlfn.workday.intl(int(AJ83),1,"1000000",Holidays!A:A)+hour(AJ83+AS$5-$B$1)/24+minute(AJ83)/1440),"")</f>
        <v>44780.54177</v>
      </c>
      <c r="AT83" s="64">
        <f t="shared" si="12"/>
        <v>44778.54184</v>
      </c>
      <c r="AU83" s="65" t="s">
        <v>2715</v>
      </c>
      <c r="AV83" s="66" t="str">
        <f t="shared" si="13"/>
        <v/>
      </c>
      <c r="AW83" s="66"/>
      <c r="AX83" s="65" t="s">
        <v>2713</v>
      </c>
    </row>
    <row r="84">
      <c r="A84" s="55">
        <v>44763.50558091435</v>
      </c>
      <c r="B84" s="56"/>
      <c r="C84" s="57"/>
      <c r="D84" s="57"/>
      <c r="E84" s="57"/>
      <c r="F84" s="57"/>
      <c r="G84" s="58">
        <f>if(A84,_xlfn.workday.intl(int(A84),1,"1000000",Holidays!A:A)+17/24,"")</f>
        <v>44764.70833</v>
      </c>
      <c r="H84" s="59">
        <f t="shared" si="18"/>
        <v>44764.50756</v>
      </c>
      <c r="I84" s="62" t="s">
        <v>2714</v>
      </c>
      <c r="J84" s="61" t="str">
        <f t="shared" si="2"/>
        <v/>
      </c>
      <c r="K84" s="58">
        <f>if(G84,_xlfn.workday.intl(int(G84),0,"1000000",Holidays!A:A)+19/24,"")</f>
        <v>44764.79167</v>
      </c>
      <c r="L84" s="59">
        <f t="shared" si="3"/>
        <v>44773.57419</v>
      </c>
      <c r="M84" s="62" t="s">
        <v>2713</v>
      </c>
      <c r="N84" s="61">
        <f t="shared" si="4"/>
        <v>8.782524514</v>
      </c>
      <c r="O84" s="63">
        <f>if(A84,_xlfn.WORKDAY.INTL(A84,O$5,"1000000",Holidays!A:A)+hour(A84)/24+MINUTE(A84)/1440,"")</f>
        <v>44764.50556</v>
      </c>
      <c r="P84" s="64">
        <v>44764.50755841435</v>
      </c>
      <c r="Q84" s="65" t="s">
        <v>2714</v>
      </c>
      <c r="R84" s="66">
        <f t="shared" si="5"/>
        <v>0.00200285879</v>
      </c>
      <c r="S84" s="66"/>
      <c r="T84" s="66"/>
      <c r="U84" s="64">
        <f>if(O84,_xlfn.WORKDAY.INTL(O84,U$5,"1000000",Holidays!A:A)+hour(O84)/24+MINUTE(O84)/1440,"")</f>
        <v>44765.50556</v>
      </c>
      <c r="V84" s="64" t="str">
        <f t="shared" si="6"/>
        <v/>
      </c>
      <c r="W84" s="66"/>
      <c r="X84" s="66">
        <f t="shared" si="7"/>
        <v>1368.478354</v>
      </c>
      <c r="Y84" s="66"/>
      <c r="Z84" s="66"/>
      <c r="AA84" s="66"/>
      <c r="AB84" s="67">
        <v>1.0</v>
      </c>
      <c r="AC84" s="67">
        <v>1.0</v>
      </c>
      <c r="AD84" s="63"/>
      <c r="AE84" s="63"/>
      <c r="AF84" s="63"/>
      <c r="AG84" s="63"/>
      <c r="AH84" s="63">
        <f t="shared" si="14"/>
        <v>44766.50756</v>
      </c>
      <c r="AI84" s="63">
        <f>if(AH84,_xlfn.workday.intl(int(AH84),0,"1000000",Holidays!A:A)+18/24,"")</f>
        <v>44766.75</v>
      </c>
      <c r="AJ84" s="64">
        <f t="shared" si="17"/>
        <v>44766.7081</v>
      </c>
      <c r="AK84" s="65" t="s">
        <v>2713</v>
      </c>
      <c r="AL84" s="66" t="str">
        <f t="shared" si="9"/>
        <v/>
      </c>
      <c r="AM84" s="66"/>
      <c r="AN84" s="63">
        <f>if(AJ84,if(and(hour(AJ84+AN$5)&gt;11,(hour(AJ84+AN$5)&lt;20)),AJ84+AN$5,_xlfn.workday.intl(int(AJ84),1,"1000000",Holidays!A:A)+hour(AJ84+AN$5-$B$1)/24+minute(AJ84)/1440),"")</f>
        <v>44767.7081</v>
      </c>
      <c r="AO84" s="64">
        <f t="shared" si="15"/>
        <v>44777.49369</v>
      </c>
      <c r="AP84" s="65" t="s">
        <v>2714</v>
      </c>
      <c r="AQ84" s="66">
        <f t="shared" si="16"/>
        <v>9.78559272</v>
      </c>
      <c r="AR84" s="66"/>
      <c r="AS84" s="63">
        <f>if(AJ84,if(and(hour(AJ84+AS$5)&gt;11,(hour(AJ84+AS$5)&lt;20)),AJ84+AS$5,_xlfn.workday.intl(int(AJ84),1,"1000000",Holidays!A:A)+hour(AJ84+AS$5-$B$1)/24+minute(AJ84)/1440),"")</f>
        <v>44768.7081</v>
      </c>
      <c r="AT84" s="64">
        <f t="shared" si="12"/>
        <v>44887.75381</v>
      </c>
      <c r="AU84" s="65" t="s">
        <v>2715</v>
      </c>
      <c r="AV84" s="66">
        <f t="shared" si="13"/>
        <v>119.045707</v>
      </c>
      <c r="AW84" s="66"/>
      <c r="AX84" s="65" t="s">
        <v>2713</v>
      </c>
    </row>
    <row r="85">
      <c r="A85" s="55">
        <v>44764.50755541667</v>
      </c>
      <c r="B85" s="56"/>
      <c r="C85" s="57"/>
      <c r="D85" s="57"/>
      <c r="E85" s="57"/>
      <c r="F85" s="57"/>
      <c r="G85" s="58">
        <f>if(A85,_xlfn.workday.intl(int(A85),1,"1000000",Holidays!A:A)+17/24,"")</f>
        <v>44765.70833</v>
      </c>
      <c r="H85" s="59">
        <f t="shared" si="18"/>
        <v>44808.59526</v>
      </c>
      <c r="I85" s="62" t="s">
        <v>2714</v>
      </c>
      <c r="J85" s="61">
        <f t="shared" si="2"/>
        <v>42.88692936</v>
      </c>
      <c r="K85" s="58">
        <f>if(G85,_xlfn.workday.intl(int(G85),0,"1000000",Holidays!A:A)+19/24,"")</f>
        <v>44765.79167</v>
      </c>
      <c r="L85" s="59">
        <f t="shared" si="3"/>
        <v>44772.51422</v>
      </c>
      <c r="M85" s="62" t="s">
        <v>2713</v>
      </c>
      <c r="N85" s="61">
        <f t="shared" si="4"/>
        <v>6.722553565</v>
      </c>
      <c r="O85" s="63">
        <f>if(A85,_xlfn.WORKDAY.INTL(A85,O$5,"1000000",Holidays!A:A)+hour(A85)/24+MINUTE(A85)/1440,"")</f>
        <v>44765.50694</v>
      </c>
      <c r="P85" s="64">
        <v>44766.70754232639</v>
      </c>
      <c r="Q85" s="65" t="s">
        <v>2714</v>
      </c>
      <c r="R85" s="66">
        <f t="shared" si="5"/>
        <v>1.200597882</v>
      </c>
      <c r="S85" s="66"/>
      <c r="T85" s="66"/>
      <c r="U85" s="64">
        <f>if(O85,_xlfn.WORKDAY.INTL(O85,U$5,"1000000",Holidays!A:A)+hour(O85)/24+MINUTE(O85)/1440,"")</f>
        <v>44766.50694</v>
      </c>
      <c r="V85" s="64" t="str">
        <f t="shared" si="6"/>
        <v/>
      </c>
      <c r="W85" s="66"/>
      <c r="X85" s="66">
        <f t="shared" si="7"/>
        <v>1367.476965</v>
      </c>
      <c r="Y85" s="66"/>
      <c r="Z85" s="66"/>
      <c r="AA85" s="66"/>
      <c r="AB85" s="67">
        <v>1.0</v>
      </c>
      <c r="AC85" s="67">
        <v>5.0</v>
      </c>
      <c r="AD85" s="67">
        <v>2.0</v>
      </c>
      <c r="AE85" s="67">
        <v>1.0</v>
      </c>
      <c r="AF85" s="63"/>
      <c r="AG85" s="63"/>
      <c r="AH85" s="63">
        <f t="shared" si="14"/>
        <v>44775.70754</v>
      </c>
      <c r="AI85" s="63">
        <f>if(AH85,_xlfn.workday.intl(int(AH85),0,"1000000",Holidays!A:A)+18/24,"")</f>
        <v>44775.75</v>
      </c>
      <c r="AJ85" s="64">
        <f t="shared" si="17"/>
        <v>44808.59532</v>
      </c>
      <c r="AK85" s="65" t="s">
        <v>2713</v>
      </c>
      <c r="AL85" s="66">
        <f t="shared" si="9"/>
        <v>32.84532346</v>
      </c>
      <c r="AM85" s="66"/>
      <c r="AN85" s="63">
        <f>if(AJ85,if(and(hour(AJ85+AN$5)&gt;11,(hour(AJ85+AN$5)&lt;20)),AJ85+AN$5,_xlfn.workday.intl(int(AJ85),1,"1000000",Holidays!A:A)+hour(AJ85+AN$5-$B$1)/24+minute(AJ85)/1440),"")</f>
        <v>44809.59532</v>
      </c>
      <c r="AO85" s="64">
        <f t="shared" si="15"/>
        <v>44766.62876</v>
      </c>
      <c r="AP85" s="65" t="s">
        <v>2714</v>
      </c>
      <c r="AQ85" s="66" t="str">
        <f t="shared" si="16"/>
        <v/>
      </c>
      <c r="AR85" s="66"/>
      <c r="AS85" s="63">
        <f>if(AJ85,if(and(hour(AJ85+AS$5)&gt;11,(hour(AJ85+AS$5)&lt;20)),AJ85+AS$5,_xlfn.workday.intl(int(AJ85),1,"1000000",Holidays!A:A)+hour(AJ85+AS$5-$B$1)/24+minute(AJ85)/1440),"")</f>
        <v>44810.59532</v>
      </c>
      <c r="AT85" s="64">
        <f t="shared" si="12"/>
        <v>44808.59543</v>
      </c>
      <c r="AU85" s="65" t="s">
        <v>2715</v>
      </c>
      <c r="AV85" s="66" t="str">
        <f t="shared" si="13"/>
        <v/>
      </c>
      <c r="AW85" s="66"/>
      <c r="AX85" s="65" t="s">
        <v>2713</v>
      </c>
    </row>
    <row r="86">
      <c r="A86" s="55">
        <v>44766.62871347222</v>
      </c>
      <c r="B86" s="56"/>
      <c r="C86" s="57"/>
      <c r="D86" s="57"/>
      <c r="E86" s="57"/>
      <c r="F86" s="57"/>
      <c r="G86" s="58">
        <f>if(A86,_xlfn.workday.intl(int(A86),1,"1000000",Holidays!A:A)+17/24,"")</f>
        <v>44768.70833</v>
      </c>
      <c r="H86" s="59">
        <f t="shared" si="18"/>
        <v>44773.56594</v>
      </c>
      <c r="I86" s="62" t="s">
        <v>2713</v>
      </c>
      <c r="J86" s="61">
        <f t="shared" si="2"/>
        <v>4.857606944</v>
      </c>
      <c r="K86" s="58">
        <f>if(G86,_xlfn.workday.intl(int(G86),0,"1000000",Holidays!A:A)+19/24,"")</f>
        <v>44768.79167</v>
      </c>
      <c r="L86" s="59">
        <f t="shared" si="3"/>
        <v>44773.56594</v>
      </c>
      <c r="M86" s="62" t="s">
        <v>2713</v>
      </c>
      <c r="N86" s="61">
        <f t="shared" si="4"/>
        <v>4.774273611</v>
      </c>
      <c r="O86" s="63">
        <f>if(A86,_xlfn.WORKDAY.INTL(A86,O$5,"1000000",Holidays!A:A)+hour(A86)/24+MINUTE(A86)/1440,"")</f>
        <v>44768.62847</v>
      </c>
      <c r="P86" s="64">
        <v>44773.566304004635</v>
      </c>
      <c r="Q86" s="65" t="s">
        <v>2713</v>
      </c>
      <c r="R86" s="66">
        <f t="shared" si="5"/>
        <v>4.937831782</v>
      </c>
      <c r="S86" s="66"/>
      <c r="T86" s="66"/>
      <c r="U86" s="64">
        <f>if(O86,_xlfn.WORKDAY.INTL(O86,U$5,"1000000",Holidays!A:A)+hour(O86)/24+MINUTE(O86)/1440,"")</f>
        <v>44769.62847</v>
      </c>
      <c r="V86" s="64" t="str">
        <f t="shared" si="6"/>
        <v/>
      </c>
      <c r="W86" s="66"/>
      <c r="X86" s="66">
        <f t="shared" si="7"/>
        <v>1364.355438</v>
      </c>
      <c r="Y86" s="66"/>
      <c r="Z86" s="66"/>
      <c r="AA86" s="66"/>
      <c r="AB86" s="63"/>
      <c r="AC86" s="63"/>
      <c r="AD86" s="63"/>
      <c r="AE86" s="63"/>
      <c r="AF86" s="63"/>
      <c r="AG86" s="63"/>
      <c r="AH86" s="63">
        <f t="shared" si="14"/>
        <v>44773.5663</v>
      </c>
      <c r="AI86" s="63">
        <f>if(AH86,_xlfn.workday.intl(int(AH86),0,"1000000",Holidays!A:A)+18/24,"")</f>
        <v>44773.75</v>
      </c>
      <c r="AJ86" s="64" t="str">
        <f t="shared" si="17"/>
        <v/>
      </c>
      <c r="AK86" s="65"/>
      <c r="AL86" s="66">
        <f t="shared" si="9"/>
        <v>1360.23391</v>
      </c>
      <c r="AM86" s="66"/>
      <c r="AN86" s="63" t="str">
        <f>if(AJ86,if(and(hour(AJ86+AN$5)&gt;11,(hour(AJ86+AN$5)&lt;20)),AJ86+AN$5,_xlfn.workday.intl(int(AJ86),1,"1000000",Holidays!A:A)+hour(AJ86+AN$5-$B$1)/24+minute(AJ86)/1440),"")</f>
        <v/>
      </c>
      <c r="AO86" s="64" t="str">
        <f t="shared" si="15"/>
        <v/>
      </c>
      <c r="AP86" s="56"/>
      <c r="AQ86" s="66" t="str">
        <f t="shared" si="16"/>
        <v/>
      </c>
      <c r="AR86" s="66"/>
      <c r="AS86" s="63" t="str">
        <f>if(AJ86,if(and(hour(AJ86+AS$5)&gt;11,(hour(AJ86+AS$5)&lt;20)),AJ86+AS$5,_xlfn.workday.intl(int(AJ86),1,"1000000",Holidays!A:A)+hour(AJ86+AS$5-$B$1)/24+minute(AJ86)/1440),"")</f>
        <v/>
      </c>
      <c r="AT86" s="64">
        <f t="shared" si="12"/>
        <v>44842.6602</v>
      </c>
      <c r="AU86" s="65" t="s">
        <v>2715</v>
      </c>
      <c r="AV86" s="66" t="str">
        <f t="shared" si="13"/>
        <v/>
      </c>
      <c r="AW86" s="66"/>
      <c r="AX86" s="65" t="s">
        <v>2722</v>
      </c>
    </row>
    <row r="87">
      <c r="A87" s="55">
        <v>44768.49016393519</v>
      </c>
      <c r="B87" s="56"/>
      <c r="C87" s="57"/>
      <c r="D87" s="57"/>
      <c r="E87" s="57"/>
      <c r="F87" s="57"/>
      <c r="G87" s="58">
        <f>if(A87,_xlfn.workday.intl(int(A87),1,"1000000",Holidays!A:A)+17/24,"")</f>
        <v>44769.70833</v>
      </c>
      <c r="H87" s="59">
        <f t="shared" si="18"/>
        <v>44773.56776</v>
      </c>
      <c r="I87" s="62" t="s">
        <v>2713</v>
      </c>
      <c r="J87" s="61">
        <f t="shared" si="2"/>
        <v>3.859426539</v>
      </c>
      <c r="K87" s="58">
        <f>if(G87,_xlfn.workday.intl(int(G87),0,"1000000",Holidays!A:A)+19/24,"")</f>
        <v>44769.79167</v>
      </c>
      <c r="L87" s="59">
        <f t="shared" si="3"/>
        <v>44772.51382</v>
      </c>
      <c r="M87" s="62" t="s">
        <v>2713</v>
      </c>
      <c r="N87" s="61">
        <f t="shared" si="4"/>
        <v>2.72215566</v>
      </c>
      <c r="O87" s="63">
        <f>if(A87,_xlfn.WORKDAY.INTL(A87,O$5,"1000000",Holidays!A:A)+hour(A87)/24+MINUTE(A87)/1440,"")</f>
        <v>44769.48958</v>
      </c>
      <c r="P87" s="64">
        <v>44770.50007826389</v>
      </c>
      <c r="Q87" s="65" t="s">
        <v>2713</v>
      </c>
      <c r="R87" s="66">
        <f t="shared" si="5"/>
        <v>1.010494931</v>
      </c>
      <c r="S87" s="66"/>
      <c r="T87" s="66"/>
      <c r="U87" s="64">
        <f>if(O87,_xlfn.WORKDAY.INTL(O87,U$5,"1000000",Holidays!A:A)+hour(O87)/24+MINUTE(O87)/1440,"")</f>
        <v>44770.48958</v>
      </c>
      <c r="V87" s="64" t="str">
        <f t="shared" si="6"/>
        <v/>
      </c>
      <c r="W87" s="66"/>
      <c r="X87" s="66">
        <f t="shared" si="7"/>
        <v>1363.494327</v>
      </c>
      <c r="Y87" s="66"/>
      <c r="Z87" s="66"/>
      <c r="AA87" s="66"/>
      <c r="AB87" s="67">
        <v>1.0</v>
      </c>
      <c r="AC87" s="67">
        <v>4.0</v>
      </c>
      <c r="AD87" s="67">
        <v>3.0</v>
      </c>
      <c r="AE87" s="63"/>
      <c r="AF87" s="63"/>
      <c r="AG87" s="63"/>
      <c r="AH87" s="63">
        <f t="shared" si="14"/>
        <v>44778.50008</v>
      </c>
      <c r="AI87" s="63">
        <f>if(AH87,_xlfn.workday.intl(int(AH87),0,"1000000",Holidays!A:A)+18/24,"")</f>
        <v>44778.75</v>
      </c>
      <c r="AJ87" s="64">
        <f t="shared" si="17"/>
        <v>44773.5674</v>
      </c>
      <c r="AK87" s="65" t="s">
        <v>2713</v>
      </c>
      <c r="AL87" s="66" t="str">
        <f t="shared" si="9"/>
        <v/>
      </c>
      <c r="AM87" s="66"/>
      <c r="AN87" s="63">
        <f>if(AJ87,if(and(hour(AJ87+AN$5)&gt;11,(hour(AJ87+AN$5)&lt;20)),AJ87+AN$5,_xlfn.workday.intl(int(AJ87),1,"1000000",Holidays!A:A)+hour(AJ87+AN$5-$B$1)/24+minute(AJ87)/1440),"")</f>
        <v>44774.5674</v>
      </c>
      <c r="AO87" s="64">
        <f t="shared" si="15"/>
        <v>44777.49322</v>
      </c>
      <c r="AP87" s="65" t="s">
        <v>2713</v>
      </c>
      <c r="AQ87" s="66">
        <f t="shared" si="16"/>
        <v>2.925823704</v>
      </c>
      <c r="AR87" s="66"/>
      <c r="AS87" s="63">
        <f>if(AJ87,if(and(hour(AJ87+AS$5)&gt;11,(hour(AJ87+AS$5)&lt;20)),AJ87+AS$5,_xlfn.workday.intl(int(AJ87),1,"1000000",Holidays!A:A)+hour(AJ87+AS$5-$B$1)/24+minute(AJ87)/1440),"")</f>
        <v>44775.5674</v>
      </c>
      <c r="AT87" s="64">
        <f t="shared" si="12"/>
        <v>44799.77865</v>
      </c>
      <c r="AU87" s="65" t="s">
        <v>2715</v>
      </c>
      <c r="AV87" s="66">
        <f t="shared" si="13"/>
        <v>24.21125922</v>
      </c>
      <c r="AW87" s="66"/>
      <c r="AX87" s="65" t="s">
        <v>2713</v>
      </c>
    </row>
    <row r="88">
      <c r="A88" s="55">
        <v>44768.49115574074</v>
      </c>
      <c r="B88" s="56"/>
      <c r="C88" s="57"/>
      <c r="D88" s="57"/>
      <c r="E88" s="57"/>
      <c r="F88" s="57"/>
      <c r="G88" s="58">
        <f>if(A88,_xlfn.workday.intl(int(A88),1,"1000000",Holidays!A:A)+17/24,"")</f>
        <v>44769.70833</v>
      </c>
      <c r="H88" s="59" t="str">
        <f t="shared" si="18"/>
        <v/>
      </c>
      <c r="I88" s="60"/>
      <c r="J88" s="61">
        <f t="shared" si="2"/>
        <v>1364.275577</v>
      </c>
      <c r="K88" s="58">
        <f>if(G88,_xlfn.workday.intl(int(G88),0,"1000000",Holidays!A:A)+19/24,"")</f>
        <v>44769.79167</v>
      </c>
      <c r="L88" s="59">
        <f t="shared" si="3"/>
        <v>44773.57419</v>
      </c>
      <c r="M88" s="62" t="s">
        <v>2713</v>
      </c>
      <c r="N88" s="61">
        <f t="shared" si="4"/>
        <v>3.782524514</v>
      </c>
      <c r="O88" s="63">
        <f>if(A88,_xlfn.WORKDAY.INTL(A88,O$5,"1000000",Holidays!A:A)+hour(A88)/24+MINUTE(A88)/1440,"")</f>
        <v>44769.49097</v>
      </c>
      <c r="P88" s="64" t="s">
        <v>2718</v>
      </c>
      <c r="Q88" s="65"/>
      <c r="R88" s="66">
        <f t="shared" si="5"/>
        <v>1364.492938</v>
      </c>
      <c r="S88" s="66"/>
      <c r="T88" s="66"/>
      <c r="U88" s="64">
        <f>if(O88,_xlfn.WORKDAY.INTL(O88,U$5,"1000000",Holidays!A:A)+hour(O88)/24+MINUTE(O88)/1440,"")</f>
        <v>44770.49097</v>
      </c>
      <c r="V88" s="64" t="str">
        <f t="shared" si="6"/>
        <v/>
      </c>
      <c r="W88" s="66"/>
      <c r="X88" s="66">
        <f t="shared" si="7"/>
        <v>1363.492938</v>
      </c>
      <c r="Y88" s="66"/>
      <c r="Z88" s="66"/>
      <c r="AA88" s="66"/>
      <c r="AB88" s="63"/>
      <c r="AC88" s="63"/>
      <c r="AD88" s="63"/>
      <c r="AE88" s="63"/>
      <c r="AF88" s="63"/>
      <c r="AG88" s="63"/>
      <c r="AH88" s="63" t="str">
        <f t="shared" si="14"/>
        <v/>
      </c>
      <c r="AI88" s="63" t="str">
        <f>if(AH88,_xlfn.workday.intl(int(AH88),0,"1000000",Holidays!A:A)+18/24,"")</f>
        <v/>
      </c>
      <c r="AJ88" s="64" t="str">
        <f t="shared" si="17"/>
        <v/>
      </c>
      <c r="AK88" s="56"/>
      <c r="AL88" s="66" t="str">
        <f t="shared" si="9"/>
        <v/>
      </c>
      <c r="AM88" s="66"/>
      <c r="AN88" s="63" t="str">
        <f>if(AJ88,if(and(hour(AJ88+AN$5)&gt;11,(hour(AJ88+AN$5)&lt;20)),AJ88+AN$5,_xlfn.workday.intl(int(AJ88),1,"1000000",Holidays!A:A)+hour(AJ88+AN$5-$B$1)/24+minute(AJ88)/1440),"")</f>
        <v/>
      </c>
      <c r="AO88" s="64" t="str">
        <f t="shared" si="15"/>
        <v/>
      </c>
      <c r="AP88" s="56"/>
      <c r="AQ88" s="66" t="str">
        <f t="shared" si="16"/>
        <v/>
      </c>
      <c r="AR88" s="66"/>
      <c r="AS88" s="63" t="str">
        <f>if(AJ88,if(and(hour(AJ88+AS$5)&gt;11,(hour(AJ88+AS$5)&lt;20)),AJ88+AS$5,_xlfn.workday.intl(int(AJ88),1,"1000000",Holidays!A:A)+hour(AJ88+AS$5-$B$1)/24+minute(AJ88)/1440),"")</f>
        <v/>
      </c>
      <c r="AT88" s="64" t="str">
        <f t="shared" si="12"/>
        <v/>
      </c>
      <c r="AU88" s="56"/>
      <c r="AV88" s="66" t="str">
        <f t="shared" si="13"/>
        <v/>
      </c>
      <c r="AW88" s="66"/>
      <c r="AX88" s="65" t="s">
        <v>2722</v>
      </c>
    </row>
    <row r="89">
      <c r="A89" s="55">
        <v>44769.721751944446</v>
      </c>
      <c r="B89" s="56"/>
      <c r="C89" s="57"/>
      <c r="D89" s="57"/>
      <c r="E89" s="57"/>
      <c r="F89" s="57"/>
      <c r="G89" s="58">
        <f>if(A89,_xlfn.workday.intl(int(A89),1,"1000000",Holidays!A:A)+17/24,"")</f>
        <v>44770.70833</v>
      </c>
      <c r="H89" s="59">
        <f t="shared" si="18"/>
        <v>44773.56391</v>
      </c>
      <c r="I89" s="62" t="s">
        <v>2713</v>
      </c>
      <c r="J89" s="61">
        <f t="shared" si="2"/>
        <v>2.855581123</v>
      </c>
      <c r="K89" s="58">
        <f>if(G89,_xlfn.workday.intl(int(G89),0,"1000000",Holidays!A:A)+19/24,"")</f>
        <v>44770.79167</v>
      </c>
      <c r="L89" s="59">
        <f t="shared" si="3"/>
        <v>44773.56428</v>
      </c>
      <c r="M89" s="62" t="s">
        <v>2713</v>
      </c>
      <c r="N89" s="61">
        <f t="shared" si="4"/>
        <v>2.772611447</v>
      </c>
      <c r="O89" s="63">
        <f>if(A89,_xlfn.WORKDAY.INTL(A89,O$5,"1000000",Holidays!A:A)+hour(A89)/24+MINUTE(A89)/1440,"")</f>
        <v>44770.72153</v>
      </c>
      <c r="P89" s="64">
        <v>44777.56935939815</v>
      </c>
      <c r="Q89" s="65" t="s">
        <v>2713</v>
      </c>
      <c r="R89" s="66">
        <f t="shared" si="5"/>
        <v>6.84783162</v>
      </c>
      <c r="S89" s="66"/>
      <c r="T89" s="66"/>
      <c r="U89" s="64">
        <f>if(O89,_xlfn.WORKDAY.INTL(O89,U$5,"1000000",Holidays!A:A)+hour(O89)/24+MINUTE(O89)/1440,"")</f>
        <v>44771.72153</v>
      </c>
      <c r="V89" s="64" t="str">
        <f t="shared" si="6"/>
        <v/>
      </c>
      <c r="W89" s="66"/>
      <c r="X89" s="66">
        <f t="shared" si="7"/>
        <v>1362.262382</v>
      </c>
      <c r="Y89" s="66"/>
      <c r="Z89" s="66"/>
      <c r="AA89" s="66"/>
      <c r="AB89" s="67">
        <v>1.0</v>
      </c>
      <c r="AC89" s="63"/>
      <c r="AD89" s="63"/>
      <c r="AE89" s="63"/>
      <c r="AF89" s="63"/>
      <c r="AG89" s="63"/>
      <c r="AH89" s="63">
        <f t="shared" si="14"/>
        <v>44778.56936</v>
      </c>
      <c r="AI89" s="63">
        <f>if(AH89,_xlfn.workday.intl(int(AH89),0,"1000000",Holidays!A:A)+18/24,"")</f>
        <v>44778.75</v>
      </c>
      <c r="AJ89" s="64" t="str">
        <f t="shared" si="17"/>
        <v/>
      </c>
      <c r="AK89" s="56"/>
      <c r="AL89" s="66">
        <f t="shared" si="9"/>
        <v>1355.23391</v>
      </c>
      <c r="AM89" s="66"/>
      <c r="AN89" s="63" t="str">
        <f>if(AJ89,if(and(hour(AJ89+AN$5)&gt;11,(hour(AJ89+AN$5)&lt;20)),AJ89+AN$5,_xlfn.workday.intl(int(AJ89),1,"1000000",Holidays!A:A)+hour(AJ89+AN$5-$B$1)/24+minute(AJ89)/1440),"")</f>
        <v/>
      </c>
      <c r="AO89" s="64" t="str">
        <f t="shared" si="15"/>
        <v/>
      </c>
      <c r="AP89" s="56"/>
      <c r="AQ89" s="66" t="str">
        <f t="shared" si="16"/>
        <v/>
      </c>
      <c r="AR89" s="66"/>
      <c r="AS89" s="63" t="str">
        <f>if(AJ89,if(and(hour(AJ89+AS$5)&gt;11,(hour(AJ89+AS$5)&lt;20)),AJ89+AS$5,_xlfn.workday.intl(int(AJ89),1,"1000000",Holidays!A:A)+hour(AJ89+AS$5-$B$1)/24+minute(AJ89)/1440),"")</f>
        <v/>
      </c>
      <c r="AT89" s="64" t="str">
        <f t="shared" si="12"/>
        <v/>
      </c>
      <c r="AU89" s="56"/>
      <c r="AV89" s="66" t="str">
        <f t="shared" si="13"/>
        <v/>
      </c>
      <c r="AW89" s="66"/>
      <c r="AX89" s="65" t="s">
        <v>2724</v>
      </c>
    </row>
    <row r="90">
      <c r="A90" s="55">
        <v>44770.69829177084</v>
      </c>
      <c r="B90" s="56"/>
      <c r="C90" s="57"/>
      <c r="D90" s="57"/>
      <c r="E90" s="57"/>
      <c r="F90" s="57"/>
      <c r="G90" s="58">
        <f>if(A90,_xlfn.workday.intl(int(A90),1,"1000000",Holidays!A:A)+17/24,"")</f>
        <v>44771.70833</v>
      </c>
      <c r="H90" s="59">
        <f t="shared" si="18"/>
        <v>44773.56391</v>
      </c>
      <c r="I90" s="62" t="s">
        <v>2713</v>
      </c>
      <c r="J90" s="61">
        <f t="shared" si="2"/>
        <v>1.855581123</v>
      </c>
      <c r="K90" s="58">
        <f>if(G90,_xlfn.workday.intl(int(G90),0,"1000000",Holidays!A:A)+19/24,"")</f>
        <v>44771.79167</v>
      </c>
      <c r="L90" s="59">
        <f t="shared" si="3"/>
        <v>44772.51449</v>
      </c>
      <c r="M90" s="62" t="s">
        <v>2713</v>
      </c>
      <c r="N90" s="61">
        <f t="shared" si="4"/>
        <v>0.7228262269</v>
      </c>
      <c r="O90" s="63">
        <f>if(A90,_xlfn.WORKDAY.INTL(A90,O$5,"1000000",Holidays!A:A)+hour(A90)/24+MINUTE(A90)/1440,"")</f>
        <v>44771.69792</v>
      </c>
      <c r="P90" s="64">
        <v>44772.51435006944</v>
      </c>
      <c r="Q90" s="65" t="s">
        <v>2713</v>
      </c>
      <c r="R90" s="66">
        <f t="shared" si="5"/>
        <v>0.8164334028</v>
      </c>
      <c r="S90" s="66"/>
      <c r="T90" s="66"/>
      <c r="U90" s="64">
        <f>if(O90,_xlfn.WORKDAY.INTL(O90,U$5,"1000000",Holidays!A:A)+hour(O90)/24+MINUTE(O90)/1440,"")</f>
        <v>44772.69792</v>
      </c>
      <c r="V90" s="64" t="str">
        <f t="shared" si="6"/>
        <v/>
      </c>
      <c r="W90" s="66"/>
      <c r="X90" s="66">
        <f t="shared" si="7"/>
        <v>1361.285993</v>
      </c>
      <c r="Y90" s="66"/>
      <c r="Z90" s="66"/>
      <c r="AA90" s="66"/>
      <c r="AB90" s="67">
        <v>1.0</v>
      </c>
      <c r="AC90" s="67">
        <v>5.0</v>
      </c>
      <c r="AD90" s="63"/>
      <c r="AE90" s="63"/>
      <c r="AF90" s="63"/>
      <c r="AG90" s="63"/>
      <c r="AH90" s="63">
        <f t="shared" si="14"/>
        <v>44778.51435</v>
      </c>
      <c r="AI90" s="63">
        <f>if(AH90,_xlfn.workday.intl(int(AH90),0,"1000000",Holidays!A:A)+18/24,"")</f>
        <v>44778.75</v>
      </c>
      <c r="AJ90" s="64">
        <f t="shared" si="17"/>
        <v>44777.49172</v>
      </c>
      <c r="AK90" s="65" t="s">
        <v>2713</v>
      </c>
      <c r="AL90" s="66" t="str">
        <f t="shared" si="9"/>
        <v/>
      </c>
      <c r="AM90" s="66"/>
      <c r="AN90" s="63"/>
      <c r="AO90" s="64">
        <f t="shared" si="15"/>
        <v>44773.56355</v>
      </c>
      <c r="AP90" s="65" t="s">
        <v>2713</v>
      </c>
      <c r="AQ90" s="66" t="str">
        <f t="shared" si="16"/>
        <v/>
      </c>
      <c r="AR90" s="66"/>
      <c r="AS90" s="63">
        <f>if(AJ90,if(and(hour(AJ90+AS$5)&gt;11,(hour(AJ90+AS$5)&lt;20)),AJ90+AS$5,_xlfn.workday.intl(int(AJ90),1,"1000000",Holidays!A:A)+hour(AJ90+AS$5-$B$1)/24+minute(AJ90)/1440),"")</f>
        <v>44778.49167</v>
      </c>
      <c r="AT90" s="64" t="str">
        <f t="shared" si="12"/>
        <v/>
      </c>
      <c r="AU90" s="56"/>
      <c r="AV90" s="66">
        <f t="shared" si="13"/>
        <v>1355.492243</v>
      </c>
      <c r="AW90" s="66"/>
      <c r="AX90" s="65" t="s">
        <v>2720</v>
      </c>
    </row>
    <row r="91">
      <c r="A91" s="55">
        <v>44776.69932450232</v>
      </c>
      <c r="B91" s="56"/>
      <c r="C91" s="57"/>
      <c r="D91" s="57"/>
      <c r="E91" s="57"/>
      <c r="F91" s="57"/>
      <c r="G91" s="58">
        <f>if(A91,_xlfn.workday.intl(int(A91),1,"1000000",Holidays!A:A)+17/24,"")</f>
        <v>44777.70833</v>
      </c>
      <c r="H91" s="59" t="str">
        <f t="shared" si="18"/>
        <v/>
      </c>
      <c r="I91" s="60"/>
      <c r="J91" s="61">
        <f t="shared" si="2"/>
        <v>1356.275577</v>
      </c>
      <c r="K91" s="58">
        <f>if(G91,_xlfn.workday.intl(int(G91),0,"1000000",Holidays!A:A)+19/24,"")</f>
        <v>44777.79167</v>
      </c>
      <c r="L91" s="59">
        <f t="shared" si="3"/>
        <v>44777.48348</v>
      </c>
      <c r="M91" s="62" t="s">
        <v>2713</v>
      </c>
      <c r="N91" s="61" t="str">
        <f t="shared" si="4"/>
        <v/>
      </c>
      <c r="O91" s="63">
        <f>if(A91,_xlfn.WORKDAY.INTL(A91,O$5,"1000000",Holidays!A:A)+hour(A91)/24+MINUTE(A91)/1440,"")</f>
        <v>44777.69931</v>
      </c>
      <c r="P91" s="64">
        <v>44776.74798782407</v>
      </c>
      <c r="Q91" s="65" t="s">
        <v>2713</v>
      </c>
      <c r="R91" s="66" t="str">
        <f t="shared" si="5"/>
        <v/>
      </c>
      <c r="S91" s="66"/>
      <c r="T91" s="66"/>
      <c r="U91" s="64">
        <f>if(O91,_xlfn.WORKDAY.INTL(O91,U$5,"1000000",Holidays!A:A)+hour(O91)/24+MINUTE(O91)/1440,"")</f>
        <v>44778.69931</v>
      </c>
      <c r="V91" s="64" t="str">
        <f t="shared" si="6"/>
        <v/>
      </c>
      <c r="W91" s="66"/>
      <c r="X91" s="66">
        <f t="shared" si="7"/>
        <v>1355.284604</v>
      </c>
      <c r="Y91" s="66"/>
      <c r="Z91" s="66"/>
      <c r="AA91" s="66"/>
      <c r="AB91" s="67">
        <v>1.0</v>
      </c>
      <c r="AC91" s="63"/>
      <c r="AD91" s="63"/>
      <c r="AE91" s="63"/>
      <c r="AF91" s="63"/>
      <c r="AG91" s="63"/>
      <c r="AH91" s="63">
        <f t="shared" si="14"/>
        <v>44777.74799</v>
      </c>
      <c r="AI91" s="63">
        <f>if(AH91,_xlfn.workday.intl(int(AH91),0,"1000000",Holidays!A:A)+18/24,"")</f>
        <v>44777.75</v>
      </c>
      <c r="AJ91" s="64" t="str">
        <f t="shared" si="17"/>
        <v/>
      </c>
      <c r="AK91" s="56"/>
      <c r="AL91" s="66">
        <f t="shared" si="9"/>
        <v>1356.23391</v>
      </c>
      <c r="AM91" s="66"/>
      <c r="AN91" s="63" t="str">
        <f>if(AJ91,if(and(hour(AJ91+AN$5)&gt;11,(hour(AJ91+AN$5)&lt;20)),AJ91+AN$5,_xlfn.workday.intl(int(AJ91),1,"1000000",Holidays!A:A)+hour(AJ91+AN$5-$B$1)/24+minute(AJ91)/1440),"")</f>
        <v/>
      </c>
      <c r="AO91" s="64" t="str">
        <f t="shared" si="15"/>
        <v/>
      </c>
      <c r="AP91" s="56"/>
      <c r="AQ91" s="66" t="str">
        <f t="shared" si="16"/>
        <v/>
      </c>
      <c r="AR91" s="66"/>
      <c r="AS91" s="63" t="str">
        <f>if(AJ91,if(and(hour(AJ91+AS$5)&gt;11,(hour(AJ91+AS$5)&lt;20)),AJ91+AS$5,_xlfn.workday.intl(int(AJ91),1,"1000000",Holidays!A:A)+hour(AJ91+AS$5-$B$1)/24+minute(AJ91)/1440),"")</f>
        <v/>
      </c>
      <c r="AT91" s="64" t="str">
        <f t="shared" si="12"/>
        <v/>
      </c>
      <c r="AU91" s="56"/>
      <c r="AV91" s="66"/>
      <c r="AW91" s="66"/>
      <c r="AX91" s="65" t="s">
        <v>2725</v>
      </c>
    </row>
    <row r="92" ht="29.25" customHeight="1">
      <c r="A92" s="55">
        <v>44776.70316872685</v>
      </c>
      <c r="B92" s="56"/>
      <c r="C92" s="82"/>
      <c r="D92" s="82"/>
      <c r="E92" s="57"/>
      <c r="F92" s="57"/>
      <c r="G92" s="58">
        <f>if(A92,_xlfn.workday.intl(int(A92),1,"1000000",Holidays!A:A)+17/24,"")</f>
        <v>44777.70833</v>
      </c>
      <c r="H92" s="59">
        <f t="shared" si="18"/>
        <v>44824.67166</v>
      </c>
      <c r="I92" s="62" t="s">
        <v>2713</v>
      </c>
      <c r="J92" s="61">
        <f t="shared" si="2"/>
        <v>46.9633248</v>
      </c>
      <c r="K92" s="58">
        <f>if(G92,_xlfn.workday.intl(int(G92),0,"1000000",Holidays!A:A)+19/24,"")</f>
        <v>44777.79167</v>
      </c>
      <c r="L92" s="59">
        <f t="shared" si="3"/>
        <v>44814.5112</v>
      </c>
      <c r="M92" s="62" t="s">
        <v>2713</v>
      </c>
      <c r="N92" s="61">
        <f t="shared" si="4"/>
        <v>36.71953233</v>
      </c>
      <c r="O92" s="63">
        <f>if(A92,_xlfn.WORKDAY.INTL(A92,O$5,"1000000",Holidays!A:A)+hour(A92)/24+MINUTE(A92)/1440,"")</f>
        <v>44777.70278</v>
      </c>
      <c r="P92" s="64">
        <v>44814.51122501158</v>
      </c>
      <c r="Q92" s="65" t="s">
        <v>2713</v>
      </c>
      <c r="R92" s="66">
        <f t="shared" si="5"/>
        <v>36.80844723</v>
      </c>
      <c r="S92" s="66"/>
      <c r="T92" s="66"/>
      <c r="U92" s="64">
        <f>if(O92,_xlfn.WORKDAY.INTL(O92,U$5,"1000000",Holidays!A:A)+hour(O92)/24+MINUTE(O92)/1440,"")</f>
        <v>44778.70278</v>
      </c>
      <c r="V92" s="64" t="str">
        <f t="shared" si="6"/>
        <v/>
      </c>
      <c r="W92" s="66"/>
      <c r="X92" s="66">
        <f t="shared" si="7"/>
        <v>1355.281132</v>
      </c>
      <c r="Y92" s="66"/>
      <c r="Z92" s="66"/>
      <c r="AA92" s="66"/>
      <c r="AB92" s="67">
        <v>1.0</v>
      </c>
      <c r="AC92" s="63"/>
      <c r="AD92" s="63"/>
      <c r="AE92" s="63"/>
      <c r="AF92" s="63"/>
      <c r="AG92" s="63"/>
      <c r="AH92" s="63">
        <f t="shared" si="14"/>
        <v>44815.51123</v>
      </c>
      <c r="AI92" s="63">
        <f>if(AH92,_xlfn.workday.intl(int(AH92),0,"1000000",Holidays!A:A)+18/24,"")</f>
        <v>44815.75</v>
      </c>
      <c r="AJ92" s="64">
        <f t="shared" si="17"/>
        <v>44824.67168</v>
      </c>
      <c r="AK92" s="65" t="s">
        <v>2713</v>
      </c>
      <c r="AL92" s="66">
        <f t="shared" si="9"/>
        <v>8.92167963</v>
      </c>
      <c r="AM92" s="66"/>
      <c r="AN92" s="63">
        <f>if(AJ92,if(and(hour(AJ92+AN$5)&gt;11,(hour(AJ92+AN$5)&lt;20)),AJ92+AN$5,_xlfn.workday.intl(int(AJ92),1,"1000000",Holidays!A:A)+hour(AJ92+AN$5-$B$1)/24+minute(AJ92)/1440),"")</f>
        <v>44825.67168</v>
      </c>
      <c r="AO92" s="64">
        <f t="shared" si="15"/>
        <v>44824.67168</v>
      </c>
      <c r="AP92" s="65" t="s">
        <v>2713</v>
      </c>
      <c r="AQ92" s="66" t="str">
        <f t="shared" si="16"/>
        <v/>
      </c>
      <c r="AR92" s="66"/>
      <c r="AS92" s="63">
        <f>if(AJ92,if(and(hour(AJ92+AS$5)&gt;11,(hour(AJ92+AS$5)&lt;20)),AJ92+AS$5,_xlfn.workday.intl(int(AJ92),1,"1000000",Holidays!A:A)+hour(AJ92+AS$5-$B$1)/24+minute(AJ92)/1440),"")</f>
        <v>44826.67168</v>
      </c>
      <c r="AT92" s="64">
        <f t="shared" si="12"/>
        <v>44824.67168</v>
      </c>
      <c r="AU92" s="65" t="s">
        <v>2715</v>
      </c>
      <c r="AV92" s="66" t="str">
        <f t="shared" ref="AV92:AV98" si="19">if(AS92,if(AT92&lt;&gt;"",if(AT92&gt;AS92,AT92-AS92,""),$A$1-AS92),"")</f>
        <v/>
      </c>
      <c r="AW92" s="66"/>
      <c r="AX92" s="65" t="s">
        <v>2713</v>
      </c>
    </row>
    <row r="93">
      <c r="A93" s="55">
        <v>44779.55356431713</v>
      </c>
      <c r="B93" s="56"/>
      <c r="C93" s="57"/>
      <c r="D93" s="57"/>
      <c r="E93" s="57"/>
      <c r="F93" s="57"/>
      <c r="G93" s="58">
        <f>if(A93,_xlfn.workday.intl(int(A93),1,"1000000",Holidays!A:A)+17/24,"")</f>
        <v>44780.70833</v>
      </c>
      <c r="H93" s="59">
        <f t="shared" si="18"/>
        <v>44804.79207</v>
      </c>
      <c r="I93" s="62" t="s">
        <v>2713</v>
      </c>
      <c r="J93" s="61">
        <f t="shared" si="2"/>
        <v>24.08373286</v>
      </c>
      <c r="K93" s="58">
        <f>if(G93,_xlfn.workday.intl(int(G93),0,"1000000",Holidays!A:A)+19/24,"")</f>
        <v>44780.79167</v>
      </c>
      <c r="L93" s="59">
        <f t="shared" si="3"/>
        <v>44804.79212</v>
      </c>
      <c r="M93" s="62" t="s">
        <v>2713</v>
      </c>
      <c r="N93" s="61">
        <f t="shared" si="4"/>
        <v>24.00045715</v>
      </c>
      <c r="O93" s="63">
        <f>if(A93,_xlfn.WORKDAY.INTL(A93,O$5,"1000000",Holidays!A:A)+hour(A93)/24+MINUTE(A93)/1440,"")</f>
        <v>44780.55347</v>
      </c>
      <c r="P93" s="64">
        <v>44804.792158807875</v>
      </c>
      <c r="Q93" s="65" t="s">
        <v>2713</v>
      </c>
      <c r="R93" s="66">
        <f t="shared" si="5"/>
        <v>24.23868659</v>
      </c>
      <c r="S93" s="66"/>
      <c r="T93" s="66"/>
      <c r="U93" s="64">
        <f>if(O93,_xlfn.WORKDAY.INTL(O93,U$5,"1000000",Holidays!A:A)+hour(O93)/24+MINUTE(O93)/1440,"")</f>
        <v>44782.55347</v>
      </c>
      <c r="V93" s="64" t="str">
        <f t="shared" si="6"/>
        <v/>
      </c>
      <c r="W93" s="66"/>
      <c r="X93" s="66">
        <f t="shared" si="7"/>
        <v>1351.430438</v>
      </c>
      <c r="Y93" s="66"/>
      <c r="Z93" s="66"/>
      <c r="AA93" s="66"/>
      <c r="AB93" s="67">
        <v>1.0</v>
      </c>
      <c r="AC93" s="67">
        <v>2.0</v>
      </c>
      <c r="AD93" s="63"/>
      <c r="AE93" s="63"/>
      <c r="AF93" s="63"/>
      <c r="AG93" s="63"/>
      <c r="AH93" s="63">
        <f t="shared" si="14"/>
        <v>44807.79216</v>
      </c>
      <c r="AI93" s="63">
        <f>if(AH93,_xlfn.workday.intl(int(AH93),0,"1000000",Holidays!A:A)+18/24,"")</f>
        <v>44807.75</v>
      </c>
      <c r="AJ93" s="64">
        <f t="shared" si="17"/>
        <v>44804.79221</v>
      </c>
      <c r="AK93" s="65" t="s">
        <v>2713</v>
      </c>
      <c r="AL93" s="66" t="str">
        <f t="shared" si="9"/>
        <v/>
      </c>
      <c r="AM93" s="66"/>
      <c r="AN93" s="63">
        <f>if(AJ93,if(and(hour(AJ93+AN$5)&gt;11,(hour(AJ93+AN$5)&lt;20)),AJ93+AN$5,_xlfn.workday.intl(int(AJ93),1,"1000000",Holidays!A:A)+hour(AJ93+AN$5-$B$1)/24+minute(AJ93)/1440),"")</f>
        <v>44805.79221</v>
      </c>
      <c r="AO93" s="64">
        <f t="shared" si="15"/>
        <v>44804.79227</v>
      </c>
      <c r="AP93" s="65" t="s">
        <v>2713</v>
      </c>
      <c r="AQ93" s="66" t="str">
        <f t="shared" si="16"/>
        <v/>
      </c>
      <c r="AR93" s="66"/>
      <c r="AS93" s="63">
        <f>if(AJ93,if(and(hour(AJ93+AS$5)&gt;11,(hour(AJ93+AS$5)&lt;20)),AJ93+AS$5,_xlfn.workday.intl(int(AJ93),1,"1000000",Holidays!A:A)+hour(AJ93+AS$5-$B$1)/24+minute(AJ93)/1440),"")</f>
        <v>44806.79221</v>
      </c>
      <c r="AT93" s="64">
        <f t="shared" si="12"/>
        <v>44804.79229</v>
      </c>
      <c r="AU93" s="65" t="s">
        <v>2715</v>
      </c>
      <c r="AV93" s="66" t="str">
        <f t="shared" si="19"/>
        <v/>
      </c>
      <c r="AW93" s="66"/>
      <c r="AX93" s="65" t="s">
        <v>2713</v>
      </c>
    </row>
    <row r="94">
      <c r="A94" s="55">
        <v>44783.66246270834</v>
      </c>
      <c r="B94" s="56"/>
      <c r="C94" s="57"/>
      <c r="D94" s="57"/>
      <c r="E94" s="77"/>
      <c r="F94" s="57"/>
      <c r="G94" s="58">
        <f>if(A94,_xlfn.workday.intl(int(A94),1,"1000000",Holidays!A:A)+17/24,"")</f>
        <v>44784.70833</v>
      </c>
      <c r="H94" s="59" t="str">
        <f t="shared" si="18"/>
        <v/>
      </c>
      <c r="I94" s="60"/>
      <c r="J94" s="61">
        <f t="shared" si="2"/>
        <v>1349.275577</v>
      </c>
      <c r="K94" s="58">
        <f>if(G94,_xlfn.workday.intl(int(G94),0,"1000000",Holidays!A:A)+19/24,"")</f>
        <v>44784.79167</v>
      </c>
      <c r="L94" s="59" t="str">
        <f t="shared" si="3"/>
        <v/>
      </c>
      <c r="M94" s="60"/>
      <c r="N94" s="61">
        <f t="shared" si="4"/>
        <v>1349.192243</v>
      </c>
      <c r="O94" s="63">
        <f>if(A94,_xlfn.WORKDAY.INTL(A94,O$5,"1000000",Holidays!A:A)+hour(A94)/24+MINUTE(A94)/1440,"")</f>
        <v>44784.66181</v>
      </c>
      <c r="P94" s="64" t="s">
        <v>2718</v>
      </c>
      <c r="Q94" s="56"/>
      <c r="R94" s="66">
        <f t="shared" si="5"/>
        <v>1349.322104</v>
      </c>
      <c r="S94" s="66"/>
      <c r="T94" s="66"/>
      <c r="U94" s="64">
        <f>if(O94,_xlfn.WORKDAY.INTL(O94,U$5,"1000000",Holidays!A:A)+hour(O94)/24+MINUTE(O94)/1440,"")</f>
        <v>44785.66181</v>
      </c>
      <c r="V94" s="64" t="str">
        <f t="shared" si="6"/>
        <v/>
      </c>
      <c r="W94" s="66"/>
      <c r="X94" s="66">
        <f t="shared" si="7"/>
        <v>1348.322104</v>
      </c>
      <c r="Y94" s="66"/>
      <c r="Z94" s="66"/>
      <c r="AA94" s="66"/>
      <c r="AB94" s="63"/>
      <c r="AC94" s="63"/>
      <c r="AD94" s="63"/>
      <c r="AE94" s="63"/>
      <c r="AF94" s="63"/>
      <c r="AG94" s="63"/>
      <c r="AH94" s="63" t="str">
        <f t="shared" si="14"/>
        <v/>
      </c>
      <c r="AI94" s="63" t="str">
        <f>if(AH94,_xlfn.workday.intl(int(AH94),0,"1000000",Holidays!A:A)+18/24,"")</f>
        <v/>
      </c>
      <c r="AJ94" s="64" t="str">
        <f t="shared" si="17"/>
        <v/>
      </c>
      <c r="AK94" s="56"/>
      <c r="AL94" s="66" t="str">
        <f t="shared" si="9"/>
        <v/>
      </c>
      <c r="AM94" s="66"/>
      <c r="AN94" s="63" t="str">
        <f>if(AJ94,if(and(hour(AJ94+AN$5)&gt;11,(hour(AJ94+AN$5)&lt;20)),AJ94+AN$5,_xlfn.workday.intl(int(AJ94),1,"1000000",Holidays!A:A)+hour(AJ94+AN$5-$B$1)/24+minute(AJ94)/1440),"")</f>
        <v/>
      </c>
      <c r="AO94" s="64" t="str">
        <f t="shared" si="15"/>
        <v/>
      </c>
      <c r="AP94" s="56"/>
      <c r="AQ94" s="66" t="str">
        <f t="shared" si="16"/>
        <v/>
      </c>
      <c r="AR94" s="66"/>
      <c r="AS94" s="63" t="str">
        <f>if(AJ94,if(and(hour(AJ94+AS$5)&gt;11,(hour(AJ94+AS$5)&lt;20)),AJ94+AS$5,_xlfn.workday.intl(int(AJ94),1,"1000000",Holidays!A:A)+hour(AJ94+AS$5-$B$1)/24+minute(AJ94)/1440),"")</f>
        <v/>
      </c>
      <c r="AT94" s="64" t="str">
        <f t="shared" si="12"/>
        <v/>
      </c>
      <c r="AU94" s="56"/>
      <c r="AV94" s="66" t="str">
        <f t="shared" si="19"/>
        <v/>
      </c>
      <c r="AW94" s="66"/>
      <c r="AX94" s="65" t="s">
        <v>2717</v>
      </c>
    </row>
    <row r="95">
      <c r="A95" s="55">
        <v>44785.58831273148</v>
      </c>
      <c r="B95" s="56"/>
      <c r="C95" s="57"/>
      <c r="D95" s="57"/>
      <c r="E95" s="57"/>
      <c r="F95" s="57"/>
      <c r="G95" s="58">
        <f>if(A95,_xlfn.workday.intl(int(A95),1,"1000000",Holidays!A:A)+17/24,"")</f>
        <v>44786.70833</v>
      </c>
      <c r="H95" s="59" t="str">
        <f t="shared" si="18"/>
        <v/>
      </c>
      <c r="I95" s="60"/>
      <c r="J95" s="61">
        <f t="shared" si="2"/>
        <v>1347.275577</v>
      </c>
      <c r="K95" s="58">
        <f>if(G95,_xlfn.workday.intl(int(G95),0,"1000000",Holidays!A:A)+19/24,"")</f>
        <v>44786.79167</v>
      </c>
      <c r="L95" s="59">
        <f t="shared" si="3"/>
        <v>44786.53764</v>
      </c>
      <c r="M95" s="62" t="s">
        <v>2713</v>
      </c>
      <c r="N95" s="61" t="str">
        <f t="shared" si="4"/>
        <v/>
      </c>
      <c r="O95" s="63">
        <f>if(A95,_xlfn.WORKDAY.INTL(A95,O$5,"1000000",Holidays!A:A)+hour(A95)/24+MINUTE(A95)/1440,"")</f>
        <v>44786.58819</v>
      </c>
      <c r="P95" s="64">
        <v>44786.53758163194</v>
      </c>
      <c r="Q95" s="65" t="s">
        <v>2713</v>
      </c>
      <c r="R95" s="66" t="str">
        <f t="shared" si="5"/>
        <v/>
      </c>
      <c r="S95" s="66"/>
      <c r="T95" s="66"/>
      <c r="U95" s="64">
        <f>if(O95,_xlfn.WORKDAY.INTL(O95,U$5,"1000000",Holidays!A:A)+hour(O95)/24+MINUTE(O95)/1440,"")</f>
        <v>44787.58819</v>
      </c>
      <c r="V95" s="64" t="str">
        <f t="shared" si="6"/>
        <v/>
      </c>
      <c r="W95" s="66"/>
      <c r="X95" s="66">
        <f t="shared" si="7"/>
        <v>1346.395715</v>
      </c>
      <c r="Y95" s="66"/>
      <c r="Z95" s="66"/>
      <c r="AA95" s="66"/>
      <c r="AB95" s="67">
        <v>1.0</v>
      </c>
      <c r="AC95" s="67">
        <v>2.0</v>
      </c>
      <c r="AD95" s="67">
        <v>3.0</v>
      </c>
      <c r="AE95" s="63"/>
      <c r="AF95" s="63"/>
      <c r="AG95" s="63"/>
      <c r="AH95" s="63">
        <f t="shared" si="14"/>
        <v>44792.53758</v>
      </c>
      <c r="AI95" s="63">
        <f>if(AH95,_xlfn.workday.intl(int(AH95),0,"1000000",Holidays!A:A)+18/24,"")</f>
        <v>44792.75</v>
      </c>
      <c r="AJ95" s="64" t="str">
        <f t="shared" si="17"/>
        <v/>
      </c>
      <c r="AK95" s="56"/>
      <c r="AL95" s="66">
        <f t="shared" si="9"/>
        <v>1341.23391</v>
      </c>
      <c r="AM95" s="66"/>
      <c r="AN95" s="63" t="str">
        <f>if(AJ95,if(and(hour(AJ95+AN$5)&gt;11,(hour(AJ95+AN$5)&lt;20)),AJ95+AN$5,_xlfn.workday.intl(int(AJ95),1,"1000000",Holidays!A:A)+hour(AJ95+AN$5-$B$1)/24+minute(AJ95)/1440),"")</f>
        <v/>
      </c>
      <c r="AO95" s="64" t="str">
        <f t="shared" si="15"/>
        <v/>
      </c>
      <c r="AP95" s="56"/>
      <c r="AQ95" s="66" t="str">
        <f t="shared" si="16"/>
        <v/>
      </c>
      <c r="AR95" s="66"/>
      <c r="AS95" s="63" t="str">
        <f>if(AJ95,if(and(hour(AJ95+AS$5)&gt;11,(hour(AJ95+AS$5)&lt;20)),AJ95+AS$5,_xlfn.workday.intl(int(AJ95),1,"1000000",Holidays!A:A)+hour(AJ95+AS$5-$B$1)/24+minute(AJ95)/1440),"")</f>
        <v/>
      </c>
      <c r="AT95" s="64" t="str">
        <f t="shared" si="12"/>
        <v/>
      </c>
      <c r="AU95" s="56"/>
      <c r="AV95" s="66" t="str">
        <f t="shared" si="19"/>
        <v/>
      </c>
      <c r="AW95" s="66"/>
      <c r="AX95" s="65" t="s">
        <v>2726</v>
      </c>
    </row>
    <row r="96">
      <c r="A96" s="55">
        <v>44786.78837459491</v>
      </c>
      <c r="B96" s="56"/>
      <c r="C96" s="57"/>
      <c r="D96" s="57"/>
      <c r="E96" s="57"/>
      <c r="F96" s="57"/>
      <c r="G96" s="58">
        <f>if(A96,_xlfn.workday.intl(int(A96),1,"1000000",Holidays!A:A)+17/24,"")</f>
        <v>44787.70833</v>
      </c>
      <c r="H96" s="62"/>
      <c r="I96" s="62"/>
      <c r="J96" s="61">
        <f t="shared" si="2"/>
        <v>1346.275577</v>
      </c>
      <c r="K96" s="58">
        <f>if(G96,_xlfn.workday.intl(int(G96),0,"1000000",Holidays!A:A)+19/24,"")</f>
        <v>44787.79167</v>
      </c>
      <c r="L96" s="59">
        <f t="shared" si="3"/>
        <v>44786.78934</v>
      </c>
      <c r="M96" s="62" t="s">
        <v>2713</v>
      </c>
      <c r="N96" s="61" t="str">
        <f t="shared" si="4"/>
        <v/>
      </c>
      <c r="O96" s="63">
        <f>if(A96,_xlfn.WORKDAY.INTL(A96,O$5,"1000000",Holidays!A:A)+hour(A96)/24+MINUTE(A96)/1440,"")</f>
        <v>44787.78819</v>
      </c>
      <c r="P96" s="64">
        <v>44786.78939648149</v>
      </c>
      <c r="Q96" s="65" t="s">
        <v>2713</v>
      </c>
      <c r="R96" s="66" t="str">
        <f t="shared" si="5"/>
        <v/>
      </c>
      <c r="S96" s="66"/>
      <c r="T96" s="66"/>
      <c r="U96" s="64">
        <f>if(O96,_xlfn.WORKDAY.INTL(O96,U$5,"1000000",Holidays!A:A)+hour(O96)/24+MINUTE(O96)/1440,"")</f>
        <v>44789.78819</v>
      </c>
      <c r="V96" s="64" t="str">
        <f t="shared" si="6"/>
        <v/>
      </c>
      <c r="W96" s="66"/>
      <c r="X96" s="66">
        <f t="shared" si="7"/>
        <v>1344.195715</v>
      </c>
      <c r="Y96" s="66"/>
      <c r="Z96" s="66"/>
      <c r="AA96" s="66"/>
      <c r="AB96" s="67">
        <v>1.0</v>
      </c>
      <c r="AC96" s="67"/>
      <c r="AD96" s="63"/>
      <c r="AE96" s="63"/>
      <c r="AF96" s="63"/>
      <c r="AG96" s="63"/>
      <c r="AH96" s="63">
        <f t="shared" si="14"/>
        <v>44787.7894</v>
      </c>
      <c r="AI96" s="63">
        <f>if(AH96,_xlfn.workday.intl(int(AH96),0,"1000000",Holidays!A:A)+18/24,"")</f>
        <v>44787.75</v>
      </c>
      <c r="AJ96" s="64">
        <f t="shared" si="17"/>
        <v>44789.57786</v>
      </c>
      <c r="AK96" s="65" t="s">
        <v>2713</v>
      </c>
      <c r="AL96" s="66">
        <f t="shared" si="9"/>
        <v>1.827864132</v>
      </c>
      <c r="AM96" s="66"/>
      <c r="AN96" s="63">
        <f>if(AJ96,if(and(hour(AJ96+AN$5)&gt;11,(hour(AJ96+AN$5)&lt;20)),AJ96+AN$5,_xlfn.workday.intl(int(AJ96),1,"1000000",Holidays!A:A)+hour(AJ96+AN$5-$B$1)/24+minute(AJ96)/1440),"")</f>
        <v>44790.57786</v>
      </c>
      <c r="AO96" s="64">
        <f t="shared" si="15"/>
        <v>44789.57792</v>
      </c>
      <c r="AP96" s="65" t="s">
        <v>2713</v>
      </c>
      <c r="AQ96" s="66" t="str">
        <f t="shared" si="16"/>
        <v/>
      </c>
      <c r="AR96" s="66"/>
      <c r="AS96" s="63">
        <f>if(AJ96,if(and(hour(AJ96+AS$5)&gt;11,(hour(AJ96+AS$5)&lt;20)),AJ96+AS$5,_xlfn.workday.intl(int(AJ96),1,"1000000",Holidays!A:A)+hour(AJ96+AS$5-$B$1)/24+minute(AJ96)/1440),"")</f>
        <v>44791.57786</v>
      </c>
      <c r="AT96" s="64">
        <f t="shared" si="12"/>
        <v>44789.57796</v>
      </c>
      <c r="AU96" s="65" t="s">
        <v>2715</v>
      </c>
      <c r="AV96" s="66" t="str">
        <f t="shared" si="19"/>
        <v/>
      </c>
      <c r="AW96" s="66"/>
      <c r="AX96" s="65" t="s">
        <v>2713</v>
      </c>
    </row>
    <row r="97">
      <c r="A97" s="55">
        <v>44790.47139261574</v>
      </c>
      <c r="B97" s="56"/>
      <c r="C97" s="57"/>
      <c r="D97" s="57"/>
      <c r="E97" s="57"/>
      <c r="F97" s="57"/>
      <c r="G97" s="58">
        <f>if(A97,_xlfn.workday.intl(int(A97),1,"1000000",Holidays!A:A)+17/24,"")</f>
        <v>44791.70833</v>
      </c>
      <c r="H97" s="59" t="str">
        <f t="shared" ref="H97:H109" si="20">if(H97,H97,if(I97&lt;&gt;"",$A$1,""))</f>
        <v/>
      </c>
      <c r="I97" s="60"/>
      <c r="J97" s="61">
        <f t="shared" si="2"/>
        <v>1342.275577</v>
      </c>
      <c r="K97" s="58">
        <f>if(G97,_xlfn.workday.intl(int(G97),0,"1000000",Holidays!A:A)+19/24,"")</f>
        <v>44791.79167</v>
      </c>
      <c r="L97" s="59" t="str">
        <f t="shared" si="3"/>
        <v/>
      </c>
      <c r="M97" s="60"/>
      <c r="N97" s="61">
        <f t="shared" si="4"/>
        <v>1342.192243</v>
      </c>
      <c r="O97" s="63">
        <f>if(A97,_xlfn.WORKDAY.INTL(A97,O$5,"1000000",Holidays!A:A)+hour(A97)/24+MINUTE(A97)/1440,"")</f>
        <v>44791.47083</v>
      </c>
      <c r="P97" s="64" t="s">
        <v>2718</v>
      </c>
      <c r="Q97" s="56"/>
      <c r="R97" s="66">
        <f t="shared" si="5"/>
        <v>1342.513077</v>
      </c>
      <c r="S97" s="66"/>
      <c r="T97" s="66"/>
      <c r="U97" s="64">
        <f>if(O97,_xlfn.WORKDAY.INTL(O97,U$5,"1000000",Holidays!A:A)+hour(O97)/24+MINUTE(O97)/1440,"")</f>
        <v>44792.47083</v>
      </c>
      <c r="V97" s="64" t="str">
        <f t="shared" si="6"/>
        <v/>
      </c>
      <c r="W97" s="66"/>
      <c r="X97" s="66">
        <f t="shared" si="7"/>
        <v>1341.513077</v>
      </c>
      <c r="Y97" s="66"/>
      <c r="Z97" s="66"/>
      <c r="AA97" s="66"/>
      <c r="AB97" s="67">
        <v>15.0</v>
      </c>
      <c r="AC97" s="63"/>
      <c r="AD97" s="63"/>
      <c r="AE97" s="63"/>
      <c r="AF97" s="63"/>
      <c r="AG97" s="63"/>
      <c r="AH97" s="63" t="str">
        <f t="shared" si="14"/>
        <v/>
      </c>
      <c r="AI97" s="63" t="str">
        <f>if(AH97,_xlfn.workday.intl(int(AH97),0,"1000000",Holidays!A:A)+18/24,"")</f>
        <v/>
      </c>
      <c r="AJ97" s="64" t="str">
        <f t="shared" si="17"/>
        <v/>
      </c>
      <c r="AK97" s="56"/>
      <c r="AL97" s="66" t="str">
        <f t="shared" si="9"/>
        <v/>
      </c>
      <c r="AM97" s="66"/>
      <c r="AN97" s="63" t="str">
        <f>if(AJ97,if(and(hour(AJ97+AN$5)&gt;11,(hour(AJ97+AN$5)&lt;20)),AJ97+AN$5,_xlfn.workday.intl(int(AJ97),1,"1000000",Holidays!A:A)+hour(AJ97+AN$5-$B$1)/24+minute(AJ97)/1440),"")</f>
        <v/>
      </c>
      <c r="AO97" s="64" t="str">
        <f t="shared" si="15"/>
        <v/>
      </c>
      <c r="AP97" s="56"/>
      <c r="AQ97" s="66" t="str">
        <f t="shared" si="16"/>
        <v/>
      </c>
      <c r="AR97" s="66"/>
      <c r="AS97" s="63" t="str">
        <f>if(AJ97,if(and(hour(AJ97+AS$5)&gt;11,(hour(AJ97+AS$5)&lt;20)),AJ97+AS$5,_xlfn.workday.intl(int(AJ97),1,"1000000",Holidays!A:A)+hour(AJ97+AS$5-$B$1)/24+minute(AJ97)/1440),"")</f>
        <v/>
      </c>
      <c r="AT97" s="64">
        <f t="shared" si="12"/>
        <v>44887.53158</v>
      </c>
      <c r="AU97" s="65" t="s">
        <v>2715</v>
      </c>
      <c r="AV97" s="66" t="str">
        <f t="shared" si="19"/>
        <v/>
      </c>
      <c r="AW97" s="66"/>
      <c r="AX97" s="65" t="s">
        <v>2713</v>
      </c>
    </row>
    <row r="98">
      <c r="A98" s="55">
        <v>44793.51246164352</v>
      </c>
      <c r="B98" s="56"/>
      <c r="C98" s="57"/>
      <c r="D98" s="57"/>
      <c r="E98" s="57"/>
      <c r="F98" s="57"/>
      <c r="G98" s="58">
        <f>if(A98,_xlfn.workday.intl(int(A98),1,"1000000",Holidays!A:A)+17/24,"")</f>
        <v>44794.70833</v>
      </c>
      <c r="H98" s="59" t="str">
        <f t="shared" si="20"/>
        <v/>
      </c>
      <c r="I98" s="60"/>
      <c r="J98" s="61">
        <f t="shared" si="2"/>
        <v>1339.275577</v>
      </c>
      <c r="K98" s="58">
        <f>if(G98,_xlfn.workday.intl(int(G98),0,"1000000",Holidays!A:A)+19/24,"")</f>
        <v>44794.79167</v>
      </c>
      <c r="L98" s="59">
        <f t="shared" si="3"/>
        <v>44805.59803</v>
      </c>
      <c r="M98" s="62" t="s">
        <v>2713</v>
      </c>
      <c r="N98" s="61">
        <f t="shared" si="4"/>
        <v>10.80636003</v>
      </c>
      <c r="O98" s="63">
        <f>if(A98,_xlfn.WORKDAY.INTL(A98,O$5,"1000000",Holidays!A:A)+hour(A98)/24+MINUTE(A98)/1440,"")</f>
        <v>44794.51181</v>
      </c>
      <c r="P98" s="64">
        <v>44805.597457905096</v>
      </c>
      <c r="Q98" s="65" t="s">
        <v>2713</v>
      </c>
      <c r="R98" s="66">
        <f t="shared" si="5"/>
        <v>11.08565235</v>
      </c>
      <c r="S98" s="66"/>
      <c r="T98" s="65" t="s">
        <v>2713</v>
      </c>
      <c r="U98" s="64">
        <f>if(O98,_xlfn.WORKDAY.INTL(O98,U$5,"1000000",Holidays!A:A)+hour(O98)/24+MINUTE(O98)/1440,"")</f>
        <v>44796.51181</v>
      </c>
      <c r="V98" s="64">
        <f t="shared" si="6"/>
        <v>44917.58841</v>
      </c>
      <c r="W98" s="65" t="s">
        <v>2713</v>
      </c>
      <c r="X98" s="66">
        <f t="shared" si="7"/>
        <v>121.0766046</v>
      </c>
      <c r="Y98" s="65"/>
      <c r="Z98" s="66"/>
      <c r="AA98" s="66"/>
      <c r="AB98" s="67">
        <v>1.0</v>
      </c>
      <c r="AC98" s="67">
        <v>2.0</v>
      </c>
      <c r="AD98" s="67">
        <v>3.0</v>
      </c>
      <c r="AE98" s="63"/>
      <c r="AF98" s="63"/>
      <c r="AG98" s="63"/>
      <c r="AH98" s="63">
        <f t="shared" si="14"/>
        <v>44811.59746</v>
      </c>
      <c r="AI98" s="63">
        <f>if(AH98,_xlfn.workday.intl(int(AH98),0,"1000000",Holidays!A:A)+18/24,"")</f>
        <v>44811.75</v>
      </c>
      <c r="AJ98" s="64">
        <f t="shared" si="17"/>
        <v>44887.7547</v>
      </c>
      <c r="AK98" s="65" t="s">
        <v>2713</v>
      </c>
      <c r="AL98" s="66">
        <f t="shared" si="9"/>
        <v>76.00469759</v>
      </c>
      <c r="AM98" s="66"/>
      <c r="AN98" s="63">
        <f>if(AJ98,if(and(hour(AJ98+AN$5)&gt;11,(hour(AJ98+AN$5)&lt;20)),AJ98+AN$5,_xlfn.workday.intl(int(AJ98),1,"1000000",Holidays!A:A)+hour(AJ98+AN$5-$B$1)/24+minute(AJ98)/1440),"")</f>
        <v>44888.7547</v>
      </c>
      <c r="AO98" s="64">
        <f t="shared" si="15"/>
        <v>44887.75473</v>
      </c>
      <c r="AP98" s="65" t="s">
        <v>2713</v>
      </c>
      <c r="AQ98" s="66" t="str">
        <f t="shared" si="16"/>
        <v/>
      </c>
      <c r="AR98" s="66"/>
      <c r="AS98" s="63">
        <f>if(AJ98,if(and(hour(AJ98+AS$5)&gt;11,(hour(AJ98+AS$5)&lt;20)),AJ98+AS$5,_xlfn.workday.intl(int(AJ98),1,"1000000",Holidays!A:A)+hour(AJ98+AS$5-$B$1)/24+minute(AJ98)/1440),"")</f>
        <v>44889.7547</v>
      </c>
      <c r="AT98" s="64">
        <f t="shared" si="12"/>
        <v>44887.53167</v>
      </c>
      <c r="AU98" s="65" t="s">
        <v>2715</v>
      </c>
      <c r="AV98" s="66" t="str">
        <f t="shared" si="19"/>
        <v/>
      </c>
      <c r="AW98" s="66"/>
      <c r="AX98" s="65" t="s">
        <v>2713</v>
      </c>
    </row>
    <row r="99">
      <c r="A99" s="55">
        <v>44793.58235989584</v>
      </c>
      <c r="B99" s="56"/>
      <c r="C99" s="57"/>
      <c r="D99" s="57"/>
      <c r="E99" s="57"/>
      <c r="F99" s="57"/>
      <c r="G99" s="58">
        <f>if(A99,_xlfn.workday.intl(int(A99),1,"1000000",Holidays!A:A)+17/24,"")</f>
        <v>44794.70833</v>
      </c>
      <c r="H99" s="59">
        <f t="shared" si="20"/>
        <v>44814.51064</v>
      </c>
      <c r="I99" s="62" t="s">
        <v>2713</v>
      </c>
      <c r="J99" s="61">
        <f t="shared" si="2"/>
        <v>19.80230251</v>
      </c>
      <c r="K99" s="58">
        <f>if(G99,_xlfn.workday.intl(int(G99),0,"1000000",Holidays!A:A)+19/24,"")</f>
        <v>44794.79167</v>
      </c>
      <c r="L99" s="59">
        <f t="shared" si="3"/>
        <v>44805.56786</v>
      </c>
      <c r="M99" s="62" t="s">
        <v>2713</v>
      </c>
      <c r="N99" s="61">
        <f t="shared" si="4"/>
        <v>10.7761977</v>
      </c>
      <c r="O99" s="63">
        <f>if(A99,_xlfn.WORKDAY.INTL(A99,O$5,"1000000",Holidays!A:A)+hour(A99)/24+MINUTE(A99)/1440,"")</f>
        <v>44794.58194</v>
      </c>
      <c r="P99" s="64">
        <v>44805.56788178241</v>
      </c>
      <c r="Q99" s="65" t="s">
        <v>2713</v>
      </c>
      <c r="R99" s="66">
        <f t="shared" si="5"/>
        <v>10.98593734</v>
      </c>
      <c r="S99" s="66"/>
      <c r="T99" s="66"/>
      <c r="U99" s="64">
        <f>if(O99,_xlfn.WORKDAY.INTL(O99,U$5,"1000000",Holidays!A:A)+hour(O99)/24+MINUTE(O99)/1440,"")</f>
        <v>44796.58194</v>
      </c>
      <c r="V99" s="64" t="str">
        <f t="shared" si="6"/>
        <v/>
      </c>
      <c r="W99" s="66"/>
      <c r="X99" s="66">
        <f t="shared" si="7"/>
        <v>1337.401965</v>
      </c>
      <c r="Y99" s="66"/>
      <c r="Z99" s="66"/>
      <c r="AA99" s="66"/>
      <c r="AB99" s="67">
        <v>1.0</v>
      </c>
      <c r="AC99" s="63"/>
      <c r="AD99" s="63"/>
      <c r="AE99" s="63"/>
      <c r="AF99" s="63"/>
      <c r="AG99" s="63"/>
      <c r="AH99" s="63">
        <f t="shared" si="14"/>
        <v>44806.56788</v>
      </c>
      <c r="AI99" s="63">
        <f>if(AH99,_xlfn.workday.intl(int(AH99),0,"1000000",Holidays!A:A)+18/24,"")</f>
        <v>44806.75</v>
      </c>
      <c r="AJ99" s="64">
        <f t="shared" si="17"/>
        <v>44814.5107</v>
      </c>
      <c r="AK99" s="65" t="s">
        <v>2713</v>
      </c>
      <c r="AL99" s="66">
        <f t="shared" si="9"/>
        <v>7.760698634</v>
      </c>
      <c r="AM99" s="66"/>
      <c r="AN99" s="63">
        <f>if(AJ99,if(and(hour(AJ99+AN$5)&gt;11,(hour(AJ99+AN$5)&lt;20)),AJ99+AN$5,_xlfn.workday.intl(int(AJ99),1,"1000000",Holidays!A:A)+hour(AJ99+AN$5-$B$1)/24+minute(AJ99)/1440),"")</f>
        <v>44815.5107</v>
      </c>
      <c r="AO99" s="64">
        <f t="shared" si="15"/>
        <v>44814.51072</v>
      </c>
      <c r="AP99" s="65" t="s">
        <v>2713</v>
      </c>
      <c r="AQ99" s="66" t="str">
        <f t="shared" si="16"/>
        <v/>
      </c>
      <c r="AR99" s="66"/>
      <c r="AS99" s="63">
        <f>if(AJ99,if(and(hour(AJ99+AS$5)&gt;11,(hour(AJ99+AS$5)&lt;20)),AJ99+AS$5,_xlfn.workday.intl(int(AJ99),1,"1000000",Holidays!A:A)+hour(AJ99+AS$5-$B$1)/24+minute(AJ99)/1440),"")</f>
        <v>44816.5107</v>
      </c>
      <c r="AT99" s="65"/>
      <c r="AU99" s="65" t="s">
        <v>2715</v>
      </c>
      <c r="AV99" s="66"/>
      <c r="AW99" s="66"/>
      <c r="AX99" s="65" t="s">
        <v>2713</v>
      </c>
    </row>
    <row r="100">
      <c r="A100" s="55">
        <v>44793.58531712963</v>
      </c>
      <c r="B100" s="56"/>
      <c r="C100" s="57"/>
      <c r="D100" s="57"/>
      <c r="E100" s="57"/>
      <c r="F100" s="57"/>
      <c r="G100" s="58">
        <f>if(A100,_xlfn.workday.intl(int(A100),1,"1000000",Holidays!A:A)+17/24,"")</f>
        <v>44794.70833</v>
      </c>
      <c r="H100" s="59">
        <f t="shared" si="20"/>
        <v>44812.64344</v>
      </c>
      <c r="I100" s="62" t="s">
        <v>2713</v>
      </c>
      <c r="J100" s="61">
        <f t="shared" si="2"/>
        <v>17.93510703</v>
      </c>
      <c r="K100" s="58">
        <f>if(G100,_xlfn.workday.intl(int(G100),0,"1000000",Holidays!A:A)+19/24,"")</f>
        <v>44794.79167</v>
      </c>
      <c r="L100" s="59">
        <f t="shared" si="3"/>
        <v>44812.64349</v>
      </c>
      <c r="M100" s="62" t="s">
        <v>2713</v>
      </c>
      <c r="N100" s="61">
        <f t="shared" si="4"/>
        <v>17.8518274</v>
      </c>
      <c r="O100" s="63">
        <f>if(A100,_xlfn.WORKDAY.INTL(A100,O$5,"1000000",Holidays!A:A)+hour(A100)/24+MINUTE(A100)/1440,"")</f>
        <v>44794.58472</v>
      </c>
      <c r="P100" s="64">
        <v>44812.64356053241</v>
      </c>
      <c r="Q100" s="65" t="s">
        <v>2713</v>
      </c>
      <c r="R100" s="66">
        <f t="shared" si="5"/>
        <v>18.05883831</v>
      </c>
      <c r="S100" s="66"/>
      <c r="T100" s="66"/>
      <c r="U100" s="64">
        <f>if(O100,_xlfn.WORKDAY.INTL(O100,U$5,"1000000",Holidays!A:A)+hour(O100)/24+MINUTE(O100)/1440,"")</f>
        <v>44796.58472</v>
      </c>
      <c r="V100" s="64" t="str">
        <f t="shared" si="6"/>
        <v/>
      </c>
      <c r="W100" s="66"/>
      <c r="X100" s="66">
        <f t="shared" si="7"/>
        <v>1337.399188</v>
      </c>
      <c r="Y100" s="66"/>
      <c r="Z100" s="66"/>
      <c r="AA100" s="66"/>
      <c r="AB100" s="67">
        <v>1.0</v>
      </c>
      <c r="AC100" s="63"/>
      <c r="AD100" s="63"/>
      <c r="AE100" s="63"/>
      <c r="AF100" s="63"/>
      <c r="AG100" s="63"/>
      <c r="AH100" s="63">
        <f t="shared" si="14"/>
        <v>44813.64356</v>
      </c>
      <c r="AI100" s="63">
        <f>if(AH100,_xlfn.workday.intl(int(AH100),0,"1000000",Holidays!A:A)+18/24,"")</f>
        <v>44813.75</v>
      </c>
      <c r="AJ100" s="64">
        <f t="shared" si="17"/>
        <v>44812.64362</v>
      </c>
      <c r="AK100" s="65" t="s">
        <v>2713</v>
      </c>
      <c r="AL100" s="66" t="str">
        <f t="shared" si="9"/>
        <v/>
      </c>
      <c r="AM100" s="66"/>
      <c r="AN100" s="63">
        <f>if(AJ100,if(and(hour(AJ100+AN$5)&gt;11,(hour(AJ100+AN$5)&lt;20)),AJ100+AN$5,_xlfn.workday.intl(int(AJ100),1,"1000000",Holidays!A:A)+hour(AJ100+AN$5-$B$1)/24+minute(AJ100)/1440),"")</f>
        <v>44813.64362</v>
      </c>
      <c r="AO100" s="64">
        <f t="shared" si="15"/>
        <v>44812.64365</v>
      </c>
      <c r="AP100" s="65" t="s">
        <v>2713</v>
      </c>
      <c r="AQ100" s="66" t="str">
        <f t="shared" si="16"/>
        <v/>
      </c>
      <c r="AR100" s="66"/>
      <c r="AS100" s="63">
        <f>if(AJ100,if(and(hour(AJ100+AS$5)&gt;11,(hour(AJ100+AS$5)&lt;20)),AJ100+AS$5,_xlfn.workday.intl(int(AJ100),1,"1000000",Holidays!A:A)+hour(AJ100+AS$5-$B$1)/24+minute(AJ100)/1440),"")</f>
        <v>44814.64362</v>
      </c>
      <c r="AT100" s="64">
        <f t="shared" ref="AT100:AT1000" si="21">if(AT100,AT100,if(AU100&lt;&gt;"",$A$1,""))</f>
        <v>44812.6437</v>
      </c>
      <c r="AU100" s="65" t="s">
        <v>2715</v>
      </c>
      <c r="AV100" s="66" t="str">
        <f t="shared" ref="AV100:AV123" si="22">if(AS100,if(AT100&lt;&gt;"",if(AT100&gt;AS100,AT100-AS100,""),$A$1-AS100),"")</f>
        <v/>
      </c>
      <c r="AW100" s="66"/>
      <c r="AX100" s="65" t="s">
        <v>2713</v>
      </c>
    </row>
    <row r="101" ht="15.0" customHeight="1">
      <c r="A101" s="55">
        <v>44793.59721324074</v>
      </c>
      <c r="B101" s="56"/>
      <c r="C101" s="57"/>
      <c r="D101" s="57"/>
      <c r="E101" s="57"/>
      <c r="F101" s="57"/>
      <c r="G101" s="58">
        <f>if(A101,_xlfn.workday.intl(int(A101),1,"1000000",Holidays!A:A)+17/24,"")</f>
        <v>44794.70833</v>
      </c>
      <c r="H101" s="59" t="str">
        <f t="shared" si="20"/>
        <v/>
      </c>
      <c r="I101" s="60"/>
      <c r="J101" s="61">
        <f t="shared" si="2"/>
        <v>1339.275577</v>
      </c>
      <c r="K101" s="58">
        <f>if(G101,_xlfn.workday.intl(int(G101),0,"1000000",Holidays!A:A)+19/24,"")</f>
        <v>44794.79167</v>
      </c>
      <c r="L101" s="59" t="str">
        <f t="shared" si="3"/>
        <v/>
      </c>
      <c r="M101" s="60"/>
      <c r="N101" s="61">
        <f t="shared" si="4"/>
        <v>1339.192243</v>
      </c>
      <c r="O101" s="63">
        <f>if(A101,_xlfn.WORKDAY.INTL(A101,O$5,"1000000",Holidays!A:A)+hour(A101)/24+MINUTE(A101)/1440,"")</f>
        <v>44794.59653</v>
      </c>
      <c r="P101" s="64" t="s">
        <v>2718</v>
      </c>
      <c r="Q101" s="56"/>
      <c r="R101" s="66">
        <f t="shared" si="5"/>
        <v>1339.387382</v>
      </c>
      <c r="S101" s="66"/>
      <c r="T101" s="66"/>
      <c r="U101" s="64">
        <f>if(O101,_xlfn.WORKDAY.INTL(O101,U$5,"1000000",Holidays!A:A)+hour(O101)/24+MINUTE(O101)/1440,"")</f>
        <v>44796.59653</v>
      </c>
      <c r="V101" s="64" t="str">
        <f t="shared" si="6"/>
        <v/>
      </c>
      <c r="W101" s="66"/>
      <c r="X101" s="66">
        <f t="shared" si="7"/>
        <v>1337.387382</v>
      </c>
      <c r="Y101" s="66"/>
      <c r="Z101" s="66"/>
      <c r="AA101" s="66"/>
      <c r="AB101" s="63"/>
      <c r="AC101" s="63"/>
      <c r="AD101" s="63"/>
      <c r="AE101" s="63"/>
      <c r="AF101" s="63"/>
      <c r="AG101" s="63"/>
      <c r="AH101" s="63" t="str">
        <f t="shared" si="14"/>
        <v/>
      </c>
      <c r="AI101" s="63" t="str">
        <f>if(AH101,_xlfn.workday.intl(int(AH101),0,"1000000",Holidays!A:A)+18/24,"")</f>
        <v/>
      </c>
      <c r="AJ101" s="64" t="str">
        <f t="shared" si="17"/>
        <v/>
      </c>
      <c r="AK101" s="56"/>
      <c r="AL101" s="66" t="str">
        <f t="shared" si="9"/>
        <v/>
      </c>
      <c r="AM101" s="66"/>
      <c r="AN101" s="63" t="str">
        <f>if(AJ101,if(and(hour(AJ101+AN$5)&gt;11,(hour(AJ101+AN$5)&lt;20)),AJ101+AN$5,_xlfn.workday.intl(int(AJ101),1,"1000000",Holidays!A:A)+hour(AJ101+AN$5-$B$1)/24+minute(AJ101)/1440),"")</f>
        <v/>
      </c>
      <c r="AO101" s="64" t="str">
        <f t="shared" si="15"/>
        <v/>
      </c>
      <c r="AP101" s="56"/>
      <c r="AQ101" s="66" t="str">
        <f t="shared" si="16"/>
        <v/>
      </c>
      <c r="AR101" s="66"/>
      <c r="AS101" s="63" t="str">
        <f>if(AJ101,if(and(hour(AJ101+AS$5)&gt;11,(hour(AJ101+AS$5)&lt;20)),AJ101+AS$5,_xlfn.workday.intl(int(AJ101),1,"1000000",Holidays!A:A)+hour(AJ101+AS$5-$B$1)/24+minute(AJ101)/1440),"")</f>
        <v/>
      </c>
      <c r="AT101" s="64">
        <f t="shared" si="21"/>
        <v>44887.53249</v>
      </c>
      <c r="AU101" s="65" t="s">
        <v>2716</v>
      </c>
      <c r="AV101" s="66" t="str">
        <f t="shared" si="22"/>
        <v/>
      </c>
      <c r="AW101" s="66"/>
      <c r="AX101" s="65" t="s">
        <v>2727</v>
      </c>
    </row>
    <row r="102">
      <c r="A102" s="55">
        <v>44794.45179857639</v>
      </c>
      <c r="B102" s="56"/>
      <c r="C102" s="57"/>
      <c r="D102" s="57"/>
      <c r="E102" s="57"/>
      <c r="F102" s="57"/>
      <c r="G102" s="58">
        <f>if(A102,_xlfn.workday.intl(int(A102),1,"1000000",Holidays!A:A)+17/24,"")</f>
        <v>44796.70833</v>
      </c>
      <c r="H102" s="59">
        <f t="shared" si="20"/>
        <v>44794.55855</v>
      </c>
      <c r="I102" s="62" t="s">
        <v>2713</v>
      </c>
      <c r="J102" s="61" t="str">
        <f t="shared" si="2"/>
        <v/>
      </c>
      <c r="K102" s="58">
        <f>if(G102,_xlfn.workday.intl(int(G102),0,"1000000",Holidays!A:A)+19/24,"")</f>
        <v>44796.79167</v>
      </c>
      <c r="L102" s="59">
        <f t="shared" si="3"/>
        <v>44794.55861</v>
      </c>
      <c r="M102" s="62" t="s">
        <v>2713</v>
      </c>
      <c r="N102" s="61" t="str">
        <f t="shared" si="4"/>
        <v/>
      </c>
      <c r="O102" s="63">
        <f>if(A102,_xlfn.WORKDAY.INTL(A102,O$5,"1000000",Holidays!A:A)+hour(A102)/24+MINUTE(A102)/1440,"")</f>
        <v>44796.45139</v>
      </c>
      <c r="P102" s="64">
        <v>44794.5586858912</v>
      </c>
      <c r="Q102" s="65" t="s">
        <v>2713</v>
      </c>
      <c r="R102" s="66" t="str">
        <f t="shared" si="5"/>
        <v/>
      </c>
      <c r="S102" s="66"/>
      <c r="T102" s="66"/>
      <c r="U102" s="64">
        <f>if(O102,_xlfn.WORKDAY.INTL(O102,U$5,"1000000",Holidays!A:A)+hour(O102)/24+MINUTE(O102)/1440,"")</f>
        <v>44797.45139</v>
      </c>
      <c r="V102" s="64" t="str">
        <f t="shared" si="6"/>
        <v/>
      </c>
      <c r="W102" s="66"/>
      <c r="X102" s="66">
        <f t="shared" si="7"/>
        <v>1336.532521</v>
      </c>
      <c r="Y102" s="66"/>
      <c r="Z102" s="66"/>
      <c r="AA102" s="66"/>
      <c r="AB102" s="63"/>
      <c r="AC102" s="63"/>
      <c r="AD102" s="63"/>
      <c r="AE102" s="63"/>
      <c r="AF102" s="63"/>
      <c r="AG102" s="63"/>
      <c r="AH102" s="63">
        <f t="shared" si="14"/>
        <v>44794.55869</v>
      </c>
      <c r="AI102" s="63">
        <f>if(AH102,_xlfn.workday.intl(int(AH102),0,"1000000",Holidays!A:A)+18/24,"")</f>
        <v>44794.75</v>
      </c>
      <c r="AJ102" s="64">
        <f t="shared" si="17"/>
        <v>44794.55877</v>
      </c>
      <c r="AK102" s="65" t="s">
        <v>2713</v>
      </c>
      <c r="AL102" s="66" t="str">
        <f t="shared" si="9"/>
        <v/>
      </c>
      <c r="AM102" s="66"/>
      <c r="AN102" s="63">
        <f>if(AJ102,if(and(hour(AJ102+AN$5)&gt;11,(hour(AJ102+AN$5)&lt;20)),AJ102+AN$5,_xlfn.workday.intl(int(AJ102),1,"1000000",Holidays!A:A)+hour(AJ102+AN$5-$B$1)/24+minute(AJ102)/1440),"")</f>
        <v>44795.55877</v>
      </c>
      <c r="AO102" s="64">
        <f t="shared" si="15"/>
        <v>44916.7327</v>
      </c>
      <c r="AP102" s="65" t="s">
        <v>2713</v>
      </c>
      <c r="AQ102" s="66">
        <f t="shared" si="16"/>
        <v>121.1739288</v>
      </c>
      <c r="AR102" s="66"/>
      <c r="AS102" s="63">
        <f>if(AJ102,if(and(hour(AJ102+AS$5)&gt;11,(hour(AJ102+AS$5)&lt;20)),AJ102+AS$5,_xlfn.workday.intl(int(AJ102),1,"1000000",Holidays!A:A)+hour(AJ102+AS$5-$B$1)/24+minute(AJ102)/1440),"")</f>
        <v>44796.55877</v>
      </c>
      <c r="AT102" s="64">
        <f t="shared" si="21"/>
        <v>44794.55884</v>
      </c>
      <c r="AU102" s="65" t="s">
        <v>2715</v>
      </c>
      <c r="AV102" s="66" t="str">
        <f t="shared" si="22"/>
        <v/>
      </c>
      <c r="AW102" s="66"/>
      <c r="AX102" s="65" t="s">
        <v>2713</v>
      </c>
    </row>
    <row r="103">
      <c r="A103" s="55">
        <v>44799.51714034722</v>
      </c>
      <c r="B103" s="56"/>
      <c r="C103" s="57"/>
      <c r="D103" s="57"/>
      <c r="E103" s="57"/>
      <c r="F103" s="57"/>
      <c r="G103" s="58">
        <f>if(A103,_xlfn.workday.intl(int(A103),1,"1000000",Holidays!A:A)+17/24,"")</f>
        <v>44800.70833</v>
      </c>
      <c r="H103" s="59" t="str">
        <f t="shared" si="20"/>
        <v/>
      </c>
      <c r="I103" s="60"/>
      <c r="J103" s="61">
        <f t="shared" si="2"/>
        <v>1333.275577</v>
      </c>
      <c r="K103" s="58">
        <f>if(G103,_xlfn.workday.intl(int(G103),0,"1000000",Holidays!A:A)+19/24,"")</f>
        <v>44800.79167</v>
      </c>
      <c r="L103" s="59">
        <f t="shared" si="3"/>
        <v>44799.77834</v>
      </c>
      <c r="M103" s="62" t="s">
        <v>2713</v>
      </c>
      <c r="N103" s="61" t="str">
        <f t="shared" si="4"/>
        <v/>
      </c>
      <c r="O103" s="63">
        <f>if(A103,_xlfn.WORKDAY.INTL(A103,O$5,"1000000",Holidays!A:A)+hour(A103)/24+MINUTE(A103)/1440,"")</f>
        <v>44800.51667</v>
      </c>
      <c r="P103" s="64">
        <v>44799.77835988426</v>
      </c>
      <c r="Q103" s="65" t="s">
        <v>2713</v>
      </c>
      <c r="R103" s="66" t="str">
        <f t="shared" si="5"/>
        <v/>
      </c>
      <c r="S103" s="66"/>
      <c r="T103" s="66"/>
      <c r="U103" s="64">
        <f>if(O103,_xlfn.WORKDAY.INTL(O103,U$5,"1000000",Holidays!A:A)+hour(O103)/24+MINUTE(O103)/1440,"")</f>
        <v>44801.51667</v>
      </c>
      <c r="V103" s="64" t="str">
        <f t="shared" si="6"/>
        <v/>
      </c>
      <c r="W103" s="66"/>
      <c r="X103" s="66">
        <f t="shared" si="7"/>
        <v>1332.467243</v>
      </c>
      <c r="Y103" s="66"/>
      <c r="Z103" s="66"/>
      <c r="AA103" s="66"/>
      <c r="AB103" s="67">
        <v>1.0</v>
      </c>
      <c r="AC103" s="63"/>
      <c r="AD103" s="63"/>
      <c r="AE103" s="63"/>
      <c r="AF103" s="63"/>
      <c r="AG103" s="63"/>
      <c r="AH103" s="63">
        <f t="shared" si="14"/>
        <v>44800.77836</v>
      </c>
      <c r="AI103" s="63">
        <f>if(AH103,_xlfn.workday.intl(int(AH103),0,"1000000",Holidays!A:A)+18/24,"")</f>
        <v>44800.75</v>
      </c>
      <c r="AJ103" s="64" t="str">
        <f t="shared" si="17"/>
        <v/>
      </c>
      <c r="AK103" s="56"/>
      <c r="AL103" s="66">
        <f t="shared" si="9"/>
        <v>1333.23391</v>
      </c>
      <c r="AM103" s="66"/>
      <c r="AN103" s="63" t="str">
        <f>if(AJ103,if(and(hour(AJ103+AN$5)&gt;11,(hour(AJ103+AN$5)&lt;20)),AJ103+AN$5,_xlfn.workday.intl(int(AJ103),1,"1000000",Holidays!A:A)+hour(AJ103+AN$5-$B$1)/24+minute(AJ103)/1440),"")</f>
        <v/>
      </c>
      <c r="AO103" s="64" t="str">
        <f t="shared" si="15"/>
        <v/>
      </c>
      <c r="AP103" s="56"/>
      <c r="AQ103" s="66" t="str">
        <f t="shared" si="16"/>
        <v/>
      </c>
      <c r="AR103" s="66"/>
      <c r="AS103" s="63" t="str">
        <f>if(AJ103,if(and(hour(AJ103+AS$5)&gt;11,(hour(AJ103+AS$5)&lt;20)),AJ103+AS$5,_xlfn.workday.intl(int(AJ103),1,"1000000",Holidays!A:A)+hour(AJ103+AS$5-$B$1)/24+minute(AJ103)/1440),"")</f>
        <v/>
      </c>
      <c r="AT103" s="64" t="str">
        <f t="shared" si="21"/>
        <v/>
      </c>
      <c r="AU103" s="56"/>
      <c r="AV103" s="66" t="str">
        <f t="shared" si="22"/>
        <v/>
      </c>
      <c r="AW103" s="66"/>
      <c r="AX103" s="65" t="s">
        <v>2722</v>
      </c>
    </row>
    <row r="104">
      <c r="A104" s="55">
        <v>44799.69036552083</v>
      </c>
      <c r="B104" s="56"/>
      <c r="C104" s="57"/>
      <c r="D104" s="57"/>
      <c r="E104" s="57"/>
      <c r="F104" s="57"/>
      <c r="G104" s="58">
        <f>if(A104,_xlfn.workday.intl(int(A104),1,"1000000",Holidays!A:A)+17/24,"")</f>
        <v>44800.70833</v>
      </c>
      <c r="H104" s="59" t="str">
        <f t="shared" si="20"/>
        <v/>
      </c>
      <c r="I104" s="60"/>
      <c r="J104" s="61">
        <f t="shared" si="2"/>
        <v>1333.275577</v>
      </c>
      <c r="K104" s="58">
        <f>if(G104,_xlfn.workday.intl(int(G104),0,"1000000",Holidays!A:A)+19/24,"")</f>
        <v>44800.79167</v>
      </c>
      <c r="L104" s="59">
        <f t="shared" si="3"/>
        <v>44799.77355</v>
      </c>
      <c r="M104" s="62" t="s">
        <v>2713</v>
      </c>
      <c r="N104" s="61" t="str">
        <f t="shared" si="4"/>
        <v/>
      </c>
      <c r="O104" s="63">
        <f>if(A104,_xlfn.WORKDAY.INTL(A104,O$5,"1000000",Holidays!A:A)+hour(A104)/24+MINUTE(A104)/1440,"")</f>
        <v>44800.69028</v>
      </c>
      <c r="P104" s="64">
        <v>44799.77358684028</v>
      </c>
      <c r="Q104" s="65" t="s">
        <v>2713</v>
      </c>
      <c r="R104" s="66" t="str">
        <f t="shared" si="5"/>
        <v/>
      </c>
      <c r="S104" s="66"/>
      <c r="T104" s="66"/>
      <c r="U104" s="64">
        <f>if(O104,_xlfn.WORKDAY.INTL(O104,U$5,"1000000",Holidays!A:A)+hour(O104)/24+MINUTE(O104)/1440,"")</f>
        <v>44801.69028</v>
      </c>
      <c r="V104" s="64" t="str">
        <f t="shared" si="6"/>
        <v/>
      </c>
      <c r="W104" s="66"/>
      <c r="X104" s="66">
        <f t="shared" si="7"/>
        <v>1332.293632</v>
      </c>
      <c r="Y104" s="66"/>
      <c r="Z104" s="66"/>
      <c r="AA104" s="66"/>
      <c r="AB104" s="67">
        <v>1.0</v>
      </c>
      <c r="AC104" s="67">
        <v>2.0</v>
      </c>
      <c r="AD104" s="63"/>
      <c r="AE104" s="63"/>
      <c r="AF104" s="63"/>
      <c r="AG104" s="63"/>
      <c r="AH104" s="63">
        <f t="shared" si="14"/>
        <v>44802.77359</v>
      </c>
      <c r="AI104" s="63">
        <f>if(AH104,_xlfn.workday.intl(int(AH104),0,"1000000",Holidays!A:A)+18/24,"")</f>
        <v>44802.75</v>
      </c>
      <c r="AJ104" s="64" t="str">
        <f t="shared" si="17"/>
        <v/>
      </c>
      <c r="AK104" s="56"/>
      <c r="AL104" s="66">
        <f t="shared" si="9"/>
        <v>1331.23391</v>
      </c>
      <c r="AM104" s="66"/>
      <c r="AN104" s="63" t="str">
        <f>if(AJ104,if(and(hour(AJ104+AN$5)&gt;11,(hour(AJ104+AN$5)&lt;20)),AJ104+AN$5,_xlfn.workday.intl(int(AJ104),1,"1000000",Holidays!A:A)+hour(AJ104+AN$5-$B$1)/24+minute(AJ104)/1440),"")</f>
        <v/>
      </c>
      <c r="AO104" s="64" t="str">
        <f t="shared" si="15"/>
        <v/>
      </c>
      <c r="AP104" s="56"/>
      <c r="AQ104" s="66" t="str">
        <f t="shared" si="16"/>
        <v/>
      </c>
      <c r="AR104" s="66"/>
      <c r="AS104" s="63" t="str">
        <f>if(AJ104,if(and(hour(AJ104+AS$5)&gt;11,(hour(AJ104+AS$5)&lt;20)),AJ104+AS$5,_xlfn.workday.intl(int(AJ104),1,"1000000",Holidays!A:A)+hour(AJ104+AS$5-$B$1)/24+minute(AJ104)/1440),"")</f>
        <v/>
      </c>
      <c r="AT104" s="64">
        <f t="shared" si="21"/>
        <v>44887.53236</v>
      </c>
      <c r="AU104" s="65" t="s">
        <v>2716</v>
      </c>
      <c r="AV104" s="66" t="str">
        <f t="shared" si="22"/>
        <v/>
      </c>
      <c r="AW104" s="66"/>
      <c r="AX104" s="65" t="s">
        <v>2720</v>
      </c>
    </row>
    <row r="105">
      <c r="A105" s="55">
        <v>44800.580045509254</v>
      </c>
      <c r="B105" s="56"/>
      <c r="C105" s="57"/>
      <c r="D105" s="57"/>
      <c r="E105" s="57"/>
      <c r="F105" s="57"/>
      <c r="G105" s="58" t="str">
        <f>if(#REF!,_xlfn.workday.intl(int(#REF!),1,"1000000",Holidays!A:A)+17/24,"")</f>
        <v>#REF!</v>
      </c>
      <c r="H105" s="59" t="str">
        <f t="shared" si="20"/>
        <v/>
      </c>
      <c r="I105" s="60"/>
      <c r="J105" s="61" t="str">
        <f t="shared" si="2"/>
        <v>#REF!</v>
      </c>
      <c r="K105" s="58"/>
      <c r="L105" s="59">
        <f t="shared" si="3"/>
        <v>44800.7852</v>
      </c>
      <c r="M105" s="62" t="s">
        <v>2713</v>
      </c>
      <c r="N105" s="61" t="str">
        <f t="shared" si="4"/>
        <v/>
      </c>
      <c r="O105" s="63">
        <f>if(A105,_xlfn.WORKDAY.INTL(A105,O$5,"1000000",Holidays!A:A)+hour(A105)/24+MINUTE(A105)/1440,"")</f>
        <v>44801.57986</v>
      </c>
      <c r="P105" s="64">
        <v>44800.78524677083</v>
      </c>
      <c r="Q105" s="65" t="s">
        <v>2713</v>
      </c>
      <c r="R105" s="66" t="str">
        <f t="shared" si="5"/>
        <v/>
      </c>
      <c r="S105" s="66"/>
      <c r="T105" s="66"/>
      <c r="U105" s="64">
        <f>if(O105,_xlfn.WORKDAY.INTL(O105,U$5,"1000000",Holidays!A:A)+hour(O105)/24+MINUTE(O105)/1440,"")</f>
        <v>44803.57986</v>
      </c>
      <c r="V105" s="64" t="str">
        <f t="shared" si="6"/>
        <v/>
      </c>
      <c r="W105" s="66"/>
      <c r="X105" s="66">
        <f t="shared" si="7"/>
        <v>1330.404049</v>
      </c>
      <c r="Y105" s="66"/>
      <c r="Z105" s="66"/>
      <c r="AA105" s="66"/>
      <c r="AB105" s="67">
        <v>1.0</v>
      </c>
      <c r="AC105" s="67">
        <v>2.0</v>
      </c>
      <c r="AD105" s="67">
        <v>4.0</v>
      </c>
      <c r="AE105" s="67">
        <v>2.0</v>
      </c>
      <c r="AF105" s="63"/>
      <c r="AG105" s="63"/>
      <c r="AH105" s="63">
        <f t="shared" si="14"/>
        <v>44809.78525</v>
      </c>
      <c r="AI105" s="63">
        <f>if(AH105,_xlfn.workday.intl(int(AH105),0,"1000000",Holidays!A:A)+18/24,"")</f>
        <v>44809.75</v>
      </c>
      <c r="AJ105" s="64" t="str">
        <f t="shared" si="17"/>
        <v/>
      </c>
      <c r="AK105" s="56"/>
      <c r="AL105" s="66">
        <f t="shared" si="9"/>
        <v>1324.23391</v>
      </c>
      <c r="AM105" s="66"/>
      <c r="AN105" s="63" t="str">
        <f>if(AJ105,if(and(hour(AJ105+AN$5)&gt;11,(hour(AJ105+AN$5)&lt;20)),AJ105+AN$5,_xlfn.workday.intl(int(AJ105),1,"1000000",Holidays!A:A)+hour(AJ105+AN$5-$B$1)/24+minute(AJ105)/1440),"")</f>
        <v/>
      </c>
      <c r="AO105" s="64" t="str">
        <f t="shared" si="15"/>
        <v/>
      </c>
      <c r="AP105" s="56"/>
      <c r="AQ105" s="66" t="str">
        <f t="shared" si="16"/>
        <v/>
      </c>
      <c r="AR105" s="66"/>
      <c r="AS105" s="63" t="str">
        <f>if(AJ105,if(and(hour(AJ105+AS$5)&gt;11,(hour(AJ105+AS$5)&lt;20)),AJ105+AS$5,_xlfn.workday.intl(int(AJ105),1,"1000000",Holidays!A:A)+hour(AJ105+AS$5-$B$1)/24+minute(AJ105)/1440),"")</f>
        <v/>
      </c>
      <c r="AT105" s="64">
        <f t="shared" si="21"/>
        <v>44887.53239</v>
      </c>
      <c r="AU105" s="65" t="s">
        <v>2716</v>
      </c>
      <c r="AV105" s="66" t="str">
        <f t="shared" si="22"/>
        <v/>
      </c>
      <c r="AW105" s="66"/>
      <c r="AX105" s="65" t="s">
        <v>2720</v>
      </c>
    </row>
    <row r="106">
      <c r="A106" s="19">
        <v>44800.58388002314</v>
      </c>
      <c r="B106" s="56"/>
      <c r="C106" s="57"/>
      <c r="D106" s="57"/>
      <c r="E106" s="57"/>
      <c r="F106" s="57"/>
      <c r="G106" s="58">
        <f>if(A105,_xlfn.workday.intl(int(A105),1,"1000000",Holidays!A:A)+17/24,"")</f>
        <v>44801.70833</v>
      </c>
      <c r="H106" s="59" t="str">
        <f t="shared" si="20"/>
        <v/>
      </c>
      <c r="I106" s="60"/>
      <c r="J106" s="61">
        <f t="shared" si="2"/>
        <v>1332.275577</v>
      </c>
      <c r="K106" s="58">
        <f>if(G106,_xlfn.workday.intl(int(G106),0,"1000000",Holidays!A:A)+19/24,"")</f>
        <v>44801.79167</v>
      </c>
      <c r="L106" s="59" t="str">
        <f t="shared" si="3"/>
        <v/>
      </c>
      <c r="M106" s="60"/>
      <c r="N106" s="61">
        <f t="shared" si="4"/>
        <v>1332.192243</v>
      </c>
      <c r="O106" s="63">
        <f>if(A106,_xlfn.WORKDAY.INTL(A106,O$5,"1000000",Holidays!A:A)+hour(A106)/24+MINUTE(A106)/1440,"")</f>
        <v>44801.58333</v>
      </c>
      <c r="P106" s="64">
        <v>44855.4945480787</v>
      </c>
      <c r="Q106" s="65" t="s">
        <v>2713</v>
      </c>
      <c r="R106" s="66">
        <f t="shared" si="5"/>
        <v>53.91121475</v>
      </c>
      <c r="S106" s="66"/>
      <c r="T106" s="66"/>
      <c r="U106" s="64">
        <f>if(O106,_xlfn.WORKDAY.INTL(O106,U$5,"1000000",Holidays!A:A)+hour(O106)/24+MINUTE(O106)/1440,"")</f>
        <v>44803.58333</v>
      </c>
      <c r="V106" s="64" t="str">
        <f t="shared" si="6"/>
        <v/>
      </c>
      <c r="W106" s="66"/>
      <c r="X106" s="66">
        <f t="shared" si="7"/>
        <v>1330.400577</v>
      </c>
      <c r="Y106" s="66"/>
      <c r="Z106" s="66"/>
      <c r="AA106" s="66"/>
      <c r="AB106" s="67">
        <v>1.0</v>
      </c>
      <c r="AC106" s="63"/>
      <c r="AD106" s="63"/>
      <c r="AE106" s="63"/>
      <c r="AF106" s="63"/>
      <c r="AG106" s="63"/>
      <c r="AH106" s="63">
        <f t="shared" si="14"/>
        <v>44856.49455</v>
      </c>
      <c r="AI106" s="63">
        <f>if(AH106,_xlfn.workday.intl(int(AH106),0,"1000000",Holidays!A:A)+18/24,"")</f>
        <v>44856.75</v>
      </c>
      <c r="AJ106" s="64">
        <f t="shared" si="17"/>
        <v>44855.4945</v>
      </c>
      <c r="AK106" s="65" t="s">
        <v>2713</v>
      </c>
      <c r="AL106" s="66" t="str">
        <f t="shared" si="9"/>
        <v/>
      </c>
      <c r="AM106" s="66"/>
      <c r="AN106" s="63">
        <f>if(AJ106,if(and(hour(AJ106+AN$5)&gt;11,(hour(AJ106+AN$5)&lt;20)),AJ106+AN$5,_xlfn.workday.intl(int(AJ106),1,"1000000",Holidays!A:A)+hour(AJ106+AN$5-$B$1)/24+minute(AJ106)/1440),"")</f>
        <v>44856.49444</v>
      </c>
      <c r="AO106" s="64">
        <f t="shared" si="15"/>
        <v>44855.49446</v>
      </c>
      <c r="AP106" s="65" t="s">
        <v>2713</v>
      </c>
      <c r="AQ106" s="66" t="str">
        <f t="shared" si="16"/>
        <v/>
      </c>
      <c r="AR106" s="66"/>
      <c r="AS106" s="63">
        <f>if(AJ106,if(and(hour(AJ106+AS$5)&gt;11,(hour(AJ106+AS$5)&lt;20)),AJ106+AS$5,_xlfn.workday.intl(int(AJ106),1,"1000000",Holidays!A:A)+hour(AJ106+AS$5-$B$1)/24+minute(AJ106)/1440),"")</f>
        <v>44856.49444</v>
      </c>
      <c r="AT106" s="64">
        <f t="shared" si="21"/>
        <v>44855.49441</v>
      </c>
      <c r="AU106" s="65" t="s">
        <v>2715</v>
      </c>
      <c r="AV106" s="66" t="str">
        <f t="shared" si="22"/>
        <v/>
      </c>
      <c r="AW106" s="66"/>
      <c r="AX106" s="65" t="s">
        <v>2713</v>
      </c>
    </row>
    <row r="107">
      <c r="A107" s="55">
        <v>44800.5896018287</v>
      </c>
      <c r="B107" s="56"/>
      <c r="C107" s="57"/>
      <c r="D107" s="57"/>
      <c r="E107" s="57"/>
      <c r="F107" s="57"/>
      <c r="G107" s="58">
        <f>if(A107,_xlfn.workday.intl(int(A107),1,"1000000",Holidays!A:A)+17/24,"")</f>
        <v>44801.70833</v>
      </c>
      <c r="H107" s="59">
        <f t="shared" si="20"/>
        <v>44814.50916</v>
      </c>
      <c r="I107" s="62" t="s">
        <v>2713</v>
      </c>
      <c r="J107" s="61">
        <f t="shared" si="2"/>
        <v>12.80082448</v>
      </c>
      <c r="K107" s="58">
        <f>if(G107,_xlfn.workday.intl(int(G107),0,"1000000",Holidays!A:A)+19/24,"")</f>
        <v>44801.79167</v>
      </c>
      <c r="L107" s="59">
        <f t="shared" si="3"/>
        <v>44814.50918</v>
      </c>
      <c r="M107" s="62" t="s">
        <v>2713</v>
      </c>
      <c r="N107" s="61">
        <f t="shared" si="4"/>
        <v>12.71751788</v>
      </c>
      <c r="O107" s="63">
        <f>if(A107,_xlfn.WORKDAY.INTL(A107,O$5,"1000000",Holidays!A:A)+hour(A107)/24+MINUTE(A107)/1440,"")</f>
        <v>44801.58958</v>
      </c>
      <c r="P107" s="64">
        <v>44814.50922946759</v>
      </c>
      <c r="Q107" s="65" t="s">
        <v>2713</v>
      </c>
      <c r="R107" s="66">
        <f t="shared" si="5"/>
        <v>12.91964613</v>
      </c>
      <c r="S107" s="66"/>
      <c r="T107" s="66"/>
      <c r="U107" s="64">
        <f>if(O107,_xlfn.WORKDAY.INTL(O107,U$5,"1000000",Holidays!A:A)+hour(O107)/24+MINUTE(O107)/1440,"")</f>
        <v>44803.58958</v>
      </c>
      <c r="V107" s="64" t="str">
        <f t="shared" si="6"/>
        <v/>
      </c>
      <c r="W107" s="66"/>
      <c r="X107" s="66">
        <f t="shared" si="7"/>
        <v>1330.394327</v>
      </c>
      <c r="Y107" s="66"/>
      <c r="Z107" s="66"/>
      <c r="AA107" s="66"/>
      <c r="AB107" s="63"/>
      <c r="AC107" s="63"/>
      <c r="AD107" s="63"/>
      <c r="AE107" s="63"/>
      <c r="AF107" s="63"/>
      <c r="AG107" s="63"/>
      <c r="AH107" s="63">
        <f t="shared" si="14"/>
        <v>44814.50923</v>
      </c>
      <c r="AI107" s="63">
        <f>if(AH107,_xlfn.workday.intl(int(AH107),0,"1000000",Holidays!A:A)+18/24,"")</f>
        <v>44814.75</v>
      </c>
      <c r="AJ107" s="64">
        <f t="shared" si="17"/>
        <v>44814.50931</v>
      </c>
      <c r="AK107" s="65" t="s">
        <v>2713</v>
      </c>
      <c r="AL107" s="66" t="str">
        <f t="shared" si="9"/>
        <v/>
      </c>
      <c r="AM107" s="66"/>
      <c r="AN107" s="63">
        <f>if(AJ107,if(and(hour(AJ107+AN$5)&gt;11,(hour(AJ107+AN$5)&lt;20)),AJ107+AN$5,_xlfn.workday.intl(int(AJ107),1,"1000000",Holidays!A:A)+hour(AJ107+AN$5-$B$1)/24+minute(AJ107)/1440),"")</f>
        <v>44815.50931</v>
      </c>
      <c r="AO107" s="64">
        <f t="shared" si="15"/>
        <v>44814.50935</v>
      </c>
      <c r="AP107" s="65" t="s">
        <v>2713</v>
      </c>
      <c r="AQ107" s="66" t="str">
        <f t="shared" si="16"/>
        <v/>
      </c>
      <c r="AR107" s="66"/>
      <c r="AS107" s="63">
        <f>if(AJ107,if(and(hour(AJ107+AS$5)&gt;11,(hour(AJ107+AS$5)&lt;20)),AJ107+AS$5,_xlfn.workday.intl(int(AJ107),1,"1000000",Holidays!A:A)+hour(AJ107+AS$5-$B$1)/24+minute(AJ107)/1440),"")</f>
        <v>44816.50931</v>
      </c>
      <c r="AT107" s="64">
        <f t="shared" si="21"/>
        <v>44814.50979</v>
      </c>
      <c r="AU107" s="65" t="s">
        <v>2715</v>
      </c>
      <c r="AV107" s="66" t="str">
        <f t="shared" si="22"/>
        <v/>
      </c>
      <c r="AW107" s="66"/>
      <c r="AX107" s="65" t="s">
        <v>2713</v>
      </c>
    </row>
    <row r="108" ht="21.75" customHeight="1">
      <c r="A108" s="55">
        <v>44800.6816653125</v>
      </c>
      <c r="B108" s="56"/>
      <c r="C108" s="57"/>
      <c r="D108" s="57"/>
      <c r="E108" s="57"/>
      <c r="F108" s="57"/>
      <c r="G108" s="58">
        <f>if(A108,_xlfn.workday.intl(int(A108),1,"1000000",Holidays!A:A)+17/24,"")</f>
        <v>44801.70833</v>
      </c>
      <c r="H108" s="59" t="str">
        <f t="shared" si="20"/>
        <v/>
      </c>
      <c r="I108" s="60"/>
      <c r="J108" s="61">
        <f t="shared" si="2"/>
        <v>1332.275577</v>
      </c>
      <c r="K108" s="58">
        <f>if(G108,_xlfn.workday.intl(int(G108),0,"1000000",Holidays!A:A)+19/24,"")</f>
        <v>44801.79167</v>
      </c>
      <c r="L108" s="59">
        <f t="shared" si="3"/>
        <v>44806.60718</v>
      </c>
      <c r="M108" s="62" t="s">
        <v>2713</v>
      </c>
      <c r="N108" s="61">
        <f t="shared" si="4"/>
        <v>4.815510729</v>
      </c>
      <c r="O108" s="63">
        <f>if(A108,_xlfn.WORKDAY.INTL(A108,O$5,"1000000",Holidays!A:A)+hour(A108)/24+MINUTE(A108)/1440,"")</f>
        <v>44801.68125</v>
      </c>
      <c r="P108" s="64">
        <v>44806.60717739583</v>
      </c>
      <c r="Q108" s="65" t="s">
        <v>2713</v>
      </c>
      <c r="R108" s="66">
        <f t="shared" si="5"/>
        <v>4.925927396</v>
      </c>
      <c r="S108" s="66"/>
      <c r="T108" s="66"/>
      <c r="U108" s="64">
        <f>if(O108,_xlfn.WORKDAY.INTL(O108,U$5,"1000000",Holidays!A:A)+hour(O108)/24+MINUTE(O108)/1440,"")</f>
        <v>44803.68125</v>
      </c>
      <c r="V108" s="64" t="str">
        <f t="shared" si="6"/>
        <v/>
      </c>
      <c r="W108" s="66"/>
      <c r="X108" s="66">
        <f t="shared" si="7"/>
        <v>1330.30266</v>
      </c>
      <c r="Y108" s="66"/>
      <c r="Z108" s="66"/>
      <c r="AA108" s="66"/>
      <c r="AB108" s="67">
        <v>1.0</v>
      </c>
      <c r="AC108" s="67">
        <v>2.0</v>
      </c>
      <c r="AD108" s="63"/>
      <c r="AE108" s="63"/>
      <c r="AF108" s="63"/>
      <c r="AG108" s="63"/>
      <c r="AH108" s="63">
        <f t="shared" si="14"/>
        <v>44809.60718</v>
      </c>
      <c r="AI108" s="63">
        <f>if(AH108,_xlfn.workday.intl(int(AH108),0,"1000000",Holidays!A:A)+18/24,"")</f>
        <v>44809.75</v>
      </c>
      <c r="AJ108" s="64" t="str">
        <f t="shared" si="17"/>
        <v/>
      </c>
      <c r="AK108" s="56"/>
      <c r="AL108" s="66">
        <f t="shared" si="9"/>
        <v>1324.23391</v>
      </c>
      <c r="AM108" s="66"/>
      <c r="AN108" s="63" t="str">
        <f>if(AJ108,if(and(hour(AJ108+AN$5)&gt;11,(hour(AJ108+AN$5)&lt;20)),AJ108+AN$5,_xlfn.workday.intl(int(AJ108),1,"1000000",Holidays!A:A)+hour(AJ108+AN$5-$B$1)/24+minute(AJ108)/1440),"")</f>
        <v/>
      </c>
      <c r="AO108" s="64" t="str">
        <f t="shared" si="15"/>
        <v/>
      </c>
      <c r="AP108" s="56"/>
      <c r="AQ108" s="66" t="str">
        <f t="shared" si="16"/>
        <v/>
      </c>
      <c r="AR108" s="66"/>
      <c r="AS108" s="63" t="str">
        <f>if(AJ108,if(and(hour(AJ108+AS$5)&gt;11,(hour(AJ108+AS$5)&lt;20)),AJ108+AS$5,_xlfn.workday.intl(int(AJ108),1,"1000000",Holidays!A:A)+hour(AJ108+AS$5-$B$1)/24+minute(AJ108)/1440),"")</f>
        <v/>
      </c>
      <c r="AT108" s="64" t="str">
        <f t="shared" si="21"/>
        <v/>
      </c>
      <c r="AU108" s="56"/>
      <c r="AV108" s="66" t="str">
        <f t="shared" si="22"/>
        <v/>
      </c>
      <c r="AW108" s="66"/>
      <c r="AX108" s="65" t="s">
        <v>2720</v>
      </c>
    </row>
    <row r="109">
      <c r="A109" s="55">
        <v>44810.65610633102</v>
      </c>
      <c r="B109" s="56"/>
      <c r="C109" s="57"/>
      <c r="D109" s="57"/>
      <c r="E109" s="57"/>
      <c r="F109" s="57"/>
      <c r="G109" s="58">
        <f>if(A109,_xlfn.workday.intl(int(A109),1,"1000000",Holidays!A:A)+17/24,"")</f>
        <v>44811.70833</v>
      </c>
      <c r="H109" s="59" t="str">
        <f t="shared" si="20"/>
        <v/>
      </c>
      <c r="I109" s="60"/>
      <c r="J109" s="61">
        <f t="shared" si="2"/>
        <v>1322.275577</v>
      </c>
      <c r="K109" s="58">
        <f>if(G109,_xlfn.workday.intl(int(G109),0,"1000000",Holidays!A:A)+19/24,"")</f>
        <v>44811.79167</v>
      </c>
      <c r="L109" s="59" t="str">
        <f t="shared" si="3"/>
        <v/>
      </c>
      <c r="M109" s="60"/>
      <c r="N109" s="61">
        <f t="shared" si="4"/>
        <v>1322.192243</v>
      </c>
      <c r="O109" s="63">
        <f>if(A109,_xlfn.WORKDAY.INTL(A109,O$5,"1000000",Holidays!A:A)+hour(A109)/24+MINUTE(A109)/1440,"")</f>
        <v>44811.65556</v>
      </c>
      <c r="P109" s="64" t="s">
        <v>2718</v>
      </c>
      <c r="Q109" s="56"/>
      <c r="R109" s="66">
        <f t="shared" si="5"/>
        <v>1322.328354</v>
      </c>
      <c r="S109" s="66"/>
      <c r="T109" s="66"/>
      <c r="U109" s="64">
        <f>if(O109,_xlfn.WORKDAY.INTL(O109,U$5,"1000000",Holidays!A:A)+hour(O109)/24+MINUTE(O109)/1440,"")</f>
        <v>44812.65556</v>
      </c>
      <c r="V109" s="64" t="str">
        <f t="shared" si="6"/>
        <v/>
      </c>
      <c r="W109" s="66"/>
      <c r="X109" s="66">
        <f t="shared" si="7"/>
        <v>1321.328354</v>
      </c>
      <c r="Y109" s="66"/>
      <c r="Z109" s="66"/>
      <c r="AA109" s="66"/>
      <c r="AB109" s="63"/>
      <c r="AC109" s="63"/>
      <c r="AD109" s="63"/>
      <c r="AE109" s="63"/>
      <c r="AF109" s="63"/>
      <c r="AG109" s="63"/>
      <c r="AH109" s="63" t="str">
        <f t="shared" si="14"/>
        <v/>
      </c>
      <c r="AI109" s="63" t="str">
        <f>if(AH109,_xlfn.workday.intl(int(AH109),0,"1000000",Holidays!A:A)+18/24,"")</f>
        <v/>
      </c>
      <c r="AJ109" s="64" t="str">
        <f t="shared" si="17"/>
        <v/>
      </c>
      <c r="AK109" s="56"/>
      <c r="AL109" s="66" t="str">
        <f t="shared" si="9"/>
        <v/>
      </c>
      <c r="AM109" s="66"/>
      <c r="AN109" s="63" t="str">
        <f>if(AJ109,if(and(hour(AJ109+AN$5)&gt;11,(hour(AJ109+AN$5)&lt;20)),AJ109+AN$5,_xlfn.workday.intl(int(AJ109),1,"1000000",Holidays!A:A)+hour(AJ109+AN$5-$B$1)/24+minute(AJ109)/1440),"")</f>
        <v/>
      </c>
      <c r="AO109" s="64" t="str">
        <f t="shared" si="15"/>
        <v/>
      </c>
      <c r="AP109" s="56"/>
      <c r="AQ109" s="66" t="str">
        <f t="shared" si="16"/>
        <v/>
      </c>
      <c r="AR109" s="66"/>
      <c r="AS109" s="63" t="str">
        <f>if(AJ109,if(and(hour(AJ109+AS$5)&gt;11,(hour(AJ109+AS$5)&lt;20)),AJ109+AS$5,_xlfn.workday.intl(int(AJ109),1,"1000000",Holidays!A:A)+hour(AJ109+AS$5-$B$1)/24+minute(AJ109)/1440),"")</f>
        <v/>
      </c>
      <c r="AT109" s="64" t="str">
        <f t="shared" si="21"/>
        <v/>
      </c>
      <c r="AU109" s="56"/>
      <c r="AV109" s="66" t="str">
        <f t="shared" si="22"/>
        <v/>
      </c>
      <c r="AW109" s="66"/>
      <c r="AX109" s="65" t="s">
        <v>2728</v>
      </c>
    </row>
    <row r="110">
      <c r="A110" s="55">
        <v>44810.65718100694</v>
      </c>
      <c r="B110" s="56"/>
      <c r="C110" s="57"/>
      <c r="D110" s="57"/>
      <c r="E110" s="57"/>
      <c r="F110" s="57"/>
      <c r="G110" s="58">
        <f>if(A110,_xlfn.workday.intl(int(A110),1,"1000000",Holidays!A:A)+17/24,"")</f>
        <v>44811.70833</v>
      </c>
      <c r="H110" s="59"/>
      <c r="I110" s="60"/>
      <c r="J110" s="61">
        <f t="shared" si="2"/>
        <v>1322.275577</v>
      </c>
      <c r="K110" s="58">
        <f>if(G110,_xlfn.workday.intl(int(G110),0,"1000000",Holidays!A:A)+19/24,"")</f>
        <v>44811.79167</v>
      </c>
      <c r="L110" s="59">
        <f t="shared" si="3"/>
        <v>44821.75374</v>
      </c>
      <c r="M110" s="62" t="s">
        <v>2713</v>
      </c>
      <c r="N110" s="61">
        <f t="shared" si="4"/>
        <v>9.962073819</v>
      </c>
      <c r="O110" s="63">
        <f>if(A110,_xlfn.WORKDAY.INTL(A110,O$5,"1000000",Holidays!A:A)+hour(A110)/24+MINUTE(A110)/1440,"")</f>
        <v>44811.65694</v>
      </c>
      <c r="P110" s="64">
        <v>44814.51258142361</v>
      </c>
      <c r="Q110" s="65" t="s">
        <v>2713</v>
      </c>
      <c r="R110" s="66">
        <f t="shared" si="5"/>
        <v>2.855636979</v>
      </c>
      <c r="S110" s="66"/>
      <c r="T110" s="66"/>
      <c r="U110" s="64">
        <f>if(O110,_xlfn.WORKDAY.INTL(O110,U$5,"1000000",Holidays!A:A)+hour(O110)/24+MINUTE(O110)/1440,"")</f>
        <v>44812.65694</v>
      </c>
      <c r="V110" s="64" t="str">
        <f t="shared" si="6"/>
        <v/>
      </c>
      <c r="W110" s="66"/>
      <c r="X110" s="66">
        <f t="shared" si="7"/>
        <v>1321.326965</v>
      </c>
      <c r="Y110" s="66"/>
      <c r="Z110" s="66"/>
      <c r="AA110" s="66"/>
      <c r="AB110" s="67">
        <v>1.0</v>
      </c>
      <c r="AC110" s="63"/>
      <c r="AD110" s="63"/>
      <c r="AE110" s="63"/>
      <c r="AF110" s="63"/>
      <c r="AG110" s="63"/>
      <c r="AH110" s="63">
        <f t="shared" si="14"/>
        <v>44815.51258</v>
      </c>
      <c r="AI110" s="63">
        <f>if(AH110,_xlfn.workday.intl(int(AH110),0,"1000000",Holidays!A:A)+18/24,"")</f>
        <v>44815.75</v>
      </c>
      <c r="AJ110" s="64"/>
      <c r="AK110" s="56"/>
      <c r="AL110" s="66">
        <f t="shared" si="9"/>
        <v>1318.23391</v>
      </c>
      <c r="AM110" s="66"/>
      <c r="AN110" s="63" t="str">
        <f>if(AJ110,if(and(hour(AJ110+AN$5)&gt;11,(hour(AJ110+AN$5)&lt;20)),AJ110+AN$5,_xlfn.workday.intl(int(AJ110),1,"1000000",Holidays!A:A)+hour(AJ110+AN$5-$B$1)/24+minute(AJ110)/1440),"")</f>
        <v/>
      </c>
      <c r="AO110" s="64" t="str">
        <f t="shared" si="15"/>
        <v/>
      </c>
      <c r="AP110" s="56"/>
      <c r="AQ110" s="66" t="str">
        <f t="shared" si="16"/>
        <v/>
      </c>
      <c r="AR110" s="66"/>
      <c r="AS110" s="63" t="str">
        <f>if(AJ110,if(and(hour(AJ110+AS$5)&gt;11,(hour(AJ110+AS$5)&lt;20)),AJ110+AS$5,_xlfn.workday.intl(int(AJ110),1,"1000000",Holidays!A:A)+hour(AJ110+AS$5-$B$1)/24+minute(AJ110)/1440),"")</f>
        <v/>
      </c>
      <c r="AT110" s="64" t="str">
        <f t="shared" si="21"/>
        <v/>
      </c>
      <c r="AU110" s="56"/>
      <c r="AV110" s="66" t="str">
        <f t="shared" si="22"/>
        <v/>
      </c>
      <c r="AW110" s="66"/>
      <c r="AX110" s="65" t="s">
        <v>2729</v>
      </c>
    </row>
    <row r="111">
      <c r="A111" s="55">
        <v>44812.571766759254</v>
      </c>
      <c r="B111" s="56"/>
      <c r="C111" s="57"/>
      <c r="D111" s="57"/>
      <c r="E111" s="57"/>
      <c r="F111" s="57"/>
      <c r="G111" s="58">
        <f>if(A111,_xlfn.workday.intl(int(A111),1,"1000000",Holidays!A:A)+17/24,"")</f>
        <v>44813.70833</v>
      </c>
      <c r="H111" s="59" t="str">
        <f t="shared" ref="H111:H1000" si="23">if(H111,H111,if(I111&lt;&gt;"",$A$1,""))</f>
        <v/>
      </c>
      <c r="I111" s="60"/>
      <c r="J111" s="61">
        <f t="shared" si="2"/>
        <v>1320.275577</v>
      </c>
      <c r="K111" s="58">
        <f>if(G111,_xlfn.workday.intl(int(G111),0,"1000000",Holidays!A:A)+19/24,"")</f>
        <v>44813.79167</v>
      </c>
      <c r="L111" s="59" t="str">
        <f t="shared" si="3"/>
        <v/>
      </c>
      <c r="M111" s="60"/>
      <c r="N111" s="61">
        <f t="shared" si="4"/>
        <v>1320.192243</v>
      </c>
      <c r="O111" s="63">
        <f>if(A111,_xlfn.WORKDAY.INTL(A111,O$5,"1000000",Holidays!A:A)+hour(A111)/24+MINUTE(A111)/1440,"")</f>
        <v>44813.57153</v>
      </c>
      <c r="P111" s="64" t="s">
        <v>2718</v>
      </c>
      <c r="Q111" s="56"/>
      <c r="R111" s="66">
        <f t="shared" si="5"/>
        <v>1320.412382</v>
      </c>
      <c r="S111" s="66"/>
      <c r="T111" s="66"/>
      <c r="U111" s="64">
        <f>if(O111,_xlfn.WORKDAY.INTL(O111,U$5,"1000000",Holidays!A:A)+hour(O111)/24+MINUTE(O111)/1440,"")</f>
        <v>44814.57153</v>
      </c>
      <c r="V111" s="64" t="str">
        <f t="shared" si="6"/>
        <v/>
      </c>
      <c r="W111" s="66"/>
      <c r="X111" s="66">
        <f t="shared" si="7"/>
        <v>1319.412382</v>
      </c>
      <c r="Y111" s="66"/>
      <c r="Z111" s="66"/>
      <c r="AA111" s="66"/>
      <c r="AB111" s="63"/>
      <c r="AC111" s="63"/>
      <c r="AD111" s="63"/>
      <c r="AE111" s="63"/>
      <c r="AF111" s="63"/>
      <c r="AG111" s="63"/>
      <c r="AH111" s="63" t="str">
        <f t="shared" si="14"/>
        <v/>
      </c>
      <c r="AI111" s="63" t="str">
        <f>if(AH111,_xlfn.workday.intl(int(AH111),0,"1000000",Holidays!A:A)+18/24,"")</f>
        <v/>
      </c>
      <c r="AJ111" s="64" t="str">
        <f t="shared" ref="AJ111:AJ1000" si="24">if(AJ111,AJ111,if(AK111&lt;&gt;"",$A$1,""))</f>
        <v/>
      </c>
      <c r="AK111" s="56"/>
      <c r="AL111" s="66" t="str">
        <f t="shared" si="9"/>
        <v/>
      </c>
      <c r="AM111" s="66"/>
      <c r="AN111" s="63" t="str">
        <f>if(AJ111,if(and(hour(AJ111+AN$5)&gt;11,(hour(AJ111+AN$5)&lt;20)),AJ111+AN$5,_xlfn.workday.intl(int(AJ111),1,"1000000",Holidays!A:A)+hour(AJ111+AN$5-$B$1)/24+minute(AJ111)/1440),"")</f>
        <v/>
      </c>
      <c r="AO111" s="64" t="str">
        <f t="shared" si="15"/>
        <v/>
      </c>
      <c r="AP111" s="56"/>
      <c r="AQ111" s="66" t="str">
        <f t="shared" si="16"/>
        <v/>
      </c>
      <c r="AR111" s="66"/>
      <c r="AS111" s="63" t="str">
        <f>if(AJ111,if(and(hour(AJ111+AS$5)&gt;11,(hour(AJ111+AS$5)&lt;20)),AJ111+AS$5,_xlfn.workday.intl(int(AJ111),1,"1000000",Holidays!A:A)+hour(AJ111+AS$5-$B$1)/24+minute(AJ111)/1440),"")</f>
        <v/>
      </c>
      <c r="AT111" s="64" t="str">
        <f t="shared" si="21"/>
        <v/>
      </c>
      <c r="AU111" s="56"/>
      <c r="AV111" s="66" t="str">
        <f t="shared" si="22"/>
        <v/>
      </c>
      <c r="AW111" s="66"/>
      <c r="AX111" s="65" t="s">
        <v>2730</v>
      </c>
    </row>
    <row r="112">
      <c r="A112" s="55">
        <v>44821.74800797454</v>
      </c>
      <c r="B112" s="56"/>
      <c r="C112" s="57"/>
      <c r="D112" s="57"/>
      <c r="E112" s="57"/>
      <c r="F112" s="57"/>
      <c r="G112" s="58">
        <f>if(A112,_xlfn.workday.intl(int(A112),1,"1000000",Holidays!A:A)+17/24,"")</f>
        <v>44822.70833</v>
      </c>
      <c r="H112" s="59" t="str">
        <f t="shared" si="23"/>
        <v/>
      </c>
      <c r="I112" s="60"/>
      <c r="J112" s="61">
        <f t="shared" si="2"/>
        <v>1311.275577</v>
      </c>
      <c r="K112" s="58">
        <f>if(G112,_xlfn.workday.intl(int(G112),0,"1000000",Holidays!A:A)+19/24,"")</f>
        <v>44822.79167</v>
      </c>
      <c r="L112" s="59">
        <f t="shared" si="3"/>
        <v>44821.75393</v>
      </c>
      <c r="M112" s="62" t="s">
        <v>2713</v>
      </c>
      <c r="N112" s="61" t="str">
        <f t="shared" si="4"/>
        <v/>
      </c>
      <c r="O112" s="63">
        <f>if(A112,_xlfn.WORKDAY.INTL(A112,O$5,"1000000",Holidays!A:A)+hour(A112)/24+MINUTE(A112)/1440,"")</f>
        <v>44822.74792</v>
      </c>
      <c r="P112" s="64">
        <v>44821.75387590278</v>
      </c>
      <c r="Q112" s="65" t="s">
        <v>2713</v>
      </c>
      <c r="R112" s="66" t="str">
        <f t="shared" si="5"/>
        <v/>
      </c>
      <c r="S112" s="66"/>
      <c r="T112" s="66"/>
      <c r="U112" s="64">
        <f>if(O112,_xlfn.WORKDAY.INTL(O112,U$5,"1000000",Holidays!A:A)+hour(O112)/24+MINUTE(O112)/1440,"")</f>
        <v>44824.74792</v>
      </c>
      <c r="V112" s="64" t="str">
        <f t="shared" si="6"/>
        <v/>
      </c>
      <c r="W112" s="66"/>
      <c r="X112" s="66">
        <f t="shared" si="7"/>
        <v>1309.235993</v>
      </c>
      <c r="Y112" s="66"/>
      <c r="Z112" s="66"/>
      <c r="AA112" s="66"/>
      <c r="AB112" s="67">
        <v>1.0</v>
      </c>
      <c r="AC112" s="63"/>
      <c r="AD112" s="63"/>
      <c r="AE112" s="63"/>
      <c r="AF112" s="63"/>
      <c r="AG112" s="63"/>
      <c r="AH112" s="63">
        <f t="shared" si="14"/>
        <v>44822.75388</v>
      </c>
      <c r="AI112" s="63">
        <f>if(AH112,_xlfn.workday.intl(int(AH112),0,"1000000",Holidays!A:A)+18/24,"")</f>
        <v>44822.75</v>
      </c>
      <c r="AJ112" s="64" t="str">
        <f t="shared" si="24"/>
        <v/>
      </c>
      <c r="AK112" s="56"/>
      <c r="AL112" s="66">
        <f t="shared" si="9"/>
        <v>1311.23391</v>
      </c>
      <c r="AM112" s="66"/>
      <c r="AN112" s="63" t="str">
        <f>if(AJ112,if(and(hour(AJ112+AN$5)&gt;11,(hour(AJ112+AN$5)&lt;20)),AJ112+AN$5,_xlfn.workday.intl(int(AJ112),1,"1000000",Holidays!A:A)+hour(AJ112+AN$5-$B$1)/24+minute(AJ112)/1440),"")</f>
        <v/>
      </c>
      <c r="AO112" s="64" t="str">
        <f t="shared" si="15"/>
        <v/>
      </c>
      <c r="AP112" s="56"/>
      <c r="AQ112" s="66" t="str">
        <f t="shared" si="16"/>
        <v/>
      </c>
      <c r="AR112" s="66"/>
      <c r="AS112" s="63" t="str">
        <f>if(AJ112,if(and(hour(AJ112+AS$5)&gt;11,(hour(AJ112+AS$5)&lt;20)),AJ112+AS$5,_xlfn.workday.intl(int(AJ112),1,"1000000",Holidays!A:A)+hour(AJ112+AS$5-$B$1)/24+minute(AJ112)/1440),"")</f>
        <v/>
      </c>
      <c r="AT112" s="64" t="str">
        <f t="shared" si="21"/>
        <v/>
      </c>
      <c r="AU112" s="56"/>
      <c r="AV112" s="66" t="str">
        <f t="shared" si="22"/>
        <v/>
      </c>
      <c r="AW112" s="66"/>
      <c r="AX112" s="65" t="s">
        <v>2731</v>
      </c>
    </row>
    <row r="113">
      <c r="A113" s="55">
        <v>44822.63233273148</v>
      </c>
      <c r="B113" s="56"/>
      <c r="C113" s="57"/>
      <c r="D113" s="57"/>
      <c r="E113" s="57"/>
      <c r="F113" s="57"/>
      <c r="G113" s="58">
        <f>if(A113,_xlfn.workday.intl(int(A113),1,"1000000",Holidays!A:A)+17/24,"")</f>
        <v>44824.70833</v>
      </c>
      <c r="H113" s="59" t="str">
        <f t="shared" si="23"/>
        <v/>
      </c>
      <c r="I113" s="60"/>
      <c r="J113" s="61">
        <f t="shared" si="2"/>
        <v>1309.275577</v>
      </c>
      <c r="K113" s="58">
        <f>if(G113,_xlfn.workday.intl(int(G113),0,"1000000",Holidays!A:A)+19/24,"")</f>
        <v>44824.79167</v>
      </c>
      <c r="L113" s="59">
        <f t="shared" si="3"/>
        <v>44824.67168</v>
      </c>
      <c r="M113" s="62" t="s">
        <v>2713</v>
      </c>
      <c r="N113" s="61" t="str">
        <f t="shared" si="4"/>
        <v/>
      </c>
      <c r="O113" s="63">
        <f>if(A113,_xlfn.WORKDAY.INTL(A113,O$5,"1000000",Holidays!A:A)+hour(A113)/24+MINUTE(A113)/1440,"")</f>
        <v>44824.63194</v>
      </c>
      <c r="P113" s="64">
        <v>44822.80809748842</v>
      </c>
      <c r="Q113" s="65" t="s">
        <v>2713</v>
      </c>
      <c r="R113" s="66" t="str">
        <f t="shared" si="5"/>
        <v/>
      </c>
      <c r="S113" s="66"/>
      <c r="T113" s="66"/>
      <c r="U113" s="64">
        <f>if(O113,_xlfn.WORKDAY.INTL(O113,U$5,"1000000",Holidays!A:A)+hour(O113)/24+MINUTE(O113)/1440,"")</f>
        <v>44825.63194</v>
      </c>
      <c r="V113" s="64" t="str">
        <f t="shared" si="6"/>
        <v/>
      </c>
      <c r="W113" s="66"/>
      <c r="X113" s="66">
        <f t="shared" si="7"/>
        <v>1308.351965</v>
      </c>
      <c r="Y113" s="66"/>
      <c r="Z113" s="66"/>
      <c r="AA113" s="66"/>
      <c r="AB113" s="67">
        <v>1.0</v>
      </c>
      <c r="AC113" s="63"/>
      <c r="AD113" s="63"/>
      <c r="AE113" s="63"/>
      <c r="AF113" s="63"/>
      <c r="AG113" s="63"/>
      <c r="AH113" s="63">
        <f t="shared" si="14"/>
        <v>44823.8081</v>
      </c>
      <c r="AI113" s="63">
        <f>if(AH113,_xlfn.workday.intl(int(AH113),0,"1000000",Holidays!A:A)+18/24,"")</f>
        <v>44823.75</v>
      </c>
      <c r="AJ113" s="64" t="str">
        <f t="shared" si="24"/>
        <v/>
      </c>
      <c r="AK113" s="56"/>
      <c r="AL113" s="66">
        <f t="shared" si="9"/>
        <v>1310.23391</v>
      </c>
      <c r="AM113" s="66"/>
      <c r="AN113" s="63" t="str">
        <f>if(AJ113,if(and(hour(AJ113+AN$5)&gt;11,(hour(AJ113+AN$5)&lt;20)),AJ113+AN$5,_xlfn.workday.intl(int(AJ113),1,"1000000",Holidays!A:A)+hour(AJ113+AN$5-$B$1)/24+minute(AJ113)/1440),"")</f>
        <v/>
      </c>
      <c r="AO113" s="64" t="str">
        <f t="shared" si="15"/>
        <v/>
      </c>
      <c r="AP113" s="56"/>
      <c r="AQ113" s="66" t="str">
        <f t="shared" si="16"/>
        <v/>
      </c>
      <c r="AR113" s="66"/>
      <c r="AS113" s="63" t="str">
        <f>if(AJ113,if(and(hour(AJ113+AS$5)&gt;11,(hour(AJ113+AS$5)&lt;20)),AJ113+AS$5,_xlfn.workday.intl(int(AJ113),1,"1000000",Holidays!A:A)+hour(AJ113+AS$5-$B$1)/24+minute(AJ113)/1440),"")</f>
        <v/>
      </c>
      <c r="AT113" s="64" t="str">
        <f t="shared" si="21"/>
        <v/>
      </c>
      <c r="AU113" s="56"/>
      <c r="AV113" s="66" t="str">
        <f t="shared" si="22"/>
        <v/>
      </c>
      <c r="AW113" s="66"/>
      <c r="AX113" s="65" t="s">
        <v>2720</v>
      </c>
    </row>
    <row r="114">
      <c r="A114" s="55">
        <v>44825.447326354166</v>
      </c>
      <c r="B114" s="56"/>
      <c r="C114" s="57"/>
      <c r="D114" s="57"/>
      <c r="E114" s="57"/>
      <c r="F114" s="57"/>
      <c r="G114" s="58">
        <f>if(A114,_xlfn.workday.intl(int(A114),1,"1000000",Holidays!A:A)+17/24,"")</f>
        <v>44826.70833</v>
      </c>
      <c r="H114" s="59" t="str">
        <f t="shared" si="23"/>
        <v/>
      </c>
      <c r="I114" s="60"/>
      <c r="J114" s="61">
        <f t="shared" si="2"/>
        <v>1307.275577</v>
      </c>
      <c r="K114" s="58">
        <f>if(G114,_xlfn.workday.intl(int(G114),0,"1000000",Holidays!A:A)+19/24,"")</f>
        <v>44826.79167</v>
      </c>
      <c r="L114" s="59" t="str">
        <f t="shared" si="3"/>
        <v/>
      </c>
      <c r="M114" s="60"/>
      <c r="N114" s="61">
        <f t="shared" si="4"/>
        <v>1307.192243</v>
      </c>
      <c r="O114" s="63">
        <f>if(A114,_xlfn.WORKDAY.INTL(A114,O$5,"1000000",Holidays!A:A)+hour(A114)/24+MINUTE(A114)/1440,"")</f>
        <v>44826.44722</v>
      </c>
      <c r="P114" s="64">
        <v>44841.567109537034</v>
      </c>
      <c r="Q114" s="65" t="s">
        <v>2713</v>
      </c>
      <c r="R114" s="66">
        <f t="shared" si="5"/>
        <v>15.11988731</v>
      </c>
      <c r="S114" s="66"/>
      <c r="T114" s="65" t="s">
        <v>2713</v>
      </c>
      <c r="U114" s="64">
        <f>if(O114,_xlfn.WORKDAY.INTL(O114,U$5,"1000000",Holidays!A:A)+hour(O114)/24+MINUTE(O114)/1440,"")</f>
        <v>44827.44722</v>
      </c>
      <c r="V114" s="64">
        <f t="shared" si="6"/>
        <v>44917.5837</v>
      </c>
      <c r="W114" s="65" t="s">
        <v>2713</v>
      </c>
      <c r="X114" s="66">
        <f t="shared" si="7"/>
        <v>90.13648178</v>
      </c>
      <c r="Y114" s="66"/>
      <c r="Z114" s="66"/>
      <c r="AA114" s="66"/>
      <c r="AB114" s="67">
        <v>1.0</v>
      </c>
      <c r="AC114" s="67">
        <v>2.0</v>
      </c>
      <c r="AD114" s="67">
        <v>3.0</v>
      </c>
      <c r="AE114" s="63"/>
      <c r="AF114" s="63"/>
      <c r="AG114" s="63"/>
      <c r="AH114" s="63">
        <f t="shared" si="14"/>
        <v>44847.56711</v>
      </c>
      <c r="AI114" s="63">
        <f>if(AH114,_xlfn.workday.intl(int(AH114),0,"1000000",Holidays!A:A)+18/24,"")</f>
        <v>44847.75</v>
      </c>
      <c r="AJ114" s="64">
        <f t="shared" si="24"/>
        <v>44841.5673</v>
      </c>
      <c r="AK114" s="65" t="s">
        <v>2713</v>
      </c>
      <c r="AL114" s="66" t="str">
        <f t="shared" si="9"/>
        <v/>
      </c>
      <c r="AM114" s="66"/>
      <c r="AN114" s="63">
        <f>if(AJ114,if(and(hour(AJ114+AN$5)&gt;11,(hour(AJ114+AN$5)&lt;20)),AJ114+AN$5,_xlfn.workday.intl(int(AJ114),1,"1000000",Holidays!A:A)+hour(AJ114+AN$5-$B$1)/24+minute(AJ114)/1440),"")</f>
        <v>44842.5673</v>
      </c>
      <c r="AO114" s="64">
        <f t="shared" si="15"/>
        <v>44841.56772</v>
      </c>
      <c r="AP114" s="65" t="s">
        <v>2713</v>
      </c>
      <c r="AQ114" s="66" t="str">
        <f t="shared" si="16"/>
        <v/>
      </c>
      <c r="AR114" s="66"/>
      <c r="AS114" s="63">
        <f>if(AJ114,if(and(hour(AJ114+AS$5)&gt;11,(hour(AJ114+AS$5)&lt;20)),AJ114+AS$5,_xlfn.workday.intl(int(AJ114),1,"1000000",Holidays!A:A)+hour(AJ114+AS$5-$B$1)/24+minute(AJ114)/1440),"")</f>
        <v>44843.5673</v>
      </c>
      <c r="AT114" s="64">
        <f t="shared" si="21"/>
        <v>44901.53538</v>
      </c>
      <c r="AU114" s="65" t="s">
        <v>2715</v>
      </c>
      <c r="AV114" s="66">
        <f t="shared" si="22"/>
        <v>57.96808507</v>
      </c>
      <c r="AW114" s="66"/>
      <c r="AX114" s="65" t="s">
        <v>2713</v>
      </c>
    </row>
    <row r="115">
      <c r="A115" s="55">
        <v>44825.44900121528</v>
      </c>
      <c r="B115" s="56"/>
      <c r="C115" s="57"/>
      <c r="D115" s="57"/>
      <c r="E115" s="57"/>
      <c r="F115" s="57"/>
      <c r="G115" s="58">
        <f>if(A115,_xlfn.workday.intl(int(A115),1,"1000000",Holidays!A:A)+17/24,"")</f>
        <v>44826.70833</v>
      </c>
      <c r="H115" s="59" t="str">
        <f t="shared" si="23"/>
        <v/>
      </c>
      <c r="I115" s="60"/>
      <c r="J115" s="61">
        <f t="shared" si="2"/>
        <v>1307.275577</v>
      </c>
      <c r="K115" s="58">
        <f>if(G115,_xlfn.workday.intl(int(G115),0,"1000000",Holidays!A:A)+19/24,"")</f>
        <v>44826.79167</v>
      </c>
      <c r="L115" s="59" t="str">
        <f t="shared" si="3"/>
        <v/>
      </c>
      <c r="M115" s="60"/>
      <c r="N115" s="61">
        <f t="shared" si="4"/>
        <v>1307.192243</v>
      </c>
      <c r="O115" s="63">
        <f>if(A115,_xlfn.WORKDAY.INTL(A115,O$5,"1000000",Holidays!A:A)+hour(A115)/24+MINUTE(A115)/1440,"")</f>
        <v>44826.44861</v>
      </c>
      <c r="P115" s="64">
        <v>44841.56759747685</v>
      </c>
      <c r="Q115" s="65" t="s">
        <v>2713</v>
      </c>
      <c r="R115" s="66">
        <f t="shared" si="5"/>
        <v>15.11898637</v>
      </c>
      <c r="S115" s="66"/>
      <c r="T115" s="66"/>
      <c r="U115" s="64">
        <f>if(O115,_xlfn.WORKDAY.INTL(O115,U$5,"1000000",Holidays!A:A)+hour(O115)/24+MINUTE(O115)/1440,"")</f>
        <v>44827.44861</v>
      </c>
      <c r="V115" s="64" t="str">
        <f t="shared" si="6"/>
        <v/>
      </c>
      <c r="W115" s="66"/>
      <c r="X115" s="66">
        <f t="shared" si="7"/>
        <v>1306.535299</v>
      </c>
      <c r="Y115" s="66"/>
      <c r="Z115" s="66"/>
      <c r="AA115" s="66"/>
      <c r="AB115" s="63"/>
      <c r="AC115" s="63"/>
      <c r="AD115" s="63"/>
      <c r="AE115" s="63"/>
      <c r="AF115" s="63"/>
      <c r="AG115" s="63"/>
      <c r="AH115" s="63">
        <f t="shared" si="14"/>
        <v>44841.5676</v>
      </c>
      <c r="AI115" s="63">
        <f>if(AH115,_xlfn.workday.intl(int(AH115),0,"1000000",Holidays!A:A)+18/24,"")</f>
        <v>44841.75</v>
      </c>
      <c r="AJ115" s="64">
        <f t="shared" si="24"/>
        <v>44841.56764</v>
      </c>
      <c r="AK115" s="65" t="s">
        <v>2713</v>
      </c>
      <c r="AL115" s="66" t="str">
        <f t="shared" si="9"/>
        <v/>
      </c>
      <c r="AM115" s="66"/>
      <c r="AN115" s="63">
        <f>if(AJ115,if(and(hour(AJ115+AN$5)&gt;11,(hour(AJ115+AN$5)&lt;20)),AJ115+AN$5,_xlfn.workday.intl(int(AJ115),1,"1000000",Holidays!A:A)+hour(AJ115+AN$5-$B$1)/24+minute(AJ115)/1440),"")</f>
        <v>44842.56764</v>
      </c>
      <c r="AO115" s="64">
        <f t="shared" si="15"/>
        <v>44841.5677</v>
      </c>
      <c r="AP115" s="65" t="s">
        <v>2713</v>
      </c>
      <c r="AQ115" s="66" t="str">
        <f t="shared" si="16"/>
        <v/>
      </c>
      <c r="AR115" s="66"/>
      <c r="AS115" s="63">
        <f>if(AJ115,if(and(hour(AJ115+AS$5)&gt;11,(hour(AJ115+AS$5)&lt;20)),AJ115+AS$5,_xlfn.workday.intl(int(AJ115),1,"1000000",Holidays!A:A)+hour(AJ115+AS$5-$B$1)/24+minute(AJ115)/1440),"")</f>
        <v>44843.56764</v>
      </c>
      <c r="AT115" s="64" t="str">
        <f t="shared" si="21"/>
        <v/>
      </c>
      <c r="AU115" s="56"/>
      <c r="AV115" s="66">
        <f t="shared" si="22"/>
        <v>1290.416273</v>
      </c>
      <c r="AW115" s="66"/>
      <c r="AX115" s="65" t="s">
        <v>2732</v>
      </c>
    </row>
    <row r="116">
      <c r="A116" s="55">
        <v>44831.57758832176</v>
      </c>
      <c r="B116" s="56"/>
      <c r="C116" s="57"/>
      <c r="D116" s="57"/>
      <c r="E116" s="57"/>
      <c r="F116" s="57"/>
      <c r="G116" s="58">
        <f>if(A116,_xlfn.workday.intl(int(A116),1,"1000000",Holidays!A:A)+17/24,"")</f>
        <v>44832.70833</v>
      </c>
      <c r="H116" s="59" t="str">
        <f t="shared" si="23"/>
        <v/>
      </c>
      <c r="I116" s="60"/>
      <c r="J116" s="61">
        <f t="shared" si="2"/>
        <v>1301.275577</v>
      </c>
      <c r="K116" s="58">
        <f>if(G116,_xlfn.workday.intl(int(G116),0,"1000000",Holidays!A:A)+19/24,"")</f>
        <v>44832.79167</v>
      </c>
      <c r="L116" s="59" t="str">
        <f t="shared" si="3"/>
        <v/>
      </c>
      <c r="M116" s="60"/>
      <c r="N116" s="61">
        <f t="shared" si="4"/>
        <v>1301.192243</v>
      </c>
      <c r="O116" s="63">
        <f>if(A116,_xlfn.WORKDAY.INTL(A116,O$5,"1000000",Holidays!A:A)+hour(A116)/24+MINUTE(A116)/1440,"")</f>
        <v>44832.57708</v>
      </c>
      <c r="P116" s="64">
        <v>44835.49167186343</v>
      </c>
      <c r="Q116" s="65" t="s">
        <v>2713</v>
      </c>
      <c r="R116" s="66">
        <f t="shared" si="5"/>
        <v>2.91458853</v>
      </c>
      <c r="S116" s="66"/>
      <c r="T116" s="66"/>
      <c r="U116" s="64">
        <f>if(O116,_xlfn.WORKDAY.INTL(O116,U$5,"1000000",Holidays!A:A)+hour(O116)/24+MINUTE(O116)/1440,"")</f>
        <v>44833.57708</v>
      </c>
      <c r="V116" s="64" t="str">
        <f t="shared" si="6"/>
        <v/>
      </c>
      <c r="W116" s="66"/>
      <c r="X116" s="66">
        <f t="shared" si="7"/>
        <v>1300.406827</v>
      </c>
      <c r="Y116" s="66"/>
      <c r="Z116" s="66"/>
      <c r="AA116" s="66"/>
      <c r="AB116" s="67">
        <v>1.0</v>
      </c>
      <c r="AC116" s="63"/>
      <c r="AD116" s="63"/>
      <c r="AE116" s="63"/>
      <c r="AF116" s="63"/>
      <c r="AG116" s="63"/>
      <c r="AH116" s="63">
        <f t="shared" si="14"/>
        <v>44836.49167</v>
      </c>
      <c r="AI116" s="63">
        <f>if(AH116,_xlfn.workday.intl(int(AH116),0,"1000000",Holidays!A:A)+18/24,"")</f>
        <v>44836.75</v>
      </c>
      <c r="AJ116" s="64">
        <f t="shared" si="24"/>
        <v>44840.78256</v>
      </c>
      <c r="AK116" s="65" t="s">
        <v>2713</v>
      </c>
      <c r="AL116" s="66">
        <f t="shared" si="9"/>
        <v>4.032560405</v>
      </c>
      <c r="AM116" s="66"/>
      <c r="AN116" s="63">
        <f>if(AJ116,if(and(hour(AJ116+AN$5)&gt;11,(hour(AJ116+AN$5)&lt;20)),AJ116+AN$5,_xlfn.workday.intl(int(AJ116),1,"1000000",Holidays!A:A)+hour(AJ116+AN$5-$B$1)/24+minute(AJ116)/1440),"")</f>
        <v>44841.78256</v>
      </c>
      <c r="AO116" s="64">
        <f t="shared" si="15"/>
        <v>44840.78256</v>
      </c>
      <c r="AP116" s="65" t="s">
        <v>2713</v>
      </c>
      <c r="AQ116" s="66" t="str">
        <f t="shared" si="16"/>
        <v/>
      </c>
      <c r="AR116" s="66"/>
      <c r="AS116" s="63">
        <f>if(AJ116,if(and(hour(AJ116+AS$5)&gt;11,(hour(AJ116+AS$5)&lt;20)),AJ116+AS$5,_xlfn.workday.intl(int(AJ116),1,"1000000",Holidays!A:A)+hour(AJ116+AS$5-$B$1)/24+minute(AJ116)/1440),"")</f>
        <v>44842.78256</v>
      </c>
      <c r="AT116" s="64">
        <f t="shared" si="21"/>
        <v>44840.78219</v>
      </c>
      <c r="AU116" s="65" t="s">
        <v>2715</v>
      </c>
      <c r="AV116" s="66" t="str">
        <f t="shared" si="22"/>
        <v/>
      </c>
      <c r="AW116" s="66"/>
      <c r="AX116" s="65" t="s">
        <v>2713</v>
      </c>
    </row>
    <row r="117">
      <c r="A117" s="55">
        <v>44833.77938108797</v>
      </c>
      <c r="B117" s="56"/>
      <c r="C117" s="57"/>
      <c r="D117" s="57"/>
      <c r="E117" s="57"/>
      <c r="F117" s="57"/>
      <c r="G117" s="58">
        <f>if(A117,_xlfn.workday.intl(int(A117),1,"1000000",Holidays!A:A)+17/24,"")</f>
        <v>44834.70833</v>
      </c>
      <c r="H117" s="59" t="str">
        <f t="shared" si="23"/>
        <v/>
      </c>
      <c r="I117" s="60"/>
      <c r="J117" s="61">
        <f t="shared" si="2"/>
        <v>1299.275577</v>
      </c>
      <c r="K117" s="58">
        <f>if(G117,_xlfn.workday.intl(int(G117),0,"1000000",Holidays!A:A)+19/24,"")</f>
        <v>44834.79167</v>
      </c>
      <c r="L117" s="59" t="str">
        <f t="shared" si="3"/>
        <v/>
      </c>
      <c r="M117" s="60"/>
      <c r="N117" s="61">
        <f t="shared" si="4"/>
        <v>1299.192243</v>
      </c>
      <c r="O117" s="63">
        <f>if(A117,_xlfn.WORKDAY.INTL(A117,O$5,"1000000",Holidays!A:A)+hour(A117)/24+MINUTE(A117)/1440,"")</f>
        <v>44834.77917</v>
      </c>
      <c r="P117" s="64" t="s">
        <v>2718</v>
      </c>
      <c r="Q117" s="56"/>
      <c r="R117" s="66">
        <f t="shared" si="5"/>
        <v>1299.204743</v>
      </c>
      <c r="S117" s="66"/>
      <c r="T117" s="66"/>
      <c r="U117" s="64">
        <f>if(O117,_xlfn.WORKDAY.INTL(O117,U$5,"1000000",Holidays!A:A)+hour(O117)/24+MINUTE(O117)/1440,"")</f>
        <v>44835.77917</v>
      </c>
      <c r="V117" s="64" t="str">
        <f t="shared" si="6"/>
        <v/>
      </c>
      <c r="W117" s="66"/>
      <c r="X117" s="66">
        <f t="shared" si="7"/>
        <v>1298.204743</v>
      </c>
      <c r="Y117" s="66"/>
      <c r="Z117" s="66"/>
      <c r="AA117" s="66"/>
      <c r="AB117" s="63"/>
      <c r="AC117" s="63"/>
      <c r="AD117" s="63"/>
      <c r="AE117" s="63"/>
      <c r="AF117" s="63"/>
      <c r="AG117" s="63"/>
      <c r="AH117" s="63" t="str">
        <f t="shared" si="14"/>
        <v/>
      </c>
      <c r="AI117" s="63" t="str">
        <f>if(AH117,_xlfn.workday.intl(int(AH117),0,"1000000",Holidays!A:A)+18/24,"")</f>
        <v/>
      </c>
      <c r="AJ117" s="64" t="str">
        <f t="shared" si="24"/>
        <v/>
      </c>
      <c r="AK117" s="56"/>
      <c r="AL117" s="66" t="str">
        <f t="shared" si="9"/>
        <v/>
      </c>
      <c r="AM117" s="66"/>
      <c r="AN117" s="63" t="str">
        <f>if(AJ117,if(and(hour(AJ117+AN$5)&gt;11,(hour(AJ117+AN$5)&lt;20)),AJ117+AN$5,_xlfn.workday.intl(int(AJ117),1,"1000000",Holidays!A:A)+hour(AJ117+AN$5-$B$1)/24+minute(AJ117)/1440),"")</f>
        <v/>
      </c>
      <c r="AO117" s="64" t="str">
        <f t="shared" si="15"/>
        <v/>
      </c>
      <c r="AP117" s="56"/>
      <c r="AQ117" s="66" t="str">
        <f t="shared" si="16"/>
        <v/>
      </c>
      <c r="AR117" s="66"/>
      <c r="AS117" s="63" t="str">
        <f>if(AJ117,if(and(hour(AJ117+AS$5)&gt;11,(hour(AJ117+AS$5)&lt;20)),AJ117+AS$5,_xlfn.workday.intl(int(AJ117),1,"1000000",Holidays!A:A)+hour(AJ117+AS$5-$B$1)/24+minute(AJ117)/1440),"")</f>
        <v/>
      </c>
      <c r="AT117" s="64" t="str">
        <f t="shared" si="21"/>
        <v/>
      </c>
      <c r="AU117" s="56"/>
      <c r="AV117" s="66" t="str">
        <f t="shared" si="22"/>
        <v/>
      </c>
      <c r="AW117" s="66"/>
      <c r="AX117" s="65" t="s">
        <v>2722</v>
      </c>
    </row>
    <row r="118">
      <c r="A118" s="55">
        <v>44835.48457788194</v>
      </c>
      <c r="B118" s="56"/>
      <c r="C118" s="57"/>
      <c r="D118" s="57"/>
      <c r="E118" s="57"/>
      <c r="F118" s="57"/>
      <c r="G118" s="58">
        <f>if(A118,_xlfn.workday.intl(int(A118),1,"1000000",Holidays!A:A)+17/24,"")</f>
        <v>44836.70833</v>
      </c>
      <c r="H118" s="59" t="str">
        <f t="shared" si="23"/>
        <v/>
      </c>
      <c r="I118" s="60"/>
      <c r="J118" s="61">
        <f t="shared" si="2"/>
        <v>1297.275577</v>
      </c>
      <c r="K118" s="58">
        <f>if(G118,_xlfn.workday.intl(int(G118),0,"1000000",Holidays!A:A)+19/24,"")</f>
        <v>44836.79167</v>
      </c>
      <c r="L118" s="59" t="str">
        <f t="shared" si="3"/>
        <v/>
      </c>
      <c r="M118" s="60"/>
      <c r="N118" s="61">
        <f t="shared" si="4"/>
        <v>1297.192243</v>
      </c>
      <c r="O118" s="63">
        <f>if(A118,_xlfn.WORKDAY.INTL(A118,O$5,"1000000",Holidays!A:A)+hour(A118)/24+MINUTE(A118)/1440,"")</f>
        <v>44836.48403</v>
      </c>
      <c r="P118" s="64" t="s">
        <v>2718</v>
      </c>
      <c r="Q118" s="56"/>
      <c r="R118" s="66">
        <f t="shared" si="5"/>
        <v>1297.499882</v>
      </c>
      <c r="S118" s="66"/>
      <c r="T118" s="66"/>
      <c r="U118" s="64">
        <f>if(O118,_xlfn.WORKDAY.INTL(O118,U$5,"1000000",Holidays!A:A)+hour(O118)/24+MINUTE(O118)/1440,"")</f>
        <v>44838.48403</v>
      </c>
      <c r="V118" s="64" t="str">
        <f t="shared" si="6"/>
        <v/>
      </c>
      <c r="W118" s="66"/>
      <c r="X118" s="66">
        <f t="shared" si="7"/>
        <v>1295.499882</v>
      </c>
      <c r="Y118" s="66"/>
      <c r="Z118" s="66"/>
      <c r="AA118" s="66"/>
      <c r="AB118" s="63"/>
      <c r="AC118" s="63"/>
      <c r="AD118" s="63"/>
      <c r="AE118" s="63"/>
      <c r="AF118" s="63"/>
      <c r="AG118" s="63"/>
      <c r="AH118" s="63" t="str">
        <f t="shared" si="14"/>
        <v/>
      </c>
      <c r="AI118" s="63" t="str">
        <f>if(AH118,_xlfn.workday.intl(int(AH118),0,"1000000",Holidays!A:A)+18/24,"")</f>
        <v/>
      </c>
      <c r="AJ118" s="64" t="str">
        <f t="shared" si="24"/>
        <v/>
      </c>
      <c r="AK118" s="56"/>
      <c r="AL118" s="66" t="str">
        <f t="shared" si="9"/>
        <v/>
      </c>
      <c r="AM118" s="66"/>
      <c r="AN118" s="63" t="str">
        <f>if(AJ118,if(and(hour(AJ118+AN$5)&gt;11,(hour(AJ118+AN$5)&lt;20)),AJ118+AN$5,_xlfn.workday.intl(int(AJ118),1,"1000000",Holidays!A:A)+hour(AJ118+AN$5-$B$1)/24+minute(AJ118)/1440),"")</f>
        <v/>
      </c>
      <c r="AO118" s="64" t="str">
        <f t="shared" si="15"/>
        <v/>
      </c>
      <c r="AP118" s="56"/>
      <c r="AQ118" s="66" t="str">
        <f t="shared" si="16"/>
        <v/>
      </c>
      <c r="AR118" s="66"/>
      <c r="AS118" s="63" t="str">
        <f>if(AJ118,if(and(hour(AJ118+AS$5)&gt;11,(hour(AJ118+AS$5)&lt;20)),AJ118+AS$5,_xlfn.workday.intl(int(AJ118),1,"1000000",Holidays!A:A)+hour(AJ118+AS$5-$B$1)/24+minute(AJ118)/1440),"")</f>
        <v/>
      </c>
      <c r="AT118" s="64" t="str">
        <f t="shared" si="21"/>
        <v/>
      </c>
      <c r="AU118" s="56"/>
      <c r="AV118" s="66" t="str">
        <f t="shared" si="22"/>
        <v/>
      </c>
      <c r="AW118" s="66"/>
      <c r="AX118" s="65" t="s">
        <v>2722</v>
      </c>
    </row>
    <row r="119">
      <c r="A119" s="55">
        <v>44835.486165462964</v>
      </c>
      <c r="B119" s="56"/>
      <c r="C119" s="57"/>
      <c r="D119" s="57"/>
      <c r="E119" s="57"/>
      <c r="F119" s="57"/>
      <c r="G119" s="58">
        <f>if(A119,_xlfn.workday.intl(int(A119),1,"1000000",Holidays!A:A)+17/24,"")</f>
        <v>44836.70833</v>
      </c>
      <c r="H119" s="59" t="str">
        <f t="shared" si="23"/>
        <v/>
      </c>
      <c r="I119" s="60"/>
      <c r="J119" s="61">
        <f t="shared" si="2"/>
        <v>1297.275577</v>
      </c>
      <c r="K119" s="58">
        <f>if(G119,_xlfn.workday.intl(int(G119),0,"1000000",Holidays!A:A)+19/24,"")</f>
        <v>44836.79167</v>
      </c>
      <c r="L119" s="59" t="str">
        <f t="shared" si="3"/>
        <v/>
      </c>
      <c r="M119" s="60"/>
      <c r="N119" s="61">
        <f t="shared" si="4"/>
        <v>1297.192243</v>
      </c>
      <c r="O119" s="63">
        <f>if(A119,_xlfn.WORKDAY.INTL(A119,O$5,"1000000",Holidays!A:A)+hour(A119)/24+MINUTE(A119)/1440,"")</f>
        <v>44836.48611</v>
      </c>
      <c r="P119" s="64">
        <v>44901.529654108796</v>
      </c>
      <c r="Q119" s="65" t="s">
        <v>2713</v>
      </c>
      <c r="R119" s="66">
        <f t="shared" si="5"/>
        <v>65.043543</v>
      </c>
      <c r="S119" s="66"/>
      <c r="T119" s="66"/>
      <c r="U119" s="64">
        <f>if(O119,_xlfn.WORKDAY.INTL(O119,U$5,"1000000",Holidays!A:A)+hour(O119)/24+MINUTE(O119)/1440,"")</f>
        <v>44838.48611</v>
      </c>
      <c r="V119" s="64" t="str">
        <f t="shared" si="6"/>
        <v/>
      </c>
      <c r="W119" s="66"/>
      <c r="X119" s="66">
        <f t="shared" si="7"/>
        <v>1295.497799</v>
      </c>
      <c r="Y119" s="66"/>
      <c r="Z119" s="66"/>
      <c r="AA119" s="66"/>
      <c r="AB119" s="63"/>
      <c r="AC119" s="63"/>
      <c r="AD119" s="63"/>
      <c r="AE119" s="63"/>
      <c r="AF119" s="63"/>
      <c r="AG119" s="63"/>
      <c r="AH119" s="63">
        <f t="shared" si="14"/>
        <v>44901.52965</v>
      </c>
      <c r="AI119" s="63">
        <f>if(AH119,_xlfn.workday.intl(int(AH119),0,"1000000",Holidays!A:A)+18/24,"")</f>
        <v>44901.75</v>
      </c>
      <c r="AJ119" s="64">
        <f t="shared" si="24"/>
        <v>44901.52965</v>
      </c>
      <c r="AK119" s="65" t="s">
        <v>2713</v>
      </c>
      <c r="AL119" s="66" t="str">
        <f t="shared" si="9"/>
        <v/>
      </c>
      <c r="AM119" s="66"/>
      <c r="AN119" s="63">
        <f>if(AJ119,if(and(hour(AJ119+AN$5)&gt;11,(hour(AJ119+AN$5)&lt;20)),AJ119+AN$5,_xlfn.workday.intl(int(AJ119),1,"1000000",Holidays!A:A)+hour(AJ119+AN$5-$B$1)/24+minute(AJ119)/1440),"")</f>
        <v>44902.52965</v>
      </c>
      <c r="AO119" s="64">
        <f t="shared" si="15"/>
        <v>44901.52966</v>
      </c>
      <c r="AP119" s="65" t="s">
        <v>2713</v>
      </c>
      <c r="AQ119" s="66" t="str">
        <f t="shared" si="16"/>
        <v/>
      </c>
      <c r="AR119" s="66"/>
      <c r="AS119" s="63">
        <f>if(AJ119,if(and(hour(AJ119+AS$5)&gt;11,(hour(AJ119+AS$5)&lt;20)),AJ119+AS$5,_xlfn.workday.intl(int(AJ119),1,"1000000",Holidays!A:A)+hour(AJ119+AS$5-$B$1)/24+minute(AJ119)/1440),"")</f>
        <v>44903.52965</v>
      </c>
      <c r="AT119" s="64">
        <f t="shared" si="21"/>
        <v>44842.66381</v>
      </c>
      <c r="AU119" s="65" t="s">
        <v>2715</v>
      </c>
      <c r="AV119" s="66" t="str">
        <f t="shared" si="22"/>
        <v/>
      </c>
      <c r="AW119" s="66"/>
      <c r="AX119" s="65" t="s">
        <v>2713</v>
      </c>
    </row>
    <row r="120">
      <c r="A120" s="55">
        <v>44838.73876324074</v>
      </c>
      <c r="B120" s="56"/>
      <c r="C120" s="57"/>
      <c r="D120" s="77"/>
      <c r="E120" s="57"/>
      <c r="F120" s="57"/>
      <c r="G120" s="58">
        <f>if(A120,_xlfn.workday.intl(int(A120),1,"1000000",Holidays!A:A)+17/24,"")</f>
        <v>44839.70833</v>
      </c>
      <c r="H120" s="59" t="str">
        <f t="shared" si="23"/>
        <v/>
      </c>
      <c r="I120" s="60"/>
      <c r="J120" s="61">
        <f t="shared" si="2"/>
        <v>1294.275577</v>
      </c>
      <c r="K120" s="58">
        <f>if(G120,_xlfn.workday.intl(int(G120),0,"1000000",Holidays!A:A)+19/24,"")</f>
        <v>44839.79167</v>
      </c>
      <c r="L120" s="59" t="str">
        <f t="shared" si="3"/>
        <v/>
      </c>
      <c r="M120" s="60"/>
      <c r="N120" s="61">
        <f t="shared" si="4"/>
        <v>1294.192243</v>
      </c>
      <c r="O120" s="63">
        <f>if(A120,_xlfn.WORKDAY.INTL(A120,O$5,"1000000",Holidays!A:A)+hour(A120)/24+MINUTE(A120)/1440,"")</f>
        <v>44839.73819</v>
      </c>
      <c r="P120" s="64">
        <v>44901.529654108796</v>
      </c>
      <c r="Q120" s="65" t="s">
        <v>2713</v>
      </c>
      <c r="R120" s="66">
        <f t="shared" si="5"/>
        <v>61.79145966</v>
      </c>
      <c r="S120" s="66"/>
      <c r="T120" s="66"/>
      <c r="U120" s="64">
        <f>if(O120,_xlfn.WORKDAY.INTL(O120,U$5,"1000000",Holidays!A:A)+hour(O120)/24+MINUTE(O120)/1440,"")</f>
        <v>44840.73819</v>
      </c>
      <c r="V120" s="64" t="str">
        <f t="shared" si="6"/>
        <v/>
      </c>
      <c r="W120" s="66"/>
      <c r="X120" s="66">
        <f t="shared" si="7"/>
        <v>1293.245715</v>
      </c>
      <c r="Y120" s="66"/>
      <c r="Z120" s="66"/>
      <c r="AA120" s="66"/>
      <c r="AB120" s="63"/>
      <c r="AC120" s="63"/>
      <c r="AD120" s="63"/>
      <c r="AE120" s="63"/>
      <c r="AF120" s="63"/>
      <c r="AG120" s="63"/>
      <c r="AH120" s="63">
        <f t="shared" si="14"/>
        <v>44901.52965</v>
      </c>
      <c r="AI120" s="63">
        <f>if(AH120,_xlfn.workday.intl(int(AH120),0,"1000000",Holidays!A:A)+18/24,"")</f>
        <v>44901.75</v>
      </c>
      <c r="AJ120" s="64">
        <f t="shared" si="24"/>
        <v>44901.52965</v>
      </c>
      <c r="AK120" s="65" t="s">
        <v>2713</v>
      </c>
      <c r="AL120" s="66" t="str">
        <f t="shared" si="9"/>
        <v/>
      </c>
      <c r="AM120" s="66"/>
      <c r="AN120" s="63">
        <f>if(AJ120,if(and(hour(AJ120+AN$5)&gt;11,(hour(AJ120+AN$5)&lt;20)),AJ120+AN$5,_xlfn.workday.intl(int(AJ120),1,"1000000",Holidays!A:A)+hour(AJ120+AN$5-$B$1)/24+minute(AJ120)/1440),"")</f>
        <v>44902.52965</v>
      </c>
      <c r="AO120" s="64">
        <f t="shared" si="15"/>
        <v>44901.52966</v>
      </c>
      <c r="AP120" s="65" t="s">
        <v>2713</v>
      </c>
      <c r="AQ120" s="66" t="str">
        <f t="shared" si="16"/>
        <v/>
      </c>
      <c r="AR120" s="66"/>
      <c r="AS120" s="63">
        <f>if(AJ120,if(and(hour(AJ120+AS$5)&gt;11,(hour(AJ120+AS$5)&lt;20)),AJ120+AS$5,_xlfn.workday.intl(int(AJ120),1,"1000000",Holidays!A:A)+hour(AJ120+AS$5-$B$1)/24+minute(AJ120)/1440),"")</f>
        <v>44903.52965</v>
      </c>
      <c r="AT120" s="64">
        <f t="shared" si="21"/>
        <v>44884.51139</v>
      </c>
      <c r="AU120" s="65" t="s">
        <v>2715</v>
      </c>
      <c r="AV120" s="66" t="str">
        <f t="shared" si="22"/>
        <v/>
      </c>
      <c r="AW120" s="66"/>
      <c r="AX120" s="65" t="s">
        <v>2713</v>
      </c>
    </row>
    <row r="121">
      <c r="A121" s="55">
        <v>44841.558055312504</v>
      </c>
      <c r="B121" s="56"/>
      <c r="C121" s="57"/>
      <c r="D121" s="57"/>
      <c r="E121" s="57"/>
      <c r="F121" s="57"/>
      <c r="G121" s="58">
        <f>if(A121,_xlfn.workday.intl(int(A121),1,"1000000",Holidays!A:A)+17/24,"")</f>
        <v>44842.70833</v>
      </c>
      <c r="H121" s="59" t="str">
        <f t="shared" si="23"/>
        <v/>
      </c>
      <c r="I121" s="60"/>
      <c r="J121" s="61">
        <f t="shared" si="2"/>
        <v>1291.275577</v>
      </c>
      <c r="K121" s="58">
        <f>if(G121,_xlfn.workday.intl(int(G121),0,"1000000",Holidays!A:A)+19/24,"")</f>
        <v>44842.79167</v>
      </c>
      <c r="L121" s="59" t="str">
        <f t="shared" si="3"/>
        <v/>
      </c>
      <c r="M121" s="60"/>
      <c r="N121" s="61">
        <f t="shared" si="4"/>
        <v>1291.192243</v>
      </c>
      <c r="O121" s="63">
        <f>if(A121,_xlfn.WORKDAY.INTL(A121,O$5,"1000000",Holidays!A:A)+hour(A121)/24+MINUTE(A121)/1440,"")</f>
        <v>44842.55764</v>
      </c>
      <c r="P121" s="64">
        <v>44901.529654108796</v>
      </c>
      <c r="Q121" s="65" t="s">
        <v>2713</v>
      </c>
      <c r="R121" s="66">
        <f t="shared" si="5"/>
        <v>58.97201522</v>
      </c>
      <c r="S121" s="66"/>
      <c r="T121" s="66"/>
      <c r="U121" s="64">
        <f>if(O121,_xlfn.WORKDAY.INTL(O121,U$5,"1000000",Holidays!A:A)+hour(O121)/24+MINUTE(O121)/1440,"")</f>
        <v>44843.55764</v>
      </c>
      <c r="V121" s="64" t="str">
        <f t="shared" si="6"/>
        <v/>
      </c>
      <c r="W121" s="66"/>
      <c r="X121" s="66">
        <f t="shared" si="7"/>
        <v>1290.426271</v>
      </c>
      <c r="Y121" s="66"/>
      <c r="Z121" s="66"/>
      <c r="AA121" s="66"/>
      <c r="AB121" s="63"/>
      <c r="AC121" s="63"/>
      <c r="AD121" s="63"/>
      <c r="AE121" s="63"/>
      <c r="AF121" s="63"/>
      <c r="AG121" s="63"/>
      <c r="AH121" s="63">
        <f t="shared" si="14"/>
        <v>44901.52965</v>
      </c>
      <c r="AI121" s="63">
        <f>if(AH121,_xlfn.workday.intl(int(AH121),0,"1000000",Holidays!A:A)+18/24,"")</f>
        <v>44901.75</v>
      </c>
      <c r="AJ121" s="64">
        <f t="shared" si="24"/>
        <v>44901.52965</v>
      </c>
      <c r="AK121" s="65" t="s">
        <v>2713</v>
      </c>
      <c r="AL121" s="66" t="str">
        <f t="shared" si="9"/>
        <v/>
      </c>
      <c r="AM121" s="66"/>
      <c r="AN121" s="63">
        <f>if(AJ121,if(and(hour(AJ121+AN$5)&gt;11,(hour(AJ121+AN$5)&lt;20)),AJ121+AN$5,_xlfn.workday.intl(int(AJ121),1,"1000000",Holidays!A:A)+hour(AJ121+AN$5-$B$1)/24+minute(AJ121)/1440),"")</f>
        <v>44902.52965</v>
      </c>
      <c r="AO121" s="64">
        <f t="shared" si="15"/>
        <v>44901.52965</v>
      </c>
      <c r="AP121" s="65" t="s">
        <v>2713</v>
      </c>
      <c r="AQ121" s="66" t="str">
        <f t="shared" si="16"/>
        <v/>
      </c>
      <c r="AR121" s="66"/>
      <c r="AS121" s="63">
        <f>if(AJ121,if(and(hour(AJ121+AS$5)&gt;11,(hour(AJ121+AS$5)&lt;20)),AJ121+AS$5,_xlfn.workday.intl(int(AJ121),1,"1000000",Holidays!A:A)+hour(AJ121+AS$5-$B$1)/24+minute(AJ121)/1440),"")</f>
        <v>44903.52965</v>
      </c>
      <c r="AT121" s="64">
        <f t="shared" si="21"/>
        <v>44884.51161</v>
      </c>
      <c r="AU121" s="65" t="s">
        <v>2715</v>
      </c>
      <c r="AV121" s="66" t="str">
        <f t="shared" si="22"/>
        <v/>
      </c>
      <c r="AW121" s="66"/>
      <c r="AX121" s="65" t="s">
        <v>2713</v>
      </c>
    </row>
    <row r="122">
      <c r="A122" s="55">
        <v>44842.48541440972</v>
      </c>
      <c r="B122" s="56"/>
      <c r="C122" s="57"/>
      <c r="D122" s="57"/>
      <c r="E122" s="57"/>
      <c r="F122" s="57"/>
      <c r="G122" s="58">
        <f>if(A122,_xlfn.workday.intl(int(A122),1,"1000000",Holidays!A:A)+17/24,"")</f>
        <v>44843.70833</v>
      </c>
      <c r="H122" s="59" t="str">
        <f t="shared" si="23"/>
        <v/>
      </c>
      <c r="I122" s="60"/>
      <c r="J122" s="61">
        <f t="shared" si="2"/>
        <v>1290.275577</v>
      </c>
      <c r="K122" s="58">
        <f>if(G122,_xlfn.workday.intl(int(G122),0,"1000000",Holidays!A:A)+19/24,"")</f>
        <v>44843.79167</v>
      </c>
      <c r="L122" s="59" t="str">
        <f t="shared" si="3"/>
        <v/>
      </c>
      <c r="M122" s="60"/>
      <c r="N122" s="61">
        <f t="shared" si="4"/>
        <v>1290.192243</v>
      </c>
      <c r="O122" s="63">
        <f>if(A122,_xlfn.WORKDAY.INTL(A122,O$5,"1000000",Holidays!A:A)+hour(A122)/24+MINUTE(A122)/1440,"")</f>
        <v>44843.48542</v>
      </c>
      <c r="P122" s="64" t="s">
        <v>2718</v>
      </c>
      <c r="Q122" s="56"/>
      <c r="R122" s="66">
        <f t="shared" si="5"/>
        <v>1290.498493</v>
      </c>
      <c r="S122" s="66"/>
      <c r="T122" s="66"/>
      <c r="U122" s="64">
        <f>if(O122,_xlfn.WORKDAY.INTL(O122,U$5,"1000000",Holidays!A:A)+hour(O122)/24+MINUTE(O122)/1440,"")</f>
        <v>44845.48542</v>
      </c>
      <c r="V122" s="64" t="str">
        <f t="shared" si="6"/>
        <v/>
      </c>
      <c r="W122" s="66"/>
      <c r="X122" s="66">
        <f t="shared" si="7"/>
        <v>1288.498493</v>
      </c>
      <c r="Y122" s="66"/>
      <c r="Z122" s="66"/>
      <c r="AA122" s="66"/>
      <c r="AB122" s="63"/>
      <c r="AC122" s="63"/>
      <c r="AD122" s="63"/>
      <c r="AE122" s="63"/>
      <c r="AF122" s="63"/>
      <c r="AG122" s="63"/>
      <c r="AH122" s="63" t="str">
        <f t="shared" si="14"/>
        <v/>
      </c>
      <c r="AI122" s="63" t="str">
        <f>if(AH122,_xlfn.workday.intl(int(AH122),0,"1000000",Holidays!A:A)+18/24,"")</f>
        <v/>
      </c>
      <c r="AJ122" s="64" t="str">
        <f t="shared" si="24"/>
        <v/>
      </c>
      <c r="AK122" s="56"/>
      <c r="AL122" s="66" t="str">
        <f t="shared" si="9"/>
        <v/>
      </c>
      <c r="AM122" s="66"/>
      <c r="AN122" s="63" t="str">
        <f>if(AJ122,if(and(hour(AJ122+AN$5)&gt;11,(hour(AJ122+AN$5)&lt;20)),AJ122+AN$5,_xlfn.workday.intl(int(AJ122),1,"1000000",Holidays!A:A)+hour(AJ122+AN$5-$B$1)/24+minute(AJ122)/1440),"")</f>
        <v/>
      </c>
      <c r="AO122" s="64" t="str">
        <f t="shared" si="15"/>
        <v/>
      </c>
      <c r="AP122" s="56"/>
      <c r="AQ122" s="66" t="str">
        <f t="shared" si="16"/>
        <v/>
      </c>
      <c r="AR122" s="66"/>
      <c r="AS122" s="63" t="str">
        <f>if(AJ122,if(and(hour(AJ122+AS$5)&gt;11,(hour(AJ122+AS$5)&lt;20)),AJ122+AS$5,_xlfn.workday.intl(int(AJ122),1,"1000000",Holidays!A:A)+hour(AJ122+AS$5-$B$1)/24+minute(AJ122)/1440),"")</f>
        <v/>
      </c>
      <c r="AT122" s="64" t="str">
        <f t="shared" si="21"/>
        <v/>
      </c>
      <c r="AU122" s="56"/>
      <c r="AV122" s="66" t="str">
        <f t="shared" si="22"/>
        <v/>
      </c>
      <c r="AW122" s="66"/>
      <c r="AX122" s="65" t="s">
        <v>2733</v>
      </c>
    </row>
    <row r="123">
      <c r="A123" s="55">
        <v>44843.777136944445</v>
      </c>
      <c r="B123" s="56"/>
      <c r="C123" s="57"/>
      <c r="D123" s="57"/>
      <c r="E123" s="57"/>
      <c r="F123" s="57"/>
      <c r="G123" s="58">
        <f>if(A123,_xlfn.workday.intl(int(A123),1,"1000000",Holidays!A:A)+17/24,"")</f>
        <v>44845.70833</v>
      </c>
      <c r="H123" s="59" t="str">
        <f t="shared" si="23"/>
        <v/>
      </c>
      <c r="I123" s="60"/>
      <c r="J123" s="61">
        <f t="shared" si="2"/>
        <v>1288.275577</v>
      </c>
      <c r="K123" s="58">
        <f>if(G123,_xlfn.workday.intl(int(G123),0,"1000000",Holidays!A:A)+19/24,"")</f>
        <v>44845.79167</v>
      </c>
      <c r="L123" s="59" t="str">
        <f t="shared" si="3"/>
        <v/>
      </c>
      <c r="M123" s="60"/>
      <c r="N123" s="61">
        <f t="shared" si="4"/>
        <v>1288.192243</v>
      </c>
      <c r="O123" s="63">
        <f>if(A123,_xlfn.WORKDAY.INTL(A123,O$5,"1000000",Holidays!A:A)+hour(A123)/24+MINUTE(A123)/1440,"")</f>
        <v>44845.77708</v>
      </c>
      <c r="P123" s="64" t="s">
        <v>2718</v>
      </c>
      <c r="Q123" s="56"/>
      <c r="R123" s="66">
        <f t="shared" si="5"/>
        <v>1288.206827</v>
      </c>
      <c r="S123" s="66"/>
      <c r="T123" s="66"/>
      <c r="U123" s="64">
        <f>if(O123,_xlfn.WORKDAY.INTL(O123,U$5,"1000000",Holidays!A:A)+hour(O123)/24+MINUTE(O123)/1440,"")</f>
        <v>44846.77708</v>
      </c>
      <c r="V123" s="64" t="str">
        <f t="shared" si="6"/>
        <v/>
      </c>
      <c r="W123" s="66"/>
      <c r="X123" s="66">
        <f t="shared" si="7"/>
        <v>1287.206827</v>
      </c>
      <c r="Y123" s="66"/>
      <c r="Z123" s="66"/>
      <c r="AA123" s="66"/>
      <c r="AB123" s="63"/>
      <c r="AC123" s="63"/>
      <c r="AD123" s="63"/>
      <c r="AE123" s="63"/>
      <c r="AF123" s="63"/>
      <c r="AG123" s="63"/>
      <c r="AH123" s="63" t="str">
        <f t="shared" si="14"/>
        <v/>
      </c>
      <c r="AI123" s="63" t="str">
        <f>if(AH123,_xlfn.workday.intl(int(AH123),0,"1000000",Holidays!A:A)+18/24,"")</f>
        <v/>
      </c>
      <c r="AJ123" s="64" t="str">
        <f t="shared" si="24"/>
        <v/>
      </c>
      <c r="AK123" s="56"/>
      <c r="AL123" s="66" t="str">
        <f t="shared" si="9"/>
        <v/>
      </c>
      <c r="AM123" s="66"/>
      <c r="AN123" s="63" t="str">
        <f>if(AJ123,if(and(hour(AJ123+AN$5)&gt;11,(hour(AJ123+AN$5)&lt;20)),AJ123+AN$5,_xlfn.workday.intl(int(AJ123),1,"1000000",Holidays!A:A)+hour(AJ123+AN$5-$B$1)/24+minute(AJ123)/1440),"")</f>
        <v/>
      </c>
      <c r="AO123" s="64" t="str">
        <f t="shared" si="15"/>
        <v/>
      </c>
      <c r="AP123" s="56"/>
      <c r="AQ123" s="66" t="str">
        <f t="shared" si="16"/>
        <v/>
      </c>
      <c r="AR123" s="66"/>
      <c r="AS123" s="63" t="str">
        <f>if(AJ123,if(and(hour(AJ123+AS$5)&gt;11,(hour(AJ123+AS$5)&lt;20)),AJ123+AS$5,_xlfn.workday.intl(int(AJ123),1,"1000000",Holidays!A:A)+hour(AJ123+AS$5-$B$1)/24+minute(AJ123)/1440),"")</f>
        <v/>
      </c>
      <c r="AT123" s="64" t="str">
        <f t="shared" si="21"/>
        <v/>
      </c>
      <c r="AU123" s="56"/>
      <c r="AV123" s="66" t="str">
        <f t="shared" si="22"/>
        <v/>
      </c>
      <c r="AW123" s="66"/>
      <c r="AX123" s="65" t="s">
        <v>2722</v>
      </c>
    </row>
    <row r="124">
      <c r="A124" s="55">
        <v>44845.541185208334</v>
      </c>
      <c r="B124" s="56"/>
      <c r="C124" s="57"/>
      <c r="D124" s="57"/>
      <c r="E124" s="57"/>
      <c r="F124" s="57"/>
      <c r="G124" s="58">
        <f>if(A124,_xlfn.workday.intl(int(A124),1,"1000000",Holidays!A:A)+17/24,"")</f>
        <v>44846.70833</v>
      </c>
      <c r="H124" s="59" t="str">
        <f t="shared" si="23"/>
        <v/>
      </c>
      <c r="I124" s="60"/>
      <c r="J124" s="61">
        <f t="shared" si="2"/>
        <v>1287.275577</v>
      </c>
      <c r="K124" s="58">
        <f>if(G124,_xlfn.workday.intl(int(G124),0,"1000000",Holidays!A:A)+19/24,"")</f>
        <v>44846.79167</v>
      </c>
      <c r="L124" s="59" t="str">
        <f t="shared" si="3"/>
        <v/>
      </c>
      <c r="M124" s="60"/>
      <c r="N124" s="61">
        <f t="shared" si="4"/>
        <v>1287.192243</v>
      </c>
      <c r="O124" s="63">
        <f>if(A124,_xlfn.WORKDAY.INTL(A124,O$5,"1000000",Holidays!A:A)+hour(A124)/24+MINUTE(A124)/1440,"")</f>
        <v>44846.54097</v>
      </c>
      <c r="P124" s="64">
        <v>44850.63028712963</v>
      </c>
      <c r="Q124" s="65" t="s">
        <v>2713</v>
      </c>
      <c r="R124" s="66">
        <f t="shared" si="5"/>
        <v>4.089314907</v>
      </c>
      <c r="S124" s="66"/>
      <c r="T124" s="66"/>
      <c r="U124" s="64">
        <f>if(O124,_xlfn.WORKDAY.INTL(O124,U$5,"1000000",Holidays!A:A)+hour(O124)/24+MINUTE(O124)/1440,"")</f>
        <v>44847.54097</v>
      </c>
      <c r="V124" s="64" t="str">
        <f t="shared" si="6"/>
        <v/>
      </c>
      <c r="W124" s="66"/>
      <c r="X124" s="66">
        <f t="shared" si="7"/>
        <v>1286.442938</v>
      </c>
      <c r="Y124" s="66"/>
      <c r="Z124" s="66"/>
      <c r="AA124" s="66"/>
      <c r="AB124" s="63"/>
      <c r="AC124" s="63"/>
      <c r="AD124" s="63"/>
      <c r="AE124" s="63"/>
      <c r="AF124" s="63"/>
      <c r="AG124" s="63"/>
      <c r="AH124" s="63">
        <f t="shared" si="14"/>
        <v>44850.63029</v>
      </c>
      <c r="AI124" s="63">
        <f>if(AH124,_xlfn.workday.intl(int(AH124),0,"1000000",Holidays!A:A)+18/24,"")</f>
        <v>44850.75</v>
      </c>
      <c r="AJ124" s="64">
        <f t="shared" si="24"/>
        <v>44850.63034</v>
      </c>
      <c r="AK124" s="65" t="s">
        <v>2713</v>
      </c>
      <c r="AL124" s="66" t="str">
        <f t="shared" si="9"/>
        <v/>
      </c>
      <c r="AM124" s="66"/>
      <c r="AN124" s="63">
        <f>if(AJ124,if(and(hour(AJ124+AN$5)&gt;11,(hour(AJ124+AN$5)&lt;20)),AJ124+AN$5,_xlfn.workday.intl(int(AJ124),1,"1000000",Holidays!A:A)+hour(AJ124+AN$5-$B$1)/24+minute(AJ124)/1440),"")</f>
        <v>44851.63034</v>
      </c>
      <c r="AO124" s="64">
        <f t="shared" si="15"/>
        <v>44850.63042</v>
      </c>
      <c r="AP124" s="65" t="s">
        <v>2713</v>
      </c>
      <c r="AQ124" s="66" t="str">
        <f t="shared" si="16"/>
        <v/>
      </c>
      <c r="AR124" s="66"/>
      <c r="AS124" s="63">
        <f>if(AJ124,if(and(hour(AJ124+AS$5)&gt;11,(hour(AJ124+AS$5)&lt;20)),AJ124+AS$5,_xlfn.workday.intl(int(AJ124),1,"1000000",Holidays!A:A)+hour(AJ124+AS$5-$B$1)/24+minute(AJ124)/1440),"")</f>
        <v>44852.63034</v>
      </c>
      <c r="AT124" s="64">
        <f t="shared" si="21"/>
        <v>44850.63051</v>
      </c>
      <c r="AU124" s="65" t="s">
        <v>2715</v>
      </c>
      <c r="AV124" s="65"/>
      <c r="AW124" s="65"/>
      <c r="AX124" s="65" t="s">
        <v>2713</v>
      </c>
    </row>
    <row r="125">
      <c r="A125" s="55">
        <v>44852.66667423611</v>
      </c>
      <c r="B125" s="56"/>
      <c r="C125" s="57"/>
      <c r="D125" s="57"/>
      <c r="E125" s="57"/>
      <c r="F125" s="57"/>
      <c r="G125" s="58">
        <f>if(A125,_xlfn.workday.intl(int(A125),1,"1000000",Holidays!A:A)+17/24,"")</f>
        <v>44853.70833</v>
      </c>
      <c r="H125" s="59" t="str">
        <f t="shared" si="23"/>
        <v/>
      </c>
      <c r="I125" s="60"/>
      <c r="J125" s="61">
        <f t="shared" si="2"/>
        <v>1280.275577</v>
      </c>
      <c r="K125" s="58">
        <f>if(G125,_xlfn.workday.intl(int(G125),0,"1000000",Holidays!A:A)+19/24,"")</f>
        <v>44853.79167</v>
      </c>
      <c r="L125" s="59" t="str">
        <f t="shared" si="3"/>
        <v/>
      </c>
      <c r="M125" s="60"/>
      <c r="N125" s="61">
        <f t="shared" si="4"/>
        <v>1280.192243</v>
      </c>
      <c r="O125" s="63">
        <f>if(A125,_xlfn.WORKDAY.INTL(A125,O$5,"1000000",Holidays!A:A)+hour(A125)/24+MINUTE(A125)/1440,"")</f>
        <v>44853.66667</v>
      </c>
      <c r="P125" s="64">
        <v>44901.529654108796</v>
      </c>
      <c r="Q125" s="65" t="s">
        <v>2713</v>
      </c>
      <c r="R125" s="66">
        <f t="shared" si="5"/>
        <v>47.86298744</v>
      </c>
      <c r="S125" s="66"/>
      <c r="T125" s="66"/>
      <c r="U125" s="64">
        <f>if(O125,_xlfn.WORKDAY.INTL(O125,U$5,"1000000",Holidays!A:A)+hour(O125)/24+MINUTE(O125)/1440,"")</f>
        <v>44854.66667</v>
      </c>
      <c r="V125" s="64" t="str">
        <f t="shared" si="6"/>
        <v/>
      </c>
      <c r="W125" s="66"/>
      <c r="X125" s="66">
        <f t="shared" si="7"/>
        <v>1279.317243</v>
      </c>
      <c r="Y125" s="66"/>
      <c r="Z125" s="66"/>
      <c r="AA125" s="66"/>
      <c r="AB125" s="63"/>
      <c r="AC125" s="63"/>
      <c r="AD125" s="63"/>
      <c r="AE125" s="63"/>
      <c r="AF125" s="63"/>
      <c r="AG125" s="63"/>
      <c r="AH125" s="63">
        <f t="shared" si="14"/>
        <v>44901.52965</v>
      </c>
      <c r="AI125" s="63">
        <f>if(AH125,_xlfn.workday.intl(int(AH125),0,"1000000",Holidays!A:A)+18/24,"")</f>
        <v>44901.75</v>
      </c>
      <c r="AJ125" s="64">
        <f t="shared" si="24"/>
        <v>44901.52965</v>
      </c>
      <c r="AK125" s="65" t="s">
        <v>2713</v>
      </c>
      <c r="AL125" s="66" t="str">
        <f t="shared" si="9"/>
        <v/>
      </c>
      <c r="AM125" s="66"/>
      <c r="AN125" s="63">
        <f>if(AJ125,if(and(hour(AJ125+AN$5)&gt;11,(hour(AJ125+AN$5)&lt;20)),AJ125+AN$5,_xlfn.workday.intl(int(AJ125),1,"1000000",Holidays!A:A)+hour(AJ125+AN$5-$B$1)/24+minute(AJ125)/1440),"")</f>
        <v>44902.52965</v>
      </c>
      <c r="AO125" s="64">
        <f t="shared" si="15"/>
        <v>44901.52965</v>
      </c>
      <c r="AP125" s="65" t="s">
        <v>2713</v>
      </c>
      <c r="AQ125" s="66" t="str">
        <f t="shared" si="16"/>
        <v/>
      </c>
      <c r="AR125" s="66"/>
      <c r="AS125" s="63">
        <f>if(AJ125,if(and(hour(AJ125+AS$5)&gt;11,(hour(AJ125+AS$5)&lt;20)),AJ125+AS$5,_xlfn.workday.intl(int(AJ125),1,"1000000",Holidays!A:A)+hour(AJ125+AS$5-$B$1)/24+minute(AJ125)/1440),"")</f>
        <v>44903.52965</v>
      </c>
      <c r="AT125" s="64">
        <f t="shared" si="21"/>
        <v>44901.52965</v>
      </c>
      <c r="AU125" s="65" t="s">
        <v>2715</v>
      </c>
      <c r="AV125" s="66" t="str">
        <f t="shared" ref="AV125:AV1000" si="25">if(AS125,if(AT125&lt;&gt;"",if(AT125&gt;AS125,AT125-AS125,""),$A$1-AS125),"")</f>
        <v/>
      </c>
      <c r="AW125" s="66"/>
      <c r="AX125" s="65" t="s">
        <v>2713</v>
      </c>
    </row>
    <row r="126">
      <c r="A126" s="55">
        <v>44855.42925376157</v>
      </c>
      <c r="B126" s="56"/>
      <c r="C126" s="57"/>
      <c r="D126" s="57"/>
      <c r="E126" s="57"/>
      <c r="F126" s="57"/>
      <c r="G126" s="58">
        <f>if(A126,_xlfn.workday.intl(int(A126),1,"1000000",Holidays!A:A)+17/24,"")</f>
        <v>44856.70833</v>
      </c>
      <c r="H126" s="59" t="str">
        <f t="shared" si="23"/>
        <v/>
      </c>
      <c r="I126" s="60"/>
      <c r="J126" s="61">
        <f t="shared" si="2"/>
        <v>1277.275577</v>
      </c>
      <c r="K126" s="58">
        <f>if(G126,_xlfn.workday.intl(int(G126),0,"1000000",Holidays!A:A)+19/24,"")</f>
        <v>44856.79167</v>
      </c>
      <c r="L126" s="59" t="str">
        <f t="shared" si="3"/>
        <v/>
      </c>
      <c r="M126" s="60"/>
      <c r="N126" s="61">
        <f t="shared" si="4"/>
        <v>1277.192243</v>
      </c>
      <c r="O126" s="63">
        <f>if(A126,_xlfn.WORKDAY.INTL(A126,O$5,"1000000",Holidays!A:A)+hour(A126)/24+MINUTE(A126)/1440,"")</f>
        <v>44856.42917</v>
      </c>
      <c r="P126" s="64">
        <v>44855.49758512732</v>
      </c>
      <c r="Q126" s="65" t="s">
        <v>2713</v>
      </c>
      <c r="R126" s="66" t="str">
        <f t="shared" si="5"/>
        <v/>
      </c>
      <c r="S126" s="66"/>
      <c r="T126" s="66"/>
      <c r="U126" s="64">
        <f>if(O126,_xlfn.WORKDAY.INTL(O126,U$5,"1000000",Holidays!A:A)+hour(O126)/24+MINUTE(O126)/1440,"")</f>
        <v>44857.42917</v>
      </c>
      <c r="V126" s="64" t="str">
        <f t="shared" si="6"/>
        <v/>
      </c>
      <c r="W126" s="66"/>
      <c r="X126" s="66">
        <f t="shared" si="7"/>
        <v>1276.554743</v>
      </c>
      <c r="Y126" s="66"/>
      <c r="Z126" s="66"/>
      <c r="AA126" s="66"/>
      <c r="AB126" s="67">
        <v>1.0</v>
      </c>
      <c r="AC126" s="63"/>
      <c r="AD126" s="63"/>
      <c r="AE126" s="63"/>
      <c r="AF126" s="63"/>
      <c r="AG126" s="63"/>
      <c r="AH126" s="63">
        <f t="shared" si="14"/>
        <v>44856.49759</v>
      </c>
      <c r="AI126" s="63">
        <f>if(AH126,_xlfn.workday.intl(int(AH126),0,"1000000",Holidays!A:A)+18/24,"")</f>
        <v>44856.75</v>
      </c>
      <c r="AJ126" s="64">
        <f t="shared" si="24"/>
        <v>44901.52965</v>
      </c>
      <c r="AK126" s="65" t="s">
        <v>2713</v>
      </c>
      <c r="AL126" s="66">
        <f t="shared" si="9"/>
        <v>44.77965411</v>
      </c>
      <c r="AM126" s="66"/>
      <c r="AN126" s="63">
        <f>if(AJ126,if(and(hour(AJ126+AN$5)&gt;11,(hour(AJ126+AN$5)&lt;20)),AJ126+AN$5,_xlfn.workday.intl(int(AJ126),1,"1000000",Holidays!A:A)+hour(AJ126+AN$5-$B$1)/24+minute(AJ126)/1440),"")</f>
        <v>44902.52965</v>
      </c>
      <c r="AO126" s="64">
        <f t="shared" si="15"/>
        <v>44901.52965</v>
      </c>
      <c r="AP126" s="65" t="s">
        <v>2713</v>
      </c>
      <c r="AQ126" s="66" t="str">
        <f t="shared" si="16"/>
        <v/>
      </c>
      <c r="AR126" s="66"/>
      <c r="AS126" s="63">
        <f>if(AJ126,if(and(hour(AJ126+AS$5)&gt;11,(hour(AJ126+AS$5)&lt;20)),AJ126+AS$5,_xlfn.workday.intl(int(AJ126),1,"1000000",Holidays!A:A)+hour(AJ126+AS$5-$B$1)/24+minute(AJ126)/1440),"")</f>
        <v>44903.52965</v>
      </c>
      <c r="AT126" s="64">
        <f t="shared" si="21"/>
        <v>44901.52965</v>
      </c>
      <c r="AU126" s="65" t="s">
        <v>2715</v>
      </c>
      <c r="AV126" s="66" t="str">
        <f t="shared" si="25"/>
        <v/>
      </c>
      <c r="AW126" s="66"/>
      <c r="AX126" s="65" t="s">
        <v>2713</v>
      </c>
    </row>
    <row r="127">
      <c r="A127" s="55">
        <v>44855.43132403935</v>
      </c>
      <c r="B127" s="56"/>
      <c r="C127" s="57"/>
      <c r="D127" s="57"/>
      <c r="E127" s="57"/>
      <c r="F127" s="57"/>
      <c r="G127" s="58">
        <f>if(A127,_xlfn.workday.intl(int(A127),1,"1000000",Holidays!A:A)+17/24,"")</f>
        <v>44856.70833</v>
      </c>
      <c r="H127" s="59" t="str">
        <f t="shared" si="23"/>
        <v/>
      </c>
      <c r="I127" s="60"/>
      <c r="J127" s="61">
        <f t="shared" si="2"/>
        <v>1277.275577</v>
      </c>
      <c r="K127" s="58">
        <f>if(G127,_xlfn.workday.intl(int(G127),0,"1000000",Holidays!A:A)+19/24,"")</f>
        <v>44856.79167</v>
      </c>
      <c r="L127" s="59" t="str">
        <f t="shared" si="3"/>
        <v/>
      </c>
      <c r="M127" s="60"/>
      <c r="N127" s="61">
        <f t="shared" si="4"/>
        <v>1277.192243</v>
      </c>
      <c r="O127" s="63">
        <f>if(A127,_xlfn.WORKDAY.INTL(A127,O$5,"1000000",Holidays!A:A)+hour(A127)/24+MINUTE(A127)/1440,"")</f>
        <v>44856.43125</v>
      </c>
      <c r="P127" s="64">
        <v>44855.497631527775</v>
      </c>
      <c r="Q127" s="65" t="s">
        <v>2713</v>
      </c>
      <c r="R127" s="66" t="str">
        <f t="shared" si="5"/>
        <v/>
      </c>
      <c r="S127" s="66"/>
      <c r="T127" s="66"/>
      <c r="U127" s="64">
        <f>if(O127,_xlfn.WORKDAY.INTL(O127,U$5,"1000000",Holidays!A:A)+hour(O127)/24+MINUTE(O127)/1440,"")</f>
        <v>44857.43125</v>
      </c>
      <c r="V127" s="64" t="str">
        <f t="shared" si="6"/>
        <v/>
      </c>
      <c r="W127" s="66"/>
      <c r="X127" s="66">
        <f t="shared" si="7"/>
        <v>1276.55266</v>
      </c>
      <c r="Y127" s="66"/>
      <c r="Z127" s="66"/>
      <c r="AA127" s="66"/>
      <c r="AB127" s="67">
        <v>1.0</v>
      </c>
      <c r="AC127" s="63"/>
      <c r="AD127" s="63"/>
      <c r="AE127" s="63"/>
      <c r="AF127" s="63"/>
      <c r="AG127" s="63"/>
      <c r="AH127" s="63">
        <f t="shared" si="14"/>
        <v>44856.49763</v>
      </c>
      <c r="AI127" s="63">
        <f>if(AH127,_xlfn.workday.intl(int(AH127),0,"1000000",Holidays!A:A)+18/24,"")</f>
        <v>44856.75</v>
      </c>
      <c r="AJ127" s="64">
        <f t="shared" si="24"/>
        <v>44901.52965</v>
      </c>
      <c r="AK127" s="65" t="s">
        <v>2713</v>
      </c>
      <c r="AL127" s="66">
        <f t="shared" si="9"/>
        <v>44.77965411</v>
      </c>
      <c r="AM127" s="66"/>
      <c r="AN127" s="63">
        <f>if(AJ127,if(and(hour(AJ127+AN$5)&gt;11,(hour(AJ127+AN$5)&lt;20)),AJ127+AN$5,_xlfn.workday.intl(int(AJ127),1,"1000000",Holidays!A:A)+hour(AJ127+AN$5-$B$1)/24+minute(AJ127)/1440),"")</f>
        <v>44902.52965</v>
      </c>
      <c r="AO127" s="64">
        <f t="shared" si="15"/>
        <v>44901.52965</v>
      </c>
      <c r="AP127" s="65" t="s">
        <v>2713</v>
      </c>
      <c r="AQ127" s="66" t="str">
        <f t="shared" si="16"/>
        <v/>
      </c>
      <c r="AR127" s="66"/>
      <c r="AS127" s="63">
        <f>if(AJ127,if(and(hour(AJ127+AS$5)&gt;11,(hour(AJ127+AS$5)&lt;20)),AJ127+AS$5,_xlfn.workday.intl(int(AJ127),1,"1000000",Holidays!A:A)+hour(AJ127+AS$5-$B$1)/24+minute(AJ127)/1440),"")</f>
        <v>44903.52965</v>
      </c>
      <c r="AT127" s="64">
        <f t="shared" si="21"/>
        <v>44901.52965</v>
      </c>
      <c r="AU127" s="65" t="s">
        <v>2715</v>
      </c>
      <c r="AV127" s="66" t="str">
        <f t="shared" si="25"/>
        <v/>
      </c>
      <c r="AW127" s="66"/>
      <c r="AX127" s="65" t="s">
        <v>2713</v>
      </c>
    </row>
    <row r="128">
      <c r="A128" s="55">
        <v>44855.43438521991</v>
      </c>
      <c r="B128" s="56"/>
      <c r="C128" s="57"/>
      <c r="D128" s="57"/>
      <c r="E128" s="57"/>
      <c r="F128" s="57"/>
      <c r="G128" s="58">
        <f>if(A128,_xlfn.workday.intl(int(A128),1,"1000000",Holidays!A:A)+17/24,"")</f>
        <v>44856.70833</v>
      </c>
      <c r="H128" s="59" t="str">
        <f t="shared" si="23"/>
        <v/>
      </c>
      <c r="I128" s="60"/>
      <c r="J128" s="61">
        <f t="shared" si="2"/>
        <v>1277.275577</v>
      </c>
      <c r="K128" s="58">
        <f>if(G128,_xlfn.workday.intl(int(G128),0,"1000000",Holidays!A:A)+19/24,"")</f>
        <v>44856.79167</v>
      </c>
      <c r="L128" s="59" t="str">
        <f t="shared" si="3"/>
        <v/>
      </c>
      <c r="M128" s="60"/>
      <c r="N128" s="61">
        <f t="shared" si="4"/>
        <v>1277.192243</v>
      </c>
      <c r="O128" s="63">
        <f>if(A128,_xlfn.WORKDAY.INTL(A128,O$5,"1000000",Holidays!A:A)+hour(A128)/24+MINUTE(A128)/1440,"")</f>
        <v>44856.43403</v>
      </c>
      <c r="P128" s="64" t="s">
        <v>2718</v>
      </c>
      <c r="Q128" s="56"/>
      <c r="R128" s="66">
        <f t="shared" si="5"/>
        <v>1277.549882</v>
      </c>
      <c r="S128" s="66"/>
      <c r="T128" s="66"/>
      <c r="U128" s="64">
        <f>if(O128,_xlfn.WORKDAY.INTL(O128,U$5,"1000000",Holidays!A:A)+hour(O128)/24+MINUTE(O128)/1440,"")</f>
        <v>44857.43403</v>
      </c>
      <c r="V128" s="64" t="str">
        <f t="shared" si="6"/>
        <v/>
      </c>
      <c r="W128" s="66"/>
      <c r="X128" s="66">
        <f t="shared" si="7"/>
        <v>1276.549882</v>
      </c>
      <c r="Y128" s="66"/>
      <c r="Z128" s="66"/>
      <c r="AA128" s="66"/>
      <c r="AB128" s="63"/>
      <c r="AC128" s="63"/>
      <c r="AD128" s="63"/>
      <c r="AE128" s="63"/>
      <c r="AF128" s="63"/>
      <c r="AG128" s="63"/>
      <c r="AH128" s="63" t="str">
        <f t="shared" si="14"/>
        <v/>
      </c>
      <c r="AI128" s="63" t="str">
        <f>if(AH128,_xlfn.workday.intl(int(AH128),0,"1000000",Holidays!A:A)+18/24,"")</f>
        <v/>
      </c>
      <c r="AJ128" s="64" t="str">
        <f t="shared" si="24"/>
        <v/>
      </c>
      <c r="AK128" s="56"/>
      <c r="AL128" s="66" t="str">
        <f t="shared" si="9"/>
        <v/>
      </c>
      <c r="AM128" s="66"/>
      <c r="AN128" s="63" t="str">
        <f>if(AJ128,if(and(hour(AJ128+AN$5)&gt;11,(hour(AJ128+AN$5)&lt;20)),AJ128+AN$5,_xlfn.workday.intl(int(AJ128),1,"1000000",Holidays!A:A)+hour(AJ128+AN$5-$B$1)/24+minute(AJ128)/1440),"")</f>
        <v/>
      </c>
      <c r="AO128" s="64" t="str">
        <f t="shared" si="15"/>
        <v/>
      </c>
      <c r="AP128" s="56"/>
      <c r="AQ128" s="66" t="str">
        <f t="shared" si="16"/>
        <v/>
      </c>
      <c r="AR128" s="66"/>
      <c r="AS128" s="63" t="str">
        <f>if(AJ128,if(and(hour(AJ128+AS$5)&gt;11,(hour(AJ128+AS$5)&lt;20)),AJ128+AS$5,_xlfn.workday.intl(int(AJ128),1,"1000000",Holidays!A:A)+hour(AJ128+AS$5-$B$1)/24+minute(AJ128)/1440),"")</f>
        <v/>
      </c>
      <c r="AT128" s="64" t="str">
        <f t="shared" si="21"/>
        <v/>
      </c>
      <c r="AU128" s="56"/>
      <c r="AV128" s="66" t="str">
        <f t="shared" si="25"/>
        <v/>
      </c>
      <c r="AW128" s="66"/>
      <c r="AX128" s="65" t="s">
        <v>2734</v>
      </c>
      <c r="AY128" s="11">
        <v>44909.0</v>
      </c>
    </row>
    <row r="129">
      <c r="A129" s="55">
        <v>44864.78708539352</v>
      </c>
      <c r="B129" s="56"/>
      <c r="C129" s="57"/>
      <c r="D129" s="57"/>
      <c r="E129" s="57"/>
      <c r="F129" s="57"/>
      <c r="G129" s="58">
        <f>if(A129,_xlfn.workday.intl(int(A129),1,"1000000",Holidays!A:A)+17/24,"")</f>
        <v>44866.70833</v>
      </c>
      <c r="H129" s="59" t="str">
        <f t="shared" si="23"/>
        <v/>
      </c>
      <c r="I129" s="60"/>
      <c r="J129" s="61">
        <f t="shared" si="2"/>
        <v>1267.275577</v>
      </c>
      <c r="K129" s="58">
        <f>if(G129,_xlfn.workday.intl(int(G129),0,"1000000",Holidays!A:A)+19/24,"")</f>
        <v>44866.79167</v>
      </c>
      <c r="L129" s="59" t="str">
        <f t="shared" si="3"/>
        <v/>
      </c>
      <c r="M129" s="60"/>
      <c r="N129" s="61">
        <f t="shared" si="4"/>
        <v>1267.192243</v>
      </c>
      <c r="O129" s="63">
        <f>if(A129,_xlfn.WORKDAY.INTL(A129,O$5,"1000000",Holidays!A:A)+hour(A129)/24+MINUTE(A129)/1440,"")</f>
        <v>44866.78681</v>
      </c>
      <c r="P129" s="64" t="s">
        <v>2718</v>
      </c>
      <c r="Q129" s="56"/>
      <c r="R129" s="66">
        <f t="shared" si="5"/>
        <v>1267.197104</v>
      </c>
      <c r="S129" s="66"/>
      <c r="T129" s="66"/>
      <c r="U129" s="64">
        <f>if(O129,_xlfn.WORKDAY.INTL(O129,U$5,"1000000",Holidays!A:A)+hour(O129)/24+MINUTE(O129)/1440,"")</f>
        <v>44867.78681</v>
      </c>
      <c r="V129" s="64" t="str">
        <f t="shared" si="6"/>
        <v/>
      </c>
      <c r="W129" s="66"/>
      <c r="X129" s="66">
        <f t="shared" si="7"/>
        <v>1266.197104</v>
      </c>
      <c r="Y129" s="66"/>
      <c r="Z129" s="66"/>
      <c r="AA129" s="66"/>
      <c r="AB129" s="63"/>
      <c r="AC129" s="63"/>
      <c r="AD129" s="63"/>
      <c r="AE129" s="63"/>
      <c r="AF129" s="63"/>
      <c r="AG129" s="63"/>
      <c r="AH129" s="63" t="str">
        <f t="shared" si="14"/>
        <v/>
      </c>
      <c r="AI129" s="63" t="str">
        <f>if(AH129,_xlfn.workday.intl(int(AH129),0,"1000000",Holidays!A:A)+18/24,"")</f>
        <v/>
      </c>
      <c r="AJ129" s="64" t="str">
        <f t="shared" si="24"/>
        <v/>
      </c>
      <c r="AK129" s="56"/>
      <c r="AL129" s="66" t="str">
        <f t="shared" si="9"/>
        <v/>
      </c>
      <c r="AM129" s="66"/>
      <c r="AN129" s="63" t="str">
        <f>if(AJ129,if(and(hour(AJ129+AN$5)&gt;11,(hour(AJ129+AN$5)&lt;20)),AJ129+AN$5,_xlfn.workday.intl(int(AJ129),1,"1000000",Holidays!A:A)+hour(AJ129+AN$5-$B$1)/24+minute(AJ129)/1440),"")</f>
        <v/>
      </c>
      <c r="AO129" s="64" t="str">
        <f t="shared" si="15"/>
        <v/>
      </c>
      <c r="AP129" s="56"/>
      <c r="AQ129" s="66" t="str">
        <f t="shared" si="16"/>
        <v/>
      </c>
      <c r="AR129" s="66"/>
      <c r="AS129" s="63" t="str">
        <f>if(AJ129,if(and(hour(AJ129+AS$5)&gt;11,(hour(AJ129+AS$5)&lt;20)),AJ129+AS$5,_xlfn.workday.intl(int(AJ129),1,"1000000",Holidays!A:A)+hour(AJ129+AS$5-$B$1)/24+minute(AJ129)/1440),"")</f>
        <v/>
      </c>
      <c r="AT129" s="64" t="str">
        <f t="shared" si="21"/>
        <v/>
      </c>
      <c r="AU129" s="56"/>
      <c r="AV129" s="66" t="str">
        <f t="shared" si="25"/>
        <v/>
      </c>
      <c r="AW129" s="66"/>
      <c r="AX129" s="65" t="s">
        <v>2722</v>
      </c>
    </row>
    <row r="130">
      <c r="A130" s="55">
        <v>44866.70028559028</v>
      </c>
      <c r="B130" s="56"/>
      <c r="C130" s="57"/>
      <c r="D130" s="57"/>
      <c r="E130" s="57"/>
      <c r="F130" s="57"/>
      <c r="G130" s="58">
        <f>if(A130,_xlfn.workday.intl(int(A130),1,"1000000",Holidays!A:A)+17/24,"")</f>
        <v>44867.70833</v>
      </c>
      <c r="H130" s="59" t="str">
        <f t="shared" si="23"/>
        <v/>
      </c>
      <c r="I130" s="60"/>
      <c r="J130" s="61">
        <f t="shared" si="2"/>
        <v>1266.275577</v>
      </c>
      <c r="K130" s="58">
        <f>if(G130,_xlfn.workday.intl(int(G130),0,"1000000",Holidays!A:A)+19/24,"")</f>
        <v>44867.79167</v>
      </c>
      <c r="L130" s="59" t="str">
        <f t="shared" si="3"/>
        <v/>
      </c>
      <c r="M130" s="60"/>
      <c r="N130" s="61">
        <f t="shared" si="4"/>
        <v>1266.192243</v>
      </c>
      <c r="O130" s="63">
        <f>if(A130,_xlfn.WORKDAY.INTL(A130,O$5,"1000000",Holidays!A:A)+hour(A130)/24+MINUTE(A130)/1440,"")</f>
        <v>44867.7</v>
      </c>
      <c r="P130" s="64">
        <v>44887.75511421297</v>
      </c>
      <c r="Q130" s="65" t="s">
        <v>2713</v>
      </c>
      <c r="R130" s="66">
        <f t="shared" si="5"/>
        <v>20.05511421</v>
      </c>
      <c r="S130" s="66"/>
      <c r="T130" s="66"/>
      <c r="U130" s="64">
        <f>if(O130,_xlfn.WORKDAY.INTL(O130,U$5,"1000000",Holidays!A:A)+hour(O130)/24+MINUTE(O130)/1440,"")</f>
        <v>44868.7</v>
      </c>
      <c r="V130" s="64" t="str">
        <f t="shared" si="6"/>
        <v/>
      </c>
      <c r="W130" s="66"/>
      <c r="X130" s="66">
        <f t="shared" si="7"/>
        <v>1265.28391</v>
      </c>
      <c r="Y130" s="66"/>
      <c r="Z130" s="66"/>
      <c r="AA130" s="66"/>
      <c r="AB130" s="63"/>
      <c r="AC130" s="63"/>
      <c r="AD130" s="63"/>
      <c r="AE130" s="63"/>
      <c r="AF130" s="63"/>
      <c r="AG130" s="63"/>
      <c r="AH130" s="63">
        <f t="shared" si="14"/>
        <v>44887.75511</v>
      </c>
      <c r="AI130" s="63">
        <f>if(AH130,_xlfn.workday.intl(int(AH130),0,"1000000",Holidays!A:A)+18/24,"")</f>
        <v>44887.75</v>
      </c>
      <c r="AJ130" s="64">
        <f t="shared" si="24"/>
        <v>44916.7345</v>
      </c>
      <c r="AK130" s="65" t="s">
        <v>2713</v>
      </c>
      <c r="AL130" s="66">
        <f t="shared" si="9"/>
        <v>28.98450447</v>
      </c>
      <c r="AM130" s="66"/>
      <c r="AN130" s="63">
        <f>if(AJ130,if(and(hour(AJ130+AN$5)&gt;11,(hour(AJ130+AN$5)&lt;20)),AJ130+AN$5,_xlfn.workday.intl(int(AJ130),1,"1000000",Holidays!A:A)+hour(AJ130+AN$5-$B$1)/24+minute(AJ130)/1440),"")</f>
        <v>44917.7345</v>
      </c>
      <c r="AO130" s="64">
        <f t="shared" si="15"/>
        <v>44901.52965</v>
      </c>
      <c r="AP130" s="65" t="s">
        <v>2713</v>
      </c>
      <c r="AQ130" s="66" t="str">
        <f t="shared" si="16"/>
        <v/>
      </c>
      <c r="AR130" s="66"/>
      <c r="AS130" s="63">
        <f>if(AJ130,if(and(hour(AJ130+AS$5)&gt;11,(hour(AJ130+AS$5)&lt;20)),AJ130+AS$5,_xlfn.workday.intl(int(AJ130),1,"1000000",Holidays!A:A)+hour(AJ130+AS$5-$B$1)/24+minute(AJ130)/1440),"")</f>
        <v>44918.7345</v>
      </c>
      <c r="AT130" s="64">
        <f t="shared" si="21"/>
        <v>44901.52965</v>
      </c>
      <c r="AU130" s="65" t="s">
        <v>2715</v>
      </c>
      <c r="AV130" s="66" t="str">
        <f t="shared" si="25"/>
        <v/>
      </c>
      <c r="AW130" s="66"/>
      <c r="AX130" s="65" t="s">
        <v>2735</v>
      </c>
    </row>
    <row r="131">
      <c r="A131" s="55">
        <v>44866.702012395835</v>
      </c>
      <c r="B131" s="56"/>
      <c r="C131" s="57"/>
      <c r="D131" s="57"/>
      <c r="E131" s="57"/>
      <c r="F131" s="57"/>
      <c r="G131" s="58">
        <f>if(A131,_xlfn.workday.intl(int(A131),1,"1000000",Holidays!A:A)+17/24,"")</f>
        <v>44867.70833</v>
      </c>
      <c r="H131" s="59" t="str">
        <f t="shared" si="23"/>
        <v/>
      </c>
      <c r="I131" s="60"/>
      <c r="J131" s="61">
        <f t="shared" si="2"/>
        <v>1266.275577</v>
      </c>
      <c r="K131" s="58">
        <f>if(G131,_xlfn.workday.intl(int(G131),0,"1000000",Holidays!A:A)+19/24,"")</f>
        <v>44867.79167</v>
      </c>
      <c r="L131" s="59" t="str">
        <f t="shared" si="3"/>
        <v/>
      </c>
      <c r="M131" s="60"/>
      <c r="N131" s="61">
        <f t="shared" si="4"/>
        <v>1266.192243</v>
      </c>
      <c r="O131" s="63">
        <f>if(A131,_xlfn.WORKDAY.INTL(A131,O$5,"1000000",Holidays!A:A)+hour(A131)/24+MINUTE(A131)/1440,"")</f>
        <v>44867.70139</v>
      </c>
      <c r="P131" s="64" t="s">
        <v>2718</v>
      </c>
      <c r="Q131" s="56"/>
      <c r="R131" s="66">
        <f t="shared" si="5"/>
        <v>1266.282521</v>
      </c>
      <c r="S131" s="66"/>
      <c r="T131" s="66"/>
      <c r="U131" s="64">
        <f>if(O131,_xlfn.WORKDAY.INTL(O131,U$5,"1000000",Holidays!A:A)+hour(O131)/24+MINUTE(O131)/1440,"")</f>
        <v>44868.70139</v>
      </c>
      <c r="V131" s="64" t="str">
        <f t="shared" si="6"/>
        <v/>
      </c>
      <c r="W131" s="66"/>
      <c r="X131" s="66">
        <f t="shared" si="7"/>
        <v>1265.282521</v>
      </c>
      <c r="Y131" s="66"/>
      <c r="Z131" s="66"/>
      <c r="AA131" s="66"/>
      <c r="AB131" s="63"/>
      <c r="AC131" s="63"/>
      <c r="AD131" s="63"/>
      <c r="AE131" s="63"/>
      <c r="AF131" s="63"/>
      <c r="AG131" s="63"/>
      <c r="AH131" s="63" t="str">
        <f t="shared" si="14"/>
        <v/>
      </c>
      <c r="AI131" s="63" t="str">
        <f>if(AH131,_xlfn.workday.intl(int(AH131),0,"1000000",Holidays!A:A)+18/24,"")</f>
        <v/>
      </c>
      <c r="AJ131" s="64" t="str">
        <f t="shared" si="24"/>
        <v/>
      </c>
      <c r="AK131" s="56"/>
      <c r="AL131" s="66" t="str">
        <f t="shared" si="9"/>
        <v/>
      </c>
      <c r="AM131" s="66"/>
      <c r="AN131" s="63" t="str">
        <f>if(AJ131,if(and(hour(AJ131+AN$5)&gt;11,(hour(AJ131+AN$5)&lt;20)),AJ131+AN$5,_xlfn.workday.intl(int(AJ131),1,"1000000",Holidays!A:A)+hour(AJ131+AN$5-$B$1)/24+minute(AJ131)/1440),"")</f>
        <v/>
      </c>
      <c r="AO131" s="64" t="str">
        <f t="shared" si="15"/>
        <v/>
      </c>
      <c r="AP131" s="56"/>
      <c r="AQ131" s="66" t="str">
        <f t="shared" si="16"/>
        <v/>
      </c>
      <c r="AR131" s="66"/>
      <c r="AS131" s="63" t="str">
        <f>if(AJ131,if(and(hour(AJ131+AS$5)&gt;11,(hour(AJ131+AS$5)&lt;20)),AJ131+AS$5,_xlfn.workday.intl(int(AJ131),1,"1000000",Holidays!A:A)+hour(AJ131+AS$5-$B$1)/24+minute(AJ131)/1440),"")</f>
        <v/>
      </c>
      <c r="AT131" s="64" t="str">
        <f t="shared" si="21"/>
        <v/>
      </c>
      <c r="AU131" s="56"/>
      <c r="AV131" s="66" t="str">
        <f t="shared" si="25"/>
        <v/>
      </c>
      <c r="AW131" s="66"/>
      <c r="AX131" s="65" t="s">
        <v>1076</v>
      </c>
    </row>
    <row r="132">
      <c r="A132" s="55">
        <v>44869.47152958333</v>
      </c>
      <c r="B132" s="56"/>
      <c r="C132" s="57"/>
      <c r="D132" s="57"/>
      <c r="E132" s="57"/>
      <c r="F132" s="57"/>
      <c r="G132" s="58">
        <f>if(A132,_xlfn.workday.intl(int(A132),1,"1000000",Holidays!A:A)+17/24,"")</f>
        <v>44870.70833</v>
      </c>
      <c r="H132" s="59" t="str">
        <f t="shared" si="23"/>
        <v/>
      </c>
      <c r="I132" s="60"/>
      <c r="J132" s="61">
        <f t="shared" si="2"/>
        <v>1263.275577</v>
      </c>
      <c r="K132" s="58">
        <f>if(G132,_xlfn.workday.intl(int(G132),0,"1000000",Holidays!A:A)+19/24,"")</f>
        <v>44870.79167</v>
      </c>
      <c r="L132" s="59" t="str">
        <f t="shared" si="3"/>
        <v/>
      </c>
      <c r="M132" s="60"/>
      <c r="N132" s="61">
        <f t="shared" si="4"/>
        <v>1263.192243</v>
      </c>
      <c r="O132" s="63">
        <f>if(A132,_xlfn.WORKDAY.INTL(A132,O$5,"1000000",Holidays!A:A)+hour(A132)/24+MINUTE(A132)/1440,"")</f>
        <v>44870.47153</v>
      </c>
      <c r="P132" s="64">
        <v>44917.58697959491</v>
      </c>
      <c r="Q132" s="65" t="s">
        <v>2713</v>
      </c>
      <c r="R132" s="66">
        <f t="shared" si="5"/>
        <v>47.11545182</v>
      </c>
      <c r="S132" s="66"/>
      <c r="T132" s="65" t="s">
        <v>2713</v>
      </c>
      <c r="U132" s="64">
        <f>if(O132,_xlfn.WORKDAY.INTL(O132,U$5,"1000000",Holidays!A:A)+hour(O132)/24+MINUTE(O132)/1440,"")</f>
        <v>44871.47153</v>
      </c>
      <c r="V132" s="64">
        <f t="shared" si="6"/>
        <v>44917.58938</v>
      </c>
      <c r="W132" s="65" t="s">
        <v>2713</v>
      </c>
      <c r="X132" s="66">
        <f t="shared" si="7"/>
        <v>46.11785385</v>
      </c>
      <c r="Y132" s="66"/>
      <c r="Z132" s="66"/>
      <c r="AA132" s="66"/>
      <c r="AB132" s="67">
        <v>1.0</v>
      </c>
      <c r="AC132" s="67">
        <v>2.0</v>
      </c>
      <c r="AD132" s="67">
        <v>3.0</v>
      </c>
      <c r="AE132" s="63"/>
      <c r="AF132" s="63"/>
      <c r="AG132" s="67" t="s">
        <v>2736</v>
      </c>
      <c r="AH132" s="63">
        <f t="shared" si="14"/>
        <v>44923.58698</v>
      </c>
      <c r="AI132" s="63">
        <f>if(AH132,_xlfn.workday.intl(int(AH132),0,"1000000",Holidays!A:A)+18/24,"")</f>
        <v>44923.75</v>
      </c>
      <c r="AJ132" s="64" t="str">
        <f t="shared" si="24"/>
        <v/>
      </c>
      <c r="AK132" s="56"/>
      <c r="AL132" s="66">
        <f t="shared" si="9"/>
        <v>1210.23391</v>
      </c>
      <c r="AM132" s="66"/>
      <c r="AN132" s="63" t="str">
        <f>if(AJ132,if(and(hour(AJ132+AN$5)&gt;11,(hour(AJ132+AN$5)&lt;20)),AJ132+AN$5,_xlfn.workday.intl(int(AJ132),1,"1000000",Holidays!A:A)+hour(AJ132+AN$5-$B$1)/24+minute(AJ132)/1440),"")</f>
        <v/>
      </c>
      <c r="AO132" s="64" t="str">
        <f t="shared" si="15"/>
        <v/>
      </c>
      <c r="AP132" s="56"/>
      <c r="AQ132" s="66" t="str">
        <f t="shared" si="16"/>
        <v/>
      </c>
      <c r="AR132" s="66"/>
      <c r="AS132" s="63" t="str">
        <f>if(AJ132,if(and(hour(AJ132+AS$5)&gt;11,(hour(AJ132+AS$5)&lt;20)),AJ132+AS$5,_xlfn.workday.intl(int(AJ132),1,"1000000",Holidays!A:A)+hour(AJ132+AS$5-$B$1)/24+minute(AJ132)/1440),"")</f>
        <v/>
      </c>
      <c r="AT132" s="64" t="str">
        <f t="shared" si="21"/>
        <v/>
      </c>
      <c r="AU132" s="56"/>
      <c r="AV132" s="66" t="str">
        <f t="shared" si="25"/>
        <v/>
      </c>
      <c r="AW132" s="66"/>
      <c r="AX132" s="65" t="s">
        <v>2737</v>
      </c>
    </row>
    <row r="133">
      <c r="A133" s="55">
        <v>44869.473721793984</v>
      </c>
      <c r="B133" s="56"/>
      <c r="C133" s="57"/>
      <c r="D133" s="57"/>
      <c r="E133" s="57"/>
      <c r="F133" s="57"/>
      <c r="G133" s="58">
        <f>if(A133,_xlfn.workday.intl(int(A133),1,"1000000",Holidays!A:A)+17/24,"")</f>
        <v>44870.70833</v>
      </c>
      <c r="H133" s="59" t="str">
        <f t="shared" si="23"/>
        <v/>
      </c>
      <c r="I133" s="60"/>
      <c r="J133" s="61">
        <f t="shared" si="2"/>
        <v>1263.275577</v>
      </c>
      <c r="K133" s="58">
        <f>if(G133,_xlfn.workday.intl(int(G133),0,"1000000",Holidays!A:A)+19/24,"")</f>
        <v>44870.79167</v>
      </c>
      <c r="L133" s="59" t="str">
        <f t="shared" si="3"/>
        <v/>
      </c>
      <c r="M133" s="60"/>
      <c r="N133" s="61">
        <f t="shared" si="4"/>
        <v>1263.192243</v>
      </c>
      <c r="O133" s="63">
        <f>if(A133,_xlfn.WORKDAY.INTL(A133,O$5,"1000000",Holidays!A:A)+hour(A133)/24+MINUTE(A133)/1440,"")</f>
        <v>44870.47361</v>
      </c>
      <c r="P133" s="64">
        <v>44916.734064178236</v>
      </c>
      <c r="Q133" s="65" t="s">
        <v>2713</v>
      </c>
      <c r="R133" s="66">
        <f t="shared" si="5"/>
        <v>46.26045307</v>
      </c>
      <c r="S133" s="66"/>
      <c r="T133" s="66"/>
      <c r="U133" s="64">
        <f>if(O133,_xlfn.WORKDAY.INTL(O133,U$5,"1000000",Holidays!A:A)+hour(O133)/24+MINUTE(O133)/1440,"")</f>
        <v>44871.47361</v>
      </c>
      <c r="V133" s="64" t="str">
        <f t="shared" si="6"/>
        <v/>
      </c>
      <c r="W133" s="66"/>
      <c r="X133" s="66">
        <f t="shared" si="7"/>
        <v>1262.510299</v>
      </c>
      <c r="Y133" s="66"/>
      <c r="Z133" s="66"/>
      <c r="AA133" s="66"/>
      <c r="AB133" s="67">
        <v>1.0</v>
      </c>
      <c r="AC133" s="67">
        <v>2.0</v>
      </c>
      <c r="AD133" s="63"/>
      <c r="AE133" s="63"/>
      <c r="AF133" s="63"/>
      <c r="AG133" s="63"/>
      <c r="AH133" s="63">
        <f t="shared" si="14"/>
        <v>44919.73406</v>
      </c>
      <c r="AI133" s="63">
        <f>if(AH133,_xlfn.workday.intl(int(AH133),0,"1000000",Holidays!A:A)+18/24,"")</f>
        <v>44919.75</v>
      </c>
      <c r="AJ133" s="64" t="str">
        <f t="shared" si="24"/>
        <v/>
      </c>
      <c r="AK133" s="65"/>
      <c r="AL133" s="66">
        <f t="shared" si="9"/>
        <v>1214.23391</v>
      </c>
      <c r="AM133" s="66"/>
      <c r="AN133" s="63" t="str">
        <f>if(AJ133,if(and(hour(AJ133+AN$5)&gt;11,(hour(AJ133+AN$5)&lt;20)),AJ133+AN$5,_xlfn.workday.intl(int(AJ133),1,"1000000",Holidays!A:A)+hour(AJ133+AN$5-$B$1)/24+minute(AJ133)/1440),"")</f>
        <v/>
      </c>
      <c r="AO133" s="64" t="str">
        <f t="shared" si="15"/>
        <v/>
      </c>
      <c r="AP133" s="56"/>
      <c r="AQ133" s="66" t="str">
        <f t="shared" si="16"/>
        <v/>
      </c>
      <c r="AR133" s="66"/>
      <c r="AS133" s="63" t="str">
        <f>if(AJ133,if(and(hour(AJ133+AS$5)&gt;11,(hour(AJ133+AS$5)&lt;20)),AJ133+AS$5,_xlfn.workday.intl(int(AJ133),1,"1000000",Holidays!A:A)+hour(AJ133+AS$5-$B$1)/24+minute(AJ133)/1440),"")</f>
        <v/>
      </c>
      <c r="AT133" s="64" t="str">
        <f t="shared" si="21"/>
        <v/>
      </c>
      <c r="AU133" s="56"/>
      <c r="AV133" s="66" t="str">
        <f t="shared" si="25"/>
        <v/>
      </c>
      <c r="AW133" s="66"/>
      <c r="AX133" s="65" t="s">
        <v>2738</v>
      </c>
    </row>
    <row r="134">
      <c r="A134" s="55">
        <v>44869.47592585648</v>
      </c>
      <c r="B134" s="56"/>
      <c r="C134" s="57"/>
      <c r="D134" s="57"/>
      <c r="E134" s="57"/>
      <c r="F134" s="57"/>
      <c r="G134" s="58">
        <f>if(A134,_xlfn.workday.intl(int(A134),1,"1000000",Holidays!A:A)+17/24,"")</f>
        <v>44870.70833</v>
      </c>
      <c r="H134" s="59" t="str">
        <f t="shared" si="23"/>
        <v/>
      </c>
      <c r="I134" s="60"/>
      <c r="J134" s="61">
        <f t="shared" si="2"/>
        <v>1263.275577</v>
      </c>
      <c r="K134" s="58">
        <f>if(G134,_xlfn.workday.intl(int(G134),0,"1000000",Holidays!A:A)+19/24,"")</f>
        <v>44870.79167</v>
      </c>
      <c r="L134" s="59" t="str">
        <f t="shared" si="3"/>
        <v/>
      </c>
      <c r="M134" s="60"/>
      <c r="N134" s="61">
        <f t="shared" si="4"/>
        <v>1263.192243</v>
      </c>
      <c r="O134" s="63">
        <f>if(A134,_xlfn.WORKDAY.INTL(A134,O$5,"1000000",Holidays!A:A)+hour(A134)/24+MINUTE(A134)/1440,"")</f>
        <v>44870.47569</v>
      </c>
      <c r="P134" s="64" t="s">
        <v>2718</v>
      </c>
      <c r="Q134" s="56"/>
      <c r="R134" s="66">
        <f t="shared" si="5"/>
        <v>1263.508215</v>
      </c>
      <c r="S134" s="66"/>
      <c r="T134" s="66"/>
      <c r="U134" s="64">
        <f>if(O134,_xlfn.WORKDAY.INTL(O134,U$5,"1000000",Holidays!A:A)+hour(O134)/24+MINUTE(O134)/1440,"")</f>
        <v>44871.47569</v>
      </c>
      <c r="V134" s="64" t="str">
        <f t="shared" si="6"/>
        <v/>
      </c>
      <c r="W134" s="66"/>
      <c r="X134" s="66">
        <f t="shared" si="7"/>
        <v>1262.508215</v>
      </c>
      <c r="Y134" s="66"/>
      <c r="Z134" s="66"/>
      <c r="AA134" s="66"/>
      <c r="AB134" s="67">
        <v>1.0</v>
      </c>
      <c r="AC134" s="63"/>
      <c r="AD134" s="63"/>
      <c r="AE134" s="63"/>
      <c r="AF134" s="63"/>
      <c r="AG134" s="63"/>
      <c r="AH134" s="63" t="str">
        <f t="shared" si="14"/>
        <v/>
      </c>
      <c r="AI134" s="63" t="str">
        <f>if(AH134,_xlfn.workday.intl(int(AH134),0,"1000000",Holidays!A:A)+18/24,"")</f>
        <v/>
      </c>
      <c r="AJ134" s="64" t="str">
        <f t="shared" si="24"/>
        <v/>
      </c>
      <c r="AK134" s="56"/>
      <c r="AL134" s="66" t="str">
        <f t="shared" si="9"/>
        <v/>
      </c>
      <c r="AM134" s="66"/>
      <c r="AN134" s="63" t="str">
        <f>if(AJ134,if(and(hour(AJ134+AN$5)&gt;11,(hour(AJ134+AN$5)&lt;20)),AJ134+AN$5,_xlfn.workday.intl(int(AJ134),1,"1000000",Holidays!A:A)+hour(AJ134+AN$5-$B$1)/24+minute(AJ134)/1440),"")</f>
        <v/>
      </c>
      <c r="AO134" s="64" t="str">
        <f t="shared" si="15"/>
        <v/>
      </c>
      <c r="AP134" s="56"/>
      <c r="AQ134" s="66" t="str">
        <f t="shared" si="16"/>
        <v/>
      </c>
      <c r="AR134" s="66"/>
      <c r="AS134" s="63" t="str">
        <f>if(AJ134,if(and(hour(AJ134+AS$5)&gt;11,(hour(AJ134+AS$5)&lt;20)),AJ134+AS$5,_xlfn.workday.intl(int(AJ134),1,"1000000",Holidays!A:A)+hour(AJ134+AS$5-$B$1)/24+minute(AJ134)/1440),"")</f>
        <v/>
      </c>
      <c r="AT134" s="64" t="str">
        <f t="shared" si="21"/>
        <v/>
      </c>
      <c r="AU134" s="56"/>
      <c r="AV134" s="66" t="str">
        <f t="shared" si="25"/>
        <v/>
      </c>
      <c r="AW134" s="66"/>
      <c r="AX134" s="65" t="s">
        <v>1076</v>
      </c>
    </row>
    <row r="135">
      <c r="A135" s="55">
        <v>44869.47775763889</v>
      </c>
      <c r="B135" s="56"/>
      <c r="C135" s="57"/>
      <c r="D135" s="57"/>
      <c r="E135" s="57"/>
      <c r="F135" s="57"/>
      <c r="G135" s="58">
        <f>if(A135,_xlfn.workday.intl(int(A135),1,"1000000",Holidays!A:A)+17/24,"")</f>
        <v>44870.70833</v>
      </c>
      <c r="H135" s="59" t="str">
        <f t="shared" si="23"/>
        <v/>
      </c>
      <c r="I135" s="60"/>
      <c r="J135" s="61">
        <f t="shared" si="2"/>
        <v>1263.275577</v>
      </c>
      <c r="K135" s="58">
        <f>if(G135,_xlfn.workday.intl(int(G135),0,"1000000",Holidays!A:A)+19/24,"")</f>
        <v>44870.79167</v>
      </c>
      <c r="L135" s="59" t="str">
        <f t="shared" si="3"/>
        <v/>
      </c>
      <c r="M135" s="60"/>
      <c r="N135" s="61">
        <f t="shared" si="4"/>
        <v>1263.192243</v>
      </c>
      <c r="O135" s="63">
        <f>if(A135,_xlfn.WORKDAY.INTL(A135,O$5,"1000000",Holidays!A:A)+hour(A135)/24+MINUTE(A135)/1440,"")</f>
        <v>44870.47708</v>
      </c>
      <c r="P135" s="64" t="s">
        <v>2718</v>
      </c>
      <c r="Q135" s="56"/>
      <c r="R135" s="66">
        <f t="shared" si="5"/>
        <v>1263.506827</v>
      </c>
      <c r="S135" s="66"/>
      <c r="T135" s="66"/>
      <c r="U135" s="64">
        <f>if(O135,_xlfn.WORKDAY.INTL(O135,U$5,"1000000",Holidays!A:A)+hour(O135)/24+MINUTE(O135)/1440,"")</f>
        <v>44871.47708</v>
      </c>
      <c r="V135" s="64" t="str">
        <f t="shared" si="6"/>
        <v/>
      </c>
      <c r="W135" s="66"/>
      <c r="X135" s="66">
        <f t="shared" si="7"/>
        <v>1262.506827</v>
      </c>
      <c r="Y135" s="66"/>
      <c r="Z135" s="66"/>
      <c r="AA135" s="66"/>
      <c r="AB135" s="63"/>
      <c r="AC135" s="63"/>
      <c r="AD135" s="63"/>
      <c r="AE135" s="63"/>
      <c r="AF135" s="63"/>
      <c r="AG135" s="63"/>
      <c r="AH135" s="63" t="str">
        <f t="shared" si="14"/>
        <v/>
      </c>
      <c r="AI135" s="63" t="str">
        <f>if(AH135,_xlfn.workday.intl(int(AH135),0,"1000000",Holidays!A:A)+18/24,"")</f>
        <v/>
      </c>
      <c r="AJ135" s="64" t="str">
        <f t="shared" si="24"/>
        <v/>
      </c>
      <c r="AK135" s="56"/>
      <c r="AL135" s="66" t="str">
        <f t="shared" si="9"/>
        <v/>
      </c>
      <c r="AM135" s="66"/>
      <c r="AN135" s="63" t="str">
        <f>if(AJ135,if(and(hour(AJ135+AN$5)&gt;11,(hour(AJ135+AN$5)&lt;20)),AJ135+AN$5,_xlfn.workday.intl(int(AJ135),1,"1000000",Holidays!A:A)+hour(AJ135+AN$5-$B$1)/24+minute(AJ135)/1440),"")</f>
        <v/>
      </c>
      <c r="AO135" s="64" t="str">
        <f t="shared" si="15"/>
        <v/>
      </c>
      <c r="AP135" s="56"/>
      <c r="AQ135" s="66" t="str">
        <f t="shared" si="16"/>
        <v/>
      </c>
      <c r="AR135" s="66"/>
      <c r="AS135" s="63" t="str">
        <f>if(AJ135,if(and(hour(AJ135+AS$5)&gt;11,(hour(AJ135+AS$5)&lt;20)),AJ135+AS$5,_xlfn.workday.intl(int(AJ135),1,"1000000",Holidays!A:A)+hour(AJ135+AS$5-$B$1)/24+minute(AJ135)/1440),"")</f>
        <v/>
      </c>
      <c r="AT135" s="64" t="str">
        <f t="shared" si="21"/>
        <v/>
      </c>
      <c r="AU135" s="56"/>
      <c r="AV135" s="66" t="str">
        <f t="shared" si="25"/>
        <v/>
      </c>
      <c r="AW135" s="66"/>
      <c r="AX135" s="65" t="s">
        <v>2739</v>
      </c>
    </row>
    <row r="136">
      <c r="A136" s="55">
        <v>44869.479070243055</v>
      </c>
      <c r="B136" s="56"/>
      <c r="C136" s="57"/>
      <c r="D136" s="57"/>
      <c r="E136" s="57"/>
      <c r="F136" s="57"/>
      <c r="G136" s="58">
        <f>if(A136,_xlfn.workday.intl(int(A136),1,"1000000",Holidays!A:A)+17/24,"")</f>
        <v>44870.70833</v>
      </c>
      <c r="H136" s="59" t="str">
        <f t="shared" si="23"/>
        <v/>
      </c>
      <c r="I136" s="60"/>
      <c r="J136" s="61">
        <f t="shared" si="2"/>
        <v>1263.275577</v>
      </c>
      <c r="K136" s="58">
        <f>if(G136,_xlfn.workday.intl(int(G136),0,"1000000",Holidays!A:A)+19/24,"")</f>
        <v>44870.79167</v>
      </c>
      <c r="L136" s="59" t="str">
        <f t="shared" si="3"/>
        <v/>
      </c>
      <c r="M136" s="60"/>
      <c r="N136" s="61">
        <f t="shared" si="4"/>
        <v>1263.192243</v>
      </c>
      <c r="O136" s="63">
        <f>if(A136,_xlfn.WORKDAY.INTL(A136,O$5,"1000000",Holidays!A:A)+hour(A136)/24+MINUTE(A136)/1440,"")</f>
        <v>44870.47847</v>
      </c>
      <c r="P136" s="64" t="s">
        <v>2718</v>
      </c>
      <c r="Q136" s="56"/>
      <c r="R136" s="66">
        <f t="shared" si="5"/>
        <v>1263.505438</v>
      </c>
      <c r="S136" s="66"/>
      <c r="T136" s="66"/>
      <c r="U136" s="64">
        <f>if(O136,_xlfn.WORKDAY.INTL(O136,U$5,"1000000",Holidays!A:A)+hour(O136)/24+MINUTE(O136)/1440,"")</f>
        <v>44871.47847</v>
      </c>
      <c r="V136" s="64" t="str">
        <f t="shared" si="6"/>
        <v/>
      </c>
      <c r="W136" s="66"/>
      <c r="X136" s="66">
        <f t="shared" si="7"/>
        <v>1262.505438</v>
      </c>
      <c r="Y136" s="66"/>
      <c r="Z136" s="66"/>
      <c r="AA136" s="66"/>
      <c r="AB136" s="63"/>
      <c r="AC136" s="63"/>
      <c r="AD136" s="63"/>
      <c r="AE136" s="63"/>
      <c r="AF136" s="63"/>
      <c r="AG136" s="63"/>
      <c r="AH136" s="63" t="str">
        <f t="shared" si="14"/>
        <v/>
      </c>
      <c r="AI136" s="63" t="str">
        <f>if(AH136,_xlfn.workday.intl(int(AH136),0,"1000000",Holidays!A:A)+18/24,"")</f>
        <v/>
      </c>
      <c r="AJ136" s="64" t="str">
        <f t="shared" si="24"/>
        <v/>
      </c>
      <c r="AK136" s="56"/>
      <c r="AL136" s="66" t="str">
        <f t="shared" si="9"/>
        <v/>
      </c>
      <c r="AM136" s="66"/>
      <c r="AN136" s="63" t="str">
        <f>if(AJ136,if(and(hour(AJ136+AN$5)&gt;11,(hour(AJ136+AN$5)&lt;20)),AJ136+AN$5,_xlfn.workday.intl(int(AJ136),1,"1000000",Holidays!A:A)+hour(AJ136+AN$5-$B$1)/24+minute(AJ136)/1440),"")</f>
        <v/>
      </c>
      <c r="AO136" s="64" t="str">
        <f t="shared" si="15"/>
        <v/>
      </c>
      <c r="AP136" s="56"/>
      <c r="AQ136" s="66" t="str">
        <f t="shared" si="16"/>
        <v/>
      </c>
      <c r="AR136" s="66"/>
      <c r="AS136" s="63" t="str">
        <f>if(AJ136,if(and(hour(AJ136+AS$5)&gt;11,(hour(AJ136+AS$5)&lt;20)),AJ136+AS$5,_xlfn.workday.intl(int(AJ136),1,"1000000",Holidays!A:A)+hour(AJ136+AS$5-$B$1)/24+minute(AJ136)/1440),"")</f>
        <v/>
      </c>
      <c r="AT136" s="64" t="str">
        <f t="shared" si="21"/>
        <v/>
      </c>
      <c r="AU136" s="56"/>
      <c r="AV136" s="66" t="str">
        <f t="shared" si="25"/>
        <v/>
      </c>
      <c r="AW136" s="66"/>
      <c r="AX136" s="65" t="s">
        <v>2722</v>
      </c>
    </row>
    <row r="137">
      <c r="A137" s="55">
        <v>44869.48124841435</v>
      </c>
      <c r="B137" s="56"/>
      <c r="C137" s="57"/>
      <c r="D137" s="57"/>
      <c r="E137" s="57"/>
      <c r="F137" s="57"/>
      <c r="G137" s="58">
        <f>if(A137,_xlfn.workday.intl(int(A137),1,"1000000",Holidays!A:A)+17/24,"")</f>
        <v>44870.70833</v>
      </c>
      <c r="H137" s="59" t="str">
        <f t="shared" si="23"/>
        <v/>
      </c>
      <c r="I137" s="60"/>
      <c r="J137" s="61">
        <f t="shared" si="2"/>
        <v>1263.275577</v>
      </c>
      <c r="K137" s="58">
        <f>if(G137,_xlfn.workday.intl(int(G137),0,"1000000",Holidays!A:A)+19/24,"")</f>
        <v>44870.79167</v>
      </c>
      <c r="L137" s="59" t="str">
        <f t="shared" si="3"/>
        <v/>
      </c>
      <c r="M137" s="60"/>
      <c r="N137" s="61">
        <f t="shared" si="4"/>
        <v>1263.192243</v>
      </c>
      <c r="O137" s="63">
        <f>if(A137,_xlfn.WORKDAY.INTL(A137,O$5,"1000000",Holidays!A:A)+hour(A137)/24+MINUTE(A137)/1440,"")</f>
        <v>44870.48125</v>
      </c>
      <c r="P137" s="64">
        <v>44901.529654108796</v>
      </c>
      <c r="Q137" s="65" t="s">
        <v>2713</v>
      </c>
      <c r="R137" s="66">
        <f t="shared" si="5"/>
        <v>31.04840411</v>
      </c>
      <c r="S137" s="66"/>
      <c r="T137" s="66"/>
      <c r="U137" s="64">
        <f>if(O137,_xlfn.WORKDAY.INTL(O137,U$5,"1000000",Holidays!A:A)+hour(O137)/24+MINUTE(O137)/1440,"")</f>
        <v>44871.48125</v>
      </c>
      <c r="V137" s="64" t="str">
        <f t="shared" si="6"/>
        <v/>
      </c>
      <c r="W137" s="66"/>
      <c r="X137" s="66">
        <f t="shared" si="7"/>
        <v>1262.50266</v>
      </c>
      <c r="Y137" s="66"/>
      <c r="Z137" s="66"/>
      <c r="AA137" s="66"/>
      <c r="AB137" s="63"/>
      <c r="AC137" s="63"/>
      <c r="AD137" s="63"/>
      <c r="AE137" s="63"/>
      <c r="AF137" s="63"/>
      <c r="AG137" s="63"/>
      <c r="AH137" s="63">
        <f t="shared" si="14"/>
        <v>44901.52965</v>
      </c>
      <c r="AI137" s="63">
        <f>if(AH137,_xlfn.workday.intl(int(AH137),0,"1000000",Holidays!A:A)+18/24,"")</f>
        <v>44901.75</v>
      </c>
      <c r="AJ137" s="64">
        <f t="shared" si="24"/>
        <v>44901.52965</v>
      </c>
      <c r="AK137" s="65" t="s">
        <v>2713</v>
      </c>
      <c r="AL137" s="66" t="str">
        <f t="shared" si="9"/>
        <v/>
      </c>
      <c r="AM137" s="66"/>
      <c r="AN137" s="63">
        <f>if(AJ137,if(and(hour(AJ137+AN$5)&gt;11,(hour(AJ137+AN$5)&lt;20)),AJ137+AN$5,_xlfn.workday.intl(int(AJ137),1,"1000000",Holidays!A:A)+hour(AJ137+AN$5-$B$1)/24+minute(AJ137)/1440),"")</f>
        <v>44902.52965</v>
      </c>
      <c r="AO137" s="64">
        <f t="shared" si="15"/>
        <v>44901.52965</v>
      </c>
      <c r="AP137" s="65" t="s">
        <v>2713</v>
      </c>
      <c r="AQ137" s="66" t="str">
        <f t="shared" si="16"/>
        <v/>
      </c>
      <c r="AR137" s="66"/>
      <c r="AS137" s="63">
        <f>if(AJ137,if(and(hour(AJ137+AS$5)&gt;11,(hour(AJ137+AS$5)&lt;20)),AJ137+AS$5,_xlfn.workday.intl(int(AJ137),1,"1000000",Holidays!A:A)+hour(AJ137+AS$5-$B$1)/24+minute(AJ137)/1440),"")</f>
        <v>44903.52965</v>
      </c>
      <c r="AT137" s="64">
        <f t="shared" si="21"/>
        <v>44901.52965</v>
      </c>
      <c r="AU137" s="65" t="s">
        <v>2715</v>
      </c>
      <c r="AV137" s="66" t="str">
        <f t="shared" si="25"/>
        <v/>
      </c>
      <c r="AW137" s="66"/>
      <c r="AX137" s="65" t="s">
        <v>2740</v>
      </c>
    </row>
    <row r="138">
      <c r="A138" s="55">
        <v>44869.48332384259</v>
      </c>
      <c r="B138" s="56"/>
      <c r="C138" s="57"/>
      <c r="D138" s="57"/>
      <c r="E138" s="57"/>
      <c r="F138" s="57"/>
      <c r="G138" s="58">
        <f>if(A138,_xlfn.workday.intl(int(A138),1,"1000000",Holidays!A:A)+17/24,"")</f>
        <v>44870.70833</v>
      </c>
      <c r="H138" s="59" t="str">
        <f t="shared" si="23"/>
        <v/>
      </c>
      <c r="I138" s="60"/>
      <c r="J138" s="61">
        <f t="shared" si="2"/>
        <v>1263.275577</v>
      </c>
      <c r="K138" s="58">
        <f>if(G138,_xlfn.workday.intl(int(G138),0,"1000000",Holidays!A:A)+19/24,"")</f>
        <v>44870.79167</v>
      </c>
      <c r="L138" s="59" t="str">
        <f t="shared" si="3"/>
        <v/>
      </c>
      <c r="M138" s="60"/>
      <c r="N138" s="61">
        <f t="shared" si="4"/>
        <v>1263.192243</v>
      </c>
      <c r="O138" s="63">
        <f>if(A138,_xlfn.WORKDAY.INTL(A138,O$5,"1000000",Holidays!A:A)+hour(A138)/24+MINUTE(A138)/1440,"")</f>
        <v>44870.48264</v>
      </c>
      <c r="P138" s="64" t="s">
        <v>2718</v>
      </c>
      <c r="Q138" s="56"/>
      <c r="R138" s="66">
        <f t="shared" si="5"/>
        <v>1263.501271</v>
      </c>
      <c r="S138" s="66"/>
      <c r="T138" s="66"/>
      <c r="U138" s="64">
        <f>if(O138,_xlfn.WORKDAY.INTL(O138,U$5,"1000000",Holidays!A:A)+hour(O138)/24+MINUTE(O138)/1440,"")</f>
        <v>44871.48264</v>
      </c>
      <c r="V138" s="64" t="str">
        <f t="shared" si="6"/>
        <v/>
      </c>
      <c r="W138" s="66"/>
      <c r="X138" s="66">
        <f t="shared" si="7"/>
        <v>1262.501271</v>
      </c>
      <c r="Y138" s="66"/>
      <c r="Z138" s="66"/>
      <c r="AA138" s="66"/>
      <c r="AB138" s="63"/>
      <c r="AC138" s="63"/>
      <c r="AD138" s="63"/>
      <c r="AE138" s="63"/>
      <c r="AF138" s="63"/>
      <c r="AG138" s="63"/>
      <c r="AH138" s="63" t="str">
        <f t="shared" si="14"/>
        <v/>
      </c>
      <c r="AI138" s="63" t="str">
        <f>if(AH138,_xlfn.workday.intl(int(AH138),0,"1000000",Holidays!A:A)+18/24,"")</f>
        <v/>
      </c>
      <c r="AJ138" s="64" t="str">
        <f t="shared" si="24"/>
        <v/>
      </c>
      <c r="AK138" s="56"/>
      <c r="AL138" s="66" t="str">
        <f t="shared" si="9"/>
        <v/>
      </c>
      <c r="AM138" s="66"/>
      <c r="AN138" s="63" t="str">
        <f>if(AJ138,if(and(hour(AJ138+AN$5)&gt;11,(hour(AJ138+AN$5)&lt;20)),AJ138+AN$5,_xlfn.workday.intl(int(AJ138),1,"1000000",Holidays!A:A)+hour(AJ138+AN$5-$B$1)/24+minute(AJ138)/1440),"")</f>
        <v/>
      </c>
      <c r="AO138" s="64" t="str">
        <f t="shared" si="15"/>
        <v/>
      </c>
      <c r="AP138" s="56"/>
      <c r="AQ138" s="66" t="str">
        <f t="shared" si="16"/>
        <v/>
      </c>
      <c r="AR138" s="66"/>
      <c r="AS138" s="63" t="str">
        <f>if(AJ138,if(and(hour(AJ138+AS$5)&gt;11,(hour(AJ138+AS$5)&lt;20)),AJ138+AS$5,_xlfn.workday.intl(int(AJ138),1,"1000000",Holidays!A:A)+hour(AJ138+AS$5-$B$1)/24+minute(AJ138)/1440),"")</f>
        <v/>
      </c>
      <c r="AT138" s="64" t="str">
        <f t="shared" si="21"/>
        <v/>
      </c>
      <c r="AU138" s="56"/>
      <c r="AV138" s="66" t="str">
        <f t="shared" si="25"/>
        <v/>
      </c>
      <c r="AW138" s="66"/>
      <c r="AX138" s="65" t="s">
        <v>2741</v>
      </c>
      <c r="AY138" s="11">
        <v>44908.0</v>
      </c>
    </row>
    <row r="139">
      <c r="A139" s="55">
        <v>44873.506436041665</v>
      </c>
      <c r="B139" s="56"/>
      <c r="C139" s="57"/>
      <c r="D139" s="57"/>
      <c r="E139" s="57"/>
      <c r="F139" s="57"/>
      <c r="G139" s="58">
        <f>if(A139,_xlfn.workday.intl(int(A139),1,"1000000",Holidays!A:A)+17/24,"")</f>
        <v>44874.70833</v>
      </c>
      <c r="H139" s="59" t="str">
        <f t="shared" si="23"/>
        <v/>
      </c>
      <c r="I139" s="60"/>
      <c r="J139" s="61">
        <f t="shared" si="2"/>
        <v>1259.275577</v>
      </c>
      <c r="K139" s="58">
        <f>if(G139,_xlfn.workday.intl(int(G139),0,"1000000",Holidays!A:A)+19/24,"")</f>
        <v>44874.79167</v>
      </c>
      <c r="L139" s="59" t="str">
        <f t="shared" si="3"/>
        <v/>
      </c>
      <c r="M139" s="60"/>
      <c r="N139" s="61">
        <f t="shared" si="4"/>
        <v>1259.192243</v>
      </c>
      <c r="O139" s="63">
        <f>if(A139,_xlfn.WORKDAY.INTL(A139,O$5,"1000000",Holidays!A:A)+hour(A139)/24+MINUTE(A139)/1440,"")</f>
        <v>44874.50625</v>
      </c>
      <c r="P139" s="64">
        <v>44901.529654108796</v>
      </c>
      <c r="Q139" s="65" t="s">
        <v>2713</v>
      </c>
      <c r="R139" s="66">
        <f t="shared" si="5"/>
        <v>27.02340411</v>
      </c>
      <c r="S139" s="66"/>
      <c r="T139" s="65" t="s">
        <v>2713</v>
      </c>
      <c r="U139" s="64">
        <f>if(O139,_xlfn.WORKDAY.INTL(O139,U$5,"1000000",Holidays!A:A)+hour(O139)/24+MINUTE(O139)/1440,"")</f>
        <v>44875.50625</v>
      </c>
      <c r="V139" s="64" t="str">
        <f t="shared" si="6"/>
        <v/>
      </c>
      <c r="W139" s="66"/>
      <c r="X139" s="66">
        <f t="shared" si="7"/>
        <v>1258.47766</v>
      </c>
      <c r="Y139" s="66"/>
      <c r="Z139" s="66"/>
      <c r="AA139" s="66"/>
      <c r="AB139" s="63"/>
      <c r="AC139" s="63"/>
      <c r="AD139" s="63"/>
      <c r="AE139" s="63"/>
      <c r="AF139" s="63"/>
      <c r="AG139" s="63"/>
      <c r="AH139" s="63">
        <f t="shared" si="14"/>
        <v>44901.52965</v>
      </c>
      <c r="AI139" s="63">
        <f>if(AH139,_xlfn.workday.intl(int(AH139),0,"1000000",Holidays!A:A)+18/24,"")</f>
        <v>44901.75</v>
      </c>
      <c r="AJ139" s="64" t="str">
        <f t="shared" si="24"/>
        <v/>
      </c>
      <c r="AK139" s="56"/>
      <c r="AL139" s="66">
        <f t="shared" si="9"/>
        <v>1232.23391</v>
      </c>
      <c r="AM139" s="66"/>
      <c r="AN139" s="63" t="str">
        <f>if(AJ139,if(and(hour(AJ139+AN$5)&gt;11,(hour(AJ139+AN$5)&lt;20)),AJ139+AN$5,_xlfn.workday.intl(int(AJ139),1,"1000000",Holidays!A:A)+hour(AJ139+AN$5-$B$1)/24+minute(AJ139)/1440),"")</f>
        <v/>
      </c>
      <c r="AO139" s="64" t="str">
        <f t="shared" si="15"/>
        <v/>
      </c>
      <c r="AP139" s="56"/>
      <c r="AQ139" s="66" t="str">
        <f t="shared" si="16"/>
        <v/>
      </c>
      <c r="AR139" s="66"/>
      <c r="AS139" s="63" t="str">
        <f>if(AJ139,if(and(hour(AJ139+AS$5)&gt;11,(hour(AJ139+AS$5)&lt;20)),AJ139+AS$5,_xlfn.workday.intl(int(AJ139),1,"1000000",Holidays!A:A)+hour(AJ139+AS$5-$B$1)/24+minute(AJ139)/1440),"")</f>
        <v/>
      </c>
      <c r="AT139" s="64" t="str">
        <f t="shared" si="21"/>
        <v/>
      </c>
      <c r="AU139" s="56"/>
      <c r="AV139" s="66" t="str">
        <f t="shared" si="25"/>
        <v/>
      </c>
      <c r="AW139" s="66"/>
      <c r="AX139" s="65" t="s">
        <v>2737</v>
      </c>
    </row>
    <row r="140">
      <c r="A140" s="55">
        <v>44873.50752105324</v>
      </c>
      <c r="B140" s="56"/>
      <c r="C140" s="57"/>
      <c r="D140" s="57"/>
      <c r="E140" s="57"/>
      <c r="F140" s="57"/>
      <c r="G140" s="58">
        <f>if(A140,_xlfn.workday.intl(int(A140),1,"1000000",Holidays!A:A)+17/24,"")</f>
        <v>44874.70833</v>
      </c>
      <c r="H140" s="59" t="str">
        <f t="shared" si="23"/>
        <v/>
      </c>
      <c r="I140" s="60"/>
      <c r="J140" s="61">
        <f t="shared" si="2"/>
        <v>1259.275577</v>
      </c>
      <c r="K140" s="58">
        <f>if(G140,_xlfn.workday.intl(int(G140),0,"1000000",Holidays!A:A)+19/24,"")</f>
        <v>44874.79167</v>
      </c>
      <c r="L140" s="59" t="str">
        <f t="shared" si="3"/>
        <v/>
      </c>
      <c r="M140" s="60"/>
      <c r="N140" s="61">
        <f t="shared" si="4"/>
        <v>1259.192243</v>
      </c>
      <c r="O140" s="63">
        <f>if(A140,_xlfn.WORKDAY.INTL(A140,O$5,"1000000",Holidays!A:A)+hour(A140)/24+MINUTE(A140)/1440,"")</f>
        <v>44874.50694</v>
      </c>
      <c r="P140" s="64" t="s">
        <v>2718</v>
      </c>
      <c r="Q140" s="56"/>
      <c r="R140" s="66">
        <f t="shared" si="5"/>
        <v>1259.476965</v>
      </c>
      <c r="S140" s="66"/>
      <c r="T140" s="66"/>
      <c r="U140" s="64">
        <f>if(O140,_xlfn.WORKDAY.INTL(O140,U$5,"1000000",Holidays!A:A)+hour(O140)/24+MINUTE(O140)/1440,"")</f>
        <v>44875.50694</v>
      </c>
      <c r="V140" s="64" t="str">
        <f t="shared" si="6"/>
        <v/>
      </c>
      <c r="W140" s="66"/>
      <c r="X140" s="66">
        <f t="shared" si="7"/>
        <v>1258.476965</v>
      </c>
      <c r="Y140" s="66"/>
      <c r="Z140" s="66"/>
      <c r="AA140" s="66"/>
      <c r="AB140" s="63"/>
      <c r="AC140" s="63"/>
      <c r="AD140" s="63"/>
      <c r="AE140" s="63"/>
      <c r="AF140" s="63"/>
      <c r="AG140" s="63"/>
      <c r="AH140" s="63" t="str">
        <f t="shared" si="14"/>
        <v/>
      </c>
      <c r="AI140" s="63" t="str">
        <f>if(AH140,_xlfn.workday.intl(int(AH140),0,"1000000",Holidays!A:A)+18/24,"")</f>
        <v/>
      </c>
      <c r="AJ140" s="64" t="str">
        <f t="shared" si="24"/>
        <v/>
      </c>
      <c r="AK140" s="56"/>
      <c r="AL140" s="66" t="str">
        <f t="shared" si="9"/>
        <v/>
      </c>
      <c r="AM140" s="66"/>
      <c r="AN140" s="63" t="str">
        <f>if(AJ140,if(and(hour(AJ140+AN$5)&gt;11,(hour(AJ140+AN$5)&lt;20)),AJ140+AN$5,_xlfn.workday.intl(int(AJ140),1,"1000000",Holidays!A:A)+hour(AJ140+AN$5-$B$1)/24+minute(AJ140)/1440),"")</f>
        <v/>
      </c>
      <c r="AO140" s="64" t="str">
        <f t="shared" si="15"/>
        <v/>
      </c>
      <c r="AP140" s="56"/>
      <c r="AQ140" s="66" t="str">
        <f t="shared" si="16"/>
        <v/>
      </c>
      <c r="AR140" s="66"/>
      <c r="AS140" s="63" t="str">
        <f>if(AJ140,if(and(hour(AJ140+AS$5)&gt;11,(hour(AJ140+AS$5)&lt;20)),AJ140+AS$5,_xlfn.workday.intl(int(AJ140),1,"1000000",Holidays!A:A)+hour(AJ140+AS$5-$B$1)/24+minute(AJ140)/1440),"")</f>
        <v/>
      </c>
      <c r="AT140" s="64" t="str">
        <f t="shared" si="21"/>
        <v/>
      </c>
      <c r="AU140" s="56"/>
      <c r="AV140" s="66" t="str">
        <f t="shared" si="25"/>
        <v/>
      </c>
      <c r="AW140" s="66"/>
      <c r="AX140" s="65" t="s">
        <v>2742</v>
      </c>
    </row>
    <row r="141">
      <c r="A141" s="55">
        <v>44873.50840438658</v>
      </c>
      <c r="B141" s="56"/>
      <c r="C141" s="57"/>
      <c r="D141" s="57"/>
      <c r="E141" s="57"/>
      <c r="F141" s="57"/>
      <c r="G141" s="58">
        <f>if(A141,_xlfn.workday.intl(int(A141),1,"1000000",Holidays!A:A)+17/24,"")</f>
        <v>44874.70833</v>
      </c>
      <c r="H141" s="59" t="str">
        <f t="shared" si="23"/>
        <v/>
      </c>
      <c r="I141" s="60"/>
      <c r="J141" s="61">
        <f t="shared" si="2"/>
        <v>1259.275577</v>
      </c>
      <c r="K141" s="58">
        <f>if(G141,_xlfn.workday.intl(int(G141),0,"1000000",Holidays!A:A)+19/24,"")</f>
        <v>44874.79167</v>
      </c>
      <c r="L141" s="59" t="str">
        <f t="shared" si="3"/>
        <v/>
      </c>
      <c r="M141" s="60"/>
      <c r="N141" s="61">
        <f t="shared" si="4"/>
        <v>1259.192243</v>
      </c>
      <c r="O141" s="63">
        <f>if(A141,_xlfn.WORKDAY.INTL(A141,O$5,"1000000",Holidays!A:A)+hour(A141)/24+MINUTE(A141)/1440,"")</f>
        <v>44874.50833</v>
      </c>
      <c r="P141" s="64" t="s">
        <v>2718</v>
      </c>
      <c r="Q141" s="56"/>
      <c r="R141" s="66">
        <f t="shared" si="5"/>
        <v>1259.475577</v>
      </c>
      <c r="S141" s="66"/>
      <c r="T141" s="66"/>
      <c r="U141" s="64">
        <f>if(O141,_xlfn.WORKDAY.INTL(O141,U$5,"1000000",Holidays!A:A)+hour(O141)/24+MINUTE(O141)/1440,"")</f>
        <v>44875.50833</v>
      </c>
      <c r="V141" s="64" t="str">
        <f t="shared" si="6"/>
        <v/>
      </c>
      <c r="W141" s="66"/>
      <c r="X141" s="66">
        <f t="shared" si="7"/>
        <v>1258.475577</v>
      </c>
      <c r="Y141" s="66"/>
      <c r="Z141" s="66"/>
      <c r="AA141" s="66"/>
      <c r="AB141" s="63"/>
      <c r="AC141" s="63"/>
      <c r="AD141" s="63"/>
      <c r="AE141" s="63"/>
      <c r="AF141" s="63"/>
      <c r="AG141" s="63"/>
      <c r="AH141" s="63" t="str">
        <f t="shared" si="14"/>
        <v/>
      </c>
      <c r="AI141" s="63" t="str">
        <f>if(AH141,_xlfn.workday.intl(int(AH141),0,"1000000",Holidays!A:A)+18/24,"")</f>
        <v/>
      </c>
      <c r="AJ141" s="64" t="str">
        <f t="shared" si="24"/>
        <v/>
      </c>
      <c r="AK141" s="56"/>
      <c r="AL141" s="66" t="str">
        <f t="shared" si="9"/>
        <v/>
      </c>
      <c r="AM141" s="66"/>
      <c r="AN141" s="63" t="str">
        <f>if(AJ141,if(and(hour(AJ141+AN$5)&gt;11,(hour(AJ141+AN$5)&lt;20)),AJ141+AN$5,_xlfn.workday.intl(int(AJ141),1,"1000000",Holidays!A:A)+hour(AJ141+AN$5-$B$1)/24+minute(AJ141)/1440),"")</f>
        <v/>
      </c>
      <c r="AO141" s="64" t="str">
        <f t="shared" si="15"/>
        <v/>
      </c>
      <c r="AP141" s="56"/>
      <c r="AQ141" s="66" t="str">
        <f t="shared" si="16"/>
        <v/>
      </c>
      <c r="AR141" s="66"/>
      <c r="AS141" s="63" t="str">
        <f>if(AJ141,if(and(hour(AJ141+AS$5)&gt;11,(hour(AJ141+AS$5)&lt;20)),AJ141+AS$5,_xlfn.workday.intl(int(AJ141),1,"1000000",Holidays!A:A)+hour(AJ141+AS$5-$B$1)/24+minute(AJ141)/1440),"")</f>
        <v/>
      </c>
      <c r="AT141" s="64" t="str">
        <f t="shared" si="21"/>
        <v/>
      </c>
      <c r="AU141" s="56"/>
      <c r="AV141" s="66" t="str">
        <f t="shared" si="25"/>
        <v/>
      </c>
      <c r="AW141" s="66"/>
      <c r="AX141" s="65" t="s">
        <v>2722</v>
      </c>
    </row>
    <row r="142">
      <c r="A142" s="55">
        <v>44873.509584363426</v>
      </c>
      <c r="B142" s="56"/>
      <c r="C142" s="57"/>
      <c r="D142" s="57"/>
      <c r="E142" s="57"/>
      <c r="F142" s="57"/>
      <c r="G142" s="58">
        <f>if(A142,_xlfn.workday.intl(int(A142),1,"1000000",Holidays!A:A)+17/24,"")</f>
        <v>44874.70833</v>
      </c>
      <c r="H142" s="59" t="str">
        <f t="shared" si="23"/>
        <v/>
      </c>
      <c r="I142" s="60"/>
      <c r="J142" s="61">
        <f t="shared" si="2"/>
        <v>1259.275577</v>
      </c>
      <c r="K142" s="58">
        <f>if(G142,_xlfn.workday.intl(int(G142),0,"1000000",Holidays!A:A)+19/24,"")</f>
        <v>44874.79167</v>
      </c>
      <c r="L142" s="59" t="str">
        <f t="shared" si="3"/>
        <v/>
      </c>
      <c r="M142" s="60"/>
      <c r="N142" s="61">
        <f t="shared" si="4"/>
        <v>1259.192243</v>
      </c>
      <c r="O142" s="63">
        <f>if(A142,_xlfn.WORKDAY.INTL(A142,O$5,"1000000",Holidays!A:A)+hour(A142)/24+MINUTE(A142)/1440,"")</f>
        <v>44874.50903</v>
      </c>
      <c r="P142" s="64" t="s">
        <v>2718</v>
      </c>
      <c r="Q142" s="56"/>
      <c r="R142" s="66">
        <f t="shared" si="5"/>
        <v>1259.474882</v>
      </c>
      <c r="S142" s="66"/>
      <c r="T142" s="66"/>
      <c r="U142" s="64">
        <f>if(O142,_xlfn.WORKDAY.INTL(O142,U$5,"1000000",Holidays!A:A)+hour(O142)/24+MINUTE(O142)/1440,"")</f>
        <v>44875.50903</v>
      </c>
      <c r="V142" s="64" t="str">
        <f t="shared" si="6"/>
        <v/>
      </c>
      <c r="W142" s="66"/>
      <c r="X142" s="66">
        <f t="shared" si="7"/>
        <v>1258.474882</v>
      </c>
      <c r="Y142" s="66"/>
      <c r="Z142" s="66"/>
      <c r="AA142" s="66"/>
      <c r="AB142" s="63"/>
      <c r="AC142" s="63"/>
      <c r="AD142" s="63"/>
      <c r="AE142" s="63"/>
      <c r="AF142" s="63"/>
      <c r="AG142" s="63"/>
      <c r="AH142" s="63" t="str">
        <f t="shared" si="14"/>
        <v/>
      </c>
      <c r="AI142" s="63" t="str">
        <f>if(AH142,_xlfn.workday.intl(int(AH142),0,"1000000",Holidays!A:A)+18/24,"")</f>
        <v/>
      </c>
      <c r="AJ142" s="64" t="str">
        <f t="shared" si="24"/>
        <v/>
      </c>
      <c r="AK142" s="56"/>
      <c r="AL142" s="66" t="str">
        <f t="shared" si="9"/>
        <v/>
      </c>
      <c r="AM142" s="66"/>
      <c r="AN142" s="63" t="str">
        <f>if(AJ142,if(and(hour(AJ142+AN$5)&gt;11,(hour(AJ142+AN$5)&lt;20)),AJ142+AN$5,_xlfn.workday.intl(int(AJ142),1,"1000000",Holidays!A:A)+hour(AJ142+AN$5-$B$1)/24+minute(AJ142)/1440),"")</f>
        <v/>
      </c>
      <c r="AO142" s="64" t="str">
        <f t="shared" si="15"/>
        <v/>
      </c>
      <c r="AP142" s="56"/>
      <c r="AQ142" s="66" t="str">
        <f t="shared" si="16"/>
        <v/>
      </c>
      <c r="AR142" s="66"/>
      <c r="AS142" s="63" t="str">
        <f>if(AJ142,if(and(hour(AJ142+AS$5)&gt;11,(hour(AJ142+AS$5)&lt;20)),AJ142+AS$5,_xlfn.workday.intl(int(AJ142),1,"1000000",Holidays!A:A)+hour(AJ142+AS$5-$B$1)/24+minute(AJ142)/1440),"")</f>
        <v/>
      </c>
      <c r="AT142" s="64" t="str">
        <f t="shared" si="21"/>
        <v/>
      </c>
      <c r="AU142" s="56"/>
      <c r="AV142" s="66" t="str">
        <f t="shared" si="25"/>
        <v/>
      </c>
      <c r="AW142" s="66"/>
      <c r="AX142" s="65" t="s">
        <v>2713</v>
      </c>
    </row>
    <row r="143">
      <c r="A143" s="55">
        <v>44873.52351597222</v>
      </c>
      <c r="B143" s="56"/>
      <c r="C143" s="57"/>
      <c r="D143" s="57"/>
      <c r="E143" s="57"/>
      <c r="F143" s="57"/>
      <c r="G143" s="58">
        <f>if(A143,_xlfn.workday.intl(int(A143),1,"1000000",Holidays!A:A)+17/24,"")</f>
        <v>44874.70833</v>
      </c>
      <c r="H143" s="59" t="str">
        <f t="shared" si="23"/>
        <v/>
      </c>
      <c r="I143" s="60"/>
      <c r="J143" s="61">
        <f t="shared" si="2"/>
        <v>1259.275577</v>
      </c>
      <c r="K143" s="58">
        <f>if(G143,_xlfn.workday.intl(int(G143),0,"1000000",Holidays!A:A)+19/24,"")</f>
        <v>44874.79167</v>
      </c>
      <c r="L143" s="59" t="str">
        <f t="shared" si="3"/>
        <v/>
      </c>
      <c r="M143" s="60"/>
      <c r="N143" s="61">
        <f t="shared" si="4"/>
        <v>1259.192243</v>
      </c>
      <c r="O143" s="63">
        <f>if(A143,_xlfn.WORKDAY.INTL(A143,O$5,"1000000",Holidays!A:A)+hour(A143)/24+MINUTE(A143)/1440,"")</f>
        <v>44874.52292</v>
      </c>
      <c r="P143" s="64" t="s">
        <v>2718</v>
      </c>
      <c r="Q143" s="56"/>
      <c r="R143" s="66">
        <f t="shared" si="5"/>
        <v>1259.460993</v>
      </c>
      <c r="S143" s="66"/>
      <c r="T143" s="66"/>
      <c r="U143" s="64">
        <f>if(O143,_xlfn.WORKDAY.INTL(O143,U$5,"1000000",Holidays!A:A)+hour(O143)/24+MINUTE(O143)/1440,"")</f>
        <v>44875.52292</v>
      </c>
      <c r="V143" s="64" t="str">
        <f t="shared" si="6"/>
        <v/>
      </c>
      <c r="W143" s="66"/>
      <c r="X143" s="66">
        <f t="shared" si="7"/>
        <v>1258.460993</v>
      </c>
      <c r="Y143" s="66"/>
      <c r="Z143" s="66"/>
      <c r="AA143" s="66"/>
      <c r="AB143" s="63"/>
      <c r="AC143" s="63"/>
      <c r="AD143" s="63"/>
      <c r="AE143" s="63"/>
      <c r="AF143" s="63"/>
      <c r="AG143" s="63"/>
      <c r="AH143" s="63" t="str">
        <f t="shared" si="14"/>
        <v/>
      </c>
      <c r="AI143" s="63" t="str">
        <f>if(AH143,_xlfn.workday.intl(int(AH143),0,"1000000",Holidays!A:A)+18/24,"")</f>
        <v/>
      </c>
      <c r="AJ143" s="64" t="str">
        <f t="shared" si="24"/>
        <v/>
      </c>
      <c r="AK143" s="56"/>
      <c r="AL143" s="66" t="str">
        <f t="shared" si="9"/>
        <v/>
      </c>
      <c r="AM143" s="66"/>
      <c r="AN143" s="63" t="str">
        <f>if(AJ143,if(and(hour(AJ143+AN$5)&gt;11,(hour(AJ143+AN$5)&lt;20)),AJ143+AN$5,_xlfn.workday.intl(int(AJ143),1,"1000000",Holidays!A:A)+hour(AJ143+AN$5-$B$1)/24+minute(AJ143)/1440),"")</f>
        <v/>
      </c>
      <c r="AO143" s="64" t="str">
        <f t="shared" si="15"/>
        <v/>
      </c>
      <c r="AP143" s="56"/>
      <c r="AQ143" s="66" t="str">
        <f t="shared" si="16"/>
        <v/>
      </c>
      <c r="AR143" s="66"/>
      <c r="AS143" s="63" t="str">
        <f>if(AJ143,if(and(hour(AJ143+AS$5)&gt;11,(hour(AJ143+AS$5)&lt;20)),AJ143+AS$5,_xlfn.workday.intl(int(AJ143),1,"1000000",Holidays!A:A)+hour(AJ143+AS$5-$B$1)/24+minute(AJ143)/1440),"")</f>
        <v/>
      </c>
      <c r="AT143" s="64" t="str">
        <f t="shared" si="21"/>
        <v/>
      </c>
      <c r="AU143" s="56"/>
      <c r="AV143" s="66" t="str">
        <f t="shared" si="25"/>
        <v/>
      </c>
      <c r="AW143" s="66"/>
      <c r="AX143" s="65" t="s">
        <v>2713</v>
      </c>
    </row>
    <row r="144">
      <c r="A144" s="55">
        <v>44876.55136582176</v>
      </c>
      <c r="B144" s="56"/>
      <c r="C144" s="57"/>
      <c r="D144" s="57"/>
      <c r="E144" s="57"/>
      <c r="F144" s="57"/>
      <c r="G144" s="58">
        <f>if(A144,_xlfn.workday.intl(int(A144),1,"1000000",Holidays!A:A)+17/24,"")</f>
        <v>44877.70833</v>
      </c>
      <c r="H144" s="59" t="str">
        <f t="shared" si="23"/>
        <v/>
      </c>
      <c r="I144" s="60"/>
      <c r="J144" s="61">
        <f t="shared" si="2"/>
        <v>1256.275577</v>
      </c>
      <c r="K144" s="58">
        <f>if(G144,_xlfn.workday.intl(int(G144),0,"1000000",Holidays!A:A)+19/24,"")</f>
        <v>44877.79167</v>
      </c>
      <c r="L144" s="59" t="str">
        <f t="shared" si="3"/>
        <v/>
      </c>
      <c r="M144" s="60"/>
      <c r="N144" s="61">
        <f t="shared" si="4"/>
        <v>1256.192243</v>
      </c>
      <c r="O144" s="63">
        <f>if(A144,_xlfn.WORKDAY.INTL(A144,O$5,"1000000",Holidays!A:A)+hour(A144)/24+MINUTE(A144)/1440,"")</f>
        <v>44877.55069</v>
      </c>
      <c r="P144" s="64">
        <v>44876.553380983794</v>
      </c>
      <c r="Q144" s="65" t="s">
        <v>2713</v>
      </c>
      <c r="R144" s="66" t="str">
        <f t="shared" si="5"/>
        <v/>
      </c>
      <c r="S144" s="66"/>
      <c r="T144" s="65" t="s">
        <v>2713</v>
      </c>
      <c r="U144" s="64">
        <f>if(O144,_xlfn.WORKDAY.INTL(O144,U$5,"1000000",Holidays!A:A)+hour(O144)/24+MINUTE(O144)/1440,"")</f>
        <v>44878.55069</v>
      </c>
      <c r="V144" s="64" t="str">
        <f t="shared" si="6"/>
        <v/>
      </c>
      <c r="W144" s="66"/>
      <c r="X144" s="66">
        <f t="shared" si="7"/>
        <v>1255.433215</v>
      </c>
      <c r="Y144" s="66"/>
      <c r="Z144" s="66"/>
      <c r="AA144" s="66"/>
      <c r="AB144" s="67">
        <v>1.0</v>
      </c>
      <c r="AC144" s="63"/>
      <c r="AD144" s="63"/>
      <c r="AE144" s="63"/>
      <c r="AF144" s="63"/>
      <c r="AG144" s="63"/>
      <c r="AH144" s="63">
        <f t="shared" si="14"/>
        <v>44877.55338</v>
      </c>
      <c r="AI144" s="63">
        <f>if(AH144,_xlfn.workday.intl(int(AH144),0,"1000000",Holidays!A:A)+18/24,"")</f>
        <v>44877.75</v>
      </c>
      <c r="AJ144" s="64" t="str">
        <f t="shared" si="24"/>
        <v/>
      </c>
      <c r="AK144" s="56"/>
      <c r="AL144" s="66">
        <f t="shared" si="9"/>
        <v>1256.23391</v>
      </c>
      <c r="AM144" s="66"/>
      <c r="AN144" s="63" t="str">
        <f>if(AJ144,if(and(hour(AJ144+AN$5)&gt;11,(hour(AJ144+AN$5)&lt;20)),AJ144+AN$5,_xlfn.workday.intl(int(AJ144),1,"1000000",Holidays!A:A)+hour(AJ144+AN$5-$B$1)/24+minute(AJ144)/1440),"")</f>
        <v/>
      </c>
      <c r="AO144" s="64" t="str">
        <f t="shared" si="15"/>
        <v/>
      </c>
      <c r="AP144" s="56"/>
      <c r="AQ144" s="66" t="str">
        <f t="shared" si="16"/>
        <v/>
      </c>
      <c r="AR144" s="66"/>
      <c r="AS144" s="63" t="str">
        <f>if(AJ144,if(and(hour(AJ144+AS$5)&gt;11,(hour(AJ144+AS$5)&lt;20)),AJ144+AS$5,_xlfn.workday.intl(int(AJ144),1,"1000000",Holidays!A:A)+hour(AJ144+AS$5-$B$1)/24+minute(AJ144)/1440),"")</f>
        <v/>
      </c>
      <c r="AT144" s="64" t="str">
        <f t="shared" si="21"/>
        <v/>
      </c>
      <c r="AU144" s="56"/>
      <c r="AV144" s="66" t="str">
        <f t="shared" si="25"/>
        <v/>
      </c>
      <c r="AW144" s="66"/>
      <c r="AX144" s="65" t="s">
        <v>2722</v>
      </c>
    </row>
    <row r="145">
      <c r="A145" s="55">
        <v>44876.55274363426</v>
      </c>
      <c r="B145" s="56"/>
      <c r="C145" s="57"/>
      <c r="D145" s="57"/>
      <c r="E145" s="57"/>
      <c r="F145" s="57"/>
      <c r="G145" s="58">
        <f>if(A145,_xlfn.workday.intl(int(A145),1,"1000000",Holidays!A:A)+17/24,"")</f>
        <v>44877.70833</v>
      </c>
      <c r="H145" s="59" t="str">
        <f t="shared" si="23"/>
        <v/>
      </c>
      <c r="I145" s="60"/>
      <c r="J145" s="61">
        <f t="shared" si="2"/>
        <v>1256.275577</v>
      </c>
      <c r="K145" s="58">
        <f>if(G145,_xlfn.workday.intl(int(G145),0,"1000000",Holidays!A:A)+19/24,"")</f>
        <v>44877.79167</v>
      </c>
      <c r="L145" s="59" t="str">
        <f t="shared" si="3"/>
        <v/>
      </c>
      <c r="M145" s="60"/>
      <c r="N145" s="61">
        <f t="shared" si="4"/>
        <v>1256.192243</v>
      </c>
      <c r="O145" s="63">
        <f>if(A145,_xlfn.WORKDAY.INTL(A145,O$5,"1000000",Holidays!A:A)+hour(A145)/24+MINUTE(A145)/1440,"")</f>
        <v>44877.55208</v>
      </c>
      <c r="P145" s="64" t="s">
        <v>2718</v>
      </c>
      <c r="Q145" s="56"/>
      <c r="R145" s="66">
        <f t="shared" si="5"/>
        <v>1256.431827</v>
      </c>
      <c r="S145" s="66"/>
      <c r="T145" s="66"/>
      <c r="U145" s="64">
        <f>if(O145,_xlfn.WORKDAY.INTL(O145,U$5,"1000000",Holidays!A:A)+hour(O145)/24+MINUTE(O145)/1440,"")</f>
        <v>44878.55208</v>
      </c>
      <c r="V145" s="64" t="str">
        <f t="shared" si="6"/>
        <v/>
      </c>
      <c r="W145" s="66"/>
      <c r="X145" s="66">
        <f t="shared" si="7"/>
        <v>1255.431827</v>
      </c>
      <c r="Y145" s="66"/>
      <c r="Z145" s="66"/>
      <c r="AA145" s="66"/>
      <c r="AB145" s="63"/>
      <c r="AC145" s="63"/>
      <c r="AD145" s="63"/>
      <c r="AE145" s="63"/>
      <c r="AF145" s="63"/>
      <c r="AG145" s="63"/>
      <c r="AH145" s="63" t="str">
        <f t="shared" si="14"/>
        <v/>
      </c>
      <c r="AI145" s="63" t="str">
        <f>if(AH145,_xlfn.workday.intl(int(AH145),0,"1000000",Holidays!A:A)+18/24,"")</f>
        <v/>
      </c>
      <c r="AJ145" s="64" t="str">
        <f t="shared" si="24"/>
        <v/>
      </c>
      <c r="AK145" s="56"/>
      <c r="AL145" s="66" t="str">
        <f t="shared" si="9"/>
        <v/>
      </c>
      <c r="AM145" s="66"/>
      <c r="AN145" s="63" t="str">
        <f>if(AJ145,if(and(hour(AJ145+AN$5)&gt;11,(hour(AJ145+AN$5)&lt;20)),AJ145+AN$5,_xlfn.workday.intl(int(AJ145),1,"1000000",Holidays!A:A)+hour(AJ145+AN$5-$B$1)/24+minute(AJ145)/1440),"")</f>
        <v/>
      </c>
      <c r="AO145" s="64" t="str">
        <f t="shared" si="15"/>
        <v/>
      </c>
      <c r="AP145" s="56"/>
      <c r="AQ145" s="66" t="str">
        <f t="shared" si="16"/>
        <v/>
      </c>
      <c r="AR145" s="66"/>
      <c r="AS145" s="63" t="str">
        <f>if(AJ145,if(and(hour(AJ145+AS$5)&gt;11,(hour(AJ145+AS$5)&lt;20)),AJ145+AS$5,_xlfn.workday.intl(int(AJ145),1,"1000000",Holidays!A:A)+hour(AJ145+AS$5-$B$1)/24+minute(AJ145)/1440),"")</f>
        <v/>
      </c>
      <c r="AT145" s="64" t="str">
        <f t="shared" si="21"/>
        <v/>
      </c>
      <c r="AU145" s="56"/>
      <c r="AV145" s="66" t="str">
        <f t="shared" si="25"/>
        <v/>
      </c>
      <c r="AW145" s="66"/>
      <c r="AX145" s="65" t="s">
        <v>2722</v>
      </c>
    </row>
    <row r="146">
      <c r="A146" s="55">
        <v>44877.48941255787</v>
      </c>
      <c r="B146" s="56"/>
      <c r="C146" s="57"/>
      <c r="D146" s="57"/>
      <c r="E146" s="57"/>
      <c r="F146" s="57"/>
      <c r="G146" s="58">
        <f>if(A146,_xlfn.workday.intl(int(A146),1,"1000000",Holidays!A:A)+17/24,"")</f>
        <v>44878.70833</v>
      </c>
      <c r="H146" s="59" t="str">
        <f t="shared" si="23"/>
        <v/>
      </c>
      <c r="I146" s="60"/>
      <c r="J146" s="61">
        <f t="shared" si="2"/>
        <v>1255.275577</v>
      </c>
      <c r="K146" s="58">
        <f>if(G146,_xlfn.workday.intl(int(G146),0,"1000000",Holidays!A:A)+19/24,"")</f>
        <v>44878.79167</v>
      </c>
      <c r="L146" s="59" t="str">
        <f t="shared" si="3"/>
        <v/>
      </c>
      <c r="M146" s="60"/>
      <c r="N146" s="61">
        <f t="shared" si="4"/>
        <v>1255.192243</v>
      </c>
      <c r="O146" s="63">
        <f>if(A146,_xlfn.WORKDAY.INTL(A146,O$5,"1000000",Holidays!A:A)+hour(A146)/24+MINUTE(A146)/1440,"")</f>
        <v>44878.48889</v>
      </c>
      <c r="P146" s="64">
        <v>44884.50685388889</v>
      </c>
      <c r="Q146" s="65" t="s">
        <v>2713</v>
      </c>
      <c r="R146" s="66">
        <f t="shared" si="5"/>
        <v>6.017965</v>
      </c>
      <c r="S146" s="66"/>
      <c r="T146" s="65" t="s">
        <v>2713</v>
      </c>
      <c r="U146" s="64">
        <f>if(O146,_xlfn.WORKDAY.INTL(O146,U$5,"1000000",Holidays!A:A)+hour(O146)/24+MINUTE(O146)/1440,"")</f>
        <v>44880.48889</v>
      </c>
      <c r="V146" s="64" t="str">
        <f t="shared" si="6"/>
        <v/>
      </c>
      <c r="W146" s="66"/>
      <c r="X146" s="66">
        <f t="shared" si="7"/>
        <v>1253.495021</v>
      </c>
      <c r="Y146" s="66"/>
      <c r="Z146" s="66"/>
      <c r="AA146" s="66"/>
      <c r="AB146" s="63"/>
      <c r="AC146" s="63"/>
      <c r="AD146" s="63"/>
      <c r="AE146" s="63"/>
      <c r="AF146" s="63"/>
      <c r="AG146" s="63"/>
      <c r="AH146" s="63">
        <f t="shared" si="14"/>
        <v>44884.50685</v>
      </c>
      <c r="AI146" s="63">
        <f>if(AH146,_xlfn.workday.intl(int(AH146),0,"1000000",Holidays!A:A)+18/24,"")</f>
        <v>44884.75</v>
      </c>
      <c r="AJ146" s="64">
        <f t="shared" si="24"/>
        <v>44884.50693</v>
      </c>
      <c r="AK146" s="65" t="s">
        <v>2713</v>
      </c>
      <c r="AL146" s="66" t="str">
        <f t="shared" si="9"/>
        <v/>
      </c>
      <c r="AM146" s="66"/>
      <c r="AN146" s="63">
        <f>if(AJ146,if(and(hour(AJ146+AN$5)&gt;11,(hour(AJ146+AN$5)&lt;20)),AJ146+AN$5,_xlfn.workday.intl(int(AJ146),1,"1000000",Holidays!A:A)+hour(AJ146+AN$5-$B$1)/24+minute(AJ146)/1440),"")</f>
        <v>44885.50693</v>
      </c>
      <c r="AO146" s="64" t="str">
        <f t="shared" si="15"/>
        <v/>
      </c>
      <c r="AP146" s="56"/>
      <c r="AQ146" s="66">
        <f t="shared" si="16"/>
        <v>1248.476981</v>
      </c>
      <c r="AR146" s="66"/>
      <c r="AS146" s="63">
        <f>if(AJ146,if(and(hour(AJ146+AS$5)&gt;11,(hour(AJ146+AS$5)&lt;20)),AJ146+AS$5,_xlfn.workday.intl(int(AJ146),1,"1000000",Holidays!A:A)+hour(AJ146+AS$5-$B$1)/24+minute(AJ146)/1440),"")</f>
        <v>44886.50693</v>
      </c>
      <c r="AT146" s="64">
        <f t="shared" si="21"/>
        <v>44884.50702</v>
      </c>
      <c r="AU146" s="65" t="s">
        <v>2715</v>
      </c>
      <c r="AV146" s="66" t="str">
        <f t="shared" si="25"/>
        <v/>
      </c>
      <c r="AW146" s="66"/>
      <c r="AX146" s="65" t="s">
        <v>2713</v>
      </c>
    </row>
    <row r="147">
      <c r="A147" s="55">
        <v>44877.803925879634</v>
      </c>
      <c r="B147" s="56"/>
      <c r="C147" s="57"/>
      <c r="D147" s="57"/>
      <c r="E147" s="57"/>
      <c r="F147" s="57"/>
      <c r="G147" s="58">
        <f>if(A147,_xlfn.workday.intl(int(A147),1,"1000000",Holidays!A:A)+17/24,"")</f>
        <v>44878.70833</v>
      </c>
      <c r="H147" s="59" t="str">
        <f t="shared" si="23"/>
        <v/>
      </c>
      <c r="I147" s="60"/>
      <c r="J147" s="61">
        <f t="shared" si="2"/>
        <v>1255.275577</v>
      </c>
      <c r="K147" s="58">
        <f>if(G147,_xlfn.workday.intl(int(G147),0,"1000000",Holidays!A:A)+19/24,"")</f>
        <v>44878.79167</v>
      </c>
      <c r="L147" s="59" t="str">
        <f t="shared" si="3"/>
        <v/>
      </c>
      <c r="M147" s="60"/>
      <c r="N147" s="61">
        <f t="shared" si="4"/>
        <v>1255.192243</v>
      </c>
      <c r="O147" s="63">
        <f>if(A147,_xlfn.WORKDAY.INTL(A147,O$5,"1000000",Holidays!A:A)+hour(A147)/24+MINUTE(A147)/1440,"")</f>
        <v>44878.80347</v>
      </c>
      <c r="P147" s="64">
        <v>44901.529654108796</v>
      </c>
      <c r="Q147" s="65" t="s">
        <v>2713</v>
      </c>
      <c r="R147" s="66">
        <f t="shared" si="5"/>
        <v>22.72618189</v>
      </c>
      <c r="S147" s="66"/>
      <c r="T147" s="65" t="s">
        <v>2713</v>
      </c>
      <c r="U147" s="64">
        <f>if(O147,_xlfn.WORKDAY.INTL(O147,U$5,"1000000",Holidays!A:A)+hour(O147)/24+MINUTE(O147)/1440,"")</f>
        <v>44880.80347</v>
      </c>
      <c r="V147" s="64" t="str">
        <f t="shared" si="6"/>
        <v/>
      </c>
      <c r="W147" s="66"/>
      <c r="X147" s="66">
        <f t="shared" si="7"/>
        <v>1253.180438</v>
      </c>
      <c r="Y147" s="66"/>
      <c r="Z147" s="66"/>
      <c r="AA147" s="66"/>
      <c r="AB147" s="63"/>
      <c r="AC147" s="63"/>
      <c r="AD147" s="63"/>
      <c r="AE147" s="63"/>
      <c r="AF147" s="63"/>
      <c r="AG147" s="63"/>
      <c r="AH147" s="63">
        <f t="shared" si="14"/>
        <v>44901.52965</v>
      </c>
      <c r="AI147" s="63">
        <f>if(AH147,_xlfn.workday.intl(int(AH147),0,"1000000",Holidays!A:A)+18/24,"")</f>
        <v>44901.75</v>
      </c>
      <c r="AJ147" s="64">
        <f t="shared" si="24"/>
        <v>44901.52965</v>
      </c>
      <c r="AK147" s="65" t="s">
        <v>2713</v>
      </c>
      <c r="AL147" s="66" t="str">
        <f t="shared" si="9"/>
        <v/>
      </c>
      <c r="AM147" s="66"/>
      <c r="AN147" s="63">
        <f>if(AJ147,if(and(hour(AJ147+AN$5)&gt;11,(hour(AJ147+AN$5)&lt;20)),AJ147+AN$5,_xlfn.workday.intl(int(AJ147),1,"1000000",Holidays!A:A)+hour(AJ147+AN$5-$B$1)/24+minute(AJ147)/1440),"")</f>
        <v>44902.52965</v>
      </c>
      <c r="AO147" s="64">
        <f t="shared" si="15"/>
        <v>44901.52965</v>
      </c>
      <c r="AP147" s="65" t="s">
        <v>2713</v>
      </c>
      <c r="AQ147" s="66" t="str">
        <f t="shared" si="16"/>
        <v/>
      </c>
      <c r="AR147" s="66"/>
      <c r="AS147" s="63">
        <f>if(AJ147,if(and(hour(AJ147+AS$5)&gt;11,(hour(AJ147+AS$5)&lt;20)),AJ147+AS$5,_xlfn.workday.intl(int(AJ147),1,"1000000",Holidays!A:A)+hour(AJ147+AS$5-$B$1)/24+minute(AJ147)/1440),"")</f>
        <v>44903.52965</v>
      </c>
      <c r="AT147" s="64">
        <f t="shared" si="21"/>
        <v>44901.52965</v>
      </c>
      <c r="AU147" s="65" t="s">
        <v>2715</v>
      </c>
      <c r="AV147" s="66" t="str">
        <f t="shared" si="25"/>
        <v/>
      </c>
      <c r="AW147" s="66"/>
      <c r="AX147" s="65" t="s">
        <v>2713</v>
      </c>
    </row>
    <row r="148">
      <c r="A148" s="55">
        <v>44880.54485172454</v>
      </c>
      <c r="B148" s="56"/>
      <c r="C148" s="57"/>
      <c r="D148" s="57"/>
      <c r="E148" s="57"/>
      <c r="F148" s="57"/>
      <c r="G148" s="58">
        <f>if(A148,_xlfn.workday.intl(int(A148),1,"1000000",Holidays!A:A)+17/24,"")</f>
        <v>44881.70833</v>
      </c>
      <c r="H148" s="59" t="str">
        <f t="shared" si="23"/>
        <v/>
      </c>
      <c r="I148" s="60"/>
      <c r="J148" s="61">
        <f t="shared" si="2"/>
        <v>1252.275577</v>
      </c>
      <c r="K148" s="58">
        <f>if(G148,_xlfn.workday.intl(int(G148),0,"1000000",Holidays!A:A)+19/24,"")</f>
        <v>44881.79167</v>
      </c>
      <c r="L148" s="59" t="str">
        <f t="shared" si="3"/>
        <v/>
      </c>
      <c r="M148" s="60"/>
      <c r="N148" s="61">
        <f t="shared" si="4"/>
        <v>1252.192243</v>
      </c>
      <c r="O148" s="63">
        <f>if(A148,_xlfn.WORKDAY.INTL(A148,O$5,"1000000",Holidays!A:A)+hour(A148)/24+MINUTE(A148)/1440,"")</f>
        <v>44881.54444</v>
      </c>
      <c r="P148" s="64">
        <v>44887.75582160879</v>
      </c>
      <c r="Q148" s="65" t="s">
        <v>2713</v>
      </c>
      <c r="R148" s="66">
        <f t="shared" si="5"/>
        <v>6.211377164</v>
      </c>
      <c r="S148" s="66"/>
      <c r="T148" s="65" t="s">
        <v>2713</v>
      </c>
      <c r="U148" s="64">
        <f>if(O148,_xlfn.WORKDAY.INTL(O148,U$5,"1000000",Holidays!A:A)+hour(O148)/24+MINUTE(O148)/1440,"")</f>
        <v>44882.54444</v>
      </c>
      <c r="V148" s="64" t="str">
        <f t="shared" si="6"/>
        <v/>
      </c>
      <c r="W148" s="66"/>
      <c r="X148" s="66">
        <f t="shared" si="7"/>
        <v>1251.439465</v>
      </c>
      <c r="Y148" s="66"/>
      <c r="Z148" s="66"/>
      <c r="AA148" s="66"/>
      <c r="AB148" s="67">
        <v>1.0</v>
      </c>
      <c r="AC148" s="63"/>
      <c r="AD148" s="63"/>
      <c r="AE148" s="63"/>
      <c r="AF148" s="63"/>
      <c r="AG148" s="63"/>
      <c r="AH148" s="63">
        <f t="shared" si="14"/>
        <v>44888.75582</v>
      </c>
      <c r="AI148" s="63">
        <f>if(AH148,_xlfn.workday.intl(int(AH148),0,"1000000",Holidays!A:A)+18/24,"")</f>
        <v>44888.75</v>
      </c>
      <c r="AJ148" s="64">
        <f t="shared" si="24"/>
        <v>44887.75587</v>
      </c>
      <c r="AK148" s="65" t="s">
        <v>2713</v>
      </c>
      <c r="AL148" s="66" t="str">
        <f t="shared" si="9"/>
        <v/>
      </c>
      <c r="AM148" s="66"/>
      <c r="AN148" s="63">
        <f>if(AJ148,if(and(hour(AJ148+AN$5)&gt;11,(hour(AJ148+AN$5)&lt;20)),AJ148+AN$5,_xlfn.workday.intl(int(AJ148),1,"1000000",Holidays!A:A)+hour(AJ148+AN$5-$B$1)/24+minute(AJ148)/1440),"")</f>
        <v>44888.75587</v>
      </c>
      <c r="AO148" s="64">
        <f t="shared" si="15"/>
        <v>44887.75592</v>
      </c>
      <c r="AP148" s="65" t="s">
        <v>2713</v>
      </c>
      <c r="AQ148" s="66" t="str">
        <f t="shared" si="16"/>
        <v/>
      </c>
      <c r="AR148" s="66"/>
      <c r="AS148" s="63">
        <f>if(AJ148,if(and(hour(AJ148+AS$5)&gt;11,(hour(AJ148+AS$5)&lt;20)),AJ148+AS$5,_xlfn.workday.intl(int(AJ148),1,"1000000",Holidays!A:A)+hour(AJ148+AS$5-$B$1)/24+minute(AJ148)/1440),"")</f>
        <v>44889.75587</v>
      </c>
      <c r="AT148" s="64">
        <f t="shared" si="21"/>
        <v>44887.75597</v>
      </c>
      <c r="AU148" s="65" t="s">
        <v>2716</v>
      </c>
      <c r="AV148" s="66" t="str">
        <f t="shared" si="25"/>
        <v/>
      </c>
      <c r="AW148" s="66"/>
      <c r="AX148" s="65" t="s">
        <v>2743</v>
      </c>
    </row>
    <row r="149" ht="18.0" customHeight="1">
      <c r="A149" s="55">
        <v>44880.772080625</v>
      </c>
      <c r="B149" s="56"/>
      <c r="C149" s="57"/>
      <c r="D149" s="57"/>
      <c r="E149" s="57"/>
      <c r="F149" s="57"/>
      <c r="G149" s="58">
        <f>if(A149,_xlfn.workday.intl(int(A149),1,"1000000",Holidays!A:A)+17/24,"")</f>
        <v>44881.70833</v>
      </c>
      <c r="H149" s="59" t="str">
        <f t="shared" si="23"/>
        <v/>
      </c>
      <c r="I149" s="60"/>
      <c r="J149" s="61">
        <f t="shared" si="2"/>
        <v>1252.275577</v>
      </c>
      <c r="K149" s="58">
        <f>if(G149,_xlfn.workday.intl(int(G149),0,"1000000",Holidays!A:A)+19/24,"")</f>
        <v>44881.79167</v>
      </c>
      <c r="L149" s="59" t="str">
        <f t="shared" si="3"/>
        <v/>
      </c>
      <c r="M149" s="60"/>
      <c r="N149" s="61">
        <f t="shared" si="4"/>
        <v>1252.192243</v>
      </c>
      <c r="O149" s="63">
        <f>if(A149,_xlfn.WORKDAY.INTL(A149,O$5,"1000000",Holidays!A:A)+hour(A149)/24+MINUTE(A149)/1440,"")</f>
        <v>44881.77153</v>
      </c>
      <c r="P149" s="64" t="s">
        <v>2718</v>
      </c>
      <c r="Q149" s="56"/>
      <c r="R149" s="66">
        <f t="shared" si="5"/>
        <v>1252.212382</v>
      </c>
      <c r="S149" s="66"/>
      <c r="T149" s="66"/>
      <c r="U149" s="64">
        <f>if(O149,_xlfn.WORKDAY.INTL(O149,U$5,"1000000",Holidays!A:A)+hour(O149)/24+MINUTE(O149)/1440,"")</f>
        <v>44882.77153</v>
      </c>
      <c r="V149" s="64" t="str">
        <f t="shared" si="6"/>
        <v/>
      </c>
      <c r="W149" s="66"/>
      <c r="X149" s="66">
        <f t="shared" si="7"/>
        <v>1251.212382</v>
      </c>
      <c r="Y149" s="66"/>
      <c r="Z149" s="66"/>
      <c r="AA149" s="66"/>
      <c r="AB149" s="67">
        <v>1.0</v>
      </c>
      <c r="AC149" s="63"/>
      <c r="AD149" s="63"/>
      <c r="AE149" s="63"/>
      <c r="AF149" s="63"/>
      <c r="AG149" s="63"/>
      <c r="AH149" s="63" t="str">
        <f t="shared" si="14"/>
        <v/>
      </c>
      <c r="AI149" s="63" t="str">
        <f>if(AH149,_xlfn.workday.intl(int(AH149),0,"1000000",Holidays!A:A)+18/24,"")</f>
        <v/>
      </c>
      <c r="AJ149" s="64" t="str">
        <f t="shared" si="24"/>
        <v/>
      </c>
      <c r="AK149" s="56"/>
      <c r="AL149" s="66" t="str">
        <f t="shared" si="9"/>
        <v/>
      </c>
      <c r="AM149" s="66"/>
      <c r="AN149" s="63" t="str">
        <f>if(AJ149,if(and(hour(AJ149+AN$5)&gt;11,(hour(AJ149+AN$5)&lt;20)),AJ149+AN$5,_xlfn.workday.intl(int(AJ149),1,"1000000",Holidays!A:A)+hour(AJ149+AN$5-$B$1)/24+minute(AJ149)/1440),"")</f>
        <v/>
      </c>
      <c r="AO149" s="64" t="str">
        <f t="shared" si="15"/>
        <v/>
      </c>
      <c r="AP149" s="56"/>
      <c r="AQ149" s="66" t="str">
        <f t="shared" si="16"/>
        <v/>
      </c>
      <c r="AR149" s="66"/>
      <c r="AS149" s="63" t="str">
        <f>if(AJ149,if(and(hour(AJ149+AS$5)&gt;11,(hour(AJ149+AS$5)&lt;20)),AJ149+AS$5,_xlfn.workday.intl(int(AJ149),1,"1000000",Holidays!A:A)+hour(AJ149+AS$5-$B$1)/24+minute(AJ149)/1440),"")</f>
        <v/>
      </c>
      <c r="AT149" s="64" t="str">
        <f t="shared" si="21"/>
        <v/>
      </c>
      <c r="AU149" s="56"/>
      <c r="AV149" s="66" t="str">
        <f t="shared" si="25"/>
        <v/>
      </c>
      <c r="AW149" s="66"/>
      <c r="AX149" s="56"/>
    </row>
    <row r="150">
      <c r="A150" s="55">
        <v>44880.77314280093</v>
      </c>
      <c r="B150" s="56"/>
      <c r="C150" s="57"/>
      <c r="D150" s="57"/>
      <c r="E150" s="57"/>
      <c r="F150" s="57"/>
      <c r="G150" s="58">
        <f>if(A150,_xlfn.workday.intl(int(A150),1,"1000000",Holidays!A:A)+17/24,"")</f>
        <v>44881.70833</v>
      </c>
      <c r="H150" s="59" t="str">
        <f t="shared" si="23"/>
        <v/>
      </c>
      <c r="I150" s="60"/>
      <c r="J150" s="61">
        <f t="shared" si="2"/>
        <v>1252.275577</v>
      </c>
      <c r="K150" s="58">
        <f>if(G150,_xlfn.workday.intl(int(G150),0,"1000000",Holidays!A:A)+19/24,"")</f>
        <v>44881.79167</v>
      </c>
      <c r="L150" s="59" t="str">
        <f t="shared" si="3"/>
        <v/>
      </c>
      <c r="M150" s="60"/>
      <c r="N150" s="61">
        <f t="shared" si="4"/>
        <v>1252.192243</v>
      </c>
      <c r="O150" s="63">
        <f>if(A150,_xlfn.WORKDAY.INTL(A150,O$5,"1000000",Holidays!A:A)+hour(A150)/24+MINUTE(A150)/1440,"")</f>
        <v>44881.77292</v>
      </c>
      <c r="P150" s="64">
        <v>44887.756823495365</v>
      </c>
      <c r="Q150" s="65" t="s">
        <v>2713</v>
      </c>
      <c r="R150" s="66">
        <f t="shared" si="5"/>
        <v>5.983906829</v>
      </c>
      <c r="S150" s="66"/>
      <c r="T150" s="65" t="s">
        <v>2713</v>
      </c>
      <c r="U150" s="64">
        <f>if(O150,_xlfn.WORKDAY.INTL(O150,U$5,"1000000",Holidays!A:A)+hour(O150)/24+MINUTE(O150)/1440,"")</f>
        <v>44882.77292</v>
      </c>
      <c r="V150" s="64" t="str">
        <f t="shared" si="6"/>
        <v/>
      </c>
      <c r="W150" s="66"/>
      <c r="X150" s="66">
        <f t="shared" si="7"/>
        <v>1251.210993</v>
      </c>
      <c r="Y150" s="66"/>
      <c r="Z150" s="66"/>
      <c r="AA150" s="66"/>
      <c r="AB150" s="63"/>
      <c r="AC150" s="63"/>
      <c r="AD150" s="63"/>
      <c r="AE150" s="63"/>
      <c r="AF150" s="63"/>
      <c r="AG150" s="63"/>
      <c r="AH150" s="63">
        <f t="shared" si="14"/>
        <v>44887.75682</v>
      </c>
      <c r="AI150" s="63">
        <f>if(AH150,_xlfn.workday.intl(int(AH150),0,"1000000",Holidays!A:A)+18/24,"")</f>
        <v>44887.75</v>
      </c>
      <c r="AJ150" s="64">
        <f t="shared" si="24"/>
        <v>44887.75688</v>
      </c>
      <c r="AK150" s="65" t="s">
        <v>2713</v>
      </c>
      <c r="AL150" s="66">
        <f t="shared" si="9"/>
        <v>0.006880601853</v>
      </c>
      <c r="AM150" s="66"/>
      <c r="AN150" s="63">
        <f>if(AJ150,if(and(hour(AJ150+AN$5)&gt;11,(hour(AJ150+AN$5)&lt;20)),AJ150+AN$5,_xlfn.workday.intl(int(AJ150),1,"1000000",Holidays!A:A)+hour(AJ150+AN$5-$B$1)/24+minute(AJ150)/1440),"")</f>
        <v>44888.75688</v>
      </c>
      <c r="AO150" s="64">
        <f t="shared" si="15"/>
        <v>44887.75693</v>
      </c>
      <c r="AP150" s="65" t="s">
        <v>2713</v>
      </c>
      <c r="AQ150" s="66" t="str">
        <f t="shared" si="16"/>
        <v/>
      </c>
      <c r="AR150" s="66"/>
      <c r="AS150" s="63">
        <f>if(AJ150,if(and(hour(AJ150+AS$5)&gt;11,(hour(AJ150+AS$5)&lt;20)),AJ150+AS$5,_xlfn.workday.intl(int(AJ150),1,"1000000",Holidays!A:A)+hour(AJ150+AS$5-$B$1)/24+minute(AJ150)/1440),"")</f>
        <v>44889.75688</v>
      </c>
      <c r="AT150" s="64">
        <f t="shared" si="21"/>
        <v>44887.75698</v>
      </c>
      <c r="AU150" s="65" t="s">
        <v>2715</v>
      </c>
      <c r="AV150" s="66" t="str">
        <f t="shared" si="25"/>
        <v/>
      </c>
      <c r="AW150" s="66"/>
      <c r="AX150" s="65" t="s">
        <v>2713</v>
      </c>
    </row>
    <row r="151">
      <c r="A151" s="55">
        <v>44883.60046538194</v>
      </c>
      <c r="B151" s="56"/>
      <c r="C151" s="57"/>
      <c r="D151" s="57"/>
      <c r="E151" s="57"/>
      <c r="F151" s="57"/>
      <c r="G151" s="58">
        <f>if(A151,_xlfn.workday.intl(int(A151),1,"1000000",Holidays!A:A)+17/24,"")</f>
        <v>44884.70833</v>
      </c>
      <c r="H151" s="59" t="str">
        <f t="shared" si="23"/>
        <v/>
      </c>
      <c r="I151" s="60"/>
      <c r="J151" s="61">
        <f t="shared" si="2"/>
        <v>1249.275577</v>
      </c>
      <c r="K151" s="58">
        <f>if(G151,_xlfn.workday.intl(int(G151),0,"1000000",Holidays!A:A)+19/24,"")</f>
        <v>44884.79167</v>
      </c>
      <c r="L151" s="59" t="str">
        <f t="shared" si="3"/>
        <v/>
      </c>
      <c r="M151" s="60"/>
      <c r="N151" s="61">
        <f t="shared" si="4"/>
        <v>1249.192243</v>
      </c>
      <c r="O151" s="63">
        <f>if(A151,_xlfn.WORKDAY.INTL(A151,O$5,"1000000",Holidays!A:A)+hour(A151)/24+MINUTE(A151)/1440,"")</f>
        <v>44884.6</v>
      </c>
      <c r="P151" s="64">
        <v>44917.79148159722</v>
      </c>
      <c r="Q151" s="65" t="s">
        <v>2713</v>
      </c>
      <c r="R151" s="66">
        <f t="shared" si="5"/>
        <v>33.1914816</v>
      </c>
      <c r="S151" s="66"/>
      <c r="T151" s="65" t="s">
        <v>2713</v>
      </c>
      <c r="U151" s="64">
        <f>if(O151,_xlfn.WORKDAY.INTL(O151,U$5,"1000000",Holidays!A:A)+hour(O151)/24+MINUTE(O151)/1440,"")</f>
        <v>44885.6</v>
      </c>
      <c r="V151" s="64">
        <f t="shared" si="6"/>
        <v>44917.79137</v>
      </c>
      <c r="W151" s="65" t="s">
        <v>2713</v>
      </c>
      <c r="X151" s="66">
        <f t="shared" si="7"/>
        <v>32.19136925</v>
      </c>
      <c r="Y151" s="66"/>
      <c r="Z151" s="66"/>
      <c r="AA151" s="66"/>
      <c r="AB151" s="63"/>
      <c r="AC151" s="63"/>
      <c r="AD151" s="63"/>
      <c r="AE151" s="63"/>
      <c r="AF151" s="63"/>
      <c r="AG151" s="63"/>
      <c r="AH151" s="63">
        <f t="shared" si="14"/>
        <v>44917.79148</v>
      </c>
      <c r="AI151" s="63">
        <f>if(AH151,_xlfn.workday.intl(int(AH151),0,"1000000",Holidays!A:A)+18/24,"")</f>
        <v>44917.75</v>
      </c>
      <c r="AJ151" s="64" t="str">
        <f t="shared" si="24"/>
        <v/>
      </c>
      <c r="AK151" s="56"/>
      <c r="AL151" s="66">
        <f t="shared" si="9"/>
        <v>1216.23391</v>
      </c>
      <c r="AM151" s="66"/>
      <c r="AN151" s="63" t="str">
        <f>if(AJ151,if(and(hour(AJ151+AN$5)&gt;11,(hour(AJ151+AN$5)&lt;20)),AJ151+AN$5,_xlfn.workday.intl(int(AJ151),1,"1000000",Holidays!A:A)+hour(AJ151+AN$5-$B$1)/24+minute(AJ151)/1440),"")</f>
        <v/>
      </c>
      <c r="AO151" s="64" t="str">
        <f t="shared" si="15"/>
        <v/>
      </c>
      <c r="AP151" s="56"/>
      <c r="AQ151" s="66" t="str">
        <f t="shared" si="16"/>
        <v/>
      </c>
      <c r="AR151" s="66"/>
      <c r="AS151" s="63" t="str">
        <f>if(AJ151,if(and(hour(AJ151+AS$5)&gt;11,(hour(AJ151+AS$5)&lt;20)),AJ151+AS$5,_xlfn.workday.intl(int(AJ151),1,"1000000",Holidays!A:A)+hour(AJ151+AS$5-$B$1)/24+minute(AJ151)/1440),"")</f>
        <v/>
      </c>
      <c r="AT151" s="64" t="str">
        <f t="shared" si="21"/>
        <v/>
      </c>
      <c r="AU151" s="56"/>
      <c r="AV151" s="66" t="str">
        <f t="shared" si="25"/>
        <v/>
      </c>
      <c r="AW151" s="66"/>
      <c r="AX151" s="65" t="s">
        <v>2741</v>
      </c>
      <c r="AY151" s="11">
        <v>44908.0</v>
      </c>
    </row>
    <row r="152">
      <c r="A152" s="55">
        <v>44884.559236712965</v>
      </c>
      <c r="B152" s="56"/>
      <c r="C152" s="57"/>
      <c r="D152" s="57"/>
      <c r="E152" s="57"/>
      <c r="F152" s="57"/>
      <c r="G152" s="58">
        <f>if(A152,_xlfn.workday.intl(int(A152),1,"1000000",Holidays!A:A)+17/24,"")</f>
        <v>44885.70833</v>
      </c>
      <c r="H152" s="59" t="str">
        <f t="shared" si="23"/>
        <v/>
      </c>
      <c r="I152" s="60"/>
      <c r="J152" s="61">
        <f t="shared" si="2"/>
        <v>1248.275577</v>
      </c>
      <c r="K152" s="58">
        <f>if(G152,_xlfn.workday.intl(int(G152),0,"1000000",Holidays!A:A)+19/24,"")</f>
        <v>44885.79167</v>
      </c>
      <c r="L152" s="59" t="str">
        <f t="shared" si="3"/>
        <v/>
      </c>
      <c r="M152" s="60"/>
      <c r="N152" s="61">
        <f t="shared" si="4"/>
        <v>1248.192243</v>
      </c>
      <c r="O152" s="63">
        <f>if(A152,_xlfn.WORKDAY.INTL(A152,O$5,"1000000",Holidays!A:A)+hour(A152)/24+MINUTE(A152)/1440,"")</f>
        <v>44885.55903</v>
      </c>
      <c r="P152" s="64" t="s">
        <v>2718</v>
      </c>
      <c r="Q152" s="56"/>
      <c r="R152" s="66">
        <f t="shared" si="5"/>
        <v>1248.424882</v>
      </c>
      <c r="S152" s="66"/>
      <c r="T152" s="66"/>
      <c r="U152" s="64">
        <f>if(O152,_xlfn.WORKDAY.INTL(O152,U$5,"1000000",Holidays!A:A)+hour(O152)/24+MINUTE(O152)/1440,"")</f>
        <v>44887.55903</v>
      </c>
      <c r="V152" s="64" t="str">
        <f t="shared" si="6"/>
        <v/>
      </c>
      <c r="W152" s="66"/>
      <c r="X152" s="66">
        <f t="shared" si="7"/>
        <v>1246.424882</v>
      </c>
      <c r="Y152" s="66"/>
      <c r="Z152" s="66"/>
      <c r="AA152" s="66"/>
      <c r="AB152" s="63"/>
      <c r="AC152" s="63"/>
      <c r="AD152" s="63"/>
      <c r="AE152" s="63"/>
      <c r="AF152" s="63"/>
      <c r="AG152" s="63"/>
      <c r="AH152" s="63" t="str">
        <f t="shared" si="14"/>
        <v/>
      </c>
      <c r="AI152" s="63" t="str">
        <f>if(AH152,_xlfn.workday.intl(int(AH152),0,"1000000",Holidays!A:A)+18/24,"")</f>
        <v/>
      </c>
      <c r="AJ152" s="64" t="str">
        <f t="shared" si="24"/>
        <v/>
      </c>
      <c r="AK152" s="56"/>
      <c r="AL152" s="66" t="str">
        <f t="shared" si="9"/>
        <v/>
      </c>
      <c r="AM152" s="66"/>
      <c r="AN152" s="63" t="str">
        <f>if(AJ152,if(and(hour(AJ152+AN$5)&gt;11,(hour(AJ152+AN$5)&lt;20)),AJ152+AN$5,_xlfn.workday.intl(int(AJ152),1,"1000000",Holidays!A:A)+hour(AJ152+AN$5-$B$1)/24+minute(AJ152)/1440),"")</f>
        <v/>
      </c>
      <c r="AO152" s="64" t="str">
        <f t="shared" si="15"/>
        <v/>
      </c>
      <c r="AP152" s="56"/>
      <c r="AQ152" s="66" t="str">
        <f t="shared" si="16"/>
        <v/>
      </c>
      <c r="AR152" s="66"/>
      <c r="AS152" s="63" t="str">
        <f>if(AJ152,if(and(hour(AJ152+AS$5)&gt;11,(hour(AJ152+AS$5)&lt;20)),AJ152+AS$5,_xlfn.workday.intl(int(AJ152),1,"1000000",Holidays!A:A)+hour(AJ152+AS$5-$B$1)/24+minute(AJ152)/1440),"")</f>
        <v/>
      </c>
      <c r="AT152" s="64" t="str">
        <f t="shared" si="21"/>
        <v/>
      </c>
      <c r="AU152" s="56"/>
      <c r="AV152" s="66" t="str">
        <f t="shared" si="25"/>
        <v/>
      </c>
      <c r="AW152" s="66"/>
      <c r="AX152" s="65" t="s">
        <v>2744</v>
      </c>
    </row>
    <row r="153">
      <c r="A153" s="55">
        <v>44884.57114322917</v>
      </c>
      <c r="B153" s="56"/>
      <c r="C153" s="57"/>
      <c r="D153" s="57"/>
      <c r="E153" s="57"/>
      <c r="F153" s="57"/>
      <c r="G153" s="58">
        <f>if(A153,_xlfn.workday.intl(int(A153),1,"1000000",Holidays!A:A)+17/24,"")</f>
        <v>44885.70833</v>
      </c>
      <c r="H153" s="59" t="str">
        <f t="shared" si="23"/>
        <v/>
      </c>
      <c r="I153" s="60"/>
      <c r="J153" s="61">
        <f t="shared" si="2"/>
        <v>1248.275577</v>
      </c>
      <c r="K153" s="58">
        <f>if(G153,_xlfn.workday.intl(int(G153),0,"1000000",Holidays!A:A)+19/24,"")</f>
        <v>44885.79167</v>
      </c>
      <c r="L153" s="59" t="str">
        <f t="shared" si="3"/>
        <v/>
      </c>
      <c r="M153" s="60"/>
      <c r="N153" s="61">
        <f t="shared" si="4"/>
        <v>1248.192243</v>
      </c>
      <c r="O153" s="63">
        <f>if(A153,_xlfn.WORKDAY.INTL(A153,O$5,"1000000",Holidays!A:A)+hour(A153)/24+MINUTE(A153)/1440,"")</f>
        <v>44885.57083</v>
      </c>
      <c r="P153" s="64" t="s">
        <v>2718</v>
      </c>
      <c r="Q153" s="56"/>
      <c r="R153" s="66">
        <f t="shared" si="5"/>
        <v>1248.413077</v>
      </c>
      <c r="S153" s="66"/>
      <c r="T153" s="66"/>
      <c r="U153" s="64">
        <f>if(O153,_xlfn.WORKDAY.INTL(O153,U$5,"1000000",Holidays!A:A)+hour(O153)/24+MINUTE(O153)/1440,"")</f>
        <v>44887.57083</v>
      </c>
      <c r="V153" s="64" t="str">
        <f t="shared" si="6"/>
        <v/>
      </c>
      <c r="W153" s="66"/>
      <c r="X153" s="66">
        <f t="shared" si="7"/>
        <v>1246.413077</v>
      </c>
      <c r="Y153" s="66"/>
      <c r="Z153" s="66"/>
      <c r="AA153" s="66"/>
      <c r="AB153" s="63"/>
      <c r="AC153" s="63"/>
      <c r="AD153" s="63"/>
      <c r="AE153" s="63"/>
      <c r="AF153" s="63"/>
      <c r="AG153" s="63"/>
      <c r="AH153" s="63" t="str">
        <f t="shared" si="14"/>
        <v/>
      </c>
      <c r="AI153" s="63" t="str">
        <f>if(AH153,_xlfn.workday.intl(int(AH153),0,"1000000",Holidays!A:A)+18/24,"")</f>
        <v/>
      </c>
      <c r="AJ153" s="64" t="str">
        <f t="shared" si="24"/>
        <v/>
      </c>
      <c r="AK153" s="56"/>
      <c r="AL153" s="66" t="str">
        <f t="shared" si="9"/>
        <v/>
      </c>
      <c r="AM153" s="66"/>
      <c r="AN153" s="63" t="str">
        <f>if(AJ153,if(and(hour(AJ153+AN$5)&gt;11,(hour(AJ153+AN$5)&lt;20)),AJ153+AN$5,_xlfn.workday.intl(int(AJ153),1,"1000000",Holidays!A:A)+hour(AJ153+AN$5-$B$1)/24+minute(AJ153)/1440),"")</f>
        <v/>
      </c>
      <c r="AO153" s="64" t="str">
        <f t="shared" si="15"/>
        <v/>
      </c>
      <c r="AP153" s="56"/>
      <c r="AQ153" s="66" t="str">
        <f t="shared" si="16"/>
        <v/>
      </c>
      <c r="AR153" s="66"/>
      <c r="AS153" s="63" t="str">
        <f>if(AJ153,if(and(hour(AJ153+AS$5)&gt;11,(hour(AJ153+AS$5)&lt;20)),AJ153+AS$5,_xlfn.workday.intl(int(AJ153),1,"1000000",Holidays!A:A)+hour(AJ153+AS$5-$B$1)/24+minute(AJ153)/1440),"")</f>
        <v/>
      </c>
      <c r="AT153" s="64" t="str">
        <f t="shared" si="21"/>
        <v/>
      </c>
      <c r="AU153" s="56"/>
      <c r="AV153" s="66" t="str">
        <f t="shared" si="25"/>
        <v/>
      </c>
      <c r="AW153" s="66"/>
      <c r="AX153" s="65" t="s">
        <v>2722</v>
      </c>
    </row>
    <row r="154">
      <c r="A154" s="55">
        <v>44884.57283962963</v>
      </c>
      <c r="B154" s="56"/>
      <c r="C154" s="57"/>
      <c r="D154" s="57"/>
      <c r="E154" s="57"/>
      <c r="F154" s="57"/>
      <c r="G154" s="58">
        <f>if(A154,_xlfn.workday.intl(int(A154),1,"1000000",Holidays!A:A)+17/24,"")</f>
        <v>44885.70833</v>
      </c>
      <c r="H154" s="59" t="str">
        <f t="shared" si="23"/>
        <v/>
      </c>
      <c r="I154" s="60"/>
      <c r="J154" s="61">
        <f t="shared" si="2"/>
        <v>1248.275577</v>
      </c>
      <c r="K154" s="58">
        <f>if(G154,_xlfn.workday.intl(int(G154),0,"1000000",Holidays!A:A)+19/24,"")</f>
        <v>44885.79167</v>
      </c>
      <c r="L154" s="59" t="str">
        <f t="shared" si="3"/>
        <v/>
      </c>
      <c r="M154" s="60"/>
      <c r="N154" s="61">
        <f t="shared" si="4"/>
        <v>1248.192243</v>
      </c>
      <c r="O154" s="63">
        <f>if(A154,_xlfn.WORKDAY.INTL(A154,O$5,"1000000",Holidays!A:A)+hour(A154)/24+MINUTE(A154)/1440,"")</f>
        <v>44885.57222</v>
      </c>
      <c r="P154" s="64">
        <v>44916.789047812505</v>
      </c>
      <c r="Q154" s="65" t="s">
        <v>2713</v>
      </c>
      <c r="R154" s="66">
        <f t="shared" si="5"/>
        <v>31.21682559</v>
      </c>
      <c r="S154" s="66"/>
      <c r="T154" s="65" t="s">
        <v>2713</v>
      </c>
      <c r="U154" s="64">
        <f>if(O154,_xlfn.WORKDAY.INTL(O154,U$5,"1000000",Holidays!A:A)+hour(O154)/24+MINUTE(O154)/1440,"")</f>
        <v>44887.57222</v>
      </c>
      <c r="V154" s="64" t="str">
        <f t="shared" si="6"/>
        <v/>
      </c>
      <c r="W154" s="66"/>
      <c r="X154" s="66">
        <f t="shared" si="7"/>
        <v>1246.411688</v>
      </c>
      <c r="Y154" s="66"/>
      <c r="Z154" s="66"/>
      <c r="AA154" s="66"/>
      <c r="AB154" s="67">
        <v>1.0</v>
      </c>
      <c r="AC154" s="63"/>
      <c r="AD154" s="63"/>
      <c r="AE154" s="63"/>
      <c r="AF154" s="63"/>
      <c r="AG154" s="63"/>
      <c r="AH154" s="63">
        <f t="shared" si="14"/>
        <v>44917.78905</v>
      </c>
      <c r="AI154" s="63">
        <f>if(AH154,_xlfn.workday.intl(int(AH154),0,"1000000",Holidays!A:A)+18/24,"")</f>
        <v>44917.75</v>
      </c>
      <c r="AJ154" s="64" t="str">
        <f t="shared" si="24"/>
        <v/>
      </c>
      <c r="AK154" s="56"/>
      <c r="AL154" s="66">
        <f t="shared" si="9"/>
        <v>1216.23391</v>
      </c>
      <c r="AM154" s="66"/>
      <c r="AN154" s="63" t="str">
        <f>if(AJ154,if(and(hour(AJ154+AN$5)&gt;11,(hour(AJ154+AN$5)&lt;20)),AJ154+AN$5,_xlfn.workday.intl(int(AJ154),1,"1000000",Holidays!A:A)+hour(AJ154+AN$5-$B$1)/24+minute(AJ154)/1440),"")</f>
        <v/>
      </c>
      <c r="AO154" s="64" t="str">
        <f t="shared" si="15"/>
        <v/>
      </c>
      <c r="AP154" s="56"/>
      <c r="AQ154" s="66" t="str">
        <f t="shared" si="16"/>
        <v/>
      </c>
      <c r="AR154" s="66"/>
      <c r="AS154" s="63" t="str">
        <f>if(AJ154,if(and(hour(AJ154+AS$5)&gt;11,(hour(AJ154+AS$5)&lt;20)),AJ154+AS$5,_xlfn.workday.intl(int(AJ154),1,"1000000",Holidays!A:A)+hour(AJ154+AS$5-$B$1)/24+minute(AJ154)/1440),"")</f>
        <v/>
      </c>
      <c r="AT154" s="64" t="str">
        <f t="shared" si="21"/>
        <v/>
      </c>
      <c r="AU154" s="56"/>
      <c r="AV154" s="66" t="str">
        <f t="shared" si="25"/>
        <v/>
      </c>
      <c r="AW154" s="66"/>
      <c r="AX154" s="65" t="s">
        <v>2722</v>
      </c>
    </row>
    <row r="155">
      <c r="A155" s="55">
        <v>44884.5736787037</v>
      </c>
      <c r="B155" s="56"/>
      <c r="C155" s="57"/>
      <c r="D155" s="57"/>
      <c r="E155" s="57"/>
      <c r="F155" s="57"/>
      <c r="G155" s="58">
        <f>if(A155,_xlfn.workday.intl(int(A155),1,"1000000",Holidays!A:A)+17/24,"")</f>
        <v>44885.70833</v>
      </c>
      <c r="H155" s="59" t="str">
        <f t="shared" si="23"/>
        <v/>
      </c>
      <c r="I155" s="60"/>
      <c r="J155" s="61">
        <f t="shared" si="2"/>
        <v>1248.275577</v>
      </c>
      <c r="K155" s="58">
        <f>if(G155,_xlfn.workday.intl(int(G155),0,"1000000",Holidays!A:A)+19/24,"")</f>
        <v>44885.79167</v>
      </c>
      <c r="L155" s="59" t="str">
        <f t="shared" si="3"/>
        <v/>
      </c>
      <c r="M155" s="20"/>
      <c r="N155" s="61">
        <f t="shared" si="4"/>
        <v>1248.192243</v>
      </c>
      <c r="O155" s="63">
        <f>if(A155,_xlfn.WORKDAY.INTL(A155,O$5,"1000000",Holidays!A:A)+hour(A155)/24+MINUTE(A155)/1440,"")</f>
        <v>44885.57361</v>
      </c>
      <c r="P155" s="64">
        <v>44916.78897221065</v>
      </c>
      <c r="Q155" s="65" t="s">
        <v>2713</v>
      </c>
      <c r="R155" s="66">
        <f t="shared" si="5"/>
        <v>31.2153611</v>
      </c>
      <c r="S155" s="66"/>
      <c r="T155" s="65" t="s">
        <v>2713</v>
      </c>
      <c r="U155" s="64">
        <f>if(O155,_xlfn.WORKDAY.INTL(O155,U$5,"1000000",Holidays!A:A)+hour(O155)/24+MINUTE(O155)/1440,"")</f>
        <v>44887.57361</v>
      </c>
      <c r="V155" s="64" t="str">
        <f t="shared" si="6"/>
        <v/>
      </c>
      <c r="W155" s="66"/>
      <c r="X155" s="66">
        <f t="shared" si="7"/>
        <v>1246.410299</v>
      </c>
      <c r="Y155" s="66"/>
      <c r="Z155" s="66"/>
      <c r="AA155" s="66"/>
      <c r="AB155" s="67">
        <v>1.0</v>
      </c>
      <c r="AC155" s="63"/>
      <c r="AD155" s="63"/>
      <c r="AE155" s="63"/>
      <c r="AF155" s="63"/>
      <c r="AG155" s="63"/>
      <c r="AH155" s="63">
        <f t="shared" si="14"/>
        <v>44917.78897</v>
      </c>
      <c r="AI155" s="63">
        <f>if(AH155,_xlfn.workday.intl(int(AH155),0,"1000000",Holidays!A:A)+18/24,"")</f>
        <v>44917.75</v>
      </c>
      <c r="AJ155" s="64" t="str">
        <f t="shared" si="24"/>
        <v/>
      </c>
      <c r="AK155" s="56"/>
      <c r="AL155" s="66">
        <f t="shared" si="9"/>
        <v>1216.23391</v>
      </c>
      <c r="AM155" s="66"/>
      <c r="AN155" s="63" t="str">
        <f>if(AJ155,if(and(hour(AJ155+AN$5)&gt;11,(hour(AJ155+AN$5)&lt;20)),AJ155+AN$5,_xlfn.workday.intl(int(AJ155),1,"1000000",Holidays!A:A)+hour(AJ155+AN$5-$B$1)/24+minute(AJ155)/1440),"")</f>
        <v/>
      </c>
      <c r="AO155" s="64" t="str">
        <f t="shared" si="15"/>
        <v/>
      </c>
      <c r="AP155" s="56"/>
      <c r="AQ155" s="66" t="str">
        <f t="shared" si="16"/>
        <v/>
      </c>
      <c r="AR155" s="66"/>
      <c r="AS155" s="63" t="str">
        <f>if(AJ155,if(and(hour(AJ155+AS$5)&gt;11,(hour(AJ155+AS$5)&lt;20)),AJ155+AS$5,_xlfn.workday.intl(int(AJ155),1,"1000000",Holidays!A:A)+hour(AJ155+AS$5-$B$1)/24+minute(AJ155)/1440),"")</f>
        <v/>
      </c>
      <c r="AT155" s="64" t="str">
        <f t="shared" si="21"/>
        <v/>
      </c>
      <c r="AU155" s="56"/>
      <c r="AV155" s="66" t="str">
        <f t="shared" si="25"/>
        <v/>
      </c>
      <c r="AW155" s="66"/>
      <c r="AX155" s="65" t="s">
        <v>2745</v>
      </c>
    </row>
    <row r="156">
      <c r="A156" s="55">
        <v>44884.646496863425</v>
      </c>
      <c r="B156" s="56"/>
      <c r="C156" s="57"/>
      <c r="D156" s="57"/>
      <c r="E156" s="57"/>
      <c r="F156" s="57"/>
      <c r="G156" s="58">
        <f>if(A156,_xlfn.workday.intl(int(A156),1,"1000000",Holidays!A:A)+17/24,"")</f>
        <v>44885.70833</v>
      </c>
      <c r="H156" s="59" t="str">
        <f t="shared" si="23"/>
        <v/>
      </c>
      <c r="I156" s="60"/>
      <c r="J156" s="61">
        <f t="shared" si="2"/>
        <v>1248.275577</v>
      </c>
      <c r="K156" s="58">
        <f>if(G156,_xlfn.workday.intl(int(G156),0,"1000000",Holidays!A:A)+19/24,"")</f>
        <v>44885.79167</v>
      </c>
      <c r="L156" s="59" t="str">
        <f t="shared" si="3"/>
        <v/>
      </c>
      <c r="M156" s="20"/>
      <c r="N156" s="61">
        <f t="shared" si="4"/>
        <v>1248.192243</v>
      </c>
      <c r="O156" s="63">
        <f>if(A156,_xlfn.WORKDAY.INTL(A156,O$5,"1000000",Holidays!A:A)+hour(A156)/24+MINUTE(A156)/1440,"")</f>
        <v>44885.64583</v>
      </c>
      <c r="P156" s="64">
        <v>44901.529654108796</v>
      </c>
      <c r="Q156" s="65" t="s">
        <v>2713</v>
      </c>
      <c r="R156" s="66">
        <f t="shared" si="5"/>
        <v>15.88382078</v>
      </c>
      <c r="S156" s="66"/>
      <c r="T156" s="65" t="s">
        <v>2713</v>
      </c>
      <c r="U156" s="64">
        <f>if(O156,_xlfn.WORKDAY.INTL(O156,U$5,"1000000",Holidays!A:A)+hour(O156)/24+MINUTE(O156)/1440,"")</f>
        <v>44887.64583</v>
      </c>
      <c r="V156" s="64" t="str">
        <f t="shared" si="6"/>
        <v/>
      </c>
      <c r="W156" s="66"/>
      <c r="X156" s="66">
        <f t="shared" si="7"/>
        <v>1246.338077</v>
      </c>
      <c r="Y156" s="66"/>
      <c r="Z156" s="66"/>
      <c r="AA156" s="66"/>
      <c r="AB156" s="67">
        <v>1.0</v>
      </c>
      <c r="AC156" s="63"/>
      <c r="AD156" s="63"/>
      <c r="AE156" s="63"/>
      <c r="AF156" s="63"/>
      <c r="AG156" s="63"/>
      <c r="AH156" s="63">
        <f t="shared" si="14"/>
        <v>44902.52965</v>
      </c>
      <c r="AI156" s="63">
        <f>if(AH156,_xlfn.workday.intl(int(AH156),0,"1000000",Holidays!A:A)+18/24,"")</f>
        <v>44902.75</v>
      </c>
      <c r="AJ156" s="64">
        <f t="shared" si="24"/>
        <v>44901.52965</v>
      </c>
      <c r="AK156" s="65" t="s">
        <v>2713</v>
      </c>
      <c r="AL156" s="66" t="str">
        <f t="shared" si="9"/>
        <v/>
      </c>
      <c r="AM156" s="66"/>
      <c r="AN156" s="63">
        <f>if(AJ156,if(and(hour(AJ156+AN$5)&gt;11,(hour(AJ156+AN$5)&lt;20)),AJ156+AN$5,_xlfn.workday.intl(int(AJ156),1,"1000000",Holidays!A:A)+hour(AJ156+AN$5-$B$1)/24+minute(AJ156)/1440),"")</f>
        <v>44902.52965</v>
      </c>
      <c r="AO156" s="64">
        <f t="shared" si="15"/>
        <v>44901.52965</v>
      </c>
      <c r="AP156" s="65" t="s">
        <v>2713</v>
      </c>
      <c r="AQ156" s="66" t="str">
        <f t="shared" si="16"/>
        <v/>
      </c>
      <c r="AR156" s="66"/>
      <c r="AS156" s="63">
        <f>if(AJ156,if(and(hour(AJ156+AS$5)&gt;11,(hour(AJ156+AS$5)&lt;20)),AJ156+AS$5,_xlfn.workday.intl(int(AJ156),1,"1000000",Holidays!A:A)+hour(AJ156+AS$5-$B$1)/24+minute(AJ156)/1440),"")</f>
        <v>44903.52965</v>
      </c>
      <c r="AT156" s="64">
        <f t="shared" si="21"/>
        <v>44901.52965</v>
      </c>
      <c r="AU156" s="65" t="s">
        <v>2715</v>
      </c>
      <c r="AV156" s="66" t="str">
        <f t="shared" si="25"/>
        <v/>
      </c>
      <c r="AW156" s="66"/>
      <c r="AX156" s="65" t="s">
        <v>2713</v>
      </c>
    </row>
    <row r="157">
      <c r="A157" s="55">
        <v>44887.45078572917</v>
      </c>
      <c r="B157" s="56"/>
      <c r="C157" s="57"/>
      <c r="D157" s="57"/>
      <c r="E157" s="57"/>
      <c r="F157" s="57"/>
      <c r="G157" s="58">
        <f>if(A157,_xlfn.workday.intl(int(A157),1,"1000000",Holidays!A:A)+17/24,"")</f>
        <v>44888.70833</v>
      </c>
      <c r="H157" s="59" t="str">
        <f t="shared" si="23"/>
        <v/>
      </c>
      <c r="I157" s="60"/>
      <c r="J157" s="61">
        <f t="shared" si="2"/>
        <v>1245.275577</v>
      </c>
      <c r="K157" s="58">
        <f>if(G157,_xlfn.workday.intl(int(G157),0,"1000000",Holidays!A:A)+19/24,"")</f>
        <v>44888.79167</v>
      </c>
      <c r="L157" s="59" t="str">
        <f t="shared" si="3"/>
        <v/>
      </c>
      <c r="M157" s="20"/>
      <c r="N157" s="61">
        <f t="shared" si="4"/>
        <v>1245.192243</v>
      </c>
      <c r="O157" s="63">
        <f>if(A157,_xlfn.WORKDAY.INTL(A157,O$5,"1000000",Holidays!A:A)+hour(A157)/24+MINUTE(A157)/1440,"")</f>
        <v>44888.45069</v>
      </c>
      <c r="P157" s="64">
        <v>44916.78862010417</v>
      </c>
      <c r="Q157" s="65" t="s">
        <v>2713</v>
      </c>
      <c r="R157" s="66">
        <f t="shared" si="5"/>
        <v>28.33792566</v>
      </c>
      <c r="S157" s="66"/>
      <c r="T157" s="65" t="s">
        <v>2713</v>
      </c>
      <c r="U157" s="64">
        <f>if(O157,_xlfn.WORKDAY.INTL(O157,U$5,"1000000",Holidays!A:A)+hour(O157)/24+MINUTE(O157)/1440,"")</f>
        <v>44889.45069</v>
      </c>
      <c r="V157" s="64" t="str">
        <f t="shared" si="6"/>
        <v/>
      </c>
      <c r="W157" s="66"/>
      <c r="X157" s="66">
        <f t="shared" si="7"/>
        <v>1244.533215</v>
      </c>
      <c r="Y157" s="66"/>
      <c r="Z157" s="66"/>
      <c r="AA157" s="66"/>
      <c r="AB157" s="67">
        <v>1.0</v>
      </c>
      <c r="AC157" s="63"/>
      <c r="AD157" s="63"/>
      <c r="AE157" s="63"/>
      <c r="AF157" s="63"/>
      <c r="AG157" s="63"/>
      <c r="AH157" s="63">
        <f t="shared" si="14"/>
        <v>44917.78862</v>
      </c>
      <c r="AI157" s="63">
        <f>if(AH157,_xlfn.workday.intl(int(AH157),0,"1000000",Holidays!A:A)+18/24,"")</f>
        <v>44917.75</v>
      </c>
      <c r="AJ157" s="64" t="str">
        <f t="shared" si="24"/>
        <v/>
      </c>
      <c r="AK157" s="56"/>
      <c r="AL157" s="66">
        <f t="shared" si="9"/>
        <v>1216.23391</v>
      </c>
      <c r="AM157" s="66"/>
      <c r="AN157" s="63" t="str">
        <f>if(AJ157,if(and(hour(AJ157+AN$5)&gt;11,(hour(AJ157+AN$5)&lt;20)),AJ157+AN$5,_xlfn.workday.intl(int(AJ157),1,"1000000",Holidays!A:A)+hour(AJ157+AN$5-$B$1)/24+minute(AJ157)/1440),"")</f>
        <v/>
      </c>
      <c r="AO157" s="64" t="str">
        <f t="shared" si="15"/>
        <v/>
      </c>
      <c r="AP157" s="56"/>
      <c r="AQ157" s="66" t="str">
        <f t="shared" si="16"/>
        <v/>
      </c>
      <c r="AR157" s="66"/>
      <c r="AS157" s="63" t="str">
        <f>if(AJ157,if(and(hour(AJ157+AS$5)&gt;11,(hour(AJ157+AS$5)&lt;20)),AJ157+AS$5,_xlfn.workday.intl(int(AJ157),1,"1000000",Holidays!A:A)+hour(AJ157+AS$5-$B$1)/24+minute(AJ157)/1440),"")</f>
        <v/>
      </c>
      <c r="AT157" s="64" t="str">
        <f t="shared" si="21"/>
        <v/>
      </c>
      <c r="AU157" s="56"/>
      <c r="AV157" s="66" t="str">
        <f t="shared" si="25"/>
        <v/>
      </c>
      <c r="AW157" s="66"/>
      <c r="AX157" s="65" t="s">
        <v>2746</v>
      </c>
      <c r="AY157" s="11">
        <v>44912.0</v>
      </c>
    </row>
    <row r="158">
      <c r="A158" s="55">
        <v>44887.56955421296</v>
      </c>
      <c r="B158" s="56"/>
      <c r="C158" s="57"/>
      <c r="D158" s="57"/>
      <c r="E158" s="57"/>
      <c r="F158" s="57"/>
      <c r="G158" s="58">
        <f>if(A158,_xlfn.workday.intl(int(A158),1,"1000000",Holidays!A:A)+17/24,"")</f>
        <v>44888.70833</v>
      </c>
      <c r="H158" s="59" t="str">
        <f t="shared" si="23"/>
        <v/>
      </c>
      <c r="I158" s="60"/>
      <c r="J158" s="61">
        <f t="shared" si="2"/>
        <v>1245.275577</v>
      </c>
      <c r="K158" s="58">
        <f>if(G158,_xlfn.workday.intl(int(G158),0,"1000000",Holidays!A:A)+19/24,"")</f>
        <v>44888.79167</v>
      </c>
      <c r="L158" s="59" t="str">
        <f t="shared" si="3"/>
        <v/>
      </c>
      <c r="M158" s="20"/>
      <c r="N158" s="61">
        <f t="shared" si="4"/>
        <v>1245.192243</v>
      </c>
      <c r="O158" s="63">
        <f>if(A158,_xlfn.WORKDAY.INTL(A158,O$5,"1000000",Holidays!A:A)+hour(A158)/24+MINUTE(A158)/1440,"")</f>
        <v>44888.56944</v>
      </c>
      <c r="P158" s="64">
        <v>44916.78859642361</v>
      </c>
      <c r="Q158" s="65" t="s">
        <v>2713</v>
      </c>
      <c r="R158" s="66">
        <f t="shared" si="5"/>
        <v>28.21915198</v>
      </c>
      <c r="S158" s="66"/>
      <c r="T158" s="65"/>
      <c r="U158" s="64">
        <f>if(O158,_xlfn.WORKDAY.INTL(O158,U$5,"1000000",Holidays!A:A)+hour(O158)/24+MINUTE(O158)/1440,"")</f>
        <v>44889.56944</v>
      </c>
      <c r="V158" s="64" t="str">
        <f t="shared" si="6"/>
        <v/>
      </c>
      <c r="W158" s="66"/>
      <c r="X158" s="66">
        <f t="shared" si="7"/>
        <v>1244.414465</v>
      </c>
      <c r="Y158" s="66"/>
      <c r="Z158" s="66"/>
      <c r="AA158" s="66"/>
      <c r="AB158" s="67">
        <v>1.0</v>
      </c>
      <c r="AC158" s="63"/>
      <c r="AD158" s="63"/>
      <c r="AE158" s="63"/>
      <c r="AF158" s="63"/>
      <c r="AG158" s="63"/>
      <c r="AH158" s="63">
        <f t="shared" si="14"/>
        <v>44917.7886</v>
      </c>
      <c r="AI158" s="63">
        <f>if(AH158,_xlfn.workday.intl(int(AH158),0,"1000000",Holidays!A:A)+18/24,"")</f>
        <v>44917.75</v>
      </c>
      <c r="AJ158" s="64" t="str">
        <f t="shared" si="24"/>
        <v/>
      </c>
      <c r="AK158" s="56"/>
      <c r="AL158" s="66">
        <f t="shared" si="9"/>
        <v>1216.23391</v>
      </c>
      <c r="AM158" s="66"/>
      <c r="AN158" s="63" t="str">
        <f>if(AJ158,if(and(hour(AJ158+AN$5)&gt;11,(hour(AJ158+AN$5)&lt;20)),AJ158+AN$5,_xlfn.workday.intl(int(AJ158),1,"1000000",Holidays!A:A)+hour(AJ158+AN$5-$B$1)/24+minute(AJ158)/1440),"")</f>
        <v/>
      </c>
      <c r="AO158" s="64" t="str">
        <f t="shared" si="15"/>
        <v/>
      </c>
      <c r="AP158" s="56"/>
      <c r="AQ158" s="66" t="str">
        <f t="shared" si="16"/>
        <v/>
      </c>
      <c r="AR158" s="66"/>
      <c r="AS158" s="63" t="str">
        <f>if(AJ158,if(and(hour(AJ158+AS$5)&gt;11,(hour(AJ158+AS$5)&lt;20)),AJ158+AS$5,_xlfn.workday.intl(int(AJ158),1,"1000000",Holidays!A:A)+hour(AJ158+AS$5-$B$1)/24+minute(AJ158)/1440),"")</f>
        <v/>
      </c>
      <c r="AT158" s="64" t="str">
        <f t="shared" si="21"/>
        <v/>
      </c>
      <c r="AU158" s="56"/>
      <c r="AV158" s="66" t="str">
        <f t="shared" si="25"/>
        <v/>
      </c>
      <c r="AW158" s="66"/>
      <c r="AX158" s="65" t="s">
        <v>2747</v>
      </c>
    </row>
    <row r="159">
      <c r="A159" s="55">
        <v>44890.49453783565</v>
      </c>
      <c r="B159" s="56"/>
      <c r="C159" s="57"/>
      <c r="D159" s="57"/>
      <c r="E159" s="57"/>
      <c r="F159" s="57"/>
      <c r="G159" s="58">
        <f>if(A159,_xlfn.workday.intl(int(A159),1,"1000000",Holidays!A:A)+17/24,"")</f>
        <v>44891.70833</v>
      </c>
      <c r="H159" s="59" t="str">
        <f t="shared" si="23"/>
        <v/>
      </c>
      <c r="I159" s="60"/>
      <c r="J159" s="61">
        <f t="shared" si="2"/>
        <v>1242.275577</v>
      </c>
      <c r="K159" s="58">
        <f>if(G159,_xlfn.workday.intl(int(G159),0,"1000000",Holidays!A:A)+19/24,"")</f>
        <v>44891.79167</v>
      </c>
      <c r="L159" s="59" t="str">
        <f t="shared" si="3"/>
        <v/>
      </c>
      <c r="M159" s="20"/>
      <c r="N159" s="61">
        <f t="shared" si="4"/>
        <v>1242.192243</v>
      </c>
      <c r="O159" s="63">
        <f>if(A159,_xlfn.WORKDAY.INTL(A159,O$5,"1000000",Holidays!A:A)+hour(A159)/24+MINUTE(A159)/1440,"")</f>
        <v>44891.49444</v>
      </c>
      <c r="P159" s="64">
        <v>44916.745680057866</v>
      </c>
      <c r="Q159" s="65" t="s">
        <v>2713</v>
      </c>
      <c r="R159" s="66">
        <f t="shared" si="5"/>
        <v>25.25123561</v>
      </c>
      <c r="S159" s="66"/>
      <c r="T159" s="65"/>
      <c r="U159" s="64">
        <f>if(O159,_xlfn.WORKDAY.INTL(O159,U$5,"1000000",Holidays!A:A)+hour(O159)/24+MINUTE(O159)/1440,"")</f>
        <v>44892.49444</v>
      </c>
      <c r="V159" s="64" t="str">
        <f t="shared" si="6"/>
        <v/>
      </c>
      <c r="W159" s="66"/>
      <c r="X159" s="66">
        <f t="shared" si="7"/>
        <v>1241.489465</v>
      </c>
      <c r="Y159" s="66"/>
      <c r="Z159" s="66"/>
      <c r="AA159" s="66"/>
      <c r="AB159" s="67">
        <v>1.0</v>
      </c>
      <c r="AC159" s="63"/>
      <c r="AD159" s="63"/>
      <c r="AE159" s="63"/>
      <c r="AF159" s="63"/>
      <c r="AG159" s="63"/>
      <c r="AH159" s="63">
        <f t="shared" si="14"/>
        <v>44917.74568</v>
      </c>
      <c r="AI159" s="63">
        <f>if(AH159,_xlfn.workday.intl(int(AH159),0,"1000000",Holidays!A:A)+18/24,"")</f>
        <v>44917.75</v>
      </c>
      <c r="AJ159" s="64" t="str">
        <f t="shared" si="24"/>
        <v/>
      </c>
      <c r="AK159" s="56"/>
      <c r="AL159" s="66">
        <f t="shared" si="9"/>
        <v>1216.23391</v>
      </c>
      <c r="AM159" s="66"/>
      <c r="AN159" s="63" t="str">
        <f>if(AJ159,if(and(hour(AJ159+AN$5)&gt;11,(hour(AJ159+AN$5)&lt;20)),AJ159+AN$5,_xlfn.workday.intl(int(AJ159),1,"1000000",Holidays!A:A)+hour(AJ159+AN$5-$B$1)/24+minute(AJ159)/1440),"")</f>
        <v/>
      </c>
      <c r="AO159" s="64" t="str">
        <f t="shared" si="15"/>
        <v/>
      </c>
      <c r="AP159" s="56"/>
      <c r="AQ159" s="66" t="str">
        <f t="shared" si="16"/>
        <v/>
      </c>
      <c r="AR159" s="66"/>
      <c r="AS159" s="63" t="str">
        <f>if(AJ159,if(and(hour(AJ159+AS$5)&gt;11,(hour(AJ159+AS$5)&lt;20)),AJ159+AS$5,_xlfn.workday.intl(int(AJ159),1,"1000000",Holidays!A:A)+hour(AJ159+AS$5-$B$1)/24+minute(AJ159)/1440),"")</f>
        <v/>
      </c>
      <c r="AT159" s="64" t="str">
        <f t="shared" si="21"/>
        <v/>
      </c>
      <c r="AU159" s="56"/>
      <c r="AV159" s="66" t="str">
        <f t="shared" si="25"/>
        <v/>
      </c>
      <c r="AW159" s="66"/>
      <c r="AX159" s="65" t="s">
        <v>2748</v>
      </c>
    </row>
    <row r="160">
      <c r="A160" s="55">
        <v>44891.74546582176</v>
      </c>
      <c r="B160" s="56"/>
      <c r="C160" s="77"/>
      <c r="D160" s="57"/>
      <c r="E160" s="57"/>
      <c r="F160" s="57"/>
      <c r="G160" s="58">
        <f>if(A160,_xlfn.workday.intl(int(A160),1,"1000000",Holidays!A:A)+17/24,"")</f>
        <v>44892.70833</v>
      </c>
      <c r="H160" s="59" t="str">
        <f t="shared" si="23"/>
        <v/>
      </c>
      <c r="I160" s="60"/>
      <c r="J160" s="61">
        <f t="shared" si="2"/>
        <v>1241.275577</v>
      </c>
      <c r="K160" s="58">
        <f>if(G160,_xlfn.workday.intl(int(G160),0,"1000000",Holidays!A:A)+19/24,"")</f>
        <v>44892.79167</v>
      </c>
      <c r="L160" s="59" t="str">
        <f t="shared" si="3"/>
        <v/>
      </c>
      <c r="M160" s="20"/>
      <c r="N160" s="61">
        <f t="shared" si="4"/>
        <v>1241.192243</v>
      </c>
      <c r="O160" s="63">
        <f>if(A160,_xlfn.WORKDAY.INTL(A160,O$5,"1000000",Holidays!A:A)+hour(A160)/24+MINUTE(A160)/1440,"")</f>
        <v>44892.74514</v>
      </c>
      <c r="P160" s="64">
        <v>44901.529654108796</v>
      </c>
      <c r="Q160" s="65" t="s">
        <v>2713</v>
      </c>
      <c r="R160" s="66">
        <f t="shared" si="5"/>
        <v>8.78451522</v>
      </c>
      <c r="S160" s="66"/>
      <c r="T160" s="65"/>
      <c r="U160" s="64">
        <f>if(O160,_xlfn.WORKDAY.INTL(O160,U$5,"1000000",Holidays!A:A)+hour(O160)/24+MINUTE(O160)/1440,"")</f>
        <v>44894.74514</v>
      </c>
      <c r="V160" s="64" t="str">
        <f t="shared" si="6"/>
        <v/>
      </c>
      <c r="W160" s="66"/>
      <c r="X160" s="66">
        <f t="shared" si="7"/>
        <v>1239.238771</v>
      </c>
      <c r="Y160" s="66"/>
      <c r="Z160" s="66"/>
      <c r="AA160" s="66"/>
      <c r="AB160" s="67">
        <v>1.0</v>
      </c>
      <c r="AC160" s="67">
        <v>2.0</v>
      </c>
      <c r="AD160" s="63"/>
      <c r="AE160" s="63"/>
      <c r="AF160" s="63"/>
      <c r="AG160" s="63"/>
      <c r="AH160" s="63">
        <f t="shared" si="14"/>
        <v>44904.52965</v>
      </c>
      <c r="AI160" s="63">
        <f>if(AH160,_xlfn.workday.intl(int(AH160),0,"1000000",Holidays!A:A)+18/24,"")</f>
        <v>44904.75</v>
      </c>
      <c r="AJ160" s="64" t="str">
        <f t="shared" si="24"/>
        <v/>
      </c>
      <c r="AK160" s="56"/>
      <c r="AL160" s="66">
        <f t="shared" si="9"/>
        <v>1229.23391</v>
      </c>
      <c r="AM160" s="66"/>
      <c r="AN160" s="63" t="str">
        <f>if(AJ160,if(and(hour(AJ160+AN$5)&gt;11,(hour(AJ160+AN$5)&lt;20)),AJ160+AN$5,_xlfn.workday.intl(int(AJ160),1,"1000000",Holidays!A:A)+hour(AJ160+AN$5-$B$1)/24+minute(AJ160)/1440),"")</f>
        <v/>
      </c>
      <c r="AO160" s="64" t="str">
        <f t="shared" si="15"/>
        <v/>
      </c>
      <c r="AP160" s="56"/>
      <c r="AQ160" s="66" t="str">
        <f t="shared" si="16"/>
        <v/>
      </c>
      <c r="AR160" s="66"/>
      <c r="AS160" s="63" t="str">
        <f>if(AJ160,if(and(hour(AJ160+AS$5)&gt;11,(hour(AJ160+AS$5)&lt;20)),AJ160+AS$5,_xlfn.workday.intl(int(AJ160),1,"1000000",Holidays!A:A)+hour(AJ160+AS$5-$B$1)/24+minute(AJ160)/1440),"")</f>
        <v/>
      </c>
      <c r="AT160" s="64" t="str">
        <f t="shared" si="21"/>
        <v/>
      </c>
      <c r="AU160" s="56"/>
      <c r="AV160" s="66" t="str">
        <f t="shared" si="25"/>
        <v/>
      </c>
      <c r="AW160" s="66"/>
      <c r="AX160" s="65" t="s">
        <v>2749</v>
      </c>
    </row>
    <row r="161">
      <c r="A161" s="55">
        <v>44895.65641516204</v>
      </c>
      <c r="B161" s="56"/>
      <c r="C161" s="57"/>
      <c r="D161" s="57"/>
      <c r="E161" s="57"/>
      <c r="F161" s="57"/>
      <c r="G161" s="58">
        <f>if(A161,_xlfn.workday.intl(int(A161),1,"1000000",Holidays!A:A)+17/24,"")</f>
        <v>44896.70833</v>
      </c>
      <c r="H161" s="59" t="str">
        <f t="shared" si="23"/>
        <v/>
      </c>
      <c r="I161" s="60"/>
      <c r="J161" s="61">
        <f t="shared" si="2"/>
        <v>1237.275577</v>
      </c>
      <c r="K161" s="58">
        <f>if(G161,_xlfn.workday.intl(int(G161),0,"1000000",Holidays!A:A)+19/24,"")</f>
        <v>44896.79167</v>
      </c>
      <c r="L161" s="59" t="str">
        <f t="shared" si="3"/>
        <v/>
      </c>
      <c r="M161" s="20"/>
      <c r="N161" s="61">
        <f t="shared" si="4"/>
        <v>1237.192243</v>
      </c>
      <c r="O161" s="63">
        <f>if(A161,_xlfn.WORKDAY.INTL(A161,O$5,"1000000",Holidays!A:A)+hour(A161)/24+MINUTE(A161)/1440,"")</f>
        <v>44896.65625</v>
      </c>
      <c r="P161" s="64">
        <v>44903.515534895836</v>
      </c>
      <c r="Q161" s="65" t="s">
        <v>2713</v>
      </c>
      <c r="R161" s="66">
        <f t="shared" si="5"/>
        <v>6.859284896</v>
      </c>
      <c r="S161" s="66"/>
      <c r="T161" s="65" t="s">
        <v>2713</v>
      </c>
      <c r="U161" s="64">
        <f>if(O161,_xlfn.WORKDAY.INTL(O161,U$5,"1000000",Holidays!A:A)+hour(O161)/24+MINUTE(O161)/1440,"")</f>
        <v>44897.65625</v>
      </c>
      <c r="V161" s="64">
        <f t="shared" si="6"/>
        <v>44916.74306</v>
      </c>
      <c r="W161" s="65" t="s">
        <v>2713</v>
      </c>
      <c r="X161" s="66">
        <f t="shared" si="7"/>
        <v>19.08681198</v>
      </c>
      <c r="Y161" s="65" t="s">
        <v>2713</v>
      </c>
      <c r="Z161" s="66"/>
      <c r="AA161" s="66"/>
      <c r="AB161" s="67">
        <v>1.0</v>
      </c>
      <c r="AC161" s="67">
        <v>3.0</v>
      </c>
      <c r="AD161" s="63"/>
      <c r="AE161" s="63"/>
      <c r="AF161" s="63"/>
      <c r="AG161" s="63"/>
      <c r="AH161" s="63">
        <f t="shared" si="14"/>
        <v>44907.51553</v>
      </c>
      <c r="AI161" s="63">
        <f>if(AH161,_xlfn.workday.intl(int(AH161),0,"1000000",Holidays!A:A)+18/24,"")</f>
        <v>44907.75</v>
      </c>
      <c r="AJ161" s="64">
        <f t="shared" si="24"/>
        <v>44903.51553</v>
      </c>
      <c r="AK161" s="65" t="s">
        <v>2713</v>
      </c>
      <c r="AL161" s="66" t="str">
        <f t="shared" si="9"/>
        <v/>
      </c>
      <c r="AM161" s="66"/>
      <c r="AN161" s="63">
        <f>if(AJ161,if(and(hour(AJ161+AN$5)&gt;11,(hour(AJ161+AN$5)&lt;20)),AJ161+AN$5,_xlfn.workday.intl(int(AJ161),1,"1000000",Holidays!A:A)+hour(AJ161+AN$5-$B$1)/24+minute(AJ161)/1440),"")</f>
        <v>44904.51553</v>
      </c>
      <c r="AO161" s="64">
        <f t="shared" si="15"/>
        <v>44903.51553</v>
      </c>
      <c r="AP161" s="65" t="s">
        <v>2713</v>
      </c>
      <c r="AQ161" s="66" t="str">
        <f t="shared" si="16"/>
        <v/>
      </c>
      <c r="AR161" s="66"/>
      <c r="AS161" s="63">
        <f>if(AJ161,if(and(hour(AJ161+AS$5)&gt;11,(hour(AJ161+AS$5)&lt;20)),AJ161+AS$5,_xlfn.workday.intl(int(AJ161),1,"1000000",Holidays!A:A)+hour(AJ161+AS$5-$B$1)/24+minute(AJ161)/1440),"")</f>
        <v>44905.51553</v>
      </c>
      <c r="AT161" s="64">
        <f t="shared" si="21"/>
        <v>44903.51553</v>
      </c>
      <c r="AU161" s="65" t="s">
        <v>2715</v>
      </c>
      <c r="AV161" s="66" t="str">
        <f t="shared" si="25"/>
        <v/>
      </c>
      <c r="AW161" s="66"/>
      <c r="AX161" s="65" t="s">
        <v>2713</v>
      </c>
    </row>
    <row r="162">
      <c r="A162" s="55">
        <v>44901.494810081014</v>
      </c>
      <c r="B162" s="56"/>
      <c r="C162" s="57"/>
      <c r="D162" s="57"/>
      <c r="E162" s="57"/>
      <c r="F162" s="57"/>
      <c r="G162" s="58">
        <f>if(A162,_xlfn.workday.intl(int(A162),1,"1000000",Holidays!A:A)+17/24,"")</f>
        <v>44902.70833</v>
      </c>
      <c r="H162" s="59" t="str">
        <f t="shared" si="23"/>
        <v/>
      </c>
      <c r="I162" s="60"/>
      <c r="J162" s="61">
        <f t="shared" si="2"/>
        <v>1231.275577</v>
      </c>
      <c r="K162" s="58">
        <f>if(G162,_xlfn.workday.intl(int(G162),0,"1000000",Holidays!A:A)+19/24,"")</f>
        <v>44902.79167</v>
      </c>
      <c r="L162" s="59" t="str">
        <f t="shared" si="3"/>
        <v/>
      </c>
      <c r="M162" s="20"/>
      <c r="N162" s="61">
        <f t="shared" si="4"/>
        <v>1231.192243</v>
      </c>
      <c r="O162" s="63">
        <f>if(A162,_xlfn.WORKDAY.INTL(A162,O$5,"1000000",Holidays!A:A)+hour(A162)/24+MINUTE(A162)/1440,"")</f>
        <v>44902.49444</v>
      </c>
      <c r="P162" s="64">
        <v>44916.74288288194</v>
      </c>
      <c r="Q162" s="65" t="s">
        <v>2713</v>
      </c>
      <c r="R162" s="66">
        <f t="shared" si="5"/>
        <v>14.24843844</v>
      </c>
      <c r="S162" s="66"/>
      <c r="T162" s="65" t="s">
        <v>2713</v>
      </c>
      <c r="U162" s="64">
        <f>if(O162,_xlfn.WORKDAY.INTL(O162,U$5,"1000000",Holidays!A:A)+hour(O162)/24+MINUTE(O162)/1440,"")</f>
        <v>44903.49444</v>
      </c>
      <c r="V162" s="64">
        <f t="shared" si="6"/>
        <v>44917.58186</v>
      </c>
      <c r="W162" s="65" t="s">
        <v>2713</v>
      </c>
      <c r="X162" s="66">
        <f t="shared" si="7"/>
        <v>14.08741744</v>
      </c>
      <c r="Y162" s="65" t="s">
        <v>2713</v>
      </c>
      <c r="Z162" s="66"/>
      <c r="AA162" s="66"/>
      <c r="AB162" s="67">
        <v>1.0</v>
      </c>
      <c r="AC162" s="67">
        <v>2.0</v>
      </c>
      <c r="AD162" s="67">
        <v>3.0</v>
      </c>
      <c r="AE162" s="63"/>
      <c r="AF162" s="63"/>
      <c r="AG162" s="67" t="s">
        <v>2736</v>
      </c>
      <c r="AH162" s="63">
        <f t="shared" si="14"/>
        <v>44922.74288</v>
      </c>
      <c r="AI162" s="63">
        <f>if(AH162,_xlfn.workday.intl(int(AH162),0,"1000000",Holidays!A:A)+18/24,"")</f>
        <v>44922.75</v>
      </c>
      <c r="AJ162" s="64" t="str">
        <f t="shared" si="24"/>
        <v/>
      </c>
      <c r="AK162" s="56"/>
      <c r="AL162" s="66">
        <f t="shared" si="9"/>
        <v>1211.23391</v>
      </c>
      <c r="AM162" s="66"/>
      <c r="AN162" s="63" t="str">
        <f>if(AJ162,if(and(hour(AJ162+AN$5)&gt;11,(hour(AJ162+AN$5)&lt;20)),AJ162+AN$5,_xlfn.workday.intl(int(AJ162),1,"1000000",Holidays!A:A)+hour(AJ162+AN$5-$B$1)/24+minute(AJ162)/1440),"")</f>
        <v/>
      </c>
      <c r="AO162" s="64" t="str">
        <f t="shared" si="15"/>
        <v/>
      </c>
      <c r="AP162" s="56"/>
      <c r="AQ162" s="66" t="str">
        <f t="shared" si="16"/>
        <v/>
      </c>
      <c r="AR162" s="66"/>
      <c r="AS162" s="63" t="str">
        <f>if(AJ162,if(and(hour(AJ162+AS$5)&gt;11,(hour(AJ162+AS$5)&lt;20)),AJ162+AS$5,_xlfn.workday.intl(int(AJ162),1,"1000000",Holidays!A:A)+hour(AJ162+AS$5-$B$1)/24+minute(AJ162)/1440),"")</f>
        <v/>
      </c>
      <c r="AT162" s="64" t="str">
        <f t="shared" si="21"/>
        <v/>
      </c>
      <c r="AU162" s="56"/>
      <c r="AV162" s="66" t="str">
        <f t="shared" si="25"/>
        <v/>
      </c>
      <c r="AW162" s="66"/>
      <c r="AX162" s="65" t="s">
        <v>2750</v>
      </c>
    </row>
    <row r="163">
      <c r="A163" s="55">
        <v>44901.49693206018</v>
      </c>
      <c r="B163" s="56"/>
      <c r="C163" s="57"/>
      <c r="D163" s="57"/>
      <c r="E163" s="57"/>
      <c r="F163" s="57"/>
      <c r="G163" s="58">
        <f>if(A163,_xlfn.workday.intl(int(A163),1,"1000000",Holidays!A:A)+17/24,"")</f>
        <v>44902.70833</v>
      </c>
      <c r="H163" s="59" t="str">
        <f t="shared" si="23"/>
        <v/>
      </c>
      <c r="I163" s="60"/>
      <c r="J163" s="61">
        <f t="shared" si="2"/>
        <v>1231.275577</v>
      </c>
      <c r="K163" s="58">
        <f>if(G163,_xlfn.workday.intl(int(G163),0,"1000000",Holidays!A:A)+19/24,"")</f>
        <v>44902.79167</v>
      </c>
      <c r="L163" s="59" t="str">
        <f t="shared" si="3"/>
        <v/>
      </c>
      <c r="M163" s="20"/>
      <c r="N163" s="61">
        <f t="shared" si="4"/>
        <v>1231.192243</v>
      </c>
      <c r="O163" s="63">
        <f>if(A163,_xlfn.WORKDAY.INTL(A163,O$5,"1000000",Holidays!A:A)+hour(A163)/24+MINUTE(A163)/1440,"")</f>
        <v>44902.49653</v>
      </c>
      <c r="P163" s="64">
        <v>44901.529654108796</v>
      </c>
      <c r="Q163" s="65" t="s">
        <v>2713</v>
      </c>
      <c r="R163" s="66" t="str">
        <f t="shared" si="5"/>
        <v/>
      </c>
      <c r="S163" s="66"/>
      <c r="T163" s="65"/>
      <c r="U163" s="64">
        <f>if(O163,_xlfn.WORKDAY.INTL(O163,U$5,"1000000",Holidays!A:A)+hour(O163)/24+MINUTE(O163)/1440,"")</f>
        <v>44903.49653</v>
      </c>
      <c r="V163" s="64" t="str">
        <f t="shared" si="6"/>
        <v/>
      </c>
      <c r="W163" s="66"/>
      <c r="X163" s="66">
        <f t="shared" si="7"/>
        <v>1230.487382</v>
      </c>
      <c r="Y163" s="66"/>
      <c r="Z163" s="66"/>
      <c r="AA163" s="66"/>
      <c r="AB163" s="67">
        <v>1.0</v>
      </c>
      <c r="AC163" s="67">
        <v>2.0</v>
      </c>
      <c r="AD163" s="63"/>
      <c r="AE163" s="63"/>
      <c r="AF163" s="63"/>
      <c r="AG163" s="63"/>
      <c r="AH163" s="63">
        <f t="shared" si="14"/>
        <v>44904.52965</v>
      </c>
      <c r="AI163" s="63">
        <f>if(AH163,_xlfn.workday.intl(int(AH163),0,"1000000",Holidays!A:A)+18/24,"")</f>
        <v>44904.75</v>
      </c>
      <c r="AJ163" s="64" t="str">
        <f t="shared" si="24"/>
        <v/>
      </c>
      <c r="AK163" s="56"/>
      <c r="AL163" s="66">
        <f t="shared" si="9"/>
        <v>1229.23391</v>
      </c>
      <c r="AM163" s="66"/>
      <c r="AN163" s="63" t="str">
        <f>if(AJ163,if(and(hour(AJ163+AN$5)&gt;11,(hour(AJ163+AN$5)&lt;20)),AJ163+AN$5,_xlfn.workday.intl(int(AJ163),1,"1000000",Holidays!A:A)+hour(AJ163+AN$5-$B$1)/24+minute(AJ163)/1440),"")</f>
        <v/>
      </c>
      <c r="AO163" s="64" t="str">
        <f t="shared" si="15"/>
        <v/>
      </c>
      <c r="AP163" s="56"/>
      <c r="AQ163" s="66" t="str">
        <f t="shared" si="16"/>
        <v/>
      </c>
      <c r="AR163" s="66"/>
      <c r="AS163" s="63" t="str">
        <f>if(AJ163,if(and(hour(AJ163+AS$5)&gt;11,(hour(AJ163+AS$5)&lt;20)),AJ163+AS$5,_xlfn.workday.intl(int(AJ163),1,"1000000",Holidays!A:A)+hour(AJ163+AS$5-$B$1)/24+minute(AJ163)/1440),"")</f>
        <v/>
      </c>
      <c r="AT163" s="64" t="str">
        <f t="shared" si="21"/>
        <v/>
      </c>
      <c r="AU163" s="56"/>
      <c r="AV163" s="66" t="str">
        <f t="shared" si="25"/>
        <v/>
      </c>
      <c r="AW163" s="66"/>
      <c r="AX163" s="65" t="s">
        <v>2751</v>
      </c>
    </row>
    <row r="164">
      <c r="A164" s="55">
        <v>44902.70434711805</v>
      </c>
      <c r="B164" s="56"/>
      <c r="C164" s="57"/>
      <c r="D164" s="57"/>
      <c r="E164" s="57"/>
      <c r="F164" s="57"/>
      <c r="G164" s="58">
        <f>if(A164,_xlfn.workday.intl(int(A164),1,"1000000",Holidays!A:A)+17/24,"")</f>
        <v>44903.70833</v>
      </c>
      <c r="H164" s="59" t="str">
        <f t="shared" si="23"/>
        <v/>
      </c>
      <c r="I164" s="60"/>
      <c r="J164" s="61">
        <f t="shared" si="2"/>
        <v>1230.275577</v>
      </c>
      <c r="K164" s="58">
        <f>if(G164,_xlfn.workday.intl(int(G164),0,"1000000",Holidays!A:A)+19/24,"")</f>
        <v>44903.79167</v>
      </c>
      <c r="L164" s="59" t="str">
        <f t="shared" si="3"/>
        <v/>
      </c>
      <c r="M164" s="20"/>
      <c r="N164" s="61">
        <f t="shared" si="4"/>
        <v>1230.192243</v>
      </c>
      <c r="O164" s="63">
        <f>if(A164,_xlfn.WORKDAY.INTL(A164,O$5,"1000000",Holidays!A:A)+hour(A164)/24+MINUTE(A164)/1440,"")</f>
        <v>44903.70417</v>
      </c>
      <c r="P164" s="64">
        <v>44916.74179840278</v>
      </c>
      <c r="Q164" s="65" t="s">
        <v>2713</v>
      </c>
      <c r="R164" s="66">
        <f t="shared" si="5"/>
        <v>13.03763174</v>
      </c>
      <c r="S164" s="66"/>
      <c r="T164" s="65" t="s">
        <v>2713</v>
      </c>
      <c r="U164" s="64">
        <f>if(O164,_xlfn.WORKDAY.INTL(O164,U$5,"1000000",Holidays!A:A)+hour(O164)/24+MINUTE(O164)/1440,"")</f>
        <v>44904.70417</v>
      </c>
      <c r="V164" s="64">
        <f t="shared" si="6"/>
        <v>44916.74183</v>
      </c>
      <c r="W164" s="65" t="s">
        <v>2713</v>
      </c>
      <c r="X164" s="66">
        <f t="shared" si="7"/>
        <v>12.03766826</v>
      </c>
      <c r="Y164" s="66"/>
      <c r="Z164" s="66"/>
      <c r="AA164" s="66"/>
      <c r="AB164" s="67">
        <v>1.0</v>
      </c>
      <c r="AC164" s="67">
        <v>2.0</v>
      </c>
      <c r="AD164" s="67">
        <v>3.0</v>
      </c>
      <c r="AE164" s="67">
        <v>4.0</v>
      </c>
      <c r="AF164" s="67">
        <v>6.0</v>
      </c>
      <c r="AG164" s="67"/>
      <c r="AH164" s="63">
        <f t="shared" si="14"/>
        <v>44932.7418</v>
      </c>
      <c r="AI164" s="63">
        <f>if(AH164,_xlfn.workday.intl(int(AH164),0,"1000000",Holidays!A:A)+18/24,"")</f>
        <v>44932.75</v>
      </c>
      <c r="AJ164" s="64">
        <f t="shared" si="24"/>
        <v>44916.74191</v>
      </c>
      <c r="AK164" s="65" t="s">
        <v>2713</v>
      </c>
      <c r="AL164" s="66" t="str">
        <f t="shared" si="9"/>
        <v/>
      </c>
      <c r="AM164" s="66"/>
      <c r="AN164" s="63">
        <f>if(AJ164,if(and(hour(AJ164+AN$5)&gt;11,(hour(AJ164+AN$5)&lt;20)),AJ164+AN$5,_xlfn.workday.intl(int(AJ164),1,"1000000",Holidays!A:A)+hour(AJ164+AN$5-$B$1)/24+minute(AJ164)/1440),"")</f>
        <v>44917.74191</v>
      </c>
      <c r="AO164" s="64">
        <f t="shared" si="15"/>
        <v>44916.74234</v>
      </c>
      <c r="AP164" s="65" t="s">
        <v>2721</v>
      </c>
      <c r="AQ164" s="66" t="str">
        <f t="shared" si="16"/>
        <v/>
      </c>
      <c r="AR164" s="66"/>
      <c r="AS164" s="63">
        <f>if(AJ164,if(and(hour(AJ164+AS$5)&gt;11,(hour(AJ164+AS$5)&lt;20)),AJ164+AS$5,_xlfn.workday.intl(int(AJ164),1,"1000000",Holidays!A:A)+hour(AJ164+AS$5-$B$1)/24+minute(AJ164)/1440),"")</f>
        <v>44918.74191</v>
      </c>
      <c r="AT164" s="64">
        <f t="shared" si="21"/>
        <v>44916.74242</v>
      </c>
      <c r="AU164" s="65" t="s">
        <v>2715</v>
      </c>
      <c r="AV164" s="66" t="str">
        <f t="shared" si="25"/>
        <v/>
      </c>
      <c r="AW164" s="66"/>
      <c r="AX164" s="65" t="s">
        <v>2713</v>
      </c>
    </row>
    <row r="165">
      <c r="A165" s="55">
        <v>44903.49353795139</v>
      </c>
      <c r="B165" s="56"/>
      <c r="C165" s="57"/>
      <c r="D165" s="57"/>
      <c r="E165" s="57"/>
      <c r="F165" s="57"/>
      <c r="G165" s="58">
        <f>if(A165,_xlfn.workday.intl(int(A165),1,"1000000",Holidays!A:A)+17/24,"")</f>
        <v>44904.70833</v>
      </c>
      <c r="H165" s="59" t="str">
        <f t="shared" si="23"/>
        <v/>
      </c>
      <c r="I165" s="60"/>
      <c r="J165" s="61">
        <f t="shared" si="2"/>
        <v>1229.275577</v>
      </c>
      <c r="K165" s="58">
        <f>if(G165,_xlfn.workday.intl(int(G165),0,"1000000",Holidays!A:A)+19/24,"")</f>
        <v>44904.79167</v>
      </c>
      <c r="L165" s="59" t="str">
        <f t="shared" si="3"/>
        <v/>
      </c>
      <c r="M165" s="20"/>
      <c r="N165" s="61">
        <f t="shared" si="4"/>
        <v>1229.192243</v>
      </c>
      <c r="O165" s="63">
        <f>if(A165,_xlfn.WORKDAY.INTL(A165,O$5,"1000000",Holidays!A:A)+hour(A165)/24+MINUTE(A165)/1440,"")</f>
        <v>44904.49306</v>
      </c>
      <c r="P165" s="64">
        <v>44905.570891967596</v>
      </c>
      <c r="Q165" s="65" t="s">
        <v>2713</v>
      </c>
      <c r="R165" s="66">
        <f t="shared" si="5"/>
        <v>1.077836412</v>
      </c>
      <c r="S165" s="66"/>
      <c r="T165" s="65" t="s">
        <v>2713</v>
      </c>
      <c r="U165" s="64">
        <f>if(O165,_xlfn.WORKDAY.INTL(O165,U$5,"1000000",Holidays!A:A)+hour(O165)/24+MINUTE(O165)/1440,"")</f>
        <v>44905.49306</v>
      </c>
      <c r="V165" s="64">
        <f t="shared" si="6"/>
        <v>44915.74968</v>
      </c>
      <c r="W165" s="65" t="s">
        <v>2713</v>
      </c>
      <c r="X165" s="66">
        <f t="shared" si="7"/>
        <v>10.25662475</v>
      </c>
      <c r="Y165" s="66"/>
      <c r="Z165" s="66"/>
      <c r="AA165" s="66"/>
      <c r="AB165" s="67">
        <v>1.0</v>
      </c>
      <c r="AC165" s="63"/>
      <c r="AD165" s="63"/>
      <c r="AE165" s="63"/>
      <c r="AF165" s="63"/>
      <c r="AG165" s="63"/>
      <c r="AH165" s="63">
        <f t="shared" si="14"/>
        <v>44906.57089</v>
      </c>
      <c r="AI165" s="63">
        <f>if(AH165,_xlfn.workday.intl(int(AH165),0,"1000000",Holidays!A:A)+18/24,"")</f>
        <v>44906.75</v>
      </c>
      <c r="AJ165" s="64">
        <f t="shared" si="24"/>
        <v>44915.74978</v>
      </c>
      <c r="AK165" s="65" t="s">
        <v>2721</v>
      </c>
      <c r="AL165" s="66">
        <f t="shared" si="9"/>
        <v>8.999776146</v>
      </c>
      <c r="AM165" s="66"/>
      <c r="AN165" s="63">
        <f>if(AJ165,if(and(hour(AJ165+AN$5)&gt;11,(hour(AJ165+AN$5)&lt;20)),AJ165+AN$5,_xlfn.workday.intl(int(AJ165),1,"1000000",Holidays!A:A)+hour(AJ165+AN$5-$B$1)/24+minute(AJ165)/1440),"")</f>
        <v>44916.74978</v>
      </c>
      <c r="AO165" s="64">
        <f t="shared" si="15"/>
        <v>44915.74982</v>
      </c>
      <c r="AP165" s="65" t="s">
        <v>2721</v>
      </c>
      <c r="AQ165" s="66" t="str">
        <f t="shared" si="16"/>
        <v/>
      </c>
      <c r="AR165" s="66"/>
      <c r="AS165" s="63">
        <f>if(AJ165,if(and(hour(AJ165+AS$5)&gt;11,(hour(AJ165+AS$5)&lt;20)),AJ165+AS$5,_xlfn.workday.intl(int(AJ165),1,"1000000",Holidays!A:A)+hour(AJ165+AS$5-$B$1)/24+minute(AJ165)/1440),"")</f>
        <v>44917.74978</v>
      </c>
      <c r="AT165" s="64">
        <f t="shared" si="21"/>
        <v>44915.74985</v>
      </c>
      <c r="AU165" s="65" t="s">
        <v>2752</v>
      </c>
      <c r="AV165" s="66" t="str">
        <f t="shared" si="25"/>
        <v/>
      </c>
      <c r="AW165" s="66"/>
      <c r="AX165" s="65" t="s">
        <v>2721</v>
      </c>
    </row>
    <row r="166">
      <c r="A166" s="55">
        <v>44903.49480956019</v>
      </c>
      <c r="B166" s="56"/>
      <c r="C166" s="57"/>
      <c r="D166" s="57"/>
      <c r="E166" s="57"/>
      <c r="F166" s="57"/>
      <c r="G166" s="58">
        <f>if(A166,_xlfn.workday.intl(int(A166),1,"1000000",Holidays!A:A)+17/24,"")</f>
        <v>44904.70833</v>
      </c>
      <c r="H166" s="59" t="str">
        <f t="shared" si="23"/>
        <v/>
      </c>
      <c r="I166" s="60"/>
      <c r="J166" s="61">
        <f t="shared" si="2"/>
        <v>1229.275577</v>
      </c>
      <c r="K166" s="58">
        <f>if(G166,_xlfn.workday.intl(int(G166),0,"1000000",Holidays!A:A)+19/24,"")</f>
        <v>44904.79167</v>
      </c>
      <c r="L166" s="59" t="str">
        <f t="shared" si="3"/>
        <v/>
      </c>
      <c r="M166" s="20"/>
      <c r="N166" s="61">
        <f t="shared" si="4"/>
        <v>1229.192243</v>
      </c>
      <c r="O166" s="63">
        <f>if(A166,_xlfn.WORKDAY.INTL(A166,O$5,"1000000",Holidays!A:A)+hour(A166)/24+MINUTE(A166)/1440,"")</f>
        <v>44904.49444</v>
      </c>
      <c r="P166" s="64">
        <v>44916.74092836806</v>
      </c>
      <c r="Q166" s="65" t="s">
        <v>2713</v>
      </c>
      <c r="R166" s="66">
        <f t="shared" si="5"/>
        <v>12.24648392</v>
      </c>
      <c r="S166" s="66"/>
      <c r="T166" s="65" t="s">
        <v>2713</v>
      </c>
      <c r="U166" s="64">
        <f>if(O166,_xlfn.WORKDAY.INTL(O166,U$5,"1000000",Holidays!A:A)+hour(O166)/24+MINUTE(O166)/1440,"")</f>
        <v>44905.49444</v>
      </c>
      <c r="V166" s="64">
        <f t="shared" si="6"/>
        <v>44916.74098</v>
      </c>
      <c r="W166" s="65" t="s">
        <v>2713</v>
      </c>
      <c r="X166" s="66">
        <f t="shared" si="7"/>
        <v>11.24653133</v>
      </c>
      <c r="Y166" s="65" t="s">
        <v>2713</v>
      </c>
      <c r="Z166" s="66"/>
      <c r="AA166" s="66"/>
      <c r="AB166" s="67">
        <v>1.0</v>
      </c>
      <c r="AC166" s="63"/>
      <c r="AD166" s="63"/>
      <c r="AE166" s="63"/>
      <c r="AF166" s="63"/>
      <c r="AG166" s="63"/>
      <c r="AH166" s="63">
        <f t="shared" si="14"/>
        <v>44917.74093</v>
      </c>
      <c r="AI166" s="63">
        <f>if(AH166,_xlfn.workday.intl(int(AH166),0,"1000000",Holidays!A:A)+18/24,"")</f>
        <v>44917.75</v>
      </c>
      <c r="AJ166" s="64">
        <f t="shared" si="24"/>
        <v>44916.74151</v>
      </c>
      <c r="AK166" s="65" t="s">
        <v>2713</v>
      </c>
      <c r="AL166" s="66" t="str">
        <f t="shared" si="9"/>
        <v/>
      </c>
      <c r="AM166" s="66"/>
      <c r="AN166" s="63">
        <f>if(AJ166,if(and(hour(AJ166+AN$5)&gt;11,(hour(AJ166+AN$5)&lt;20)),AJ166+AN$5,_xlfn.workday.intl(int(AJ166),1,"1000000",Holidays!A:A)+hour(AJ166+AN$5-$B$1)/24+minute(AJ166)/1440),"")</f>
        <v>44917.74151</v>
      </c>
      <c r="AO166" s="64">
        <f t="shared" si="15"/>
        <v>44916.74154</v>
      </c>
      <c r="AP166" s="65" t="s">
        <v>2713</v>
      </c>
      <c r="AQ166" s="66" t="str">
        <f t="shared" si="16"/>
        <v/>
      </c>
      <c r="AR166" s="66"/>
      <c r="AS166" s="63">
        <f>if(AJ166,if(and(hour(AJ166+AS$5)&gt;11,(hour(AJ166+AS$5)&lt;20)),AJ166+AS$5,_xlfn.workday.intl(int(AJ166),1,"1000000",Holidays!A:A)+hour(AJ166+AS$5-$B$1)/24+minute(AJ166)/1440),"")</f>
        <v>44918.74151</v>
      </c>
      <c r="AT166" s="64">
        <f t="shared" si="21"/>
        <v>44915.75049</v>
      </c>
      <c r="AU166" s="65" t="s">
        <v>2752</v>
      </c>
      <c r="AV166" s="66" t="str">
        <f t="shared" si="25"/>
        <v/>
      </c>
      <c r="AW166" s="66"/>
      <c r="AX166" s="65" t="s">
        <v>2721</v>
      </c>
    </row>
    <row r="167">
      <c r="A167" s="55">
        <v>44903.79242989584</v>
      </c>
      <c r="B167" s="56"/>
      <c r="C167" s="57"/>
      <c r="D167" s="57"/>
      <c r="E167" s="57"/>
      <c r="F167" s="57"/>
      <c r="G167" s="58">
        <f>if(A167,_xlfn.workday.intl(int(A167),1,"1000000",Holidays!A:A)+17/24,"")</f>
        <v>44904.70833</v>
      </c>
      <c r="H167" s="59" t="str">
        <f t="shared" si="23"/>
        <v/>
      </c>
      <c r="I167" s="60"/>
      <c r="J167" s="61">
        <f t="shared" si="2"/>
        <v>1229.275577</v>
      </c>
      <c r="K167" s="58">
        <f>if(G167,_xlfn.workday.intl(int(G167),0,"1000000",Holidays!A:A)+19/24,"")</f>
        <v>44904.79167</v>
      </c>
      <c r="L167" s="59" t="str">
        <f t="shared" si="3"/>
        <v/>
      </c>
      <c r="M167" s="20"/>
      <c r="N167" s="61">
        <f t="shared" si="4"/>
        <v>1229.192243</v>
      </c>
      <c r="O167" s="63">
        <f>if(A167,_xlfn.WORKDAY.INTL(A167,O$5,"1000000",Holidays!A:A)+hour(A167)/24+MINUTE(A167)/1440,"")</f>
        <v>44904.79236</v>
      </c>
      <c r="P167" s="64">
        <v>44905.55713180556</v>
      </c>
      <c r="Q167" s="65" t="s">
        <v>2713</v>
      </c>
      <c r="R167" s="66">
        <f t="shared" si="5"/>
        <v>0.7647706944</v>
      </c>
      <c r="S167" s="66"/>
      <c r="T167" s="65"/>
      <c r="U167" s="64">
        <f>if(O167,_xlfn.WORKDAY.INTL(O167,U$5,"1000000",Holidays!A:A)+hour(O167)/24+MINUTE(O167)/1440,"")</f>
        <v>44905.79236</v>
      </c>
      <c r="V167" s="64" t="str">
        <f t="shared" si="6"/>
        <v/>
      </c>
      <c r="W167" s="66"/>
      <c r="X167" s="66">
        <f t="shared" si="7"/>
        <v>1228.191549</v>
      </c>
      <c r="Y167" s="66"/>
      <c r="Z167" s="66"/>
      <c r="AA167" s="66"/>
      <c r="AB167" s="67">
        <v>1.0</v>
      </c>
      <c r="AC167" s="63"/>
      <c r="AD167" s="63"/>
      <c r="AE167" s="63"/>
      <c r="AF167" s="63"/>
      <c r="AG167" s="63"/>
      <c r="AH167" s="63">
        <f t="shared" si="14"/>
        <v>44906.55713</v>
      </c>
      <c r="AI167" s="63">
        <f>if(AH167,_xlfn.workday.intl(int(AH167),0,"1000000",Holidays!A:A)+18/24,"")</f>
        <v>44906.75</v>
      </c>
      <c r="AJ167" s="64" t="str">
        <f t="shared" si="24"/>
        <v/>
      </c>
      <c r="AK167" s="56"/>
      <c r="AL167" s="66">
        <f t="shared" si="9"/>
        <v>1227.23391</v>
      </c>
      <c r="AM167" s="66"/>
      <c r="AN167" s="63" t="str">
        <f>if(AJ167,if(and(hour(AJ167+AN$5)&gt;11,(hour(AJ167+AN$5)&lt;20)),AJ167+AN$5,_xlfn.workday.intl(int(AJ167),1,"1000000",Holidays!A:A)+hour(AJ167+AN$5-$B$1)/24+minute(AJ167)/1440),"")</f>
        <v/>
      </c>
      <c r="AO167" s="64" t="str">
        <f t="shared" si="15"/>
        <v/>
      </c>
      <c r="AP167" s="56"/>
      <c r="AQ167" s="66" t="str">
        <f t="shared" si="16"/>
        <v/>
      </c>
      <c r="AR167" s="66"/>
      <c r="AS167" s="63" t="str">
        <f>if(AJ167,if(and(hour(AJ167+AS$5)&gt;11,(hour(AJ167+AS$5)&lt;20)),AJ167+AS$5,_xlfn.workday.intl(int(AJ167),1,"1000000",Holidays!A:A)+hour(AJ167+AS$5-$B$1)/24+minute(AJ167)/1440),"")</f>
        <v/>
      </c>
      <c r="AT167" s="64" t="str">
        <f t="shared" si="21"/>
        <v/>
      </c>
      <c r="AU167" s="56"/>
      <c r="AV167" s="66" t="str">
        <f t="shared" si="25"/>
        <v/>
      </c>
      <c r="AW167" s="66"/>
      <c r="AX167" s="65" t="s">
        <v>2753</v>
      </c>
    </row>
    <row r="168">
      <c r="A168" s="55">
        <v>44908.7762522338</v>
      </c>
      <c r="B168" s="56"/>
      <c r="C168" s="57"/>
      <c r="D168" s="57"/>
      <c r="E168" s="57"/>
      <c r="F168" s="57"/>
      <c r="G168" s="58">
        <f>if(A168,_xlfn.workday.intl(int(A168),1,"1000000",Holidays!A:A)+17/24,"")</f>
        <v>44909.70833</v>
      </c>
      <c r="H168" s="59" t="str">
        <f t="shared" si="23"/>
        <v/>
      </c>
      <c r="I168" s="60"/>
      <c r="J168" s="61">
        <f t="shared" si="2"/>
        <v>1224.275577</v>
      </c>
      <c r="K168" s="58">
        <f>if(G168,_xlfn.workday.intl(int(G168),0,"1000000",Holidays!A:A)+19/24,"")</f>
        <v>44909.79167</v>
      </c>
      <c r="L168" s="59" t="str">
        <f t="shared" si="3"/>
        <v/>
      </c>
      <c r="M168" s="20"/>
      <c r="N168" s="61">
        <f t="shared" si="4"/>
        <v>1224.192243</v>
      </c>
      <c r="O168" s="63">
        <f>if(A168,_xlfn.WORKDAY.INTL(A168,O$5,"1000000",Holidays!A:A)+hour(A168)/24+MINUTE(A168)/1440,"")</f>
        <v>44909.77569</v>
      </c>
      <c r="P168" s="64">
        <v>44924.78141570602</v>
      </c>
      <c r="Q168" s="65" t="s">
        <v>2713</v>
      </c>
      <c r="R168" s="66">
        <f t="shared" si="5"/>
        <v>15.00572126</v>
      </c>
      <c r="S168" s="66"/>
      <c r="T168" s="66"/>
      <c r="U168" s="64">
        <f>if(O168,_xlfn.WORKDAY.INTL(O168,U$5,"1000000",Holidays!A:A)+hour(O168)/24+MINUTE(O168)/1440,"")</f>
        <v>44910.77569</v>
      </c>
      <c r="V168" s="64">
        <f t="shared" si="6"/>
        <v>44924.78153</v>
      </c>
      <c r="W168" s="65" t="s">
        <v>2713</v>
      </c>
      <c r="X168" s="66">
        <f t="shared" si="7"/>
        <v>14.00583066</v>
      </c>
      <c r="Y168" s="65" t="s">
        <v>2713</v>
      </c>
      <c r="Z168" s="66"/>
      <c r="AA168" s="66"/>
      <c r="AB168" s="67">
        <v>1.0</v>
      </c>
      <c r="AC168" s="67">
        <v>2.0</v>
      </c>
      <c r="AD168" s="67">
        <v>3.0</v>
      </c>
      <c r="AE168" s="63"/>
      <c r="AF168" s="63"/>
      <c r="AG168" s="63"/>
      <c r="AH168" s="63">
        <f t="shared" si="14"/>
        <v>44930.78142</v>
      </c>
      <c r="AI168" s="63">
        <f>if(AH168,_xlfn.workday.intl(int(AH168),0,"1000000",Holidays!A:A)+18/24,"")</f>
        <v>44930.75</v>
      </c>
      <c r="AJ168" s="64">
        <f t="shared" si="24"/>
        <v>44924.78178</v>
      </c>
      <c r="AK168" s="65" t="s">
        <v>2713</v>
      </c>
      <c r="AL168" s="66" t="str">
        <f t="shared" si="9"/>
        <v/>
      </c>
      <c r="AM168" s="66"/>
      <c r="AN168" s="63">
        <f>if(AJ168,if(and(hour(AJ168+AN$5)&gt;11,(hour(AJ168+AN$5)&lt;20)),AJ168+AN$5,_xlfn.workday.intl(int(AJ168),1,"1000000",Holidays!A:A)+hour(AJ168+AN$5-$B$1)/24+minute(AJ168)/1440),"")</f>
        <v>44925.78178</v>
      </c>
      <c r="AO168" s="64">
        <f t="shared" si="15"/>
        <v>44924.78185</v>
      </c>
      <c r="AP168" s="65" t="s">
        <v>2713</v>
      </c>
      <c r="AQ168" s="66" t="str">
        <f t="shared" si="16"/>
        <v/>
      </c>
      <c r="AR168" s="66"/>
      <c r="AS168" s="63">
        <f>if(AJ168,if(and(hour(AJ168+AS$5)&gt;11,(hour(AJ168+AS$5)&lt;20)),AJ168+AS$5,_xlfn.workday.intl(int(AJ168),1,"1000000",Holidays!A:A)+hour(AJ168+AS$5-$B$1)/24+minute(AJ168)/1440),"")</f>
        <v>44926.78178</v>
      </c>
      <c r="AT168" s="64">
        <f t="shared" si="21"/>
        <v>44924.78191</v>
      </c>
      <c r="AU168" s="65" t="s">
        <v>2715</v>
      </c>
      <c r="AV168" s="66" t="str">
        <f t="shared" si="25"/>
        <v/>
      </c>
      <c r="AW168" s="66"/>
      <c r="AX168" s="65" t="s">
        <v>2713</v>
      </c>
    </row>
    <row r="169">
      <c r="A169" s="55">
        <v>44908.77850373843</v>
      </c>
      <c r="B169" s="56"/>
      <c r="C169" s="57"/>
      <c r="D169" s="57"/>
      <c r="E169" s="57"/>
      <c r="F169" s="57"/>
      <c r="G169" s="58">
        <f>if(A169,_xlfn.workday.intl(int(A169),1,"1000000",Holidays!A:A)+17/24,"")</f>
        <v>44909.70833</v>
      </c>
      <c r="H169" s="59" t="str">
        <f t="shared" si="23"/>
        <v/>
      </c>
      <c r="I169" s="60"/>
      <c r="J169" s="61">
        <f t="shared" si="2"/>
        <v>1224.275577</v>
      </c>
      <c r="K169" s="58">
        <f>if(G169,_xlfn.workday.intl(int(G169),0,"1000000",Holidays!A:A)+19/24,"")</f>
        <v>44909.79167</v>
      </c>
      <c r="L169" s="59" t="str">
        <f t="shared" si="3"/>
        <v/>
      </c>
      <c r="M169" s="20"/>
      <c r="N169" s="61">
        <f t="shared" si="4"/>
        <v>1224.192243</v>
      </c>
      <c r="O169" s="63">
        <f>if(A169,_xlfn.WORKDAY.INTL(A169,O$5,"1000000",Holidays!A:A)+hour(A169)/24+MINUTE(A169)/1440,"")</f>
        <v>44909.77847</v>
      </c>
      <c r="P169" s="64">
        <v>44916.73994150463</v>
      </c>
      <c r="Q169" s="65" t="s">
        <v>2713</v>
      </c>
      <c r="R169" s="66">
        <f t="shared" si="5"/>
        <v>6.961469282</v>
      </c>
      <c r="S169" s="66"/>
      <c r="T169" s="65" t="s">
        <v>2713</v>
      </c>
      <c r="U169" s="64">
        <f>if(O169,_xlfn.WORKDAY.INTL(O169,U$5,"1000000",Holidays!A:A)+hour(O169)/24+MINUTE(O169)/1440,"")</f>
        <v>44910.77847</v>
      </c>
      <c r="V169" s="64">
        <f t="shared" si="6"/>
        <v>44916.73999</v>
      </c>
      <c r="W169" s="65" t="s">
        <v>2713</v>
      </c>
      <c r="X169" s="66">
        <f t="shared" si="7"/>
        <v>5.961514259</v>
      </c>
      <c r="Y169" s="66"/>
      <c r="Z169" s="66"/>
      <c r="AA169" s="66"/>
      <c r="AB169" s="67">
        <v>1.0</v>
      </c>
      <c r="AC169" s="63"/>
      <c r="AD169" s="63"/>
      <c r="AE169" s="63"/>
      <c r="AF169" s="63"/>
      <c r="AG169" s="63"/>
      <c r="AH169" s="63">
        <f t="shared" si="14"/>
        <v>44917.73994</v>
      </c>
      <c r="AI169" s="63">
        <f>if(AH169,_xlfn.workday.intl(int(AH169),0,"1000000",Holidays!A:A)+18/24,"")</f>
        <v>44917.75</v>
      </c>
      <c r="AJ169" s="64">
        <f t="shared" si="24"/>
        <v>44916.7401</v>
      </c>
      <c r="AK169" s="65" t="s">
        <v>2713</v>
      </c>
      <c r="AL169" s="66" t="str">
        <f t="shared" si="9"/>
        <v/>
      </c>
      <c r="AM169" s="66"/>
      <c r="AN169" s="63">
        <f>if(AJ169,if(and(hour(AJ169+AN$5)&gt;11,(hour(AJ169+AN$5)&lt;20)),AJ169+AN$5,_xlfn.workday.intl(int(AJ169),1,"1000000",Holidays!A:A)+hour(AJ169+AN$5-$B$1)/24+minute(AJ169)/1440),"")</f>
        <v>44917.7401</v>
      </c>
      <c r="AO169" s="64">
        <f t="shared" si="15"/>
        <v>44916.7398</v>
      </c>
      <c r="AP169" s="65" t="s">
        <v>2713</v>
      </c>
      <c r="AQ169" s="66" t="str">
        <f t="shared" si="16"/>
        <v/>
      </c>
      <c r="AR169" s="66"/>
      <c r="AS169" s="63">
        <f>if(AJ169,if(and(hour(AJ169+AS$5)&gt;11,(hour(AJ169+AS$5)&lt;20)),AJ169+AS$5,_xlfn.workday.intl(int(AJ169),1,"1000000",Holidays!A:A)+hour(AJ169+AS$5-$B$1)/24+minute(AJ169)/1440),"")</f>
        <v>44918.7401</v>
      </c>
      <c r="AT169" s="64">
        <f t="shared" si="21"/>
        <v>44916.73975</v>
      </c>
      <c r="AU169" s="65" t="s">
        <v>2715</v>
      </c>
      <c r="AV169" s="66" t="str">
        <f t="shared" si="25"/>
        <v/>
      </c>
      <c r="AW169" s="66"/>
      <c r="AX169" s="65" t="s">
        <v>2713</v>
      </c>
    </row>
    <row r="170">
      <c r="A170" s="55">
        <v>44908.80371424768</v>
      </c>
      <c r="B170" s="56"/>
      <c r="C170" s="57"/>
      <c r="D170" s="57"/>
      <c r="E170" s="57"/>
      <c r="F170" s="57"/>
      <c r="G170" s="58">
        <f>if(A170,_xlfn.workday.intl(int(A170),1,"1000000",Holidays!A:A)+17/24,"")</f>
        <v>44909.70833</v>
      </c>
      <c r="H170" s="59" t="str">
        <f t="shared" si="23"/>
        <v/>
      </c>
      <c r="I170" s="60"/>
      <c r="J170" s="61">
        <f t="shared" si="2"/>
        <v>1224.275577</v>
      </c>
      <c r="K170" s="58">
        <f>if(G170,_xlfn.workday.intl(int(G170),0,"1000000",Holidays!A:A)+19/24,"")</f>
        <v>44909.79167</v>
      </c>
      <c r="L170" s="59" t="str">
        <f t="shared" si="3"/>
        <v/>
      </c>
      <c r="M170" s="20"/>
      <c r="N170" s="61">
        <f t="shared" si="4"/>
        <v>1224.192243</v>
      </c>
      <c r="O170" s="63">
        <f>if(A170,_xlfn.WORKDAY.INTL(A170,O$5,"1000000",Holidays!A:A)+hour(A170)/24+MINUTE(A170)/1440,"")</f>
        <v>44909.80347</v>
      </c>
      <c r="P170" s="64">
        <v>44916.73953385417</v>
      </c>
      <c r="Q170" s="65" t="s">
        <v>2713</v>
      </c>
      <c r="R170" s="66">
        <f t="shared" si="5"/>
        <v>6.936061632</v>
      </c>
      <c r="S170" s="66"/>
      <c r="T170" s="65" t="s">
        <v>2713</v>
      </c>
      <c r="U170" s="64">
        <f>if(O170,_xlfn.WORKDAY.INTL(O170,U$5,"1000000",Holidays!A:A)+hour(O170)/24+MINUTE(O170)/1440,"")</f>
        <v>44910.80347</v>
      </c>
      <c r="V170" s="64">
        <f t="shared" si="6"/>
        <v>44924.70357</v>
      </c>
      <c r="W170" s="65" t="s">
        <v>2713</v>
      </c>
      <c r="X170" s="66">
        <f t="shared" si="7"/>
        <v>13.900102</v>
      </c>
      <c r="Y170" s="66"/>
      <c r="Z170" s="66"/>
      <c r="AA170" s="66"/>
      <c r="AB170" s="67">
        <v>1.0</v>
      </c>
      <c r="AC170" s="67">
        <v>2.0</v>
      </c>
      <c r="AD170" s="67">
        <v>3.0</v>
      </c>
      <c r="AE170" s="63"/>
      <c r="AF170" s="63"/>
      <c r="AG170" s="63"/>
      <c r="AH170" s="63">
        <f t="shared" si="14"/>
        <v>44922.73953</v>
      </c>
      <c r="AI170" s="63">
        <f>if(AH170,_xlfn.workday.intl(int(AH170),0,"1000000",Holidays!A:A)+18/24,"")</f>
        <v>44922.75</v>
      </c>
      <c r="AJ170" s="64" t="str">
        <f t="shared" si="24"/>
        <v/>
      </c>
      <c r="AK170" s="56"/>
      <c r="AL170" s="66">
        <f t="shared" si="9"/>
        <v>1211.23391</v>
      </c>
      <c r="AM170" s="66"/>
      <c r="AN170" s="63" t="str">
        <f>if(AJ170,if(and(hour(AJ170+AN$5)&gt;11,(hour(AJ170+AN$5)&lt;20)),AJ170+AN$5,_xlfn.workday.intl(int(AJ170),1,"1000000",Holidays!A:A)+hour(AJ170+AN$5-$B$1)/24+minute(AJ170)/1440),"")</f>
        <v/>
      </c>
      <c r="AO170" s="64" t="str">
        <f t="shared" si="15"/>
        <v/>
      </c>
      <c r="AP170" s="56"/>
      <c r="AQ170" s="66" t="str">
        <f t="shared" si="16"/>
        <v/>
      </c>
      <c r="AR170" s="66"/>
      <c r="AS170" s="63" t="str">
        <f>if(AJ170,if(and(hour(AJ170+AS$5)&gt;11,(hour(AJ170+AS$5)&lt;20)),AJ170+AS$5,_xlfn.workday.intl(int(AJ170),1,"1000000",Holidays!A:A)+hour(AJ170+AS$5-$B$1)/24+minute(AJ170)/1440),"")</f>
        <v/>
      </c>
      <c r="AT170" s="64" t="str">
        <f t="shared" si="21"/>
        <v/>
      </c>
      <c r="AU170" s="56"/>
      <c r="AV170" s="66" t="str">
        <f t="shared" si="25"/>
        <v/>
      </c>
      <c r="AW170" s="66"/>
      <c r="AX170" s="65" t="s">
        <v>2722</v>
      </c>
    </row>
    <row r="171">
      <c r="A171" s="55">
        <v>44908.807691967595</v>
      </c>
      <c r="B171" s="56"/>
      <c r="C171" s="57"/>
      <c r="D171" s="57"/>
      <c r="E171" s="57"/>
      <c r="F171" s="57"/>
      <c r="G171" s="58">
        <f>if(A171,_xlfn.workday.intl(int(A171),1,"1000000",Holidays!A:A)+17/24,"")</f>
        <v>44909.70833</v>
      </c>
      <c r="H171" s="59" t="str">
        <f t="shared" si="23"/>
        <v/>
      </c>
      <c r="I171" s="60"/>
      <c r="J171" s="61">
        <f t="shared" si="2"/>
        <v>1224.275577</v>
      </c>
      <c r="K171" s="58">
        <f>if(G171,_xlfn.workday.intl(int(G171),0,"1000000",Holidays!A:A)+19/24,"")</f>
        <v>44909.79167</v>
      </c>
      <c r="L171" s="59" t="str">
        <f t="shared" si="3"/>
        <v/>
      </c>
      <c r="M171" s="20"/>
      <c r="N171" s="61">
        <f t="shared" si="4"/>
        <v>1224.192243</v>
      </c>
      <c r="O171" s="63">
        <f>if(A171,_xlfn.WORKDAY.INTL(A171,O$5,"1000000",Holidays!A:A)+hour(A171)/24+MINUTE(A171)/1440,"")</f>
        <v>44909.80764</v>
      </c>
      <c r="P171" s="64">
        <v>44916.73890892361</v>
      </c>
      <c r="Q171" s="65" t="s">
        <v>2713</v>
      </c>
      <c r="R171" s="66">
        <f t="shared" si="5"/>
        <v>6.931270035</v>
      </c>
      <c r="S171" s="65" t="s">
        <v>2754</v>
      </c>
      <c r="T171" s="65" t="s">
        <v>2713</v>
      </c>
      <c r="U171" s="64">
        <f>if(O171,_xlfn.WORKDAY.INTL(O171,U$5,"1000000",Holidays!A:A)+hour(O171)/24+MINUTE(O171)/1440,"")</f>
        <v>44910.80764</v>
      </c>
      <c r="V171" s="64">
        <f t="shared" si="6"/>
        <v>44916.73897</v>
      </c>
      <c r="W171" s="65" t="s">
        <v>2713</v>
      </c>
      <c r="X171" s="66">
        <f t="shared" si="7"/>
        <v>5.931327049</v>
      </c>
      <c r="Y171" s="65" t="s">
        <v>2713</v>
      </c>
      <c r="Z171" s="66"/>
      <c r="AA171" s="66"/>
      <c r="AB171" s="67">
        <v>1.0</v>
      </c>
      <c r="AC171" s="67">
        <v>2.0</v>
      </c>
      <c r="AD171" s="67"/>
      <c r="AE171" s="63"/>
      <c r="AF171" s="63"/>
      <c r="AG171" s="63"/>
      <c r="AH171" s="63">
        <f t="shared" si="14"/>
        <v>44919.73891</v>
      </c>
      <c r="AI171" s="63">
        <f>if(AH171,_xlfn.workday.intl(int(AH171),0,"1000000",Holidays!A:A)+18/24,"")</f>
        <v>44919.75</v>
      </c>
      <c r="AJ171" s="64">
        <f t="shared" si="24"/>
        <v>44916.73931</v>
      </c>
      <c r="AK171" s="65" t="s">
        <v>2713</v>
      </c>
      <c r="AL171" s="66" t="str">
        <f t="shared" si="9"/>
        <v/>
      </c>
      <c r="AM171" s="66"/>
      <c r="AN171" s="63">
        <f>if(AJ171,if(and(hour(AJ171+AN$5)&gt;11,(hour(AJ171+AN$5)&lt;20)),AJ171+AN$5,_xlfn.workday.intl(int(AJ171),1,"1000000",Holidays!A:A)+hour(AJ171+AN$5-$B$1)/24+minute(AJ171)/1440),"")</f>
        <v>44917.73931</v>
      </c>
      <c r="AO171" s="64">
        <f t="shared" si="15"/>
        <v>44916.73935</v>
      </c>
      <c r="AP171" s="65" t="s">
        <v>2713</v>
      </c>
      <c r="AQ171" s="66" t="str">
        <f t="shared" si="16"/>
        <v/>
      </c>
      <c r="AR171" s="66"/>
      <c r="AS171" s="63">
        <f>if(AJ171,if(and(hour(AJ171+AS$5)&gt;11,(hour(AJ171+AS$5)&lt;20)),AJ171+AS$5,_xlfn.workday.intl(int(AJ171),1,"1000000",Holidays!A:A)+hour(AJ171+AS$5-$B$1)/24+minute(AJ171)/1440),"")</f>
        <v>44918.73931</v>
      </c>
      <c r="AT171" s="64">
        <f t="shared" si="21"/>
        <v>44915.7629</v>
      </c>
      <c r="AU171" s="65" t="s">
        <v>2715</v>
      </c>
      <c r="AV171" s="66" t="str">
        <f t="shared" si="25"/>
        <v/>
      </c>
      <c r="AW171" s="66"/>
      <c r="AX171" s="65" t="s">
        <v>2713</v>
      </c>
    </row>
    <row r="172">
      <c r="A172" s="55">
        <v>44912.62340542824</v>
      </c>
      <c r="B172" s="56"/>
      <c r="C172" s="57"/>
      <c r="D172" s="57"/>
      <c r="E172" s="57"/>
      <c r="F172" s="57"/>
      <c r="G172" s="58">
        <f>if(A172,_xlfn.workday.intl(int(A172),1,"1000000",Holidays!A:A)+17/24,"")</f>
        <v>44913.70833</v>
      </c>
      <c r="H172" s="59" t="str">
        <f t="shared" si="23"/>
        <v/>
      </c>
      <c r="I172" s="60"/>
      <c r="J172" s="61">
        <f t="shared" si="2"/>
        <v>1220.275577</v>
      </c>
      <c r="K172" s="58">
        <f>if(G172,_xlfn.workday.intl(int(G172),0,"1000000",Holidays!A:A)+19/24,"")</f>
        <v>44913.79167</v>
      </c>
      <c r="L172" s="59" t="str">
        <f t="shared" si="3"/>
        <v/>
      </c>
      <c r="M172" s="20"/>
      <c r="N172" s="61">
        <f t="shared" si="4"/>
        <v>1220.192243</v>
      </c>
      <c r="O172" s="63">
        <f>if(A172,_xlfn.WORKDAY.INTL(A172,O$5,"1000000",Holidays!A:A)+hour(A172)/24+MINUTE(A172)/1440,"")</f>
        <v>44913.62292</v>
      </c>
      <c r="P172" s="64">
        <v>44916.738380717594</v>
      </c>
      <c r="Q172" s="65" t="s">
        <v>2713</v>
      </c>
      <c r="R172" s="66">
        <f t="shared" si="5"/>
        <v>3.115464051</v>
      </c>
      <c r="S172" s="66"/>
      <c r="T172" s="65"/>
      <c r="U172" s="64">
        <f>if(O172,_xlfn.WORKDAY.INTL(O172,U$5,"1000000",Holidays!A:A)+hour(O172)/24+MINUTE(O172)/1440,"")</f>
        <v>44915.62292</v>
      </c>
      <c r="V172" s="64">
        <f t="shared" si="6"/>
        <v>44924.70298</v>
      </c>
      <c r="W172" s="65" t="s">
        <v>2713</v>
      </c>
      <c r="X172" s="66">
        <f t="shared" si="7"/>
        <v>9.080066447</v>
      </c>
      <c r="Y172" s="65" t="s">
        <v>2713</v>
      </c>
      <c r="Z172" s="66"/>
      <c r="AA172" s="66"/>
      <c r="AB172" s="67">
        <v>1.0</v>
      </c>
      <c r="AC172" s="67">
        <v>2.0</v>
      </c>
      <c r="AD172" s="67">
        <v>3.0</v>
      </c>
      <c r="AE172" s="63"/>
      <c r="AF172" s="63"/>
      <c r="AG172" s="63"/>
      <c r="AH172" s="63">
        <f t="shared" si="14"/>
        <v>44922.73838</v>
      </c>
      <c r="AI172" s="63">
        <f>if(AH172,_xlfn.workday.intl(int(AH172),0,"1000000",Holidays!A:A)+18/24,"")</f>
        <v>44922.75</v>
      </c>
      <c r="AJ172" s="64">
        <f t="shared" si="24"/>
        <v>44916.73849</v>
      </c>
      <c r="AK172" s="65" t="s">
        <v>2713</v>
      </c>
      <c r="AL172" s="66" t="str">
        <f t="shared" si="9"/>
        <v/>
      </c>
      <c r="AM172" s="66"/>
      <c r="AN172" s="63">
        <f>if(AJ172,if(and(hour(AJ172+AN$5)&gt;11,(hour(AJ172+AN$5)&lt;20)),AJ172+AN$5,_xlfn.workday.intl(int(AJ172),1,"1000000",Holidays!A:A)+hour(AJ172+AN$5-$B$1)/24+minute(AJ172)/1440),"")</f>
        <v>44917.73849</v>
      </c>
      <c r="AO172" s="64" t="str">
        <f t="shared" si="15"/>
        <v/>
      </c>
      <c r="AP172" s="56"/>
      <c r="AQ172" s="66">
        <f t="shared" si="16"/>
        <v>1216.245418</v>
      </c>
      <c r="AR172" s="66"/>
      <c r="AS172" s="63">
        <f>if(AJ172,if(and(hour(AJ172+AS$5)&gt;11,(hour(AJ172+AS$5)&lt;20)),AJ172+AS$5,_xlfn.workday.intl(int(AJ172),1,"1000000",Holidays!A:A)+hour(AJ172+AS$5-$B$1)/24+minute(AJ172)/1440),"")</f>
        <v>44918.73849</v>
      </c>
      <c r="AT172" s="64" t="str">
        <f t="shared" si="21"/>
        <v/>
      </c>
      <c r="AU172" s="56"/>
      <c r="AV172" s="66">
        <f t="shared" si="25"/>
        <v>1215.245418</v>
      </c>
      <c r="AW172" s="66"/>
      <c r="AX172" s="65" t="s">
        <v>2755</v>
      </c>
    </row>
    <row r="173">
      <c r="A173" s="55">
        <v>44915.53562688657</v>
      </c>
      <c r="B173" s="56"/>
      <c r="C173" s="57"/>
      <c r="D173" s="57"/>
      <c r="E173" s="57"/>
      <c r="F173" s="57"/>
      <c r="G173" s="58">
        <f>if(A173,_xlfn.workday.intl(int(A173),1,"1000000",Holidays!A:A)+17/24,"")</f>
        <v>44916.70833</v>
      </c>
      <c r="H173" s="59" t="str">
        <f t="shared" si="23"/>
        <v/>
      </c>
      <c r="I173" s="60"/>
      <c r="J173" s="61">
        <f t="shared" si="2"/>
        <v>1217.275577</v>
      </c>
      <c r="K173" s="58">
        <f>if(G173,_xlfn.workday.intl(int(G173),0,"1000000",Holidays!A:A)+19/24,"")</f>
        <v>44916.79167</v>
      </c>
      <c r="L173" s="59" t="str">
        <f t="shared" si="3"/>
        <v/>
      </c>
      <c r="M173" s="20"/>
      <c r="N173" s="61">
        <f t="shared" si="4"/>
        <v>1217.192243</v>
      </c>
      <c r="O173" s="63">
        <f>if(A173,_xlfn.WORKDAY.INTL(A173,O$5,"1000000",Holidays!A:A)+hour(A173)/24+MINUTE(A173)/1440,"")</f>
        <v>44916.53542</v>
      </c>
      <c r="P173" s="64">
        <v>44919.623216238426</v>
      </c>
      <c r="Q173" s="65" t="s">
        <v>2713</v>
      </c>
      <c r="R173" s="66">
        <f t="shared" si="5"/>
        <v>3.087799572</v>
      </c>
      <c r="S173" s="66"/>
      <c r="T173" s="65"/>
      <c r="U173" s="64">
        <f>if(O173,_xlfn.WORKDAY.INTL(O173,U$5,"1000000",Holidays!A:A)+hour(O173)/24+MINUTE(O173)/1440,"")</f>
        <v>44917.53542</v>
      </c>
      <c r="V173" s="64" t="str">
        <f t="shared" si="6"/>
        <v/>
      </c>
      <c r="W173" s="66"/>
      <c r="X173" s="66">
        <f t="shared" si="7"/>
        <v>1216.448493</v>
      </c>
      <c r="Y173" s="65" t="s">
        <v>2713</v>
      </c>
      <c r="Z173" s="66"/>
      <c r="AA173" s="66"/>
      <c r="AB173" s="63"/>
      <c r="AC173" s="63"/>
      <c r="AD173" s="63"/>
      <c r="AE173" s="63"/>
      <c r="AF173" s="63"/>
      <c r="AG173" s="63"/>
      <c r="AH173" s="63">
        <f t="shared" si="14"/>
        <v>44919.62322</v>
      </c>
      <c r="AI173" s="63">
        <f>if(AH173,_xlfn.workday.intl(int(AH173),0,"1000000",Holidays!A:A)+18/24,"")</f>
        <v>44919.75</v>
      </c>
      <c r="AJ173" s="64" t="str">
        <f t="shared" si="24"/>
        <v/>
      </c>
      <c r="AK173" s="56"/>
      <c r="AL173" s="66">
        <f t="shared" si="9"/>
        <v>1214.23391</v>
      </c>
      <c r="AM173" s="66"/>
      <c r="AN173" s="63" t="str">
        <f>if(AJ173,if(and(hour(AJ173+AN$5)&gt;11,(hour(AJ173+AN$5)&lt;20)),AJ173+AN$5,_xlfn.workday.intl(int(AJ173),1,"1000000",Holidays!A:A)+hour(AJ173+AN$5-$B$1)/24+minute(AJ173)/1440),"")</f>
        <v/>
      </c>
      <c r="AO173" s="64" t="str">
        <f t="shared" si="15"/>
        <v/>
      </c>
      <c r="AP173" s="56"/>
      <c r="AQ173" s="66" t="str">
        <f t="shared" si="16"/>
        <v/>
      </c>
      <c r="AR173" s="66"/>
      <c r="AS173" s="63" t="str">
        <f>if(AJ173,if(and(hour(AJ173+AS$5)&gt;11,(hour(AJ173+AS$5)&lt;20)),AJ173+AS$5,_xlfn.workday.intl(int(AJ173),1,"1000000",Holidays!A:A)+hour(AJ173+AS$5-$B$1)/24+minute(AJ173)/1440),"")</f>
        <v/>
      </c>
      <c r="AT173" s="64" t="str">
        <f t="shared" si="21"/>
        <v/>
      </c>
      <c r="AU173" s="56"/>
      <c r="AV173" s="66" t="str">
        <f t="shared" si="25"/>
        <v/>
      </c>
      <c r="AW173" s="66"/>
      <c r="AX173" s="56"/>
    </row>
    <row r="174">
      <c r="A174" s="55">
        <v>44915.53701262732</v>
      </c>
      <c r="B174" s="56"/>
      <c r="C174" s="57"/>
      <c r="D174" s="57"/>
      <c r="E174" s="57"/>
      <c r="F174" s="57"/>
      <c r="G174" s="58">
        <f>if(A174,_xlfn.workday.intl(int(A174),1,"1000000",Holidays!A:A)+17/24,"")</f>
        <v>44916.70833</v>
      </c>
      <c r="H174" s="59" t="str">
        <f t="shared" si="23"/>
        <v/>
      </c>
      <c r="I174" s="60"/>
      <c r="J174" s="61">
        <f t="shared" si="2"/>
        <v>1217.275577</v>
      </c>
      <c r="K174" s="58">
        <f>if(G174,_xlfn.workday.intl(int(G174),0,"1000000",Holidays!A:A)+19/24,"")</f>
        <v>44916.79167</v>
      </c>
      <c r="L174" s="59" t="str">
        <f t="shared" si="3"/>
        <v/>
      </c>
      <c r="M174" s="20"/>
      <c r="N174" s="61">
        <f t="shared" si="4"/>
        <v>1217.192243</v>
      </c>
      <c r="O174" s="63">
        <f>if(A174,_xlfn.WORKDAY.INTL(A174,O$5,"1000000",Holidays!A:A)+hour(A174)/24+MINUTE(A174)/1440,"")</f>
        <v>44916.53681</v>
      </c>
      <c r="P174" s="64">
        <v>44916.78387371528</v>
      </c>
      <c r="Q174" s="65" t="s">
        <v>2713</v>
      </c>
      <c r="R174" s="66">
        <f t="shared" si="5"/>
        <v>0.2470681597</v>
      </c>
      <c r="S174" s="66"/>
      <c r="T174" s="65" t="s">
        <v>2713</v>
      </c>
      <c r="U174" s="64">
        <f>if(O174,_xlfn.WORKDAY.INTL(O174,U$5,"1000000",Holidays!A:A)+hour(O174)/24+MINUTE(O174)/1440,"")</f>
        <v>44917.53681</v>
      </c>
      <c r="V174" s="64" t="str">
        <f t="shared" si="6"/>
        <v/>
      </c>
      <c r="W174" s="66"/>
      <c r="X174" s="66">
        <f t="shared" si="7"/>
        <v>1216.447104</v>
      </c>
      <c r="Y174" s="66"/>
      <c r="Z174" s="66"/>
      <c r="AA174" s="65" t="s">
        <v>2722</v>
      </c>
      <c r="AB174" s="67">
        <v>1.0</v>
      </c>
      <c r="AC174" s="67">
        <v>2.0</v>
      </c>
      <c r="AD174" s="63"/>
      <c r="AE174" s="63"/>
      <c r="AF174" s="63"/>
      <c r="AG174" s="63"/>
      <c r="AH174" s="63">
        <f t="shared" si="14"/>
        <v>44919.78387</v>
      </c>
      <c r="AI174" s="63">
        <f>if(AH174,_xlfn.workday.intl(int(AH174),0,"1000000",Holidays!A:A)+18/24,"")</f>
        <v>44919.75</v>
      </c>
      <c r="AJ174" s="64" t="str">
        <f t="shared" si="24"/>
        <v/>
      </c>
      <c r="AK174" s="56"/>
      <c r="AL174" s="66">
        <f t="shared" si="9"/>
        <v>1214.23391</v>
      </c>
      <c r="AM174" s="66"/>
      <c r="AN174" s="63" t="str">
        <f>if(AJ174,if(and(hour(AJ174+AN$5)&gt;11,(hour(AJ174+AN$5)&lt;20)),AJ174+AN$5,_xlfn.workday.intl(int(AJ174),1,"1000000",Holidays!A:A)+hour(AJ174+AN$5-$B$1)/24+minute(AJ174)/1440),"")</f>
        <v/>
      </c>
      <c r="AO174" s="64" t="str">
        <f t="shared" si="15"/>
        <v/>
      </c>
      <c r="AP174" s="56"/>
      <c r="AQ174" s="66" t="str">
        <f t="shared" si="16"/>
        <v/>
      </c>
      <c r="AR174" s="66"/>
      <c r="AS174" s="63" t="str">
        <f>if(AJ174,if(and(hour(AJ174+AS$5)&gt;11,(hour(AJ174+AS$5)&lt;20)),AJ174+AS$5,_xlfn.workday.intl(int(AJ174),1,"1000000",Holidays!A:A)+hour(AJ174+AS$5-$B$1)/24+minute(AJ174)/1440),"")</f>
        <v/>
      </c>
      <c r="AT174" s="64" t="str">
        <f t="shared" si="21"/>
        <v/>
      </c>
      <c r="AU174" s="56"/>
      <c r="AV174" s="66" t="str">
        <f t="shared" si="25"/>
        <v/>
      </c>
      <c r="AW174" s="66"/>
      <c r="AX174" s="56"/>
    </row>
    <row r="175">
      <c r="A175" s="55">
        <v>44915.725867974536</v>
      </c>
      <c r="B175" s="56"/>
      <c r="C175" s="57"/>
      <c r="D175" s="57"/>
      <c r="E175" s="57"/>
      <c r="F175" s="57"/>
      <c r="G175" s="58">
        <f>if(A175,_xlfn.workday.intl(int(A175),1,"1000000",Holidays!A:A)+17/24,"")</f>
        <v>44916.70833</v>
      </c>
      <c r="H175" s="59" t="str">
        <f t="shared" si="23"/>
        <v/>
      </c>
      <c r="I175" s="60"/>
      <c r="J175" s="61">
        <f t="shared" si="2"/>
        <v>1217.275577</v>
      </c>
      <c r="K175" s="58">
        <f>if(G175,_xlfn.workday.intl(int(G175),0,"1000000",Holidays!A:A)+19/24,"")</f>
        <v>44916.79167</v>
      </c>
      <c r="L175" s="59" t="str">
        <f t="shared" si="3"/>
        <v/>
      </c>
      <c r="M175" s="20"/>
      <c r="N175" s="61">
        <f t="shared" si="4"/>
        <v>1217.192243</v>
      </c>
      <c r="O175" s="63">
        <f>if(A175,_xlfn.WORKDAY.INTL(A175,O$5,"1000000",Holidays!A:A)+hour(A175)/24+MINUTE(A175)/1440,"")</f>
        <v>44916.72569</v>
      </c>
      <c r="P175" s="64">
        <v>44916.732701712965</v>
      </c>
      <c r="Q175" s="65" t="s">
        <v>2713</v>
      </c>
      <c r="R175" s="66">
        <f t="shared" si="5"/>
        <v>0.007007268519</v>
      </c>
      <c r="S175" s="65" t="s">
        <v>2756</v>
      </c>
      <c r="T175" s="65"/>
      <c r="U175" s="64">
        <f>if(O175,_xlfn.WORKDAY.INTL(O175,U$5,"1000000",Holidays!A:A)+hour(O175)/24+MINUTE(O175)/1440,"")</f>
        <v>44917.72569</v>
      </c>
      <c r="V175" s="64" t="str">
        <f t="shared" si="6"/>
        <v/>
      </c>
      <c r="W175" s="66"/>
      <c r="X175" s="66">
        <f t="shared" si="7"/>
        <v>1216.258215</v>
      </c>
      <c r="Y175" s="66"/>
      <c r="Z175" s="66"/>
      <c r="AA175" s="66"/>
      <c r="AB175" s="67">
        <v>1.0</v>
      </c>
      <c r="AC175" s="67">
        <v>2.0</v>
      </c>
      <c r="AD175" s="67">
        <v>3.0</v>
      </c>
      <c r="AE175" s="63"/>
      <c r="AF175" s="63"/>
      <c r="AG175" s="63"/>
      <c r="AH175" s="63">
        <f t="shared" si="14"/>
        <v>44922.7327</v>
      </c>
      <c r="AI175" s="63">
        <f>if(AH175,_xlfn.workday.intl(int(AH175),0,"1000000",Holidays!A:A)+18/24,"")</f>
        <v>44922.75</v>
      </c>
      <c r="AJ175" s="64">
        <f t="shared" si="24"/>
        <v>44916.7327</v>
      </c>
      <c r="AK175" s="65" t="s">
        <v>2713</v>
      </c>
      <c r="AL175" s="66" t="str">
        <f t="shared" si="9"/>
        <v/>
      </c>
      <c r="AM175" s="66"/>
      <c r="AN175" s="63">
        <f>if(AJ175,if(and(hour(AJ175+AN$5)&gt;11,(hour(AJ175+AN$5)&lt;20)),AJ175+AN$5,_xlfn.workday.intl(int(AJ175),1,"1000000",Holidays!A:A)+hour(AJ175+AN$5-$B$1)/24+minute(AJ175)/1440),"")</f>
        <v>44917.7327</v>
      </c>
      <c r="AO175" s="64" t="str">
        <f t="shared" si="15"/>
        <v/>
      </c>
      <c r="AP175" s="56"/>
      <c r="AQ175" s="66">
        <f t="shared" si="16"/>
        <v>1216.251208</v>
      </c>
      <c r="AR175" s="66"/>
      <c r="AS175" s="63">
        <f>if(AJ175,if(and(hour(AJ175+AS$5)&gt;11,(hour(AJ175+AS$5)&lt;20)),AJ175+AS$5,_xlfn.workday.intl(int(AJ175),1,"1000000",Holidays!A:A)+hour(AJ175+AS$5-$B$1)/24+minute(AJ175)/1440),"")</f>
        <v>44918.7327</v>
      </c>
      <c r="AT175" s="64" t="str">
        <f t="shared" si="21"/>
        <v/>
      </c>
      <c r="AU175" s="56"/>
      <c r="AV175" s="66">
        <f t="shared" si="25"/>
        <v>1215.251208</v>
      </c>
      <c r="AW175" s="66"/>
      <c r="AX175" s="56"/>
    </row>
    <row r="176">
      <c r="A176" s="55">
        <v>44915.727137187496</v>
      </c>
      <c r="B176" s="56"/>
      <c r="C176" s="57"/>
      <c r="D176" s="57"/>
      <c r="E176" s="57"/>
      <c r="F176" s="57"/>
      <c r="G176" s="58">
        <f>if(A176,_xlfn.workday.intl(int(A176),1,"1000000",Holidays!A:A)+17/24,"")</f>
        <v>44916.70833</v>
      </c>
      <c r="H176" s="59" t="str">
        <f t="shared" si="23"/>
        <v/>
      </c>
      <c r="I176" s="60"/>
      <c r="J176" s="61">
        <f t="shared" si="2"/>
        <v>1217.275577</v>
      </c>
      <c r="K176" s="58">
        <f>if(G176,_xlfn.workday.intl(int(G176),0,"1000000",Holidays!A:A)+19/24,"")</f>
        <v>44916.79167</v>
      </c>
      <c r="L176" s="59" t="str">
        <f t="shared" si="3"/>
        <v/>
      </c>
      <c r="M176" s="20"/>
      <c r="N176" s="61">
        <f t="shared" si="4"/>
        <v>1217.192243</v>
      </c>
      <c r="O176" s="63">
        <f>if(A176,_xlfn.WORKDAY.INTL(A176,O$5,"1000000",Holidays!A:A)+hour(A176)/24+MINUTE(A176)/1440,"")</f>
        <v>44916.72708</v>
      </c>
      <c r="P176" s="64">
        <v>44916.73495637732</v>
      </c>
      <c r="Q176" s="65" t="s">
        <v>2713</v>
      </c>
      <c r="R176" s="66">
        <f t="shared" si="5"/>
        <v>0.007873043978</v>
      </c>
      <c r="S176" s="65" t="s">
        <v>2726</v>
      </c>
      <c r="T176" s="65"/>
      <c r="U176" s="64">
        <f>if(O176,_xlfn.WORKDAY.INTL(O176,U$5,"1000000",Holidays!A:A)+hour(O176)/24+MINUTE(O176)/1440,"")</f>
        <v>44917.72708</v>
      </c>
      <c r="V176" s="64" t="str">
        <f t="shared" si="6"/>
        <v/>
      </c>
      <c r="W176" s="66"/>
      <c r="X176" s="66">
        <f t="shared" si="7"/>
        <v>1216.256827</v>
      </c>
      <c r="Y176" s="66"/>
      <c r="Z176" s="66"/>
      <c r="AA176" s="66"/>
      <c r="AB176" s="67">
        <v>1.0</v>
      </c>
      <c r="AC176" s="67">
        <v>2.0</v>
      </c>
      <c r="AD176" s="67">
        <v>3.0</v>
      </c>
      <c r="AE176" s="63"/>
      <c r="AF176" s="63"/>
      <c r="AG176" s="63"/>
      <c r="AH176" s="63">
        <f t="shared" si="14"/>
        <v>44922.73496</v>
      </c>
      <c r="AI176" s="63">
        <f>if(AH176,_xlfn.workday.intl(int(AH176),0,"1000000",Holidays!A:A)+18/24,"")</f>
        <v>44922.75</v>
      </c>
      <c r="AJ176" s="64">
        <f t="shared" si="24"/>
        <v>44916.73519</v>
      </c>
      <c r="AK176" s="65" t="s">
        <v>2713</v>
      </c>
      <c r="AL176" s="66" t="str">
        <f t="shared" si="9"/>
        <v/>
      </c>
      <c r="AM176" s="66"/>
      <c r="AN176" s="63">
        <f>if(AJ176,if(and(hour(AJ176+AN$5)&gt;11,(hour(AJ176+AN$5)&lt;20)),AJ176+AN$5,_xlfn.workday.intl(int(AJ176),1,"1000000",Holidays!A:A)+hour(AJ176+AN$5-$B$1)/24+minute(AJ176)/1440),"")</f>
        <v>44917.73519</v>
      </c>
      <c r="AO176" s="64" t="str">
        <f t="shared" si="15"/>
        <v/>
      </c>
      <c r="AP176" s="56"/>
      <c r="AQ176" s="66">
        <f t="shared" si="16"/>
        <v>1216.248718</v>
      </c>
      <c r="AR176" s="66"/>
      <c r="AS176" s="63">
        <f>if(AJ176,if(and(hour(AJ176+AS$5)&gt;11,(hour(AJ176+AS$5)&lt;20)),AJ176+AS$5,_xlfn.workday.intl(int(AJ176),1,"1000000",Holidays!A:A)+hour(AJ176+AS$5-$B$1)/24+minute(AJ176)/1440),"")</f>
        <v>44918.73519</v>
      </c>
      <c r="AT176" s="64" t="str">
        <f t="shared" si="21"/>
        <v/>
      </c>
      <c r="AU176" s="56"/>
      <c r="AV176" s="66">
        <f t="shared" si="25"/>
        <v>1215.248718</v>
      </c>
      <c r="AW176" s="66"/>
      <c r="AX176" s="65" t="s">
        <v>2757</v>
      </c>
    </row>
    <row r="177">
      <c r="A177" s="55">
        <v>44915.74354685185</v>
      </c>
      <c r="B177" s="56"/>
      <c r="C177" s="57"/>
      <c r="D177" s="57"/>
      <c r="E177" s="57"/>
      <c r="F177" s="57"/>
      <c r="G177" s="58">
        <f>if(A177,_xlfn.workday.intl(int(A177),1,"1000000",Holidays!A:A)+17/24,"")</f>
        <v>44916.70833</v>
      </c>
      <c r="H177" s="59" t="str">
        <f t="shared" si="23"/>
        <v/>
      </c>
      <c r="I177" s="60"/>
      <c r="J177" s="61">
        <f t="shared" si="2"/>
        <v>1217.275577</v>
      </c>
      <c r="K177" s="58">
        <f>if(G177,_xlfn.workday.intl(int(G177),0,"1000000",Holidays!A:A)+19/24,"")</f>
        <v>44916.79167</v>
      </c>
      <c r="L177" s="59" t="str">
        <f t="shared" si="3"/>
        <v/>
      </c>
      <c r="M177" s="20"/>
      <c r="N177" s="61">
        <f t="shared" si="4"/>
        <v>1217.192243</v>
      </c>
      <c r="O177" s="63">
        <f>if(A177,_xlfn.WORKDAY.INTL(A177,O$5,"1000000",Holidays!A:A)+hour(A177)/24+MINUTE(A177)/1440,"")</f>
        <v>44916.74306</v>
      </c>
      <c r="P177" s="64">
        <v>44916.732701712965</v>
      </c>
      <c r="Q177" s="65" t="s">
        <v>2713</v>
      </c>
      <c r="R177" s="66" t="str">
        <f t="shared" si="5"/>
        <v/>
      </c>
      <c r="S177" s="66"/>
      <c r="T177" s="65" t="s">
        <v>2713</v>
      </c>
      <c r="U177" s="64">
        <f>if(O177,_xlfn.WORKDAY.INTL(O177,U$5,"1000000",Holidays!A:A)+hour(O177)/24+MINUTE(O177)/1440,"")</f>
        <v>44917.74306</v>
      </c>
      <c r="V177" s="64">
        <f t="shared" si="6"/>
        <v>44924.70298</v>
      </c>
      <c r="W177" s="65" t="s">
        <v>2713</v>
      </c>
      <c r="X177" s="66">
        <f t="shared" si="7"/>
        <v>6.959927558</v>
      </c>
      <c r="Y177" s="66"/>
      <c r="Z177" s="66"/>
      <c r="AA177" s="66"/>
      <c r="AB177" s="67">
        <v>1.0</v>
      </c>
      <c r="AC177" s="67">
        <v>2.0</v>
      </c>
      <c r="AD177" s="67">
        <v>3.0</v>
      </c>
      <c r="AE177" s="63"/>
      <c r="AF177" s="63"/>
      <c r="AG177" s="67" t="s">
        <v>2722</v>
      </c>
      <c r="AH177" s="63">
        <f t="shared" si="14"/>
        <v>44922.7327</v>
      </c>
      <c r="AI177" s="63">
        <f>if(AH177,_xlfn.workday.intl(int(AH177),0,"1000000",Holidays!A:A)+18/24,"")</f>
        <v>44922.75</v>
      </c>
      <c r="AJ177" s="64">
        <f t="shared" si="24"/>
        <v>44916.7327</v>
      </c>
      <c r="AK177" s="65" t="s">
        <v>2713</v>
      </c>
      <c r="AL177" s="66" t="str">
        <f t="shared" si="9"/>
        <v/>
      </c>
      <c r="AM177" s="66"/>
      <c r="AN177" s="63">
        <f>if(AJ177,if(and(hour(AJ177+AN$5)&gt;11,(hour(AJ177+AN$5)&lt;20)),AJ177+AN$5,_xlfn.workday.intl(int(AJ177),1,"1000000",Holidays!A:A)+hour(AJ177+AN$5-$B$1)/24+minute(AJ177)/1440),"")</f>
        <v>44917.7327</v>
      </c>
      <c r="AO177" s="64" t="str">
        <f t="shared" si="15"/>
        <v/>
      </c>
      <c r="AP177" s="56"/>
      <c r="AQ177" s="66">
        <f t="shared" si="16"/>
        <v>1216.251208</v>
      </c>
      <c r="AR177" s="66"/>
      <c r="AS177" s="63">
        <f>if(AJ177,if(and(hour(AJ177+AS$5)&gt;11,(hour(AJ177+AS$5)&lt;20)),AJ177+AS$5,_xlfn.workday.intl(int(AJ177),1,"1000000",Holidays!A:A)+hour(AJ177+AS$5-$B$1)/24+minute(AJ177)/1440),"")</f>
        <v>44918.7327</v>
      </c>
      <c r="AT177" s="64" t="str">
        <f t="shared" si="21"/>
        <v/>
      </c>
      <c r="AU177" s="56"/>
      <c r="AV177" s="66">
        <f t="shared" si="25"/>
        <v>1215.251208</v>
      </c>
      <c r="AW177" s="66"/>
      <c r="AX177" s="56"/>
    </row>
    <row r="178">
      <c r="A178" s="55">
        <v>44915.75439134259</v>
      </c>
      <c r="B178" s="56"/>
      <c r="C178" s="57"/>
      <c r="D178" s="57"/>
      <c r="E178" s="57"/>
      <c r="F178" s="57"/>
      <c r="G178" s="58">
        <f>if(A178,_xlfn.workday.intl(int(A178),1,"1000000",Holidays!A:A)+17/24,"")</f>
        <v>44916.70833</v>
      </c>
      <c r="H178" s="59" t="str">
        <f t="shared" si="23"/>
        <v/>
      </c>
      <c r="I178" s="60"/>
      <c r="J178" s="61">
        <f t="shared" si="2"/>
        <v>1217.275577</v>
      </c>
      <c r="K178" s="58">
        <f>if(G178,_xlfn.workday.intl(int(G178),0,"1000000",Holidays!A:A)+19/24,"")</f>
        <v>44916.79167</v>
      </c>
      <c r="L178" s="59" t="str">
        <f t="shared" si="3"/>
        <v/>
      </c>
      <c r="M178" s="20"/>
      <c r="N178" s="61">
        <f t="shared" si="4"/>
        <v>1217.192243</v>
      </c>
      <c r="O178" s="63">
        <f>if(A178,_xlfn.WORKDAY.INTL(A178,O$5,"1000000",Holidays!A:A)+hour(A178)/24+MINUTE(A178)/1440,"")</f>
        <v>44916.75417</v>
      </c>
      <c r="P178" s="64">
        <v>44916.732701712965</v>
      </c>
      <c r="Q178" s="65" t="s">
        <v>2713</v>
      </c>
      <c r="R178" s="66" t="str">
        <f t="shared" si="5"/>
        <v/>
      </c>
      <c r="S178" s="66"/>
      <c r="T178" s="65" t="s">
        <v>2713</v>
      </c>
      <c r="U178" s="64">
        <f>if(O178,_xlfn.WORKDAY.INTL(O178,U$5,"1000000",Holidays!A:A)+hour(O178)/24+MINUTE(O178)/1440,"")</f>
        <v>44917.75417</v>
      </c>
      <c r="V178" s="64">
        <f t="shared" si="6"/>
        <v>44917.60451</v>
      </c>
      <c r="W178" s="65" t="s">
        <v>2713</v>
      </c>
      <c r="X178" s="66" t="str">
        <f t="shared" si="7"/>
        <v/>
      </c>
      <c r="Y178" s="66"/>
      <c r="Z178" s="66"/>
      <c r="AA178" s="66"/>
      <c r="AB178" s="67">
        <v>1.0</v>
      </c>
      <c r="AC178" s="67">
        <v>2.0</v>
      </c>
      <c r="AD178" s="67">
        <v>3.0</v>
      </c>
      <c r="AE178" s="67">
        <v>4.0</v>
      </c>
      <c r="AF178" s="63"/>
      <c r="AG178" s="67" t="s">
        <v>2758</v>
      </c>
      <c r="AH178" s="63">
        <f t="shared" si="14"/>
        <v>44926.7327</v>
      </c>
      <c r="AI178" s="63">
        <f>if(AH178,_xlfn.workday.intl(int(AH178),0,"1000000",Holidays!A:A)+18/24,"")</f>
        <v>44926.75</v>
      </c>
      <c r="AJ178" s="64">
        <f t="shared" si="24"/>
        <v>44916.7327</v>
      </c>
      <c r="AK178" s="65" t="s">
        <v>2713</v>
      </c>
      <c r="AL178" s="66" t="str">
        <f t="shared" si="9"/>
        <v/>
      </c>
      <c r="AM178" s="66"/>
      <c r="AN178" s="63">
        <f>if(AJ178,if(and(hour(AJ178+AN$5)&gt;11,(hour(AJ178+AN$5)&lt;20)),AJ178+AN$5,_xlfn.workday.intl(int(AJ178),1,"1000000",Holidays!A:A)+hour(AJ178+AN$5-$B$1)/24+minute(AJ178)/1440),"")</f>
        <v>44917.7327</v>
      </c>
      <c r="AO178" s="64" t="str">
        <f t="shared" si="15"/>
        <v/>
      </c>
      <c r="AP178" s="56"/>
      <c r="AQ178" s="66">
        <f t="shared" si="16"/>
        <v>1216.251208</v>
      </c>
      <c r="AR178" s="66"/>
      <c r="AS178" s="63">
        <f>if(AJ178,if(and(hour(AJ178+AS$5)&gt;11,(hour(AJ178+AS$5)&lt;20)),AJ178+AS$5,_xlfn.workday.intl(int(AJ178),1,"1000000",Holidays!A:A)+hour(AJ178+AS$5-$B$1)/24+minute(AJ178)/1440),"")</f>
        <v>44918.7327</v>
      </c>
      <c r="AT178" s="64" t="str">
        <f t="shared" si="21"/>
        <v/>
      </c>
      <c r="AU178" s="56"/>
      <c r="AV178" s="66">
        <f t="shared" si="25"/>
        <v>1215.251208</v>
      </c>
      <c r="AW178" s="66"/>
      <c r="AX178" s="65" t="s">
        <v>2726</v>
      </c>
    </row>
    <row r="179">
      <c r="A179" s="55">
        <v>44916.71913375</v>
      </c>
      <c r="B179" s="56"/>
      <c r="C179" s="57"/>
      <c r="D179" s="57"/>
      <c r="E179" s="57"/>
      <c r="F179" s="57"/>
      <c r="G179" s="58">
        <f>if(A179,_xlfn.workday.intl(int(A179),1,"1000000",Holidays!A:A)+17/24,"")</f>
        <v>44917.70833</v>
      </c>
      <c r="H179" s="59" t="str">
        <f t="shared" si="23"/>
        <v/>
      </c>
      <c r="I179" s="60"/>
      <c r="J179" s="61">
        <f t="shared" si="2"/>
        <v>1216.275577</v>
      </c>
      <c r="K179" s="58">
        <f>if(G179,_xlfn.workday.intl(int(G179),0,"1000000",Holidays!A:A)+19/24,"")</f>
        <v>44917.79167</v>
      </c>
      <c r="L179" s="59" t="str">
        <f t="shared" si="3"/>
        <v/>
      </c>
      <c r="M179" s="20"/>
      <c r="N179" s="61">
        <f t="shared" si="4"/>
        <v>1216.192243</v>
      </c>
      <c r="O179" s="63">
        <f>if(A179,_xlfn.WORKDAY.INTL(A179,O$5,"1000000",Holidays!A:A)+hour(A179)/24+MINUTE(A179)/1440,"")</f>
        <v>44917.71875</v>
      </c>
      <c r="P179" s="64">
        <v>44917.78440792824</v>
      </c>
      <c r="Q179" s="65" t="s">
        <v>2713</v>
      </c>
      <c r="R179" s="66">
        <f t="shared" si="5"/>
        <v>0.06565792824</v>
      </c>
      <c r="S179" s="66"/>
      <c r="T179" s="65" t="s">
        <v>2713</v>
      </c>
      <c r="U179" s="64">
        <f>if(O179,_xlfn.WORKDAY.INTL(O179,U$5,"1000000",Holidays!A:A)+hour(O179)/24+MINUTE(O179)/1440,"")</f>
        <v>44918.71875</v>
      </c>
      <c r="V179" s="64">
        <f t="shared" si="6"/>
        <v>44917.78446</v>
      </c>
      <c r="W179" s="65" t="s">
        <v>2713</v>
      </c>
      <c r="X179" s="66" t="str">
        <f t="shared" si="7"/>
        <v/>
      </c>
      <c r="Y179" s="65" t="s">
        <v>2713</v>
      </c>
      <c r="Z179" s="66"/>
      <c r="AA179" s="66"/>
      <c r="AB179" s="67">
        <v>1.0</v>
      </c>
      <c r="AC179" s="67">
        <v>2.0</v>
      </c>
      <c r="AD179" s="63"/>
      <c r="AE179" s="63"/>
      <c r="AF179" s="63"/>
      <c r="AG179" s="63"/>
      <c r="AH179" s="63">
        <f t="shared" si="14"/>
        <v>44920.78441</v>
      </c>
      <c r="AI179" s="63">
        <f>if(AH179,_xlfn.workday.intl(int(AH179),0,"1000000",Holidays!A:A)+18/24,"")</f>
        <v>44920.75</v>
      </c>
      <c r="AJ179" s="64">
        <f t="shared" si="24"/>
        <v>44924.70298</v>
      </c>
      <c r="AK179" s="65" t="s">
        <v>2713</v>
      </c>
      <c r="AL179" s="66">
        <f t="shared" si="9"/>
        <v>3.952983113</v>
      </c>
      <c r="AM179" s="66"/>
      <c r="AN179" s="63">
        <f>if(AJ179,if(and(hour(AJ179+AN$5)&gt;11,(hour(AJ179+AN$5)&lt;20)),AJ179+AN$5,_xlfn.workday.intl(int(AJ179),1,"1000000",Holidays!A:A)+hour(AJ179+AN$5-$B$1)/24+minute(AJ179)/1440),"")</f>
        <v>44925.70298</v>
      </c>
      <c r="AO179" s="64">
        <f t="shared" si="15"/>
        <v>44924.70298</v>
      </c>
      <c r="AP179" s="65" t="s">
        <v>2713</v>
      </c>
      <c r="AQ179" s="66" t="str">
        <f t="shared" si="16"/>
        <v/>
      </c>
      <c r="AR179" s="66"/>
      <c r="AS179" s="63">
        <f>if(AJ179,if(and(hour(AJ179+AS$5)&gt;11,(hour(AJ179+AS$5)&lt;20)),AJ179+AS$5,_xlfn.workday.intl(int(AJ179),1,"1000000",Holidays!A:A)+hour(AJ179+AS$5-$B$1)/24+minute(AJ179)/1440),"")</f>
        <v>44926.70298</v>
      </c>
      <c r="AT179" s="64">
        <f t="shared" si="21"/>
        <v>44924.70298</v>
      </c>
      <c r="AU179" s="65" t="s">
        <v>2715</v>
      </c>
      <c r="AV179" s="66" t="str">
        <f t="shared" si="25"/>
        <v/>
      </c>
      <c r="AW179" s="66"/>
      <c r="AX179" s="56"/>
    </row>
    <row r="180">
      <c r="A180" s="55">
        <v>44919.7737562963</v>
      </c>
      <c r="B180" s="56"/>
      <c r="C180" s="57"/>
      <c r="D180" s="57"/>
      <c r="E180" s="57"/>
      <c r="F180" s="57"/>
      <c r="G180" s="58">
        <f>if(A180,_xlfn.workday.intl(int(A180),1,"1000000",Holidays!A:A)+17/24,"")</f>
        <v>44920.70833</v>
      </c>
      <c r="H180" s="59" t="str">
        <f t="shared" si="23"/>
        <v/>
      </c>
      <c r="I180" s="60"/>
      <c r="J180" s="61">
        <f t="shared" si="2"/>
        <v>1213.275577</v>
      </c>
      <c r="K180" s="58">
        <f>if(G180,_xlfn.workday.intl(int(G180),0,"1000000",Holidays!A:A)+19/24,"")</f>
        <v>44920.79167</v>
      </c>
      <c r="L180" s="59" t="str">
        <f t="shared" si="3"/>
        <v/>
      </c>
      <c r="M180" s="20"/>
      <c r="N180" s="61">
        <f t="shared" si="4"/>
        <v>1213.192243</v>
      </c>
      <c r="O180" s="63">
        <f>if(A180,_xlfn.WORKDAY.INTL(A180,O$5,"1000000",Holidays!A:A)+hour(A180)/24+MINUTE(A180)/1440,"")</f>
        <v>44920.77361</v>
      </c>
      <c r="P180" s="64">
        <v>44919.778032685186</v>
      </c>
      <c r="Q180" s="65" t="s">
        <v>2713</v>
      </c>
      <c r="R180" s="66" t="str">
        <f t="shared" si="5"/>
        <v/>
      </c>
      <c r="S180" s="66"/>
      <c r="T180" s="65" t="s">
        <v>2713</v>
      </c>
      <c r="U180" s="64">
        <f>if(O180,_xlfn.WORKDAY.INTL(O180,U$5,"1000000",Holidays!A:A)+hour(O180)/24+MINUTE(O180)/1440,"")</f>
        <v>44922.77361</v>
      </c>
      <c r="V180" s="64">
        <f t="shared" si="6"/>
        <v>44919.77817</v>
      </c>
      <c r="W180" s="65" t="s">
        <v>2713</v>
      </c>
      <c r="X180" s="66" t="str">
        <f t="shared" si="7"/>
        <v/>
      </c>
      <c r="Y180" s="65" t="s">
        <v>2713</v>
      </c>
      <c r="Z180" s="66"/>
      <c r="AA180" s="66"/>
      <c r="AB180" s="67">
        <v>1.0</v>
      </c>
      <c r="AC180" s="67">
        <v>2.0</v>
      </c>
      <c r="AD180" s="67">
        <v>3.0</v>
      </c>
      <c r="AE180" s="67">
        <v>4.0</v>
      </c>
      <c r="AF180" s="63"/>
      <c r="AG180" s="63"/>
      <c r="AH180" s="63">
        <f t="shared" si="14"/>
        <v>44929.77803</v>
      </c>
      <c r="AI180" s="63">
        <f>if(AH180,_xlfn.workday.intl(int(AH180),0,"1000000",Holidays!A:A)+18/24,"")</f>
        <v>44929.75</v>
      </c>
      <c r="AJ180" s="64" t="str">
        <f t="shared" si="24"/>
        <v/>
      </c>
      <c r="AK180" s="56"/>
      <c r="AL180" s="66">
        <f t="shared" si="9"/>
        <v>1204.23391</v>
      </c>
      <c r="AM180" s="66"/>
      <c r="AN180" s="63" t="str">
        <f>if(AJ180,if(and(hour(AJ180+AN$5)&gt;11,(hour(AJ180+AN$5)&lt;20)),AJ180+AN$5,_xlfn.workday.intl(int(AJ180),1,"1000000",Holidays!A:A)+hour(AJ180+AN$5-$B$1)/24+minute(AJ180)/1440),"")</f>
        <v/>
      </c>
      <c r="AO180" s="64" t="str">
        <f t="shared" si="15"/>
        <v/>
      </c>
      <c r="AP180" s="56"/>
      <c r="AQ180" s="66" t="str">
        <f t="shared" si="16"/>
        <v/>
      </c>
      <c r="AR180" s="66"/>
      <c r="AS180" s="63" t="str">
        <f>if(AJ180,if(and(hour(AJ180+AS$5)&gt;11,(hour(AJ180+AS$5)&lt;20)),AJ180+AS$5,_xlfn.workday.intl(int(AJ180),1,"1000000",Holidays!A:A)+hour(AJ180+AS$5-$B$1)/24+minute(AJ180)/1440),"")</f>
        <v/>
      </c>
      <c r="AT180" s="64" t="str">
        <f t="shared" si="21"/>
        <v/>
      </c>
      <c r="AU180" s="56"/>
      <c r="AV180" s="66" t="str">
        <f t="shared" si="25"/>
        <v/>
      </c>
      <c r="AW180" s="66"/>
      <c r="AX180" s="56"/>
    </row>
    <row r="181">
      <c r="A181" s="55">
        <v>44919.7745409375</v>
      </c>
      <c r="B181" s="56"/>
      <c r="C181" s="57"/>
      <c r="D181" s="57"/>
      <c r="E181" s="57"/>
      <c r="F181" s="57"/>
      <c r="G181" s="58">
        <f>if(A181,_xlfn.workday.intl(int(A181),1,"1000000",Holidays!A:A)+17/24,"")</f>
        <v>44920.70833</v>
      </c>
      <c r="H181" s="59" t="str">
        <f t="shared" si="23"/>
        <v/>
      </c>
      <c r="I181" s="60"/>
      <c r="J181" s="61">
        <f t="shared" si="2"/>
        <v>1213.275577</v>
      </c>
      <c r="K181" s="58">
        <f>if(G181,_xlfn.workday.intl(int(G181),0,"1000000",Holidays!A:A)+19/24,"")</f>
        <v>44920.79167</v>
      </c>
      <c r="L181" s="59" t="str">
        <f t="shared" si="3"/>
        <v/>
      </c>
      <c r="M181" s="20"/>
      <c r="N181" s="61">
        <f t="shared" si="4"/>
        <v>1213.192243</v>
      </c>
      <c r="O181" s="63">
        <f>if(A181,_xlfn.WORKDAY.INTL(A181,O$5,"1000000",Holidays!A:A)+hour(A181)/24+MINUTE(A181)/1440,"")</f>
        <v>44920.77431</v>
      </c>
      <c r="P181" s="64">
        <v>44924.70298311343</v>
      </c>
      <c r="Q181" s="65" t="s">
        <v>2713</v>
      </c>
      <c r="R181" s="66">
        <f t="shared" si="5"/>
        <v>3.928677558</v>
      </c>
      <c r="S181" s="66"/>
      <c r="T181" s="66"/>
      <c r="U181" s="64">
        <f>if(O181,_xlfn.WORKDAY.INTL(O181,U$5,"1000000",Holidays!A:A)+hour(O181)/24+MINUTE(O181)/1440,"")</f>
        <v>44922.77431</v>
      </c>
      <c r="V181" s="64" t="str">
        <f t="shared" si="6"/>
        <v/>
      </c>
      <c r="W181" s="66"/>
      <c r="X181" s="66">
        <f t="shared" si="7"/>
        <v>1211.209604</v>
      </c>
      <c r="Y181" s="66"/>
      <c r="Z181" s="66"/>
      <c r="AA181" s="66"/>
      <c r="AB181" s="67">
        <v>1.0</v>
      </c>
      <c r="AC181" s="63"/>
      <c r="AD181" s="63"/>
      <c r="AE181" s="63"/>
      <c r="AF181" s="63"/>
      <c r="AG181" s="63"/>
      <c r="AH181" s="63">
        <f t="shared" si="14"/>
        <v>44925.70298</v>
      </c>
      <c r="AI181" s="63">
        <f>if(AH181,_xlfn.workday.intl(int(AH181),0,"1000000",Holidays!A:A)+18/24,"")</f>
        <v>44925.75</v>
      </c>
      <c r="AJ181" s="64" t="str">
        <f t="shared" si="24"/>
        <v/>
      </c>
      <c r="AK181" s="56"/>
      <c r="AL181" s="66">
        <f t="shared" si="9"/>
        <v>1208.23391</v>
      </c>
      <c r="AM181" s="66"/>
      <c r="AN181" s="63" t="str">
        <f>if(AJ181,if(and(hour(AJ181+AN$5)&gt;11,(hour(AJ181+AN$5)&lt;20)),AJ181+AN$5,_xlfn.workday.intl(int(AJ181),1,"1000000",Holidays!A:A)+hour(AJ181+AN$5-$B$1)/24+minute(AJ181)/1440),"")</f>
        <v/>
      </c>
      <c r="AO181" s="64" t="str">
        <f t="shared" si="15"/>
        <v/>
      </c>
      <c r="AP181" s="56"/>
      <c r="AQ181" s="66" t="str">
        <f t="shared" si="16"/>
        <v/>
      </c>
      <c r="AR181" s="66"/>
      <c r="AS181" s="63" t="str">
        <f>if(AJ181,if(and(hour(AJ181+AS$5)&gt;11,(hour(AJ181+AS$5)&lt;20)),AJ181+AS$5,_xlfn.workday.intl(int(AJ181),1,"1000000",Holidays!A:A)+hour(AJ181+AS$5-$B$1)/24+minute(AJ181)/1440),"")</f>
        <v/>
      </c>
      <c r="AT181" s="64" t="str">
        <f t="shared" si="21"/>
        <v/>
      </c>
      <c r="AU181" s="56"/>
      <c r="AV181" s="66" t="str">
        <f t="shared" si="25"/>
        <v/>
      </c>
      <c r="AW181" s="66"/>
      <c r="AX181" s="56"/>
    </row>
    <row r="182">
      <c r="A182" s="55">
        <v>44919.77517219908</v>
      </c>
      <c r="B182" s="56"/>
      <c r="C182" s="57"/>
      <c r="D182" s="57"/>
      <c r="E182" s="57"/>
      <c r="F182" s="57"/>
      <c r="G182" s="58">
        <f>if(A182,_xlfn.workday.intl(int(A182),1,"1000000",Holidays!A:A)+17/24,"")</f>
        <v>44920.70833</v>
      </c>
      <c r="H182" s="59" t="str">
        <f t="shared" si="23"/>
        <v/>
      </c>
      <c r="I182" s="60"/>
      <c r="J182" s="61">
        <f t="shared" si="2"/>
        <v>1213.275577</v>
      </c>
      <c r="K182" s="58">
        <f>if(G182,_xlfn.workday.intl(int(G182),0,"1000000",Holidays!A:A)+19/24,"")</f>
        <v>44920.79167</v>
      </c>
      <c r="L182" s="59" t="str">
        <f t="shared" si="3"/>
        <v/>
      </c>
      <c r="M182" s="20"/>
      <c r="N182" s="61">
        <f t="shared" si="4"/>
        <v>1213.192243</v>
      </c>
      <c r="O182" s="63">
        <f>if(A182,_xlfn.WORKDAY.INTL(A182,O$5,"1000000",Holidays!A:A)+hour(A182)/24+MINUTE(A182)/1440,"")</f>
        <v>44920.775</v>
      </c>
      <c r="P182" s="64">
        <v>44920.53586434027</v>
      </c>
      <c r="Q182" s="65" t="s">
        <v>2713</v>
      </c>
      <c r="R182" s="66" t="str">
        <f t="shared" si="5"/>
        <v/>
      </c>
      <c r="S182" s="66"/>
      <c r="T182" s="65" t="s">
        <v>2713</v>
      </c>
      <c r="U182" s="64">
        <f>if(O182,_xlfn.WORKDAY.INTL(O182,U$5,"1000000",Holidays!A:A)+hour(O182)/24+MINUTE(O182)/1440,"")</f>
        <v>44922.775</v>
      </c>
      <c r="V182" s="64">
        <f t="shared" si="6"/>
        <v>44920.53602</v>
      </c>
      <c r="W182" s="65" t="s">
        <v>2713</v>
      </c>
      <c r="X182" s="66" t="str">
        <f t="shared" si="7"/>
        <v/>
      </c>
      <c r="Y182" s="65" t="s">
        <v>2713</v>
      </c>
      <c r="Z182" s="66"/>
      <c r="AA182" s="66"/>
      <c r="AB182" s="67">
        <v>1.0</v>
      </c>
      <c r="AC182" s="67">
        <v>2.0</v>
      </c>
      <c r="AD182" s="67">
        <v>3.0</v>
      </c>
      <c r="AE182" s="63"/>
      <c r="AF182" s="63"/>
      <c r="AG182" s="63"/>
      <c r="AH182" s="63">
        <f t="shared" si="14"/>
        <v>44926.53586</v>
      </c>
      <c r="AI182" s="63">
        <f>if(AH182,_xlfn.workday.intl(int(AH182),0,"1000000",Holidays!A:A)+18/24,"")</f>
        <v>44926.75</v>
      </c>
      <c r="AJ182" s="64" t="str">
        <f t="shared" si="24"/>
        <v/>
      </c>
      <c r="AL182" s="66">
        <f t="shared" si="9"/>
        <v>1207.23391</v>
      </c>
      <c r="AM182" s="66"/>
      <c r="AN182" s="63" t="str">
        <f>if(AJ182,if(and(hour(AJ182+AN$5)&gt;11,(hour(AJ182+AN$5)&lt;20)),AJ182+AN$5,_xlfn.workday.intl(int(AJ182),1,"1000000",Holidays!A:A)+hour(AJ182+AN$5-$B$1)/24+minute(AJ182)/1440),"")</f>
        <v/>
      </c>
      <c r="AO182" s="64" t="str">
        <f t="shared" si="15"/>
        <v/>
      </c>
      <c r="AQ182" s="66" t="str">
        <f t="shared" si="16"/>
        <v/>
      </c>
      <c r="AR182" s="66"/>
      <c r="AS182" s="63" t="str">
        <f>if(AJ182,if(and(hour(AJ182+AS$5)&gt;11,(hour(AJ182+AS$5)&lt;20)),AJ182+AS$5,_xlfn.workday.intl(int(AJ182),1,"1000000",Holidays!A:A)+hour(AJ182+AS$5-$B$1)/24+minute(AJ182)/1440),"")</f>
        <v/>
      </c>
      <c r="AT182" s="64" t="str">
        <f t="shared" si="21"/>
        <v/>
      </c>
      <c r="AU182" s="56"/>
      <c r="AV182" s="66" t="str">
        <f t="shared" si="25"/>
        <v/>
      </c>
      <c r="AW182" s="66"/>
      <c r="AX182" s="56"/>
    </row>
    <row r="183">
      <c r="A183" s="55">
        <v>44919.77655202546</v>
      </c>
      <c r="B183" s="56"/>
      <c r="C183" s="57"/>
      <c r="D183" s="57"/>
      <c r="E183" s="57"/>
      <c r="F183" s="57"/>
      <c r="G183" s="58">
        <f>if(A183,_xlfn.workday.intl(int(A183),1,"1000000",Holidays!A:A)+17/24,"")</f>
        <v>44920.70833</v>
      </c>
      <c r="H183" s="59" t="str">
        <f t="shared" si="23"/>
        <v/>
      </c>
      <c r="I183" s="60"/>
      <c r="J183" s="61">
        <f t="shared" si="2"/>
        <v>1213.275577</v>
      </c>
      <c r="K183" s="58">
        <f>if(G183,_xlfn.workday.intl(int(G183),0,"1000000",Holidays!A:A)+19/24,"")</f>
        <v>44920.79167</v>
      </c>
      <c r="L183" s="59" t="str">
        <f t="shared" si="3"/>
        <v/>
      </c>
      <c r="M183" s="20"/>
      <c r="N183" s="61">
        <f t="shared" si="4"/>
        <v>1213.192243</v>
      </c>
      <c r="O183" s="63">
        <f>if(A183,_xlfn.WORKDAY.INTL(A183,O$5,"1000000",Holidays!A:A)+hour(A183)/24+MINUTE(A183)/1440,"")</f>
        <v>44920.77639</v>
      </c>
      <c r="P183" s="64">
        <v>44920.535288217594</v>
      </c>
      <c r="Q183" s="65" t="s">
        <v>2713</v>
      </c>
      <c r="R183" s="66" t="str">
        <f t="shared" si="5"/>
        <v/>
      </c>
      <c r="S183" s="66"/>
      <c r="T183" s="65" t="s">
        <v>2713</v>
      </c>
      <c r="U183" s="64">
        <f>if(O183,_xlfn.WORKDAY.INTL(O183,U$5,"1000000",Holidays!A:A)+hour(O183)/24+MINUTE(O183)/1440,"")</f>
        <v>44922.77639</v>
      </c>
      <c r="V183" s="64">
        <f t="shared" si="6"/>
        <v>44920.53537</v>
      </c>
      <c r="W183" s="65" t="s">
        <v>2713</v>
      </c>
      <c r="X183" s="66" t="str">
        <f t="shared" si="7"/>
        <v/>
      </c>
      <c r="Y183" s="66"/>
      <c r="Z183" s="66"/>
      <c r="AA183" s="66"/>
      <c r="AB183" s="67">
        <v>1.0</v>
      </c>
      <c r="AC183" s="67">
        <v>2.0</v>
      </c>
      <c r="AD183" s="67">
        <v>3.0</v>
      </c>
      <c r="AE183" s="63"/>
      <c r="AF183" s="63"/>
      <c r="AG183" s="63"/>
      <c r="AH183" s="63">
        <f t="shared" si="14"/>
        <v>44926.53529</v>
      </c>
      <c r="AI183" s="63">
        <f>if(AH183,_xlfn.workday.intl(int(AH183),0,"1000000",Holidays!A:A)+18/24,"")</f>
        <v>44926.75</v>
      </c>
      <c r="AJ183" s="64" t="str">
        <f t="shared" si="24"/>
        <v/>
      </c>
      <c r="AL183" s="66">
        <f t="shared" si="9"/>
        <v>1207.23391</v>
      </c>
      <c r="AM183" s="66"/>
      <c r="AN183" s="63" t="str">
        <f>if(AJ183,if(and(hour(AJ183+AN$5)&gt;11,(hour(AJ183+AN$5)&lt;20)),AJ183+AN$5,_xlfn.workday.intl(int(AJ183),1,"1000000",Holidays!A:A)+hour(AJ183+AN$5-$B$1)/24+minute(AJ183)/1440),"")</f>
        <v/>
      </c>
      <c r="AO183" s="64" t="str">
        <f t="shared" si="15"/>
        <v/>
      </c>
      <c r="AQ183" s="66" t="str">
        <f t="shared" si="16"/>
        <v/>
      </c>
      <c r="AR183" s="66"/>
      <c r="AS183" s="63" t="str">
        <f>if(AJ183,if(and(hour(AJ183+AS$5)&gt;11,(hour(AJ183+AS$5)&lt;20)),AJ183+AS$5,_xlfn.workday.intl(int(AJ183),1,"1000000",Holidays!A:A)+hour(AJ183+AS$5-$B$1)/24+minute(AJ183)/1440),"")</f>
        <v/>
      </c>
      <c r="AT183" s="64" t="str">
        <f t="shared" si="21"/>
        <v/>
      </c>
      <c r="AU183" s="56"/>
      <c r="AV183" s="66" t="str">
        <f t="shared" si="25"/>
        <v/>
      </c>
      <c r="AW183" s="66"/>
      <c r="AX183" s="56"/>
    </row>
    <row r="184">
      <c r="A184" s="55">
        <v>44920.77365482639</v>
      </c>
      <c r="B184" s="56"/>
      <c r="C184" s="57"/>
      <c r="D184" s="57"/>
      <c r="E184" s="57"/>
      <c r="F184" s="57"/>
      <c r="G184" s="58">
        <f>if(A184,_xlfn.workday.intl(int(A184),1,"1000000",Holidays!A:A)+17/24,"")</f>
        <v>44922.70833</v>
      </c>
      <c r="H184" s="59" t="str">
        <f t="shared" si="23"/>
        <v/>
      </c>
      <c r="I184" s="60"/>
      <c r="J184" s="61">
        <f t="shared" si="2"/>
        <v>1211.275577</v>
      </c>
      <c r="K184" s="58">
        <f>if(G184,_xlfn.workday.intl(int(G184),0,"1000000",Holidays!A:A)+19/24,"")</f>
        <v>44922.79167</v>
      </c>
      <c r="L184" s="59" t="str">
        <f t="shared" si="3"/>
        <v/>
      </c>
      <c r="M184" s="20"/>
      <c r="N184" s="61">
        <f t="shared" si="4"/>
        <v>1211.192243</v>
      </c>
      <c r="O184" s="63">
        <f>if(A184,_xlfn.WORKDAY.INTL(A184,O$5,"1000000",Holidays!A:A)+hour(A184)/24+MINUTE(A184)/1440,"")</f>
        <v>44922.77361</v>
      </c>
      <c r="P184" s="64">
        <v>44920.77461707176</v>
      </c>
      <c r="Q184" s="65" t="s">
        <v>2713</v>
      </c>
      <c r="R184" s="66" t="str">
        <f t="shared" si="5"/>
        <v/>
      </c>
      <c r="S184" s="65" t="s">
        <v>2759</v>
      </c>
      <c r="T184" s="68"/>
      <c r="U184" s="64">
        <f>if(O184,_xlfn.WORKDAY.INTL(O184,U$5,"1000000",Holidays!A:A)+hour(O184)/24+MINUTE(O184)/1440,"")</f>
        <v>44923.77361</v>
      </c>
      <c r="V184" s="64" t="str">
        <f t="shared" si="6"/>
        <v/>
      </c>
      <c r="W184" s="66"/>
      <c r="X184" s="66">
        <f t="shared" si="7"/>
        <v>1210.210299</v>
      </c>
      <c r="Y184" s="66"/>
      <c r="Z184" s="66"/>
      <c r="AA184" s="66"/>
      <c r="AB184" s="63"/>
      <c r="AC184" s="63"/>
      <c r="AD184" s="63"/>
      <c r="AE184" s="63"/>
      <c r="AF184" s="63"/>
      <c r="AG184" s="63"/>
      <c r="AH184" s="63">
        <f t="shared" si="14"/>
        <v>44920.77462</v>
      </c>
      <c r="AI184" s="63">
        <f>if(AH184,_xlfn.workday.intl(int(AH184),0,"1000000",Holidays!A:A)+18/24,"")</f>
        <v>44920.75</v>
      </c>
      <c r="AJ184" s="64" t="str">
        <f t="shared" si="24"/>
        <v/>
      </c>
      <c r="AL184" s="66">
        <f t="shared" si="9"/>
        <v>1213.23391</v>
      </c>
      <c r="AM184" s="66"/>
      <c r="AN184" s="63" t="str">
        <f>if(AJ184,if(and(hour(AJ184+AN$5)&gt;11,(hour(AJ184+AN$5)&lt;20)),AJ184+AN$5,_xlfn.workday.intl(int(AJ184),1,"1000000",Holidays!A:A)+hour(AJ184+AN$5-$B$1)/24+minute(AJ184)/1440),"")</f>
        <v/>
      </c>
      <c r="AO184" s="64" t="str">
        <f t="shared" si="15"/>
        <v/>
      </c>
      <c r="AQ184" s="66" t="str">
        <f t="shared" si="16"/>
        <v/>
      </c>
      <c r="AR184" s="66"/>
      <c r="AS184" s="63" t="str">
        <f>if(AJ184,if(and(hour(AJ184+AS$5)&gt;11,(hour(AJ184+AS$5)&lt;20)),AJ184+AS$5,_xlfn.workday.intl(int(AJ184),1,"1000000",Holidays!A:A)+hour(AJ184+AS$5-$B$1)/24+minute(AJ184)/1440),"")</f>
        <v/>
      </c>
      <c r="AT184" s="64" t="str">
        <f t="shared" si="21"/>
        <v/>
      </c>
      <c r="AU184" s="56"/>
      <c r="AV184" s="66" t="str">
        <f t="shared" si="25"/>
        <v/>
      </c>
      <c r="AW184" s="66"/>
      <c r="AX184" s="65"/>
    </row>
    <row r="185">
      <c r="A185" s="55">
        <v>44924.70756591435</v>
      </c>
      <c r="B185" s="56"/>
      <c r="C185" s="57"/>
      <c r="D185" s="57"/>
      <c r="E185" s="57"/>
      <c r="F185" s="57"/>
      <c r="G185" s="58">
        <f>if(A185,_xlfn.workday.intl(int(A185),1,"1000000",Holidays!A:A)+17/24,"")</f>
        <v>44925.70833</v>
      </c>
      <c r="H185" s="59" t="str">
        <f t="shared" si="23"/>
        <v/>
      </c>
      <c r="I185" s="60"/>
      <c r="J185" s="61">
        <f t="shared" si="2"/>
        <v>1208.275577</v>
      </c>
      <c r="K185" s="58">
        <f>if(G185,_xlfn.workday.intl(int(G185),0,"1000000",Holidays!A:A)+19/24,"")</f>
        <v>44925.79167</v>
      </c>
      <c r="L185" s="59" t="str">
        <f t="shared" si="3"/>
        <v/>
      </c>
      <c r="M185" s="20"/>
      <c r="N185" s="61">
        <f t="shared" si="4"/>
        <v>1208.192243</v>
      </c>
      <c r="O185" s="63">
        <f>if(A185,_xlfn.WORKDAY.INTL(A185,O$5,"1000000",Holidays!A:A)+hour(A185)/24+MINUTE(A185)/1440,"")</f>
        <v>44925.70694</v>
      </c>
      <c r="P185" s="64" t="s">
        <v>2718</v>
      </c>
      <c r="Q185" s="56"/>
      <c r="R185" s="66">
        <f t="shared" si="5"/>
        <v>1208.276965</v>
      </c>
      <c r="S185" s="66"/>
      <c r="T185" s="66"/>
      <c r="U185" s="64">
        <f>if(O185,_xlfn.WORKDAY.INTL(O185,U$5,"1000000",Holidays!A:A)+hour(O185)/24+MINUTE(O185)/1440,"")</f>
        <v>44926.70694</v>
      </c>
      <c r="V185" s="64" t="str">
        <f t="shared" si="6"/>
        <v/>
      </c>
      <c r="W185" s="66"/>
      <c r="X185" s="66">
        <f t="shared" si="7"/>
        <v>1207.276965</v>
      </c>
      <c r="Y185" s="66"/>
      <c r="Z185" s="66"/>
      <c r="AA185" s="66"/>
      <c r="AB185" s="63"/>
      <c r="AC185" s="63"/>
      <c r="AD185" s="63"/>
      <c r="AE185" s="63"/>
      <c r="AF185" s="63"/>
      <c r="AG185" s="63"/>
      <c r="AH185" s="63" t="str">
        <f t="shared" si="14"/>
        <v/>
      </c>
      <c r="AI185" s="63" t="str">
        <f>if(AH185,_xlfn.workday.intl(int(AH185),0,"1000000",Holidays!A:A)+18/24,"")</f>
        <v/>
      </c>
      <c r="AJ185" s="64" t="str">
        <f t="shared" si="24"/>
        <v/>
      </c>
      <c r="AL185" s="66" t="str">
        <f t="shared" si="9"/>
        <v/>
      </c>
      <c r="AM185" s="66"/>
      <c r="AN185" s="63" t="str">
        <f>if(AJ185,if(and(hour(AJ185+AN$5)&gt;11,(hour(AJ185+AN$5)&lt;20)),AJ185+AN$5,_xlfn.workday.intl(int(AJ185),1,"1000000",Holidays!A:A)+hour(AJ185+AN$5-$B$1)/24+minute(AJ185)/1440),"")</f>
        <v/>
      </c>
      <c r="AO185" s="64" t="str">
        <f t="shared" si="15"/>
        <v/>
      </c>
      <c r="AQ185" s="66" t="str">
        <f t="shared" si="16"/>
        <v/>
      </c>
      <c r="AR185" s="66"/>
      <c r="AS185" s="63" t="str">
        <f>if(AJ185,if(and(hour(AJ185+AS$5)&gt;11,(hour(AJ185+AS$5)&lt;20)),AJ185+AS$5,_xlfn.workday.intl(int(AJ185),1,"1000000",Holidays!A:A)+hour(AJ185+AS$5-$B$1)/24+minute(AJ185)/1440),"")</f>
        <v/>
      </c>
      <c r="AT185" s="64" t="str">
        <f t="shared" si="21"/>
        <v/>
      </c>
      <c r="AU185" s="56"/>
      <c r="AV185" s="66" t="str">
        <f t="shared" si="25"/>
        <v/>
      </c>
      <c r="AW185" s="66"/>
      <c r="AX185" s="56"/>
    </row>
    <row r="186">
      <c r="A186" s="55">
        <v>44927.577745497685</v>
      </c>
      <c r="B186" s="56"/>
      <c r="C186" s="57"/>
      <c r="D186" s="57"/>
      <c r="E186" s="57"/>
      <c r="F186" s="57"/>
      <c r="G186" s="58">
        <f>if(A186,_xlfn.workday.intl(int(A186),1,"1000000",Holidays!A:A)+17/24,"")</f>
        <v>44929.70833</v>
      </c>
      <c r="H186" s="59" t="str">
        <f t="shared" si="23"/>
        <v/>
      </c>
      <c r="I186" s="60"/>
      <c r="J186" s="61">
        <f t="shared" si="2"/>
        <v>1204.275577</v>
      </c>
      <c r="K186" s="58">
        <f>if(G186,_xlfn.workday.intl(int(G186),0,"1000000",Holidays!A:A)+19/24,"")</f>
        <v>44929.79167</v>
      </c>
      <c r="L186" s="59" t="str">
        <f t="shared" si="3"/>
        <v/>
      </c>
      <c r="M186" s="20"/>
      <c r="N186" s="61">
        <f t="shared" si="4"/>
        <v>1204.192243</v>
      </c>
      <c r="O186" s="63">
        <f>if(A186,_xlfn.WORKDAY.INTL(A186,O$5,"1000000",Holidays!A:A)+hour(A186)/24+MINUTE(A186)/1440,"")</f>
        <v>44929.57708</v>
      </c>
      <c r="P186" s="64" t="s">
        <v>2718</v>
      </c>
      <c r="Q186" s="56"/>
      <c r="R186" s="66">
        <f t="shared" si="5"/>
        <v>1204.406827</v>
      </c>
      <c r="S186" s="66"/>
      <c r="T186" s="66"/>
      <c r="U186" s="64">
        <f>if(O186,_xlfn.WORKDAY.INTL(O186,U$5,"1000000",Holidays!A:A)+hour(O186)/24+MINUTE(O186)/1440,"")</f>
        <v>44930.57708</v>
      </c>
      <c r="V186" s="64" t="str">
        <f t="shared" si="6"/>
        <v/>
      </c>
      <c r="W186" s="66"/>
      <c r="X186" s="66">
        <f t="shared" si="7"/>
        <v>1203.406827</v>
      </c>
      <c r="Y186" s="66"/>
      <c r="Z186" s="66"/>
      <c r="AA186" s="66"/>
      <c r="AB186" s="63"/>
      <c r="AC186" s="63"/>
      <c r="AD186" s="63"/>
      <c r="AE186" s="63"/>
      <c r="AF186" s="63"/>
      <c r="AG186" s="63"/>
      <c r="AH186" s="63" t="str">
        <f t="shared" si="14"/>
        <v/>
      </c>
      <c r="AI186" s="63" t="str">
        <f>if(AH186,_xlfn.workday.intl(int(AH186),0,"1000000",Holidays!A:A)+18/24,"")</f>
        <v/>
      </c>
      <c r="AJ186" s="64" t="str">
        <f t="shared" si="24"/>
        <v/>
      </c>
      <c r="AL186" s="66" t="str">
        <f t="shared" si="9"/>
        <v/>
      </c>
      <c r="AM186" s="66"/>
      <c r="AN186" s="63" t="str">
        <f>if(AJ186,if(and(hour(AJ186+AN$5)&gt;11,(hour(AJ186+AN$5)&lt;20)),AJ186+AN$5,_xlfn.workday.intl(int(AJ186),1,"1000000",Holidays!A:A)+hour(AJ186+AN$5-$B$1)/24+minute(AJ186)/1440),"")</f>
        <v/>
      </c>
      <c r="AO186" s="64" t="str">
        <f t="shared" si="15"/>
        <v/>
      </c>
      <c r="AQ186" s="66" t="str">
        <f t="shared" si="16"/>
        <v/>
      </c>
      <c r="AR186" s="66"/>
      <c r="AS186" s="63" t="str">
        <f>if(AJ186,if(and(hour(AJ186+AS$5)&gt;11,(hour(AJ186+AS$5)&lt;20)),AJ186+AS$5,_xlfn.workday.intl(int(AJ186),1,"1000000",Holidays!A:A)+hour(AJ186+AS$5-$B$1)/24+minute(AJ186)/1440),"")</f>
        <v/>
      </c>
      <c r="AT186" s="64" t="str">
        <f t="shared" si="21"/>
        <v/>
      </c>
      <c r="AU186" s="56"/>
      <c r="AV186" s="66" t="str">
        <f t="shared" si="25"/>
        <v/>
      </c>
      <c r="AW186" s="66"/>
      <c r="AX186" s="56"/>
    </row>
    <row r="187">
      <c r="A187" s="55">
        <v>44927.58028672454</v>
      </c>
      <c r="B187" s="56"/>
      <c r="C187" s="57"/>
      <c r="D187" s="57"/>
      <c r="E187" s="57"/>
      <c r="F187" s="57"/>
      <c r="G187" s="58">
        <f>if(A187,_xlfn.workday.intl(int(A187),1,"1000000",Holidays!A:A)+17/24,"")</f>
        <v>44929.70833</v>
      </c>
      <c r="H187" s="59" t="str">
        <f t="shared" si="23"/>
        <v/>
      </c>
      <c r="I187" s="60"/>
      <c r="J187" s="61">
        <f t="shared" si="2"/>
        <v>1204.275577</v>
      </c>
      <c r="K187" s="58">
        <f>if(G187,_xlfn.workday.intl(int(G187),0,"1000000",Holidays!A:A)+19/24,"")</f>
        <v>44929.79167</v>
      </c>
      <c r="L187" s="59" t="str">
        <f t="shared" si="3"/>
        <v/>
      </c>
      <c r="M187" s="20"/>
      <c r="N187" s="61">
        <f t="shared" si="4"/>
        <v>1204.192243</v>
      </c>
      <c r="O187" s="63">
        <f>if(A187,_xlfn.WORKDAY.INTL(A187,O$5,"1000000",Holidays!A:A)+hour(A187)/24+MINUTE(A187)/1440,"")</f>
        <v>44929.57986</v>
      </c>
      <c r="P187" s="64" t="s">
        <v>2718</v>
      </c>
      <c r="Q187" s="56"/>
      <c r="R187" s="66">
        <f t="shared" si="5"/>
        <v>1204.404049</v>
      </c>
      <c r="S187" s="66"/>
      <c r="T187" s="66"/>
      <c r="U187" s="64">
        <f>if(O187,_xlfn.WORKDAY.INTL(O187,U$5,"1000000",Holidays!A:A)+hour(O187)/24+MINUTE(O187)/1440,"")</f>
        <v>44930.57986</v>
      </c>
      <c r="V187" s="64" t="str">
        <f t="shared" si="6"/>
        <v/>
      </c>
      <c r="W187" s="66"/>
      <c r="X187" s="66">
        <f t="shared" si="7"/>
        <v>1203.404049</v>
      </c>
      <c r="Y187" s="66"/>
      <c r="Z187" s="66"/>
      <c r="AA187" s="66"/>
      <c r="AB187" s="63"/>
      <c r="AC187" s="63"/>
      <c r="AD187" s="63"/>
      <c r="AE187" s="63"/>
      <c r="AF187" s="63"/>
      <c r="AG187" s="63"/>
      <c r="AH187" s="63" t="str">
        <f t="shared" si="14"/>
        <v/>
      </c>
      <c r="AI187" s="63" t="str">
        <f>if(AH187,_xlfn.workday.intl(int(AH187),0,"1000000",Holidays!A:A)+18/24,"")</f>
        <v/>
      </c>
      <c r="AJ187" s="64" t="str">
        <f t="shared" si="24"/>
        <v/>
      </c>
      <c r="AL187" s="66" t="str">
        <f t="shared" si="9"/>
        <v/>
      </c>
      <c r="AM187" s="66"/>
      <c r="AN187" s="63" t="str">
        <f>if(AJ187,if(and(hour(AJ187+AN$5)&gt;11,(hour(AJ187+AN$5)&lt;20)),AJ187+AN$5,_xlfn.workday.intl(int(AJ187),1,"1000000",Holidays!A:A)+hour(AJ187+AN$5-$B$1)/24+minute(AJ187)/1440),"")</f>
        <v/>
      </c>
      <c r="AO187" s="64" t="str">
        <f t="shared" si="15"/>
        <v/>
      </c>
      <c r="AQ187" s="66" t="str">
        <f t="shared" si="16"/>
        <v/>
      </c>
      <c r="AR187" s="66"/>
      <c r="AS187" s="63" t="str">
        <f>if(AJ187,if(and(hour(AJ187+AS$5)&gt;11,(hour(AJ187+AS$5)&lt;20)),AJ187+AS$5,_xlfn.workday.intl(int(AJ187),1,"1000000",Holidays!A:A)+hour(AJ187+AS$5-$B$1)/24+minute(AJ187)/1440),"")</f>
        <v/>
      </c>
      <c r="AT187" s="64" t="str">
        <f t="shared" si="21"/>
        <v/>
      </c>
      <c r="AU187" s="56"/>
      <c r="AV187" s="66" t="str">
        <f t="shared" si="25"/>
        <v/>
      </c>
      <c r="AW187" s="66"/>
      <c r="AX187" s="56"/>
    </row>
    <row r="188">
      <c r="A188" s="55">
        <v>44936.46354170139</v>
      </c>
      <c r="B188" s="56"/>
      <c r="C188" s="57"/>
      <c r="D188" s="57"/>
      <c r="E188" s="57"/>
      <c r="F188" s="57"/>
      <c r="G188" s="58">
        <f>if(A188,_xlfn.workday.intl(int(A188),1,"1000000",Holidays!A:A)+17/24,"")</f>
        <v>44937.70833</v>
      </c>
      <c r="H188" s="59" t="str">
        <f t="shared" si="23"/>
        <v/>
      </c>
      <c r="I188" s="60"/>
      <c r="J188" s="61">
        <f t="shared" si="2"/>
        <v>1196.275577</v>
      </c>
      <c r="K188" s="58">
        <f>if(G188,_xlfn.workday.intl(int(G188),0,"1000000",Holidays!A:A)+19/24,"")</f>
        <v>44937.79167</v>
      </c>
      <c r="L188" s="59" t="str">
        <f t="shared" si="3"/>
        <v/>
      </c>
      <c r="M188" s="20"/>
      <c r="N188" s="61">
        <f t="shared" si="4"/>
        <v>1196.192243</v>
      </c>
      <c r="O188" s="63">
        <f>if(A188,_xlfn.WORKDAY.INTL(A188,O$5,"1000000",Holidays!A:A)+hour(A188)/24+MINUTE(A188)/1440,"")</f>
        <v>44937.46319</v>
      </c>
      <c r="P188" s="64" t="s">
        <v>2718</v>
      </c>
      <c r="Q188" s="56"/>
      <c r="R188" s="66">
        <f t="shared" si="5"/>
        <v>1196.520715</v>
      </c>
      <c r="S188" s="66"/>
      <c r="T188" s="66"/>
      <c r="U188" s="64">
        <f>if(O188,_xlfn.WORKDAY.INTL(O188,U$5,"1000000",Holidays!A:A)+hour(O188)/24+MINUTE(O188)/1440,"")</f>
        <v>44938.46319</v>
      </c>
      <c r="V188" s="64" t="str">
        <f t="shared" si="6"/>
        <v/>
      </c>
      <c r="W188" s="66"/>
      <c r="X188" s="66">
        <f t="shared" si="7"/>
        <v>1195.520715</v>
      </c>
      <c r="Y188" s="66"/>
      <c r="Z188" s="66"/>
      <c r="AA188" s="66"/>
      <c r="AB188" s="63"/>
      <c r="AC188" s="63"/>
      <c r="AD188" s="63"/>
      <c r="AE188" s="63"/>
      <c r="AF188" s="63"/>
      <c r="AG188" s="63"/>
      <c r="AH188" s="63" t="str">
        <f t="shared" si="14"/>
        <v/>
      </c>
      <c r="AI188" s="63" t="str">
        <f>if(AH188,_xlfn.workday.intl(int(AH188),0,"1000000",Holidays!A:A)+18/24,"")</f>
        <v/>
      </c>
      <c r="AJ188" s="64" t="str">
        <f t="shared" si="24"/>
        <v/>
      </c>
      <c r="AL188" s="66" t="str">
        <f t="shared" si="9"/>
        <v/>
      </c>
      <c r="AM188" s="66"/>
      <c r="AN188" s="63" t="str">
        <f>if(AJ188,if(and(hour(AJ188+AN$5)&gt;11,(hour(AJ188+AN$5)&lt;20)),AJ188+AN$5,_xlfn.workday.intl(int(AJ188),1,"1000000",Holidays!A:A)+hour(AJ188+AN$5-$B$1)/24+minute(AJ188)/1440),"")</f>
        <v/>
      </c>
      <c r="AO188" s="64" t="str">
        <f t="shared" si="15"/>
        <v/>
      </c>
      <c r="AQ188" s="66" t="str">
        <f t="shared" si="16"/>
        <v/>
      </c>
      <c r="AR188" s="66"/>
      <c r="AS188" s="63" t="str">
        <f>if(AJ188,if(and(hour(AJ188+AS$5)&gt;11,(hour(AJ188+AS$5)&lt;20)),AJ188+AS$5,_xlfn.workday.intl(int(AJ188),1,"1000000",Holidays!A:A)+hour(AJ188+AS$5-$B$1)/24+minute(AJ188)/1440),"")</f>
        <v/>
      </c>
      <c r="AT188" s="64" t="str">
        <f t="shared" si="21"/>
        <v/>
      </c>
      <c r="AU188" s="56"/>
      <c r="AV188" s="66" t="str">
        <f t="shared" si="25"/>
        <v/>
      </c>
      <c r="AW188" s="66"/>
      <c r="AX188" s="56"/>
    </row>
    <row r="189">
      <c r="A189" s="55">
        <v>44936.46454961806</v>
      </c>
      <c r="B189" s="56"/>
      <c r="C189" s="57"/>
      <c r="D189" s="57"/>
      <c r="E189" s="57"/>
      <c r="F189" s="57"/>
      <c r="G189" s="58">
        <f>if(A189,_xlfn.workday.intl(int(A189),1,"1000000",Holidays!A:A)+17/24,"")</f>
        <v>44937.70833</v>
      </c>
      <c r="H189" s="59" t="str">
        <f t="shared" si="23"/>
        <v/>
      </c>
      <c r="I189" s="60"/>
      <c r="J189" s="61">
        <f t="shared" si="2"/>
        <v>1196.275577</v>
      </c>
      <c r="K189" s="58">
        <f>if(G189,_xlfn.workday.intl(int(G189),0,"1000000",Holidays!A:A)+19/24,"")</f>
        <v>44937.79167</v>
      </c>
      <c r="L189" s="59" t="str">
        <f t="shared" si="3"/>
        <v/>
      </c>
      <c r="M189" s="20"/>
      <c r="N189" s="61">
        <f t="shared" si="4"/>
        <v>1196.192243</v>
      </c>
      <c r="O189" s="63">
        <f>if(A189,_xlfn.WORKDAY.INTL(A189,O$5,"1000000",Holidays!A:A)+hour(A189)/24+MINUTE(A189)/1440,"")</f>
        <v>44937.46389</v>
      </c>
      <c r="P189" s="64" t="s">
        <v>2718</v>
      </c>
      <c r="Q189" s="56"/>
      <c r="R189" s="66">
        <f t="shared" si="5"/>
        <v>1196.520021</v>
      </c>
      <c r="S189" s="66"/>
      <c r="T189" s="66"/>
      <c r="U189" s="64">
        <f>if(O189,_xlfn.WORKDAY.INTL(O189,U$5,"1000000",Holidays!A:A)+hour(O189)/24+MINUTE(O189)/1440,"")</f>
        <v>44938.46389</v>
      </c>
      <c r="V189" s="64" t="str">
        <f t="shared" si="6"/>
        <v/>
      </c>
      <c r="W189" s="66"/>
      <c r="X189" s="66">
        <f t="shared" si="7"/>
        <v>1195.520021</v>
      </c>
      <c r="Y189" s="66"/>
      <c r="Z189" s="66"/>
      <c r="AA189" s="66"/>
      <c r="AB189" s="63"/>
      <c r="AC189" s="63"/>
      <c r="AD189" s="63"/>
      <c r="AE189" s="63"/>
      <c r="AF189" s="63"/>
      <c r="AG189" s="63"/>
      <c r="AH189" s="63" t="str">
        <f t="shared" si="14"/>
        <v/>
      </c>
      <c r="AI189" s="63" t="str">
        <f>if(AH189,_xlfn.workday.intl(int(AH189),0,"1000000",Holidays!A:A)+18/24,"")</f>
        <v/>
      </c>
      <c r="AJ189" s="64" t="str">
        <f t="shared" si="24"/>
        <v/>
      </c>
      <c r="AL189" s="66" t="str">
        <f t="shared" si="9"/>
        <v/>
      </c>
      <c r="AM189" s="66"/>
      <c r="AN189" s="63" t="str">
        <f>if(AJ189,if(and(hour(AJ189+AN$5)&gt;11,(hour(AJ189+AN$5)&lt;20)),AJ189+AN$5,_xlfn.workday.intl(int(AJ189),1,"1000000",Holidays!A:A)+hour(AJ189+AN$5-$B$1)/24+minute(AJ189)/1440),"")</f>
        <v/>
      </c>
      <c r="AO189" s="64" t="str">
        <f t="shared" si="15"/>
        <v/>
      </c>
      <c r="AQ189" s="66" t="str">
        <f t="shared" si="16"/>
        <v/>
      </c>
      <c r="AR189" s="66"/>
      <c r="AS189" s="63" t="str">
        <f>if(AJ189,if(and(hour(AJ189+AS$5)&gt;11,(hour(AJ189+AS$5)&lt;20)),AJ189+AS$5,_xlfn.workday.intl(int(AJ189),1,"1000000",Holidays!A:A)+hour(AJ189+AS$5-$B$1)/24+minute(AJ189)/1440),"")</f>
        <v/>
      </c>
      <c r="AT189" s="64" t="str">
        <f t="shared" si="21"/>
        <v/>
      </c>
      <c r="AU189" s="56"/>
      <c r="AV189" s="66" t="str">
        <f t="shared" si="25"/>
        <v/>
      </c>
      <c r="AW189" s="66"/>
      <c r="AX189" s="56"/>
    </row>
    <row r="190">
      <c r="A190" s="55">
        <v>44936.46560909723</v>
      </c>
      <c r="B190" s="56"/>
      <c r="C190" s="57"/>
      <c r="D190" s="57"/>
      <c r="E190" s="57"/>
      <c r="F190" s="57"/>
      <c r="G190" s="58">
        <f>if(A190,_xlfn.workday.intl(int(A190),1,"1000000",Holidays!A:A)+17/24,"")</f>
        <v>44937.70833</v>
      </c>
      <c r="H190" s="59" t="str">
        <f t="shared" si="23"/>
        <v/>
      </c>
      <c r="I190" s="60"/>
      <c r="J190" s="61">
        <f t="shared" si="2"/>
        <v>1196.275577</v>
      </c>
      <c r="K190" s="58">
        <f>if(G190,_xlfn.workday.intl(int(G190),0,"1000000",Holidays!A:A)+19/24,"")</f>
        <v>44937.79167</v>
      </c>
      <c r="L190" s="59" t="str">
        <f t="shared" si="3"/>
        <v/>
      </c>
      <c r="M190" s="20"/>
      <c r="N190" s="61">
        <f t="shared" si="4"/>
        <v>1196.192243</v>
      </c>
      <c r="O190" s="63">
        <f>if(A190,_xlfn.WORKDAY.INTL(A190,O$5,"1000000",Holidays!A:A)+hour(A190)/24+MINUTE(A190)/1440,"")</f>
        <v>44937.46528</v>
      </c>
      <c r="P190" s="64" t="s">
        <v>2718</v>
      </c>
      <c r="Q190" s="56"/>
      <c r="R190" s="66">
        <f t="shared" si="5"/>
        <v>1196.518632</v>
      </c>
      <c r="S190" s="66"/>
      <c r="T190" s="66"/>
      <c r="U190" s="64">
        <f>if(O190,_xlfn.WORKDAY.INTL(O190,U$5,"1000000",Holidays!A:A)+hour(O190)/24+MINUTE(O190)/1440,"")</f>
        <v>44938.46528</v>
      </c>
      <c r="V190" s="64" t="str">
        <f t="shared" si="6"/>
        <v/>
      </c>
      <c r="W190" s="66"/>
      <c r="X190" s="66">
        <f t="shared" si="7"/>
        <v>1195.518632</v>
      </c>
      <c r="Y190" s="66"/>
      <c r="Z190" s="66"/>
      <c r="AA190" s="66"/>
      <c r="AB190" s="63"/>
      <c r="AC190" s="63"/>
      <c r="AD190" s="63"/>
      <c r="AE190" s="63"/>
      <c r="AF190" s="63"/>
      <c r="AG190" s="63"/>
      <c r="AH190" s="63" t="str">
        <f t="shared" si="14"/>
        <v/>
      </c>
      <c r="AI190" s="63" t="str">
        <f>if(AH190,_xlfn.workday.intl(int(AH190),0,"1000000",Holidays!A:A)+18/24,"")</f>
        <v/>
      </c>
      <c r="AJ190" s="64" t="str">
        <f t="shared" si="24"/>
        <v/>
      </c>
      <c r="AL190" s="66" t="str">
        <f t="shared" si="9"/>
        <v/>
      </c>
      <c r="AM190" s="66"/>
      <c r="AN190" s="63" t="str">
        <f>if(AJ190,if(and(hour(AJ190+AN$5)&gt;11,(hour(AJ190+AN$5)&lt;20)),AJ190+AN$5,_xlfn.workday.intl(int(AJ190),1,"1000000",Holidays!A:A)+hour(AJ190+AN$5-$B$1)/24+minute(AJ190)/1440),"")</f>
        <v/>
      </c>
      <c r="AO190" s="64" t="str">
        <f t="shared" si="15"/>
        <v/>
      </c>
      <c r="AQ190" s="66" t="str">
        <f t="shared" si="16"/>
        <v/>
      </c>
      <c r="AR190" s="66"/>
      <c r="AS190" s="63" t="str">
        <f>if(AJ190,if(and(hour(AJ190+AS$5)&gt;11,(hour(AJ190+AS$5)&lt;20)),AJ190+AS$5,_xlfn.workday.intl(int(AJ190),1,"1000000",Holidays!A:A)+hour(AJ190+AS$5-$B$1)/24+minute(AJ190)/1440),"")</f>
        <v/>
      </c>
      <c r="AT190" s="64" t="str">
        <f t="shared" si="21"/>
        <v/>
      </c>
      <c r="AU190" s="56"/>
      <c r="AV190" s="66" t="str">
        <f t="shared" si="25"/>
        <v/>
      </c>
      <c r="AW190" s="66"/>
      <c r="AX190" s="56"/>
    </row>
    <row r="191">
      <c r="A191" s="55">
        <v>44936.51986458333</v>
      </c>
      <c r="B191" s="56"/>
      <c r="C191" s="57"/>
      <c r="D191" s="57"/>
      <c r="E191" s="57"/>
      <c r="F191" s="57"/>
      <c r="G191" s="58">
        <f>if(A191,_xlfn.workday.intl(int(A191),1,"1000000",Holidays!A:A)+17/24,"")</f>
        <v>44937.70833</v>
      </c>
      <c r="H191" s="59" t="str">
        <f t="shared" si="23"/>
        <v/>
      </c>
      <c r="I191" s="60"/>
      <c r="J191" s="61">
        <f t="shared" si="2"/>
        <v>1196.275577</v>
      </c>
      <c r="K191" s="58">
        <f>if(G191,_xlfn.workday.intl(int(G191),0,"1000000",Holidays!A:A)+19/24,"")</f>
        <v>44937.79167</v>
      </c>
      <c r="L191" s="59" t="str">
        <f t="shared" si="3"/>
        <v/>
      </c>
      <c r="M191" s="20"/>
      <c r="N191" s="61">
        <f t="shared" si="4"/>
        <v>1196.192243</v>
      </c>
      <c r="O191" s="63">
        <f>if(A191,_xlfn.WORKDAY.INTL(A191,O$5,"1000000",Holidays!A:A)+hour(A191)/24+MINUTE(A191)/1440,"")</f>
        <v>44937.51944</v>
      </c>
      <c r="P191" s="64" t="s">
        <v>2718</v>
      </c>
      <c r="Q191" s="56"/>
      <c r="R191" s="66">
        <f t="shared" si="5"/>
        <v>1196.464465</v>
      </c>
      <c r="S191" s="66"/>
      <c r="T191" s="66"/>
      <c r="U191" s="64">
        <f>if(O191,_xlfn.WORKDAY.INTL(O191,U$5,"1000000",Holidays!A:A)+hour(O191)/24+MINUTE(O191)/1440,"")</f>
        <v>44938.51944</v>
      </c>
      <c r="V191" s="64" t="str">
        <f t="shared" si="6"/>
        <v/>
      </c>
      <c r="W191" s="66"/>
      <c r="X191" s="66">
        <f t="shared" si="7"/>
        <v>1195.464465</v>
      </c>
      <c r="Y191" s="66"/>
      <c r="Z191" s="66"/>
      <c r="AA191" s="66"/>
      <c r="AB191" s="63"/>
      <c r="AC191" s="63"/>
      <c r="AD191" s="63"/>
      <c r="AE191" s="63"/>
      <c r="AF191" s="63"/>
      <c r="AG191" s="63"/>
      <c r="AH191" s="63" t="str">
        <f t="shared" si="14"/>
        <v/>
      </c>
      <c r="AI191" s="63" t="str">
        <f>if(AH191,_xlfn.workday.intl(int(AH191),0,"1000000",Holidays!A:A)+18/24,"")</f>
        <v/>
      </c>
      <c r="AJ191" s="64" t="str">
        <f t="shared" si="24"/>
        <v/>
      </c>
      <c r="AL191" s="66" t="str">
        <f t="shared" si="9"/>
        <v/>
      </c>
      <c r="AM191" s="66"/>
      <c r="AN191" s="63" t="str">
        <f>if(AJ191,if(and(hour(AJ191+AN$5)&gt;11,(hour(AJ191+AN$5)&lt;20)),AJ191+AN$5,_xlfn.workday.intl(int(AJ191),1,"1000000",Holidays!A:A)+hour(AJ191+AN$5-$B$1)/24+minute(AJ191)/1440),"")</f>
        <v/>
      </c>
      <c r="AO191" s="64" t="str">
        <f t="shared" si="15"/>
        <v/>
      </c>
      <c r="AQ191" s="66" t="str">
        <f t="shared" si="16"/>
        <v/>
      </c>
      <c r="AR191" s="66"/>
      <c r="AS191" s="63" t="str">
        <f>if(AJ191,if(and(hour(AJ191+AS$5)&gt;11,(hour(AJ191+AS$5)&lt;20)),AJ191+AS$5,_xlfn.workday.intl(int(AJ191),1,"1000000",Holidays!A:A)+hour(AJ191+AS$5-$B$1)/24+minute(AJ191)/1440),"")</f>
        <v/>
      </c>
      <c r="AT191" s="64" t="str">
        <f t="shared" si="21"/>
        <v/>
      </c>
      <c r="AU191" s="56"/>
      <c r="AV191" s="66" t="str">
        <f t="shared" si="25"/>
        <v/>
      </c>
      <c r="AW191" s="66"/>
      <c r="AX191" s="56"/>
    </row>
    <row r="192">
      <c r="A192" s="55">
        <v>44936.53682934028</v>
      </c>
      <c r="B192" s="56"/>
      <c r="C192" s="57"/>
      <c r="D192" s="57"/>
      <c r="E192" s="57"/>
      <c r="F192" s="57"/>
      <c r="G192" s="58">
        <f>if(A192,_xlfn.workday.intl(int(A192),1,"1000000",Holidays!A:A)+17/24,"")</f>
        <v>44937.70833</v>
      </c>
      <c r="H192" s="59" t="str">
        <f t="shared" si="23"/>
        <v/>
      </c>
      <c r="I192" s="60"/>
      <c r="J192" s="61">
        <f t="shared" si="2"/>
        <v>1196.275577</v>
      </c>
      <c r="K192" s="58">
        <f>if(G192,_xlfn.workday.intl(int(G192),0,"1000000",Holidays!A:A)+19/24,"")</f>
        <v>44937.79167</v>
      </c>
      <c r="L192" s="59" t="str">
        <f t="shared" si="3"/>
        <v/>
      </c>
      <c r="M192" s="20"/>
      <c r="N192" s="61">
        <f t="shared" si="4"/>
        <v>1196.192243</v>
      </c>
      <c r="O192" s="63">
        <f>if(A192,_xlfn.WORKDAY.INTL(A192,O$5,"1000000",Holidays!A:A)+hour(A192)/24+MINUTE(A192)/1440,"")</f>
        <v>44937.53681</v>
      </c>
      <c r="P192" s="64" t="s">
        <v>2718</v>
      </c>
      <c r="Q192" s="56"/>
      <c r="R192" s="66">
        <f t="shared" si="5"/>
        <v>1196.447104</v>
      </c>
      <c r="S192" s="66"/>
      <c r="T192" s="66"/>
      <c r="U192" s="64">
        <f>if(O192,_xlfn.WORKDAY.INTL(O192,U$5,"1000000",Holidays!A:A)+hour(O192)/24+MINUTE(O192)/1440,"")</f>
        <v>44938.53681</v>
      </c>
      <c r="V192" s="64" t="str">
        <f t="shared" si="6"/>
        <v/>
      </c>
      <c r="W192" s="66"/>
      <c r="X192" s="66">
        <f t="shared" si="7"/>
        <v>1195.447104</v>
      </c>
      <c r="Y192" s="66"/>
      <c r="Z192" s="66"/>
      <c r="AA192" s="66"/>
      <c r="AB192" s="63"/>
      <c r="AC192" s="63"/>
      <c r="AD192" s="63"/>
      <c r="AE192" s="63"/>
      <c r="AF192" s="63"/>
      <c r="AG192" s="63"/>
      <c r="AH192" s="63" t="str">
        <f t="shared" si="14"/>
        <v/>
      </c>
      <c r="AI192" s="63" t="str">
        <f>if(AH192,_xlfn.workday.intl(int(AH192),0,"1000000",Holidays!A:A)+18/24,"")</f>
        <v/>
      </c>
      <c r="AJ192" s="64" t="str">
        <f t="shared" si="24"/>
        <v/>
      </c>
      <c r="AL192" s="66" t="str">
        <f t="shared" si="9"/>
        <v/>
      </c>
      <c r="AM192" s="66"/>
      <c r="AN192" s="63" t="str">
        <f>if(AJ192,if(and(hour(AJ192+AN$5)&gt;11,(hour(AJ192+AN$5)&lt;20)),AJ192+AN$5,_xlfn.workday.intl(int(AJ192),1,"1000000",Holidays!A:A)+hour(AJ192+AN$5-$B$1)/24+minute(AJ192)/1440),"")</f>
        <v/>
      </c>
      <c r="AO192" s="64" t="str">
        <f t="shared" si="15"/>
        <v/>
      </c>
      <c r="AQ192" s="66" t="str">
        <f t="shared" si="16"/>
        <v/>
      </c>
      <c r="AR192" s="66"/>
      <c r="AS192" s="63" t="str">
        <f>if(AJ192,if(and(hour(AJ192+AS$5)&gt;11,(hour(AJ192+AS$5)&lt;20)),AJ192+AS$5,_xlfn.workday.intl(int(AJ192),1,"1000000",Holidays!A:A)+hour(AJ192+AS$5-$B$1)/24+minute(AJ192)/1440),"")</f>
        <v/>
      </c>
      <c r="AT192" s="64" t="str">
        <f t="shared" si="21"/>
        <v/>
      </c>
      <c r="AU192" s="56"/>
      <c r="AV192" s="66" t="str">
        <f t="shared" si="25"/>
        <v/>
      </c>
      <c r="AW192" s="66"/>
      <c r="AX192" s="56"/>
    </row>
    <row r="193">
      <c r="A193" s="55">
        <v>44938.50462876157</v>
      </c>
      <c r="B193" s="56"/>
      <c r="C193" s="57"/>
      <c r="D193" s="57"/>
      <c r="E193" s="57"/>
      <c r="F193" s="57"/>
      <c r="G193" s="58">
        <f>if(A193,_xlfn.workday.intl(int(A193),1,"1000000",Holidays!A:A)+17/24,"")</f>
        <v>44939.70833</v>
      </c>
      <c r="H193" s="59" t="str">
        <f t="shared" si="23"/>
        <v/>
      </c>
      <c r="I193" s="60"/>
      <c r="J193" s="61">
        <f t="shared" si="2"/>
        <v>1194.275577</v>
      </c>
      <c r="K193" s="58">
        <f>if(G193,_xlfn.workday.intl(int(G193),0,"1000000",Holidays!A:A)+19/24,"")</f>
        <v>44939.79167</v>
      </c>
      <c r="L193" s="59" t="str">
        <f t="shared" si="3"/>
        <v/>
      </c>
      <c r="M193" s="20"/>
      <c r="N193" s="61">
        <f t="shared" si="4"/>
        <v>1194.192243</v>
      </c>
      <c r="O193" s="63">
        <f>if(A193,_xlfn.WORKDAY.INTL(A193,O$5,"1000000",Holidays!A:A)+hour(A193)/24+MINUTE(A193)/1440,"")</f>
        <v>44939.50417</v>
      </c>
      <c r="P193" s="64" t="s">
        <v>2718</v>
      </c>
      <c r="Q193" s="56"/>
      <c r="R193" s="66">
        <f t="shared" si="5"/>
        <v>1194.479743</v>
      </c>
      <c r="S193" s="66"/>
      <c r="T193" s="66"/>
      <c r="U193" s="64">
        <f>if(O193,_xlfn.WORKDAY.INTL(O193,U$5,"1000000",Holidays!A:A)+hour(O193)/24+MINUTE(O193)/1440,"")</f>
        <v>44940.50417</v>
      </c>
      <c r="V193" s="64" t="str">
        <f t="shared" si="6"/>
        <v/>
      </c>
      <c r="W193" s="66"/>
      <c r="X193" s="66">
        <f t="shared" si="7"/>
        <v>1193.479743</v>
      </c>
      <c r="Y193" s="66"/>
      <c r="Z193" s="66"/>
      <c r="AA193" s="66"/>
      <c r="AB193" s="63"/>
      <c r="AC193" s="63"/>
      <c r="AD193" s="63"/>
      <c r="AE193" s="63"/>
      <c r="AF193" s="63"/>
      <c r="AG193" s="63"/>
      <c r="AH193" s="63" t="str">
        <f t="shared" si="14"/>
        <v/>
      </c>
      <c r="AI193" s="63" t="str">
        <f>if(AH193,_xlfn.workday.intl(int(AH193),0,"1000000",Holidays!A:A)+18/24,"")</f>
        <v/>
      </c>
      <c r="AJ193" s="64" t="str">
        <f t="shared" si="24"/>
        <v/>
      </c>
      <c r="AL193" s="66" t="str">
        <f t="shared" si="9"/>
        <v/>
      </c>
      <c r="AM193" s="66"/>
      <c r="AN193" s="63" t="str">
        <f>if(AJ193,if(and(hour(AJ193+AN$5)&gt;11,(hour(AJ193+AN$5)&lt;20)),AJ193+AN$5,_xlfn.workday.intl(int(AJ193),1,"1000000",Holidays!A:A)+hour(AJ193+AN$5-$B$1)/24+minute(AJ193)/1440),"")</f>
        <v/>
      </c>
      <c r="AO193" s="64" t="str">
        <f t="shared" si="15"/>
        <v/>
      </c>
      <c r="AQ193" s="66" t="str">
        <f t="shared" si="16"/>
        <v/>
      </c>
      <c r="AR193" s="66"/>
      <c r="AS193" s="63" t="str">
        <f>if(AJ193,if(and(hour(AJ193+AS$5)&gt;11,(hour(AJ193+AS$5)&lt;20)),AJ193+AS$5,_xlfn.workday.intl(int(AJ193),1,"1000000",Holidays!A:A)+hour(AJ193+AS$5-$B$1)/24+minute(AJ193)/1440),"")</f>
        <v/>
      </c>
      <c r="AT193" s="64" t="str">
        <f t="shared" si="21"/>
        <v/>
      </c>
      <c r="AU193" s="56"/>
      <c r="AV193" s="66" t="str">
        <f t="shared" si="25"/>
        <v/>
      </c>
      <c r="AW193" s="66"/>
      <c r="AX193" s="56"/>
    </row>
    <row r="194">
      <c r="A194" s="55">
        <v>44939.584778530094</v>
      </c>
      <c r="B194" s="56"/>
      <c r="C194" s="57"/>
      <c r="D194" s="57"/>
      <c r="E194" s="57"/>
      <c r="F194" s="57"/>
      <c r="G194" s="58">
        <f>if(A194,_xlfn.workday.intl(int(A194),1,"1000000",Holidays!A:A)+17/24,"")</f>
        <v>44940.70833</v>
      </c>
      <c r="H194" s="59" t="str">
        <f t="shared" si="23"/>
        <v/>
      </c>
      <c r="I194" s="60"/>
      <c r="J194" s="61">
        <f t="shared" si="2"/>
        <v>1193.275577</v>
      </c>
      <c r="K194" s="58">
        <f>if(G194,_xlfn.workday.intl(int(G194),0,"1000000",Holidays!A:A)+19/24,"")</f>
        <v>44940.79167</v>
      </c>
      <c r="L194" s="59" t="str">
        <f t="shared" si="3"/>
        <v/>
      </c>
      <c r="M194" s="20"/>
      <c r="N194" s="61">
        <f t="shared" si="4"/>
        <v>1193.192243</v>
      </c>
      <c r="O194" s="63">
        <f>if(A194,_xlfn.WORKDAY.INTL(A194,O$5,"1000000",Holidays!A:A)+hour(A194)/24+MINUTE(A194)/1440,"")</f>
        <v>44940.58472</v>
      </c>
      <c r="P194" s="64" t="s">
        <v>2718</v>
      </c>
      <c r="Q194" s="56"/>
      <c r="R194" s="66">
        <f t="shared" si="5"/>
        <v>1193.399188</v>
      </c>
      <c r="S194" s="66"/>
      <c r="T194" s="66"/>
      <c r="U194" s="64">
        <f>if(O194,_xlfn.WORKDAY.INTL(O194,U$5,"1000000",Holidays!A:A)+hour(O194)/24+MINUTE(O194)/1440,"")</f>
        <v>44941.58472</v>
      </c>
      <c r="V194" s="64" t="str">
        <f t="shared" si="6"/>
        <v/>
      </c>
      <c r="W194" s="66"/>
      <c r="X194" s="66">
        <f t="shared" si="7"/>
        <v>1192.399188</v>
      </c>
      <c r="Y194" s="66"/>
      <c r="Z194" s="66"/>
      <c r="AA194" s="66"/>
      <c r="AB194" s="63"/>
      <c r="AC194" s="63"/>
      <c r="AD194" s="63"/>
      <c r="AE194" s="63"/>
      <c r="AF194" s="63"/>
      <c r="AG194" s="63"/>
      <c r="AH194" s="63" t="str">
        <f t="shared" si="14"/>
        <v/>
      </c>
      <c r="AI194" s="63" t="str">
        <f>if(AH194,_xlfn.workday.intl(int(AH194),0,"1000000",Holidays!A:A)+18/24,"")</f>
        <v/>
      </c>
      <c r="AJ194" s="64" t="str">
        <f t="shared" si="24"/>
        <v/>
      </c>
      <c r="AL194" s="66" t="str">
        <f t="shared" si="9"/>
        <v/>
      </c>
      <c r="AM194" s="66"/>
      <c r="AN194" s="63" t="str">
        <f>if(AJ194,if(and(hour(AJ194+AN$5)&gt;11,(hour(AJ194+AN$5)&lt;20)),AJ194+AN$5,_xlfn.workday.intl(int(AJ194),1,"1000000",Holidays!A:A)+hour(AJ194+AN$5-$B$1)/24+minute(AJ194)/1440),"")</f>
        <v/>
      </c>
      <c r="AO194" s="64" t="str">
        <f t="shared" si="15"/>
        <v/>
      </c>
      <c r="AQ194" s="66" t="str">
        <f t="shared" si="16"/>
        <v/>
      </c>
      <c r="AR194" s="66"/>
      <c r="AS194" s="63" t="str">
        <f>if(AJ194,if(and(hour(AJ194+AS$5)&gt;11,(hour(AJ194+AS$5)&lt;20)),AJ194+AS$5,_xlfn.workday.intl(int(AJ194),1,"1000000",Holidays!A:A)+hour(AJ194+AS$5-$B$1)/24+minute(AJ194)/1440),"")</f>
        <v/>
      </c>
      <c r="AT194" s="64" t="str">
        <f t="shared" si="21"/>
        <v/>
      </c>
      <c r="AU194" s="56"/>
      <c r="AV194" s="66" t="str">
        <f t="shared" si="25"/>
        <v/>
      </c>
      <c r="AW194" s="66"/>
      <c r="AX194" s="56"/>
    </row>
    <row r="195">
      <c r="A195" s="55">
        <v>44941.51070938657</v>
      </c>
      <c r="B195" s="56"/>
      <c r="C195" s="57"/>
      <c r="D195" s="57"/>
      <c r="E195" s="57"/>
      <c r="F195" s="57"/>
      <c r="G195" s="58">
        <f>if(A195,_xlfn.workday.intl(int(A195),1,"1000000",Holidays!A:A)+17/24,"")</f>
        <v>44943.70833</v>
      </c>
      <c r="H195" s="59" t="str">
        <f t="shared" si="23"/>
        <v/>
      </c>
      <c r="I195" s="60"/>
      <c r="J195" s="61">
        <f t="shared" si="2"/>
        <v>1190.275577</v>
      </c>
      <c r="K195" s="58">
        <f>if(G195,_xlfn.workday.intl(int(G195),0,"1000000",Holidays!A:A)+19/24,"")</f>
        <v>44943.79167</v>
      </c>
      <c r="L195" s="59" t="str">
        <f t="shared" si="3"/>
        <v/>
      </c>
      <c r="M195" s="20"/>
      <c r="N195" s="61">
        <f t="shared" si="4"/>
        <v>1190.192243</v>
      </c>
      <c r="O195" s="63">
        <f>if(A195,_xlfn.WORKDAY.INTL(A195,O$5,"1000000",Holidays!A:A)+hour(A195)/24+MINUTE(A195)/1440,"")</f>
        <v>44943.51042</v>
      </c>
      <c r="P195" s="64" t="s">
        <v>2718</v>
      </c>
      <c r="Q195" s="56"/>
      <c r="R195" s="66">
        <f t="shared" si="5"/>
        <v>1190.473493</v>
      </c>
      <c r="S195" s="66"/>
      <c r="T195" s="66"/>
      <c r="U195" s="64">
        <f>if(O195,_xlfn.WORKDAY.INTL(O195,U$5,"1000000",Holidays!A:A)+hour(O195)/24+MINUTE(O195)/1440,"")</f>
        <v>44944.51042</v>
      </c>
      <c r="V195" s="64" t="str">
        <f t="shared" si="6"/>
        <v/>
      </c>
      <c r="W195" s="66"/>
      <c r="X195" s="66">
        <f t="shared" si="7"/>
        <v>1189.473493</v>
      </c>
      <c r="Y195" s="66"/>
      <c r="Z195" s="66"/>
      <c r="AA195" s="66"/>
      <c r="AB195" s="63"/>
      <c r="AC195" s="63"/>
      <c r="AD195" s="63"/>
      <c r="AE195" s="63"/>
      <c r="AF195" s="63"/>
      <c r="AG195" s="63"/>
      <c r="AH195" s="63" t="str">
        <f t="shared" si="14"/>
        <v/>
      </c>
      <c r="AI195" s="63" t="str">
        <f>if(AH195,_xlfn.workday.intl(int(AH195),0,"1000000",Holidays!A:A)+18/24,"")</f>
        <v/>
      </c>
      <c r="AJ195" s="64" t="str">
        <f t="shared" si="24"/>
        <v/>
      </c>
      <c r="AL195" s="66" t="str">
        <f t="shared" si="9"/>
        <v/>
      </c>
      <c r="AM195" s="66"/>
      <c r="AN195" s="63" t="str">
        <f>if(AJ195,if(and(hour(AJ195+AN$5)&gt;11,(hour(AJ195+AN$5)&lt;20)),AJ195+AN$5,_xlfn.workday.intl(int(AJ195),1,"1000000",Holidays!A:A)+hour(AJ195+AN$5-$B$1)/24+minute(AJ195)/1440),"")</f>
        <v/>
      </c>
      <c r="AO195" s="64" t="str">
        <f t="shared" si="15"/>
        <v/>
      </c>
      <c r="AQ195" s="66" t="str">
        <f t="shared" si="16"/>
        <v/>
      </c>
      <c r="AR195" s="66"/>
      <c r="AS195" s="63" t="str">
        <f>if(AJ195,if(and(hour(AJ195+AS$5)&gt;11,(hour(AJ195+AS$5)&lt;20)),AJ195+AS$5,_xlfn.workday.intl(int(AJ195),1,"1000000",Holidays!A:A)+hour(AJ195+AS$5-$B$1)/24+minute(AJ195)/1440),"")</f>
        <v/>
      </c>
      <c r="AT195" s="64" t="str">
        <f t="shared" si="21"/>
        <v/>
      </c>
      <c r="AU195" s="56"/>
      <c r="AV195" s="66" t="str">
        <f t="shared" si="25"/>
        <v/>
      </c>
      <c r="AW195" s="66"/>
      <c r="AX195" s="56"/>
    </row>
    <row r="196">
      <c r="A196" s="55">
        <v>44941.51137278935</v>
      </c>
      <c r="B196" s="56"/>
      <c r="C196" s="57"/>
      <c r="D196" s="57"/>
      <c r="E196" s="57"/>
      <c r="F196" s="57"/>
      <c r="G196" s="58">
        <f>if(A196,_xlfn.workday.intl(int(A196),1,"1000000",Holidays!A:A)+17/24,"")</f>
        <v>44943.70833</v>
      </c>
      <c r="H196" s="59" t="str">
        <f t="shared" si="23"/>
        <v/>
      </c>
      <c r="I196" s="60"/>
      <c r="J196" s="61">
        <f t="shared" si="2"/>
        <v>1190.275577</v>
      </c>
      <c r="K196" s="58">
        <f>if(G196,_xlfn.workday.intl(int(G196),0,"1000000",Holidays!A:A)+19/24,"")</f>
        <v>44943.79167</v>
      </c>
      <c r="L196" s="59" t="str">
        <f t="shared" si="3"/>
        <v/>
      </c>
      <c r="M196" s="20"/>
      <c r="N196" s="61">
        <f t="shared" si="4"/>
        <v>1190.192243</v>
      </c>
      <c r="O196" s="63">
        <f>if(A196,_xlfn.WORKDAY.INTL(A196,O$5,"1000000",Holidays!A:A)+hour(A196)/24+MINUTE(A196)/1440,"")</f>
        <v>44943.51111</v>
      </c>
      <c r="P196" s="64" t="s">
        <v>2718</v>
      </c>
      <c r="Q196" s="56"/>
      <c r="R196" s="66">
        <f t="shared" si="5"/>
        <v>1190.472799</v>
      </c>
      <c r="S196" s="66"/>
      <c r="T196" s="66"/>
      <c r="U196" s="64">
        <f>if(O196,_xlfn.WORKDAY.INTL(O196,U$5,"1000000",Holidays!A:A)+hour(O196)/24+MINUTE(O196)/1440,"")</f>
        <v>44944.51111</v>
      </c>
      <c r="V196" s="64" t="str">
        <f t="shared" si="6"/>
        <v/>
      </c>
      <c r="W196" s="66"/>
      <c r="X196" s="66">
        <f t="shared" si="7"/>
        <v>1189.472799</v>
      </c>
      <c r="Y196" s="66"/>
      <c r="Z196" s="66"/>
      <c r="AA196" s="66"/>
      <c r="AB196" s="63"/>
      <c r="AC196" s="63"/>
      <c r="AD196" s="63"/>
      <c r="AE196" s="63"/>
      <c r="AF196" s="63"/>
      <c r="AG196" s="63"/>
      <c r="AH196" s="63" t="str">
        <f t="shared" si="14"/>
        <v/>
      </c>
      <c r="AI196" s="63" t="str">
        <f>if(AH196,_xlfn.workday.intl(int(AH196),0,"1000000",Holidays!A:A)+18/24,"")</f>
        <v/>
      </c>
      <c r="AJ196" s="64" t="str">
        <f t="shared" si="24"/>
        <v/>
      </c>
      <c r="AL196" s="66" t="str">
        <f t="shared" si="9"/>
        <v/>
      </c>
      <c r="AM196" s="66"/>
      <c r="AN196" s="63" t="str">
        <f>if(AJ196,if(and(hour(AJ196+AN$5)&gt;11,(hour(AJ196+AN$5)&lt;20)),AJ196+AN$5,_xlfn.workday.intl(int(AJ196),1,"1000000",Holidays!A:A)+hour(AJ196+AN$5-$B$1)/24+minute(AJ196)/1440),"")</f>
        <v/>
      </c>
      <c r="AO196" s="64" t="str">
        <f t="shared" si="15"/>
        <v/>
      </c>
      <c r="AQ196" s="66" t="str">
        <f t="shared" si="16"/>
        <v/>
      </c>
      <c r="AR196" s="66"/>
      <c r="AS196" s="63" t="str">
        <f>if(AJ196,if(and(hour(AJ196+AS$5)&gt;11,(hour(AJ196+AS$5)&lt;20)),AJ196+AS$5,_xlfn.workday.intl(int(AJ196),1,"1000000",Holidays!A:A)+hour(AJ196+AS$5-$B$1)/24+minute(AJ196)/1440),"")</f>
        <v/>
      </c>
      <c r="AT196" s="64" t="str">
        <f t="shared" si="21"/>
        <v/>
      </c>
      <c r="AU196" s="56"/>
      <c r="AV196" s="66" t="str">
        <f t="shared" si="25"/>
        <v/>
      </c>
      <c r="AW196" s="66"/>
      <c r="AX196" s="56"/>
    </row>
    <row r="197">
      <c r="A197" s="55">
        <v>44941.51438630787</v>
      </c>
      <c r="B197" s="56"/>
      <c r="C197" s="57"/>
      <c r="D197" s="57"/>
      <c r="E197" s="57"/>
      <c r="F197" s="57"/>
      <c r="G197" s="58">
        <f>if(A197,_xlfn.workday.intl(int(A197),1,"1000000",Holidays!A:A)+17/24,"")</f>
        <v>44943.70833</v>
      </c>
      <c r="H197" s="59" t="str">
        <f t="shared" si="23"/>
        <v/>
      </c>
      <c r="I197" s="60"/>
      <c r="J197" s="61">
        <f t="shared" si="2"/>
        <v>1190.275577</v>
      </c>
      <c r="K197" s="58">
        <f>if(G197,_xlfn.workday.intl(int(G197),0,"1000000",Holidays!A:A)+19/24,"")</f>
        <v>44943.79167</v>
      </c>
      <c r="L197" s="59" t="str">
        <f t="shared" si="3"/>
        <v/>
      </c>
      <c r="M197" s="20"/>
      <c r="N197" s="61">
        <f t="shared" si="4"/>
        <v>1190.192243</v>
      </c>
      <c r="O197" s="63">
        <f>if(A197,_xlfn.WORKDAY.INTL(A197,O$5,"1000000",Holidays!A:A)+hour(A197)/24+MINUTE(A197)/1440,"")</f>
        <v>44943.51389</v>
      </c>
      <c r="P197" s="64" t="s">
        <v>2718</v>
      </c>
      <c r="Q197" s="56"/>
      <c r="R197" s="66">
        <f t="shared" si="5"/>
        <v>1190.470021</v>
      </c>
      <c r="S197" s="66"/>
      <c r="T197" s="66"/>
      <c r="U197" s="64">
        <f>if(O197,_xlfn.WORKDAY.INTL(O197,U$5,"1000000",Holidays!A:A)+hour(O197)/24+MINUTE(O197)/1440,"")</f>
        <v>44944.51389</v>
      </c>
      <c r="V197" s="64" t="str">
        <f t="shared" si="6"/>
        <v/>
      </c>
      <c r="W197" s="66"/>
      <c r="X197" s="66">
        <f t="shared" si="7"/>
        <v>1189.470021</v>
      </c>
      <c r="Y197" s="66"/>
      <c r="Z197" s="66"/>
      <c r="AA197" s="66"/>
      <c r="AB197" s="63"/>
      <c r="AC197" s="63"/>
      <c r="AD197" s="63"/>
      <c r="AE197" s="63"/>
      <c r="AF197" s="63"/>
      <c r="AG197" s="63"/>
      <c r="AH197" s="63" t="str">
        <f t="shared" si="14"/>
        <v/>
      </c>
      <c r="AI197" s="63" t="str">
        <f>if(AH197,_xlfn.workday.intl(int(AH197),0,"1000000",Holidays!A:A)+18/24,"")</f>
        <v/>
      </c>
      <c r="AJ197" s="64" t="str">
        <f t="shared" si="24"/>
        <v/>
      </c>
      <c r="AL197" s="66" t="str">
        <f t="shared" si="9"/>
        <v/>
      </c>
      <c r="AM197" s="66"/>
      <c r="AN197" s="63" t="str">
        <f>if(AJ197,if(and(hour(AJ197+AN$5)&gt;11,(hour(AJ197+AN$5)&lt;20)),AJ197+AN$5,_xlfn.workday.intl(int(AJ197),1,"1000000",Holidays!A:A)+hour(AJ197+AN$5-$B$1)/24+minute(AJ197)/1440),"")</f>
        <v/>
      </c>
      <c r="AO197" s="64" t="str">
        <f t="shared" si="15"/>
        <v/>
      </c>
      <c r="AQ197" s="66" t="str">
        <f t="shared" si="16"/>
        <v/>
      </c>
      <c r="AR197" s="66"/>
      <c r="AS197" s="63" t="str">
        <f>if(AJ197,if(and(hour(AJ197+AS$5)&gt;11,(hour(AJ197+AS$5)&lt;20)),AJ197+AS$5,_xlfn.workday.intl(int(AJ197),1,"1000000",Holidays!A:A)+hour(AJ197+AS$5-$B$1)/24+minute(AJ197)/1440),"")</f>
        <v/>
      </c>
      <c r="AT197" s="64" t="str">
        <f t="shared" si="21"/>
        <v/>
      </c>
      <c r="AU197" s="56"/>
      <c r="AV197" s="66" t="str">
        <f t="shared" si="25"/>
        <v/>
      </c>
      <c r="AW197" s="66"/>
      <c r="AX197" s="56"/>
    </row>
    <row r="198">
      <c r="A198" s="55">
        <v>44944.51892640046</v>
      </c>
      <c r="B198" s="56"/>
      <c r="C198" s="57"/>
      <c r="D198" s="57"/>
      <c r="E198" s="57"/>
      <c r="F198" s="57"/>
      <c r="G198" s="58">
        <f>if(A198,_xlfn.workday.intl(int(A198),1,"1000000",Holidays!A:A)+17/24,"")</f>
        <v>44945.70833</v>
      </c>
      <c r="H198" s="59" t="str">
        <f t="shared" si="23"/>
        <v/>
      </c>
      <c r="I198" s="60"/>
      <c r="J198" s="61">
        <f t="shared" si="2"/>
        <v>1188.275577</v>
      </c>
      <c r="K198" s="58">
        <f>if(G198,_xlfn.workday.intl(int(G198),0,"1000000",Holidays!A:A)+19/24,"")</f>
        <v>44945.79167</v>
      </c>
      <c r="L198" s="59" t="str">
        <f t="shared" si="3"/>
        <v/>
      </c>
      <c r="M198" s="20"/>
      <c r="N198" s="61">
        <f t="shared" si="4"/>
        <v>1188.192243</v>
      </c>
      <c r="O198" s="63">
        <f>if(A198,_xlfn.WORKDAY.INTL(A198,O$5,"1000000",Holidays!A:A)+hour(A198)/24+MINUTE(A198)/1440,"")</f>
        <v>44945.51875</v>
      </c>
      <c r="P198" s="64" t="s">
        <v>2718</v>
      </c>
      <c r="Q198" s="56"/>
      <c r="R198" s="66">
        <f t="shared" si="5"/>
        <v>1188.46516</v>
      </c>
      <c r="S198" s="66"/>
      <c r="T198" s="66"/>
      <c r="U198" s="64">
        <f>if(O198,_xlfn.WORKDAY.INTL(O198,U$5,"1000000",Holidays!A:A)+hour(O198)/24+MINUTE(O198)/1440,"")</f>
        <v>44946.51875</v>
      </c>
      <c r="V198" s="64" t="str">
        <f t="shared" si="6"/>
        <v/>
      </c>
      <c r="W198" s="66"/>
      <c r="X198" s="66">
        <f t="shared" si="7"/>
        <v>1187.46516</v>
      </c>
      <c r="Y198" s="66"/>
      <c r="Z198" s="66"/>
      <c r="AA198" s="66"/>
      <c r="AB198" s="63"/>
      <c r="AC198" s="63"/>
      <c r="AD198" s="63"/>
      <c r="AE198" s="63"/>
      <c r="AF198" s="63"/>
      <c r="AG198" s="63"/>
      <c r="AH198" s="63" t="str">
        <f t="shared" si="14"/>
        <v/>
      </c>
      <c r="AI198" s="63" t="str">
        <f>if(AH198,_xlfn.workday.intl(int(AH198),0,"1000000",Holidays!A:A)+18/24,"")</f>
        <v/>
      </c>
      <c r="AJ198" s="64" t="str">
        <f t="shared" si="24"/>
        <v/>
      </c>
      <c r="AL198" s="66" t="str">
        <f t="shared" si="9"/>
        <v/>
      </c>
      <c r="AM198" s="66"/>
      <c r="AN198" s="63" t="str">
        <f>if(AJ198,if(and(hour(AJ198+AN$5)&gt;11,(hour(AJ198+AN$5)&lt;20)),AJ198+AN$5,_xlfn.workday.intl(int(AJ198),1,"1000000",Holidays!A:A)+hour(AJ198+AN$5-$B$1)/24+minute(AJ198)/1440),"")</f>
        <v/>
      </c>
      <c r="AO198" s="64" t="str">
        <f t="shared" si="15"/>
        <v/>
      </c>
      <c r="AQ198" s="66" t="str">
        <f t="shared" si="16"/>
        <v/>
      </c>
      <c r="AR198" s="66"/>
      <c r="AS198" s="63" t="str">
        <f>if(AJ198,if(and(hour(AJ198+AS$5)&gt;11,(hour(AJ198+AS$5)&lt;20)),AJ198+AS$5,_xlfn.workday.intl(int(AJ198),1,"1000000",Holidays!A:A)+hour(AJ198+AS$5-$B$1)/24+minute(AJ198)/1440),"")</f>
        <v/>
      </c>
      <c r="AT198" s="64" t="str">
        <f t="shared" si="21"/>
        <v/>
      </c>
      <c r="AU198" s="56"/>
      <c r="AV198" s="66" t="str">
        <f t="shared" si="25"/>
        <v/>
      </c>
      <c r="AW198" s="66"/>
      <c r="AX198" s="56"/>
    </row>
    <row r="199">
      <c r="A199" s="55">
        <v>44944.52391574074</v>
      </c>
      <c r="B199" s="56"/>
      <c r="C199" s="57"/>
      <c r="D199" s="57"/>
      <c r="E199" s="57"/>
      <c r="F199" s="57"/>
      <c r="G199" s="58">
        <f>if(A199,_xlfn.workday.intl(int(A199),1,"1000000",Holidays!A:A)+17/24,"")</f>
        <v>44945.70833</v>
      </c>
      <c r="H199" s="59" t="str">
        <f t="shared" si="23"/>
        <v/>
      </c>
      <c r="I199" s="60"/>
      <c r="J199" s="61">
        <f t="shared" si="2"/>
        <v>1188.275577</v>
      </c>
      <c r="K199" s="58">
        <f>if(G199,_xlfn.workday.intl(int(G199),0,"1000000",Holidays!A:A)+19/24,"")</f>
        <v>44945.79167</v>
      </c>
      <c r="L199" s="59" t="str">
        <f t="shared" si="3"/>
        <v/>
      </c>
      <c r="M199" s="20"/>
      <c r="N199" s="61">
        <f t="shared" si="4"/>
        <v>1188.192243</v>
      </c>
      <c r="O199" s="63">
        <f>if(A199,_xlfn.WORKDAY.INTL(A199,O$5,"1000000",Holidays!A:A)+hour(A199)/24+MINUTE(A199)/1440,"")</f>
        <v>44945.52361</v>
      </c>
      <c r="P199" s="64" t="s">
        <v>2718</v>
      </c>
      <c r="Q199" s="56"/>
      <c r="R199" s="66">
        <f t="shared" si="5"/>
        <v>1188.460299</v>
      </c>
      <c r="S199" s="66"/>
      <c r="T199" s="66"/>
      <c r="U199" s="64">
        <f>if(O199,_xlfn.WORKDAY.INTL(O199,U$5,"1000000",Holidays!A:A)+hour(O199)/24+MINUTE(O199)/1440,"")</f>
        <v>44946.52361</v>
      </c>
      <c r="V199" s="64" t="str">
        <f t="shared" si="6"/>
        <v/>
      </c>
      <c r="W199" s="66"/>
      <c r="X199" s="66">
        <f t="shared" si="7"/>
        <v>1187.460299</v>
      </c>
      <c r="Y199" s="66"/>
      <c r="Z199" s="66"/>
      <c r="AA199" s="66"/>
      <c r="AB199" s="63"/>
      <c r="AC199" s="63"/>
      <c r="AD199" s="63"/>
      <c r="AE199" s="63"/>
      <c r="AF199" s="63"/>
      <c r="AG199" s="63"/>
      <c r="AH199" s="63" t="str">
        <f t="shared" si="14"/>
        <v/>
      </c>
      <c r="AI199" s="63" t="str">
        <f>if(AH199,_xlfn.workday.intl(int(AH199),0,"1000000",Holidays!A:A)+18/24,"")</f>
        <v/>
      </c>
      <c r="AJ199" s="64" t="str">
        <f t="shared" si="24"/>
        <v/>
      </c>
      <c r="AL199" s="66" t="str">
        <f t="shared" si="9"/>
        <v/>
      </c>
      <c r="AM199" s="66"/>
      <c r="AN199" s="63" t="str">
        <f>if(AJ199,if(and(hour(AJ199+AN$5)&gt;11,(hour(AJ199+AN$5)&lt;20)),AJ199+AN$5,_xlfn.workday.intl(int(AJ199),1,"1000000",Holidays!A:A)+hour(AJ199+AN$5-$B$1)/24+minute(AJ199)/1440),"")</f>
        <v/>
      </c>
      <c r="AO199" s="64" t="str">
        <f t="shared" si="15"/>
        <v/>
      </c>
      <c r="AQ199" s="66" t="str">
        <f t="shared" si="16"/>
        <v/>
      </c>
      <c r="AR199" s="66"/>
      <c r="AS199" s="63" t="str">
        <f>if(AJ199,if(and(hour(AJ199+AS$5)&gt;11,(hour(AJ199+AS$5)&lt;20)),AJ199+AS$5,_xlfn.workday.intl(int(AJ199),1,"1000000",Holidays!A:A)+hour(AJ199+AS$5-$B$1)/24+minute(AJ199)/1440),"")</f>
        <v/>
      </c>
      <c r="AT199" s="64" t="str">
        <f t="shared" si="21"/>
        <v/>
      </c>
      <c r="AU199" s="56"/>
      <c r="AV199" s="66" t="str">
        <f t="shared" si="25"/>
        <v/>
      </c>
      <c r="AW199" s="66"/>
      <c r="AX199" s="56"/>
    </row>
    <row r="200">
      <c r="A200" s="55">
        <v>44944.530666203704</v>
      </c>
      <c r="B200" s="56"/>
      <c r="C200" s="57"/>
      <c r="D200" s="57"/>
      <c r="E200" s="57"/>
      <c r="F200" s="57"/>
      <c r="G200" s="58">
        <f>if(A200,_xlfn.workday.intl(int(A200),1,"1000000",Holidays!A:A)+17/24,"")</f>
        <v>44945.70833</v>
      </c>
      <c r="H200" s="59" t="str">
        <f t="shared" si="23"/>
        <v/>
      </c>
      <c r="I200" s="60"/>
      <c r="J200" s="61">
        <f t="shared" si="2"/>
        <v>1188.275577</v>
      </c>
      <c r="K200" s="58">
        <f>if(G200,_xlfn.workday.intl(int(G200),0,"1000000",Holidays!A:A)+19/24,"")</f>
        <v>44945.79167</v>
      </c>
      <c r="L200" s="59" t="str">
        <f t="shared" si="3"/>
        <v/>
      </c>
      <c r="M200" s="20"/>
      <c r="N200" s="61">
        <f t="shared" si="4"/>
        <v>1188.192243</v>
      </c>
      <c r="O200" s="63">
        <f>if(A200,_xlfn.WORKDAY.INTL(A200,O$5,"1000000",Holidays!A:A)+hour(A200)/24+MINUTE(A200)/1440,"")</f>
        <v>44945.53056</v>
      </c>
      <c r="P200" s="64" t="s">
        <v>2718</v>
      </c>
      <c r="Q200" s="56"/>
      <c r="R200" s="66">
        <f t="shared" si="5"/>
        <v>1188.453354</v>
      </c>
      <c r="S200" s="66"/>
      <c r="T200" s="66"/>
      <c r="U200" s="64">
        <f>if(O200,_xlfn.WORKDAY.INTL(O200,U$5,"1000000",Holidays!A:A)+hour(O200)/24+MINUTE(O200)/1440,"")</f>
        <v>44946.53056</v>
      </c>
      <c r="V200" s="64" t="str">
        <f t="shared" si="6"/>
        <v/>
      </c>
      <c r="W200" s="66"/>
      <c r="X200" s="66">
        <f t="shared" si="7"/>
        <v>1187.453354</v>
      </c>
      <c r="Y200" s="66"/>
      <c r="Z200" s="66"/>
      <c r="AA200" s="66"/>
      <c r="AB200" s="63"/>
      <c r="AC200" s="63"/>
      <c r="AD200" s="63"/>
      <c r="AE200" s="63"/>
      <c r="AF200" s="63"/>
      <c r="AG200" s="63"/>
      <c r="AH200" s="63" t="str">
        <f t="shared" si="14"/>
        <v/>
      </c>
      <c r="AI200" s="63" t="str">
        <f>if(AH200,_xlfn.workday.intl(int(AH200),0,"1000000",Holidays!A:A)+18/24,"")</f>
        <v/>
      </c>
      <c r="AJ200" s="64" t="str">
        <f t="shared" si="24"/>
        <v/>
      </c>
      <c r="AL200" s="66" t="str">
        <f t="shared" si="9"/>
        <v/>
      </c>
      <c r="AM200" s="66"/>
      <c r="AN200" s="63" t="str">
        <f>if(AJ200,if(and(hour(AJ200+AN$5)&gt;11,(hour(AJ200+AN$5)&lt;20)),AJ200+AN$5,_xlfn.workday.intl(int(AJ200),1,"1000000",Holidays!A:A)+hour(AJ200+AN$5-$B$1)/24+minute(AJ200)/1440),"")</f>
        <v/>
      </c>
      <c r="AO200" s="64" t="str">
        <f t="shared" si="15"/>
        <v/>
      </c>
      <c r="AQ200" s="66" t="str">
        <f t="shared" si="16"/>
        <v/>
      </c>
      <c r="AR200" s="66"/>
      <c r="AS200" s="63" t="str">
        <f>if(AJ200,if(and(hour(AJ200+AS$5)&gt;11,(hour(AJ200+AS$5)&lt;20)),AJ200+AS$5,_xlfn.workday.intl(int(AJ200),1,"1000000",Holidays!A:A)+hour(AJ200+AS$5-$B$1)/24+minute(AJ200)/1440),"")</f>
        <v/>
      </c>
      <c r="AT200" s="64" t="str">
        <f t="shared" si="21"/>
        <v/>
      </c>
      <c r="AU200" s="56"/>
      <c r="AV200" s="66" t="str">
        <f t="shared" si="25"/>
        <v/>
      </c>
      <c r="AW200" s="66"/>
      <c r="AX200" s="56"/>
    </row>
    <row r="201">
      <c r="A201" s="55">
        <v>44944.548686168986</v>
      </c>
      <c r="B201" s="56"/>
      <c r="C201" s="57"/>
      <c r="D201" s="57"/>
      <c r="E201" s="57"/>
      <c r="F201" s="57"/>
      <c r="G201" s="58">
        <f>if(A201,_xlfn.workday.intl(int(A201),1,"1000000",Holidays!A:A)+17/24,"")</f>
        <v>44945.70833</v>
      </c>
      <c r="H201" s="59" t="str">
        <f t="shared" si="23"/>
        <v/>
      </c>
      <c r="I201" s="60"/>
      <c r="J201" s="61">
        <f t="shared" si="2"/>
        <v>1188.275577</v>
      </c>
      <c r="K201" s="58">
        <f>if(G201,_xlfn.workday.intl(int(G201),0,"1000000",Holidays!A:A)+19/24,"")</f>
        <v>44945.79167</v>
      </c>
      <c r="L201" s="59" t="str">
        <f t="shared" si="3"/>
        <v/>
      </c>
      <c r="M201" s="20"/>
      <c r="N201" s="61">
        <f t="shared" si="4"/>
        <v>1188.192243</v>
      </c>
      <c r="O201" s="63">
        <f>if(A201,_xlfn.WORKDAY.INTL(A201,O$5,"1000000",Holidays!A:A)+hour(A201)/24+MINUTE(A201)/1440,"")</f>
        <v>44945.54861</v>
      </c>
      <c r="P201" s="64" t="s">
        <v>2718</v>
      </c>
      <c r="Q201" s="56"/>
      <c r="R201" s="66">
        <f t="shared" si="5"/>
        <v>1188.435299</v>
      </c>
      <c r="S201" s="66"/>
      <c r="T201" s="66"/>
      <c r="U201" s="64">
        <f>if(O201,_xlfn.WORKDAY.INTL(O201,U$5,"1000000",Holidays!A:A)+hour(O201)/24+MINUTE(O201)/1440,"")</f>
        <v>44946.54861</v>
      </c>
      <c r="V201" s="64" t="str">
        <f t="shared" si="6"/>
        <v/>
      </c>
      <c r="W201" s="66"/>
      <c r="X201" s="66">
        <f t="shared" si="7"/>
        <v>1187.435299</v>
      </c>
      <c r="Y201" s="66"/>
      <c r="Z201" s="66"/>
      <c r="AA201" s="66"/>
      <c r="AB201" s="63"/>
      <c r="AC201" s="63"/>
      <c r="AD201" s="63"/>
      <c r="AE201" s="63"/>
      <c r="AF201" s="63"/>
      <c r="AG201" s="63"/>
      <c r="AH201" s="63" t="str">
        <f t="shared" si="14"/>
        <v/>
      </c>
      <c r="AI201" s="63" t="str">
        <f>if(AH201,_xlfn.workday.intl(int(AH201),0,"1000000",Holidays!A:A)+18/24,"")</f>
        <v/>
      </c>
      <c r="AJ201" s="64" t="str">
        <f t="shared" si="24"/>
        <v/>
      </c>
      <c r="AL201" s="66" t="str">
        <f t="shared" si="9"/>
        <v/>
      </c>
      <c r="AM201" s="66"/>
      <c r="AN201" s="63" t="str">
        <f>if(AJ201,if(and(hour(AJ201+AN$5)&gt;11,(hour(AJ201+AN$5)&lt;20)),AJ201+AN$5,_xlfn.workday.intl(int(AJ201),1,"1000000",Holidays!A:A)+hour(AJ201+AN$5-$B$1)/24+minute(AJ201)/1440),"")</f>
        <v/>
      </c>
      <c r="AO201" s="64" t="str">
        <f t="shared" si="15"/>
        <v/>
      </c>
      <c r="AQ201" s="66" t="str">
        <f t="shared" si="16"/>
        <v/>
      </c>
      <c r="AR201" s="66"/>
      <c r="AS201" s="63" t="str">
        <f>if(AJ201,if(and(hour(AJ201+AS$5)&gt;11,(hour(AJ201+AS$5)&lt;20)),AJ201+AS$5,_xlfn.workday.intl(int(AJ201),1,"1000000",Holidays!A:A)+hour(AJ201+AS$5-$B$1)/24+minute(AJ201)/1440),"")</f>
        <v/>
      </c>
      <c r="AT201" s="64" t="str">
        <f t="shared" si="21"/>
        <v/>
      </c>
      <c r="AU201" s="56"/>
      <c r="AV201" s="66" t="str">
        <f t="shared" si="25"/>
        <v/>
      </c>
      <c r="AW201" s="66"/>
      <c r="AX201" s="56"/>
    </row>
    <row r="202">
      <c r="A202" s="55">
        <v>44985.67442454861</v>
      </c>
      <c r="B202" s="56"/>
      <c r="C202" s="57"/>
      <c r="D202" s="57"/>
      <c r="E202" s="57"/>
      <c r="F202" s="57"/>
      <c r="G202" s="58">
        <f>if(A202,_xlfn.workday.intl(int(A202),1,"1000000",Holidays!A:A)+17/24,"")</f>
        <v>44986.70833</v>
      </c>
      <c r="H202" s="59" t="str">
        <f t="shared" si="23"/>
        <v/>
      </c>
      <c r="I202" s="60"/>
      <c r="J202" s="61">
        <f t="shared" si="2"/>
        <v>1147.275577</v>
      </c>
      <c r="K202" s="58">
        <f>if(G202,_xlfn.workday.intl(int(G202),0,"1000000",Holidays!A:A)+19/24,"")</f>
        <v>44986.79167</v>
      </c>
      <c r="L202" s="59" t="str">
        <f t="shared" si="3"/>
        <v/>
      </c>
      <c r="M202" s="20"/>
      <c r="N202" s="61">
        <f t="shared" si="4"/>
        <v>1147.192243</v>
      </c>
      <c r="O202" s="63">
        <f>if(A202,_xlfn.WORKDAY.INTL(A202,O$5,"1000000",Holidays!A:A)+hour(A202)/24+MINUTE(A202)/1440,"")</f>
        <v>44986.67431</v>
      </c>
      <c r="P202" s="64" t="s">
        <v>2718</v>
      </c>
      <c r="Q202" s="56"/>
      <c r="R202" s="66">
        <f t="shared" si="5"/>
        <v>1147.309604</v>
      </c>
      <c r="S202" s="66"/>
      <c r="T202" s="66"/>
      <c r="U202" s="64">
        <f>if(O202,_xlfn.WORKDAY.INTL(O202,U$5,"1000000",Holidays!A:A)+hour(O202)/24+MINUTE(O202)/1440,"")</f>
        <v>44987.67431</v>
      </c>
      <c r="V202" s="64" t="str">
        <f t="shared" si="6"/>
        <v/>
      </c>
      <c r="W202" s="66"/>
      <c r="X202" s="66">
        <f t="shared" si="7"/>
        <v>1146.309604</v>
      </c>
      <c r="Y202" s="66"/>
      <c r="Z202" s="66"/>
      <c r="AA202" s="66"/>
      <c r="AB202" s="63"/>
      <c r="AC202" s="63"/>
      <c r="AD202" s="63"/>
      <c r="AE202" s="63"/>
      <c r="AF202" s="63"/>
      <c r="AG202" s="63"/>
      <c r="AH202" s="63" t="str">
        <f t="shared" si="14"/>
        <v/>
      </c>
      <c r="AI202" s="63" t="str">
        <f>if(AH202,_xlfn.workday.intl(int(AH202),0,"1000000",Holidays!A:A)+18/24,"")</f>
        <v/>
      </c>
      <c r="AJ202" s="64" t="str">
        <f t="shared" si="24"/>
        <v/>
      </c>
      <c r="AL202" s="66" t="str">
        <f t="shared" si="9"/>
        <v/>
      </c>
      <c r="AM202" s="66"/>
      <c r="AN202" s="63" t="str">
        <f>if(AJ202,if(and(hour(AJ202+AN$5)&gt;11,(hour(AJ202+AN$5)&lt;20)),AJ202+AN$5,_xlfn.workday.intl(int(AJ202),1,"1000000",Holidays!A:A)+hour(AJ202+AN$5-$B$1)/24+minute(AJ202)/1440),"")</f>
        <v/>
      </c>
      <c r="AO202" s="64" t="str">
        <f t="shared" si="15"/>
        <v/>
      </c>
      <c r="AQ202" s="66" t="str">
        <f t="shared" si="16"/>
        <v/>
      </c>
      <c r="AR202" s="66"/>
      <c r="AS202" s="63" t="str">
        <f>if(AJ202,if(and(hour(AJ202+AS$5)&gt;11,(hour(AJ202+AS$5)&lt;20)),AJ202+AS$5,_xlfn.workday.intl(int(AJ202),1,"1000000",Holidays!A:A)+hour(AJ202+AS$5-$B$1)/24+minute(AJ202)/1440),"")</f>
        <v/>
      </c>
      <c r="AT202" s="64" t="str">
        <f t="shared" si="21"/>
        <v/>
      </c>
      <c r="AU202" s="56"/>
      <c r="AV202" s="66" t="str">
        <f t="shared" si="25"/>
        <v/>
      </c>
      <c r="AW202" s="66"/>
      <c r="AX202" s="56"/>
    </row>
    <row r="203">
      <c r="A203" s="55">
        <v>45039.96721311343</v>
      </c>
      <c r="B203" s="56"/>
      <c r="C203" s="57"/>
      <c r="D203" s="57"/>
      <c r="E203" s="57"/>
      <c r="F203" s="57"/>
      <c r="G203" s="58">
        <f>if(A203,_xlfn.workday.intl(int(A203),1,"1000000",Holidays!A:A)+17/24,"")</f>
        <v>45041.70833</v>
      </c>
      <c r="H203" s="59" t="str">
        <f t="shared" si="23"/>
        <v/>
      </c>
      <c r="I203" s="60"/>
      <c r="J203" s="61">
        <f t="shared" si="2"/>
        <v>1092.275577</v>
      </c>
      <c r="K203" s="58">
        <f>if(G203,_xlfn.workday.intl(int(G203),0,"1000000",Holidays!A:A)+19/24,"")</f>
        <v>45041.79167</v>
      </c>
      <c r="L203" s="59" t="str">
        <f t="shared" si="3"/>
        <v/>
      </c>
      <c r="M203" s="20"/>
      <c r="N203" s="61">
        <f t="shared" si="4"/>
        <v>1092.192243</v>
      </c>
      <c r="O203" s="63">
        <f>if(A203,_xlfn.WORKDAY.INTL(A203,O$5,"1000000",Holidays!A:A)+hour(A203)/24+MINUTE(A203)/1440,"")</f>
        <v>45041.96667</v>
      </c>
      <c r="P203" s="64" t="s">
        <v>2718</v>
      </c>
      <c r="Q203" s="56"/>
      <c r="R203" s="66">
        <f t="shared" si="5"/>
        <v>1092.017243</v>
      </c>
      <c r="S203" s="66"/>
      <c r="T203" s="66"/>
      <c r="U203" s="64">
        <f>if(O203,_xlfn.WORKDAY.INTL(O203,U$5,"1000000",Holidays!A:A)+hour(O203)/24+MINUTE(O203)/1440,"")</f>
        <v>45042.96667</v>
      </c>
      <c r="V203" s="64" t="str">
        <f t="shared" si="6"/>
        <v/>
      </c>
      <c r="W203" s="66"/>
      <c r="X203" s="66">
        <f t="shared" si="7"/>
        <v>1091.017243</v>
      </c>
      <c r="Y203" s="66"/>
      <c r="Z203" s="66"/>
      <c r="AA203" s="66"/>
      <c r="AB203" s="63"/>
      <c r="AC203" s="63"/>
      <c r="AD203" s="63"/>
      <c r="AE203" s="63"/>
      <c r="AF203" s="63"/>
      <c r="AG203" s="63"/>
      <c r="AH203" s="63" t="str">
        <f t="shared" si="14"/>
        <v/>
      </c>
      <c r="AI203" s="63" t="str">
        <f>if(AH203,_xlfn.workday.intl(int(AH203),0,"1000000",Holidays!A:A)+18/24,"")</f>
        <v/>
      </c>
      <c r="AJ203" s="64" t="str">
        <f t="shared" si="24"/>
        <v/>
      </c>
      <c r="AL203" s="66" t="str">
        <f t="shared" si="9"/>
        <v/>
      </c>
      <c r="AM203" s="66"/>
      <c r="AN203" s="63" t="str">
        <f>if(AJ203,if(and(hour(AJ203+AN$5)&gt;11,(hour(AJ203+AN$5)&lt;20)),AJ203+AN$5,_xlfn.workday.intl(int(AJ203),1,"1000000",Holidays!A:A)+hour(AJ203+AN$5-$B$1)/24+minute(AJ203)/1440),"")</f>
        <v/>
      </c>
      <c r="AO203" s="64" t="str">
        <f t="shared" si="15"/>
        <v/>
      </c>
      <c r="AQ203" s="66" t="str">
        <f t="shared" si="16"/>
        <v/>
      </c>
      <c r="AR203" s="66"/>
      <c r="AS203" s="63" t="str">
        <f>if(AJ203,if(and(hour(AJ203+AS$5)&gt;11,(hour(AJ203+AS$5)&lt;20)),AJ203+AS$5,_xlfn.workday.intl(int(AJ203),1,"1000000",Holidays!A:A)+hour(AJ203+AS$5-$B$1)/24+minute(AJ203)/1440),"")</f>
        <v/>
      </c>
      <c r="AT203" s="64" t="str">
        <f t="shared" si="21"/>
        <v/>
      </c>
      <c r="AU203" s="56"/>
      <c r="AV203" s="66" t="str">
        <f t="shared" si="25"/>
        <v/>
      </c>
      <c r="AW203" s="66"/>
      <c r="AX203" s="56"/>
    </row>
    <row r="204">
      <c r="A204" s="55">
        <v>45041.79532341435</v>
      </c>
      <c r="B204" s="56"/>
      <c r="C204" s="57"/>
      <c r="D204" s="57"/>
      <c r="E204" s="57"/>
      <c r="F204" s="57"/>
      <c r="G204" s="58">
        <f>if(A204,_xlfn.workday.intl(int(A204),1,"1000000",Holidays!A:A)+17/24,"")</f>
        <v>45042.70833</v>
      </c>
      <c r="H204" s="59" t="str">
        <f t="shared" si="23"/>
        <v/>
      </c>
      <c r="I204" s="60"/>
      <c r="J204" s="61">
        <f t="shared" si="2"/>
        <v>1091.275577</v>
      </c>
      <c r="K204" s="58">
        <f>if(G204,_xlfn.workday.intl(int(G204),0,"1000000",Holidays!A:A)+19/24,"")</f>
        <v>45042.79167</v>
      </c>
      <c r="L204" s="59" t="str">
        <f t="shared" si="3"/>
        <v/>
      </c>
      <c r="M204" s="20"/>
      <c r="N204" s="61">
        <f t="shared" si="4"/>
        <v>1091.192243</v>
      </c>
      <c r="O204" s="63">
        <f>if(A204,_xlfn.WORKDAY.INTL(A204,O$5,"1000000",Holidays!A:A)+hour(A204)/24+MINUTE(A204)/1440,"")</f>
        <v>45042.79514</v>
      </c>
      <c r="P204" s="64" t="s">
        <v>2718</v>
      </c>
      <c r="Q204" s="56"/>
      <c r="R204" s="66">
        <f t="shared" si="5"/>
        <v>1091.188771</v>
      </c>
      <c r="S204" s="66"/>
      <c r="T204" s="66"/>
      <c r="U204" s="64">
        <f>if(O204,_xlfn.WORKDAY.INTL(O204,U$5,"1000000",Holidays!A:A)+hour(O204)/24+MINUTE(O204)/1440,"")</f>
        <v>45043.79514</v>
      </c>
      <c r="V204" s="64" t="str">
        <f t="shared" si="6"/>
        <v/>
      </c>
      <c r="W204" s="66"/>
      <c r="X204" s="66">
        <f t="shared" si="7"/>
        <v>1090.188771</v>
      </c>
      <c r="Y204" s="66"/>
      <c r="Z204" s="66"/>
      <c r="AA204" s="66"/>
      <c r="AB204" s="63"/>
      <c r="AC204" s="63"/>
      <c r="AD204" s="63"/>
      <c r="AE204" s="63"/>
      <c r="AF204" s="63"/>
      <c r="AG204" s="63"/>
      <c r="AH204" s="63" t="str">
        <f t="shared" si="14"/>
        <v/>
      </c>
      <c r="AI204" s="63" t="str">
        <f>if(AH204,_xlfn.workday.intl(int(AH204),0,"1000000",Holidays!A:A)+18/24,"")</f>
        <v/>
      </c>
      <c r="AJ204" s="64" t="str">
        <f t="shared" si="24"/>
        <v/>
      </c>
      <c r="AL204" s="66" t="str">
        <f t="shared" si="9"/>
        <v/>
      </c>
      <c r="AM204" s="66"/>
      <c r="AN204" s="63" t="str">
        <f>if(AJ204,if(and(hour(AJ204+AN$5)&gt;11,(hour(AJ204+AN$5)&lt;20)),AJ204+AN$5,_xlfn.workday.intl(int(AJ204),1,"1000000",Holidays!A:A)+hour(AJ204+AN$5-$B$1)/24+minute(AJ204)/1440),"")</f>
        <v/>
      </c>
      <c r="AO204" s="64" t="str">
        <f t="shared" si="15"/>
        <v/>
      </c>
      <c r="AQ204" s="66" t="str">
        <f t="shared" si="16"/>
        <v/>
      </c>
      <c r="AR204" s="66"/>
      <c r="AS204" s="63" t="str">
        <f>if(AJ204,if(and(hour(AJ204+AS$5)&gt;11,(hour(AJ204+AS$5)&lt;20)),AJ204+AS$5,_xlfn.workday.intl(int(AJ204),1,"1000000",Holidays!A:A)+hour(AJ204+AS$5-$B$1)/24+minute(AJ204)/1440),"")</f>
        <v/>
      </c>
      <c r="AT204" s="64" t="str">
        <f t="shared" si="21"/>
        <v/>
      </c>
      <c r="AU204" s="56"/>
      <c r="AV204" s="66" t="str">
        <f t="shared" si="25"/>
        <v/>
      </c>
      <c r="AW204" s="66"/>
      <c r="AX204" s="56"/>
    </row>
    <row r="205">
      <c r="A205" s="55">
        <v>45042.542520613424</v>
      </c>
      <c r="B205" s="56"/>
      <c r="C205" s="57"/>
      <c r="D205" s="57"/>
      <c r="E205" s="57"/>
      <c r="F205" s="57"/>
      <c r="G205" s="58">
        <f>if(A205,_xlfn.workday.intl(int(A205),1,"1000000",Holidays!A:A)+17/24,"")</f>
        <v>45043.70833</v>
      </c>
      <c r="H205" s="59" t="str">
        <f t="shared" si="23"/>
        <v/>
      </c>
      <c r="I205" s="60"/>
      <c r="J205" s="61">
        <f t="shared" si="2"/>
        <v>1090.275577</v>
      </c>
      <c r="K205" s="58">
        <f>if(G205,_xlfn.workday.intl(int(G205),0,"1000000",Holidays!A:A)+19/24,"")</f>
        <v>45043.79167</v>
      </c>
      <c r="L205" s="59" t="str">
        <f t="shared" si="3"/>
        <v/>
      </c>
      <c r="M205" s="20"/>
      <c r="N205" s="61">
        <f t="shared" si="4"/>
        <v>1090.192243</v>
      </c>
      <c r="O205" s="63">
        <f>if(A205,_xlfn.WORKDAY.INTL(A205,O$5,"1000000",Holidays!A:A)+hour(A205)/24+MINUTE(A205)/1440,"")</f>
        <v>45043.54236</v>
      </c>
      <c r="P205" s="64" t="s">
        <v>2718</v>
      </c>
      <c r="R205" s="66">
        <f t="shared" si="5"/>
        <v>1090.441549</v>
      </c>
      <c r="S205" s="66"/>
      <c r="T205" s="66"/>
      <c r="U205" s="64">
        <f>if(O205,_xlfn.WORKDAY.INTL(O205,U$5,"1000000",Holidays!A:A)+hour(O205)/24+MINUTE(O205)/1440,"")</f>
        <v>45044.54236</v>
      </c>
      <c r="V205" s="64" t="str">
        <f t="shared" si="6"/>
        <v/>
      </c>
      <c r="W205" s="66"/>
      <c r="X205" s="66">
        <f t="shared" si="7"/>
        <v>1089.441549</v>
      </c>
      <c r="Y205" s="66"/>
      <c r="Z205" s="66"/>
      <c r="AA205" s="66"/>
      <c r="AB205" s="63"/>
      <c r="AC205" s="63"/>
      <c r="AD205" s="63"/>
      <c r="AE205" s="63"/>
      <c r="AF205" s="63"/>
      <c r="AG205" s="63"/>
      <c r="AH205" s="63" t="str">
        <f t="shared" si="14"/>
        <v/>
      </c>
      <c r="AI205" s="63" t="str">
        <f>if(AH205,_xlfn.workday.intl(int(AH205),0,"1000000",Holidays!A:A)+18/24,"")</f>
        <v/>
      </c>
      <c r="AJ205" s="64" t="str">
        <f t="shared" si="24"/>
        <v/>
      </c>
      <c r="AL205" s="66" t="str">
        <f t="shared" si="9"/>
        <v/>
      </c>
      <c r="AM205" s="66"/>
      <c r="AN205" s="63" t="str">
        <f>if(AJ205,if(and(hour(AJ205+AN$5)&gt;11,(hour(AJ205+AN$5)&lt;20)),AJ205+AN$5,_xlfn.workday.intl(int(AJ205),1,"1000000",Holidays!A:A)+hour(AJ205+AN$5-$B$1)/24+minute(AJ205)/1440),"")</f>
        <v/>
      </c>
      <c r="AO205" s="64" t="str">
        <f t="shared" si="15"/>
        <v/>
      </c>
      <c r="AQ205" s="66" t="str">
        <f t="shared" si="16"/>
        <v/>
      </c>
      <c r="AR205" s="66"/>
      <c r="AS205" s="63" t="str">
        <f>if(AJ205,if(and(hour(AJ205+AS$5)&gt;11,(hour(AJ205+AS$5)&lt;20)),AJ205+AS$5,_xlfn.workday.intl(int(AJ205),1,"1000000",Holidays!A:A)+hour(AJ205+AS$5-$B$1)/24+minute(AJ205)/1440),"")</f>
        <v/>
      </c>
      <c r="AT205" s="64" t="str">
        <f t="shared" si="21"/>
        <v/>
      </c>
      <c r="AU205" s="56"/>
      <c r="AV205" s="66" t="str">
        <f t="shared" si="25"/>
        <v/>
      </c>
      <c r="AW205" s="66"/>
      <c r="AX205" s="56"/>
    </row>
    <row r="206">
      <c r="A206" s="55">
        <v>45042.58920341435</v>
      </c>
      <c r="B206" s="56"/>
      <c r="C206" s="57"/>
      <c r="D206" s="57"/>
      <c r="E206" s="57"/>
      <c r="F206" s="57"/>
      <c r="G206" s="58">
        <f>if(A206,_xlfn.workday.intl(int(A206),1,"1000000",Holidays!A:A)+17/24,"")</f>
        <v>45043.70833</v>
      </c>
      <c r="H206" s="59" t="str">
        <f t="shared" si="23"/>
        <v/>
      </c>
      <c r="I206" s="60"/>
      <c r="J206" s="61">
        <f t="shared" si="2"/>
        <v>1090.275577</v>
      </c>
      <c r="K206" s="58">
        <f>if(G206,_xlfn.workday.intl(int(G206),0,"1000000",Holidays!A:A)+19/24,"")</f>
        <v>45043.79167</v>
      </c>
      <c r="L206" s="59" t="str">
        <f t="shared" si="3"/>
        <v/>
      </c>
      <c r="M206" s="60"/>
      <c r="N206" s="61">
        <f t="shared" si="4"/>
        <v>1090.192243</v>
      </c>
      <c r="O206" s="63">
        <f>if(A206,_xlfn.WORKDAY.INTL(A206,O$5,"1000000",Holidays!A:A)+hour(A206)/24+MINUTE(A206)/1440,"")</f>
        <v>45043.58889</v>
      </c>
      <c r="P206" s="64" t="s">
        <v>2718</v>
      </c>
      <c r="R206" s="66">
        <f t="shared" si="5"/>
        <v>1090.395021</v>
      </c>
      <c r="S206" s="66"/>
      <c r="T206" s="66"/>
      <c r="U206" s="64">
        <f>if(O206,_xlfn.WORKDAY.INTL(O206,U$5,"1000000",Holidays!A:A)+hour(O206)/24+MINUTE(O206)/1440,"")</f>
        <v>45044.58889</v>
      </c>
      <c r="V206" s="64" t="str">
        <f t="shared" si="6"/>
        <v/>
      </c>
      <c r="W206" s="66"/>
      <c r="X206" s="66">
        <f t="shared" si="7"/>
        <v>1089.395021</v>
      </c>
      <c r="Y206" s="66"/>
      <c r="Z206" s="66"/>
      <c r="AA206" s="66"/>
      <c r="AB206" s="63"/>
      <c r="AC206" s="63"/>
      <c r="AD206" s="63"/>
      <c r="AE206" s="63"/>
      <c r="AF206" s="63"/>
      <c r="AG206" s="63"/>
      <c r="AH206" s="63" t="str">
        <f t="shared" si="14"/>
        <v/>
      </c>
      <c r="AI206" s="63" t="str">
        <f>if(AH206,_xlfn.workday.intl(int(AH206),0,"1000000",Holidays!A:A)+18/24,"")</f>
        <v/>
      </c>
      <c r="AJ206" s="64" t="str">
        <f t="shared" si="24"/>
        <v/>
      </c>
      <c r="AL206" s="66" t="str">
        <f t="shared" si="9"/>
        <v/>
      </c>
      <c r="AM206" s="66"/>
      <c r="AN206" s="63" t="str">
        <f>if(AJ206,if(and(hour(AJ206+AN$5)&gt;11,(hour(AJ206+AN$5)&lt;20)),AJ206+AN$5,_xlfn.workday.intl(int(AJ206),1,"1000000",Holidays!A:A)+hour(AJ206+AN$5-$B$1)/24+minute(AJ206)/1440),"")</f>
        <v/>
      </c>
      <c r="AO206" s="64" t="str">
        <f t="shared" si="15"/>
        <v/>
      </c>
      <c r="AQ206" s="66" t="str">
        <f t="shared" si="16"/>
        <v/>
      </c>
      <c r="AR206" s="66"/>
      <c r="AS206" s="63" t="str">
        <f>if(AJ206,if(and(hour(AJ206+AS$5)&gt;11,(hour(AJ206+AS$5)&lt;20)),AJ206+AS$5,_xlfn.workday.intl(int(AJ206),1,"1000000",Holidays!A:A)+hour(AJ206+AS$5-$B$1)/24+minute(AJ206)/1440),"")</f>
        <v/>
      </c>
      <c r="AT206" s="64" t="str">
        <f t="shared" si="21"/>
        <v/>
      </c>
      <c r="AU206" s="56"/>
      <c r="AV206" s="66" t="str">
        <f t="shared" si="25"/>
        <v/>
      </c>
      <c r="AW206" s="66"/>
      <c r="AX206" s="56"/>
    </row>
    <row r="207">
      <c r="A207" s="55">
        <v>45042.62441503472</v>
      </c>
      <c r="B207" s="56"/>
      <c r="C207" s="57"/>
      <c r="D207" s="57"/>
      <c r="E207" s="57"/>
      <c r="F207" s="57"/>
      <c r="G207" s="58">
        <f>if(A207,_xlfn.workday.intl(int(A207),1,"1000000",Holidays!A:A)+17/24,"")</f>
        <v>45043.70833</v>
      </c>
      <c r="H207" s="59" t="str">
        <f t="shared" si="23"/>
        <v/>
      </c>
      <c r="I207" s="60"/>
      <c r="J207" s="61">
        <f t="shared" si="2"/>
        <v>1090.275577</v>
      </c>
      <c r="K207" s="58">
        <f>if(G207,_xlfn.workday.intl(int(G207),0,"1000000",Holidays!A:A)+19/24,"")</f>
        <v>45043.79167</v>
      </c>
      <c r="L207" s="59" t="str">
        <f t="shared" si="3"/>
        <v/>
      </c>
      <c r="M207" s="60"/>
      <c r="N207" s="61">
        <f t="shared" si="4"/>
        <v>1090.192243</v>
      </c>
      <c r="O207" s="63">
        <f>if(A207,_xlfn.WORKDAY.INTL(A207,O$5,"1000000",Holidays!A:A)+hour(A207)/24+MINUTE(A207)/1440,"")</f>
        <v>45043.62431</v>
      </c>
      <c r="P207" s="64" t="s">
        <v>2718</v>
      </c>
      <c r="R207" s="66">
        <f t="shared" si="5"/>
        <v>1090.359604</v>
      </c>
      <c r="S207" s="66"/>
      <c r="T207" s="66"/>
      <c r="U207" s="64">
        <f>if(O207,_xlfn.WORKDAY.INTL(O207,U$5,"1000000",Holidays!A:A)+hour(O207)/24+MINUTE(O207)/1440,"")</f>
        <v>45044.62431</v>
      </c>
      <c r="V207" s="64" t="str">
        <f t="shared" si="6"/>
        <v/>
      </c>
      <c r="W207" s="66"/>
      <c r="X207" s="66">
        <f t="shared" si="7"/>
        <v>1089.359604</v>
      </c>
      <c r="Y207" s="66"/>
      <c r="Z207" s="66"/>
      <c r="AA207" s="66"/>
      <c r="AB207" s="63"/>
      <c r="AC207" s="63"/>
      <c r="AD207" s="63"/>
      <c r="AE207" s="63"/>
      <c r="AF207" s="63"/>
      <c r="AG207" s="63"/>
      <c r="AH207" s="63" t="str">
        <f t="shared" si="14"/>
        <v/>
      </c>
      <c r="AI207" s="63" t="str">
        <f>if(AH207,_xlfn.workday.intl(int(AH207),0,"1000000",Holidays!A:A)+18/24,"")</f>
        <v/>
      </c>
      <c r="AJ207" s="64" t="str">
        <f t="shared" si="24"/>
        <v/>
      </c>
      <c r="AL207" s="66" t="str">
        <f t="shared" si="9"/>
        <v/>
      </c>
      <c r="AM207" s="66"/>
      <c r="AN207" s="63" t="str">
        <f>if(AJ207,if(and(hour(AJ207+AN$5)&gt;11,(hour(AJ207+AN$5)&lt;20)),AJ207+AN$5,_xlfn.workday.intl(int(AJ207),1,"1000000",Holidays!A:A)+hour(AJ207+AN$5-$B$1)/24+minute(AJ207)/1440),"")</f>
        <v/>
      </c>
      <c r="AO207" s="64" t="str">
        <f t="shared" si="15"/>
        <v/>
      </c>
      <c r="AQ207" s="66" t="str">
        <f t="shared" si="16"/>
        <v/>
      </c>
      <c r="AR207" s="66"/>
      <c r="AS207" s="63" t="str">
        <f>if(AJ207,if(and(hour(AJ207+AS$5)&gt;11,(hour(AJ207+AS$5)&lt;20)),AJ207+AS$5,_xlfn.workday.intl(int(AJ207),1,"1000000",Holidays!A:A)+hour(AJ207+AS$5-$B$1)/24+minute(AJ207)/1440),"")</f>
        <v/>
      </c>
      <c r="AT207" s="64" t="str">
        <f t="shared" si="21"/>
        <v/>
      </c>
      <c r="AU207" s="56"/>
      <c r="AV207" s="66" t="str">
        <f t="shared" si="25"/>
        <v/>
      </c>
      <c r="AW207" s="66"/>
      <c r="AX207" s="56"/>
    </row>
    <row r="208">
      <c r="A208" s="55">
        <v>45055.55306996527</v>
      </c>
      <c r="B208" s="56"/>
      <c r="C208" s="57"/>
      <c r="D208" s="57"/>
      <c r="E208" s="57"/>
      <c r="F208" s="57"/>
      <c r="G208" s="58">
        <f>if(A208,_xlfn.workday.intl(int(A208),1,"1000000",Holidays!A:A)+17/24,"")</f>
        <v>45056.70833</v>
      </c>
      <c r="H208" s="59" t="str">
        <f t="shared" si="23"/>
        <v/>
      </c>
      <c r="I208" s="60"/>
      <c r="J208" s="61">
        <f t="shared" si="2"/>
        <v>1077.275577</v>
      </c>
      <c r="K208" s="58">
        <f>if(G208,_xlfn.workday.intl(int(G208),0,"1000000",Holidays!A:A)+19/24,"")</f>
        <v>45056.79167</v>
      </c>
      <c r="L208" s="59" t="str">
        <f t="shared" si="3"/>
        <v/>
      </c>
      <c r="M208" s="60"/>
      <c r="N208" s="61">
        <f t="shared" si="4"/>
        <v>1077.192243</v>
      </c>
      <c r="O208" s="63">
        <f>if(A208,_xlfn.WORKDAY.INTL(A208,O$5,"1000000",Holidays!A:A)+hour(A208)/24+MINUTE(A208)/1440,"")</f>
        <v>45056.55278</v>
      </c>
      <c r="P208" s="64" t="s">
        <v>2718</v>
      </c>
      <c r="R208" s="66">
        <f t="shared" si="5"/>
        <v>1077.431132</v>
      </c>
      <c r="S208" s="66"/>
      <c r="T208" s="66"/>
      <c r="U208" s="64">
        <f>if(O208,_xlfn.WORKDAY.INTL(O208,U$5,"1000000",Holidays!A:A)+hour(O208)/24+MINUTE(O208)/1440,"")</f>
        <v>45057.55278</v>
      </c>
      <c r="V208" s="64" t="str">
        <f t="shared" si="6"/>
        <v/>
      </c>
      <c r="W208" s="66"/>
      <c r="X208" s="66">
        <f t="shared" si="7"/>
        <v>1076.431132</v>
      </c>
      <c r="Y208" s="66"/>
      <c r="Z208" s="66"/>
      <c r="AA208" s="66"/>
      <c r="AB208" s="63"/>
      <c r="AC208" s="63"/>
      <c r="AD208" s="63"/>
      <c r="AE208" s="63"/>
      <c r="AF208" s="63"/>
      <c r="AG208" s="63"/>
      <c r="AH208" s="63" t="str">
        <f t="shared" si="14"/>
        <v/>
      </c>
      <c r="AI208" s="63" t="str">
        <f>if(AH208,_xlfn.workday.intl(int(AH208),0,"1000000",Holidays!A:A)+18/24,"")</f>
        <v/>
      </c>
      <c r="AJ208" s="64" t="str">
        <f t="shared" si="24"/>
        <v/>
      </c>
      <c r="AL208" s="66" t="str">
        <f t="shared" si="9"/>
        <v/>
      </c>
      <c r="AM208" s="66"/>
      <c r="AN208" s="63" t="str">
        <f>if(AJ208,if(and(hour(AJ208+AN$5)&gt;11,(hour(AJ208+AN$5)&lt;20)),AJ208+AN$5,_xlfn.workday.intl(int(AJ208),1,"1000000",Holidays!A:A)+hour(AJ208+AN$5-$B$1)/24+minute(AJ208)/1440),"")</f>
        <v/>
      </c>
      <c r="AO208" s="64" t="str">
        <f t="shared" si="15"/>
        <v/>
      </c>
      <c r="AQ208" s="66" t="str">
        <f t="shared" si="16"/>
        <v/>
      </c>
      <c r="AR208" s="66"/>
      <c r="AS208" s="63" t="str">
        <f>if(AJ208,if(and(hour(AJ208+AS$5)&gt;11,(hour(AJ208+AS$5)&lt;20)),AJ208+AS$5,_xlfn.workday.intl(int(AJ208),1,"1000000",Holidays!A:A)+hour(AJ208+AS$5-$B$1)/24+minute(AJ208)/1440),"")</f>
        <v/>
      </c>
      <c r="AT208" s="64" t="str">
        <f t="shared" si="21"/>
        <v/>
      </c>
      <c r="AU208" s="56"/>
      <c r="AV208" s="66" t="str">
        <f t="shared" si="25"/>
        <v/>
      </c>
      <c r="AW208" s="66"/>
      <c r="AX208" s="56"/>
    </row>
    <row r="209">
      <c r="A209" s="55">
        <v>45055.554071562496</v>
      </c>
      <c r="B209" s="56"/>
      <c r="C209" s="57"/>
      <c r="D209" s="57"/>
      <c r="E209" s="57"/>
      <c r="F209" s="57"/>
      <c r="G209" s="58">
        <f>if(A209,_xlfn.workday.intl(int(A209),1,"1000000",Holidays!A:A)+17/24,"")</f>
        <v>45056.70833</v>
      </c>
      <c r="H209" s="59" t="str">
        <f t="shared" si="23"/>
        <v/>
      </c>
      <c r="I209" s="60"/>
      <c r="J209" s="61">
        <f t="shared" si="2"/>
        <v>1077.275577</v>
      </c>
      <c r="K209" s="58">
        <f>if(G209,_xlfn.workday.intl(int(G209),0,"1000000",Holidays!A:A)+19/24,"")</f>
        <v>45056.79167</v>
      </c>
      <c r="L209" s="59" t="str">
        <f t="shared" si="3"/>
        <v/>
      </c>
      <c r="M209" s="60"/>
      <c r="N209" s="61">
        <f t="shared" si="4"/>
        <v>1077.192243</v>
      </c>
      <c r="O209" s="63">
        <f>if(A209,_xlfn.WORKDAY.INTL(A209,O$5,"1000000",Holidays!A:A)+hour(A209)/24+MINUTE(A209)/1440,"")</f>
        <v>45056.55347</v>
      </c>
      <c r="P209" s="64" t="s">
        <v>2718</v>
      </c>
      <c r="R209" s="66">
        <f t="shared" si="5"/>
        <v>1077.430438</v>
      </c>
      <c r="S209" s="66"/>
      <c r="T209" s="66"/>
      <c r="U209" s="64">
        <f>if(O209,_xlfn.WORKDAY.INTL(O209,U$5,"1000000",Holidays!A:A)+hour(O209)/24+MINUTE(O209)/1440,"")</f>
        <v>45057.55347</v>
      </c>
      <c r="V209" s="64" t="str">
        <f t="shared" si="6"/>
        <v/>
      </c>
      <c r="W209" s="66"/>
      <c r="X209" s="66">
        <f t="shared" si="7"/>
        <v>1076.430438</v>
      </c>
      <c r="Y209" s="66"/>
      <c r="Z209" s="66"/>
      <c r="AA209" s="66"/>
      <c r="AB209" s="63"/>
      <c r="AC209" s="63"/>
      <c r="AD209" s="63"/>
      <c r="AE209" s="63"/>
      <c r="AF209" s="63"/>
      <c r="AG209" s="63"/>
      <c r="AH209" s="63" t="str">
        <f t="shared" si="14"/>
        <v/>
      </c>
      <c r="AI209" s="63" t="str">
        <f>if(AH209,_xlfn.workday.intl(int(AH209),0,"1000000",Holidays!A:A)+18/24,"")</f>
        <v/>
      </c>
      <c r="AJ209" s="64" t="str">
        <f t="shared" si="24"/>
        <v/>
      </c>
      <c r="AL209" s="66" t="str">
        <f t="shared" si="9"/>
        <v/>
      </c>
      <c r="AM209" s="66"/>
      <c r="AN209" s="63" t="str">
        <f>if(AJ209,if(and(hour(AJ209+AN$5)&gt;11,(hour(AJ209+AN$5)&lt;20)),AJ209+AN$5,_xlfn.workday.intl(int(AJ209),1,"1000000",Holidays!A:A)+hour(AJ209+AN$5-$B$1)/24+minute(AJ209)/1440),"")</f>
        <v/>
      </c>
      <c r="AO209" s="64" t="str">
        <f t="shared" si="15"/>
        <v/>
      </c>
      <c r="AQ209" s="66" t="str">
        <f t="shared" si="16"/>
        <v/>
      </c>
      <c r="AR209" s="66"/>
      <c r="AS209" s="63" t="str">
        <f>if(AJ209,if(and(hour(AJ209+AS$5)&gt;11,(hour(AJ209+AS$5)&lt;20)),AJ209+AS$5,_xlfn.workday.intl(int(AJ209),1,"1000000",Holidays!A:A)+hour(AJ209+AS$5-$B$1)/24+minute(AJ209)/1440),"")</f>
        <v/>
      </c>
      <c r="AT209" s="64" t="str">
        <f t="shared" si="21"/>
        <v/>
      </c>
      <c r="AV209" s="66" t="str">
        <f t="shared" si="25"/>
        <v/>
      </c>
      <c r="AW209" s="66"/>
      <c r="AX209" s="56"/>
    </row>
    <row r="210">
      <c r="A210" s="55">
        <v>45055.55488240741</v>
      </c>
      <c r="B210" s="56"/>
      <c r="C210" s="57"/>
      <c r="D210" s="57"/>
      <c r="E210" s="57"/>
      <c r="F210" s="57"/>
      <c r="G210" s="58">
        <f>if(A210,_xlfn.workday.intl(int(A210),1,"1000000",Holidays!A:A)+17/24,"")</f>
        <v>45056.70833</v>
      </c>
      <c r="H210" s="59" t="str">
        <f t="shared" si="23"/>
        <v/>
      </c>
      <c r="I210" s="60"/>
      <c r="J210" s="61">
        <f t="shared" si="2"/>
        <v>1077.275577</v>
      </c>
      <c r="K210" s="58">
        <f>if(G210,_xlfn.workday.intl(int(G210),0,"1000000",Holidays!A:A)+19/24,"")</f>
        <v>45056.79167</v>
      </c>
      <c r="L210" s="59" t="str">
        <f t="shared" si="3"/>
        <v/>
      </c>
      <c r="M210" s="60"/>
      <c r="N210" s="61">
        <f t="shared" si="4"/>
        <v>1077.192243</v>
      </c>
      <c r="O210" s="63">
        <f>if(A210,_xlfn.WORKDAY.INTL(A210,O$5,"1000000",Holidays!A:A)+hour(A210)/24+MINUTE(A210)/1440,"")</f>
        <v>45056.55486</v>
      </c>
      <c r="P210" s="64" t="s">
        <v>2718</v>
      </c>
      <c r="R210" s="66">
        <f t="shared" si="5"/>
        <v>1077.429049</v>
      </c>
      <c r="S210" s="66"/>
      <c r="T210" s="66"/>
      <c r="U210" s="64">
        <f>if(O210,_xlfn.WORKDAY.INTL(O210,U$5,"1000000",Holidays!A:A)+hour(O210)/24+MINUTE(O210)/1440,"")</f>
        <v>45057.55486</v>
      </c>
      <c r="V210" s="64" t="str">
        <f t="shared" si="6"/>
        <v/>
      </c>
      <c r="W210" s="66"/>
      <c r="X210" s="66">
        <f t="shared" si="7"/>
        <v>1076.429049</v>
      </c>
      <c r="Y210" s="66"/>
      <c r="Z210" s="66"/>
      <c r="AA210" s="66"/>
      <c r="AB210" s="63"/>
      <c r="AC210" s="63"/>
      <c r="AD210" s="63"/>
      <c r="AE210" s="63"/>
      <c r="AF210" s="63"/>
      <c r="AG210" s="63"/>
      <c r="AH210" s="63" t="str">
        <f t="shared" si="14"/>
        <v/>
      </c>
      <c r="AI210" s="63" t="str">
        <f>if(AH210,_xlfn.workday.intl(int(AH210),0,"1000000",Holidays!A:A)+18/24,"")</f>
        <v/>
      </c>
      <c r="AJ210" s="64" t="str">
        <f t="shared" si="24"/>
        <v/>
      </c>
      <c r="AL210" s="66" t="str">
        <f t="shared" si="9"/>
        <v/>
      </c>
      <c r="AM210" s="66"/>
      <c r="AN210" s="63" t="str">
        <f>if(AJ210,if(and(hour(AJ210+AN$5)&gt;11,(hour(AJ210+AN$5)&lt;20)),AJ210+AN$5,_xlfn.workday.intl(int(AJ210),1,"1000000",Holidays!A:A)+hour(AJ210+AN$5-$B$1)/24+minute(AJ210)/1440),"")</f>
        <v/>
      </c>
      <c r="AO210" s="64" t="str">
        <f t="shared" si="15"/>
        <v/>
      </c>
      <c r="AQ210" s="66" t="str">
        <f t="shared" si="16"/>
        <v/>
      </c>
      <c r="AR210" s="66"/>
      <c r="AS210" s="63" t="str">
        <f>if(AJ210,if(and(hour(AJ210+AS$5)&gt;11,(hour(AJ210+AS$5)&lt;20)),AJ210+AS$5,_xlfn.workday.intl(int(AJ210),1,"1000000",Holidays!A:A)+hour(AJ210+AS$5-$B$1)/24+minute(AJ210)/1440),"")</f>
        <v/>
      </c>
      <c r="AT210" s="64" t="str">
        <f t="shared" si="21"/>
        <v/>
      </c>
      <c r="AV210" s="66" t="str">
        <f t="shared" si="25"/>
        <v/>
      </c>
      <c r="AW210" s="66"/>
      <c r="AX210" s="56"/>
    </row>
    <row r="211">
      <c r="A211" s="55">
        <v>45055.556175868056</v>
      </c>
      <c r="B211" s="56"/>
      <c r="C211" s="57"/>
      <c r="D211" s="57"/>
      <c r="E211" s="57"/>
      <c r="F211" s="57"/>
      <c r="G211" s="58">
        <f>if(A211,_xlfn.workday.intl(int(A211),1,"1000000",Holidays!A:A)+17/24,"")</f>
        <v>45056.70833</v>
      </c>
      <c r="H211" s="59" t="str">
        <f t="shared" si="23"/>
        <v/>
      </c>
      <c r="I211" s="60"/>
      <c r="J211" s="61">
        <f t="shared" si="2"/>
        <v>1077.275577</v>
      </c>
      <c r="K211" s="58">
        <f>if(G211,_xlfn.workday.intl(int(G211),0,"1000000",Holidays!A:A)+19/24,"")</f>
        <v>45056.79167</v>
      </c>
      <c r="L211" s="59" t="str">
        <f t="shared" si="3"/>
        <v/>
      </c>
      <c r="M211" s="60"/>
      <c r="N211" s="61">
        <f t="shared" si="4"/>
        <v>1077.192243</v>
      </c>
      <c r="O211" s="63">
        <f>if(A211,_xlfn.WORKDAY.INTL(A211,O$5,"1000000",Holidays!A:A)+hour(A211)/24+MINUTE(A211)/1440,"")</f>
        <v>45056.55556</v>
      </c>
      <c r="P211" s="64" t="s">
        <v>2718</v>
      </c>
      <c r="R211" s="66">
        <f t="shared" si="5"/>
        <v>1077.428354</v>
      </c>
      <c r="S211" s="66"/>
      <c r="T211" s="66"/>
      <c r="U211" s="64">
        <f>if(O211,_xlfn.WORKDAY.INTL(O211,U$5,"1000000",Holidays!A:A)+hour(O211)/24+MINUTE(O211)/1440,"")</f>
        <v>45057.55556</v>
      </c>
      <c r="V211" s="64" t="str">
        <f t="shared" si="6"/>
        <v/>
      </c>
      <c r="W211" s="66"/>
      <c r="X211" s="66">
        <f t="shared" si="7"/>
        <v>1076.428354</v>
      </c>
      <c r="Y211" s="66"/>
      <c r="Z211" s="66"/>
      <c r="AA211" s="66"/>
      <c r="AB211" s="63"/>
      <c r="AC211" s="63"/>
      <c r="AD211" s="63"/>
      <c r="AE211" s="63"/>
      <c r="AF211" s="63"/>
      <c r="AG211" s="63"/>
      <c r="AH211" s="63" t="str">
        <f t="shared" si="14"/>
        <v/>
      </c>
      <c r="AI211" s="63" t="str">
        <f>if(AH211,_xlfn.workday.intl(int(AH211),0,"1000000",Holidays!A:A)+18/24,"")</f>
        <v/>
      </c>
      <c r="AJ211" s="64" t="str">
        <f t="shared" si="24"/>
        <v/>
      </c>
      <c r="AL211" s="66" t="str">
        <f t="shared" si="9"/>
        <v/>
      </c>
      <c r="AM211" s="66"/>
      <c r="AN211" s="63" t="str">
        <f>if(AJ211,if(and(hour(AJ211+AN$5)&gt;11,(hour(AJ211+AN$5)&lt;20)),AJ211+AN$5,_xlfn.workday.intl(int(AJ211),1,"1000000",Holidays!A:A)+hour(AJ211+AN$5-$B$1)/24+minute(AJ211)/1440),"")</f>
        <v/>
      </c>
      <c r="AO211" s="64" t="str">
        <f t="shared" si="15"/>
        <v/>
      </c>
      <c r="AQ211" s="66" t="str">
        <f t="shared" si="16"/>
        <v/>
      </c>
      <c r="AR211" s="66"/>
      <c r="AS211" s="63" t="str">
        <f>if(AJ211,if(and(hour(AJ211+AS$5)&gt;11,(hour(AJ211+AS$5)&lt;20)),AJ211+AS$5,_xlfn.workday.intl(int(AJ211),1,"1000000",Holidays!A:A)+hour(AJ211+AS$5-$B$1)/24+minute(AJ211)/1440),"")</f>
        <v/>
      </c>
      <c r="AT211" s="64" t="str">
        <f t="shared" si="21"/>
        <v/>
      </c>
      <c r="AV211" s="66" t="str">
        <f t="shared" si="25"/>
        <v/>
      </c>
      <c r="AW211" s="66"/>
      <c r="AX211" s="56"/>
    </row>
    <row r="212">
      <c r="A212" s="55">
        <v>45055.55690229167</v>
      </c>
      <c r="B212" s="56"/>
      <c r="C212" s="57"/>
      <c r="D212" s="57"/>
      <c r="E212" s="57"/>
      <c r="F212" s="57"/>
      <c r="G212" s="58">
        <f>if(A212,_xlfn.workday.intl(int(A212),1,"1000000",Holidays!A:A)+17/24,"")</f>
        <v>45056.70833</v>
      </c>
      <c r="H212" s="59" t="str">
        <f t="shared" si="23"/>
        <v/>
      </c>
      <c r="I212" s="60"/>
      <c r="J212" s="61">
        <f t="shared" si="2"/>
        <v>1077.275577</v>
      </c>
      <c r="K212" s="58">
        <f>if(G212,_xlfn.workday.intl(int(G212),0,"1000000",Holidays!A:A)+19/24,"")</f>
        <v>45056.79167</v>
      </c>
      <c r="L212" s="59" t="str">
        <f t="shared" si="3"/>
        <v/>
      </c>
      <c r="M212" s="60"/>
      <c r="N212" s="61">
        <f t="shared" si="4"/>
        <v>1077.192243</v>
      </c>
      <c r="O212" s="63">
        <f>if(A212,_xlfn.WORKDAY.INTL(A212,O$5,"1000000",Holidays!A:A)+hour(A212)/24+MINUTE(A212)/1440,"")</f>
        <v>45056.55625</v>
      </c>
      <c r="P212" s="64" t="s">
        <v>2718</v>
      </c>
      <c r="R212" s="66">
        <f t="shared" si="5"/>
        <v>1077.42766</v>
      </c>
      <c r="S212" s="66"/>
      <c r="T212" s="66"/>
      <c r="U212" s="64">
        <f>if(O212,_xlfn.WORKDAY.INTL(O212,U$5,"1000000",Holidays!A:A)+hour(O212)/24+MINUTE(O212)/1440,"")</f>
        <v>45057.55625</v>
      </c>
      <c r="V212" s="64" t="str">
        <f t="shared" si="6"/>
        <v/>
      </c>
      <c r="W212" s="66"/>
      <c r="X212" s="66">
        <f t="shared" si="7"/>
        <v>1076.42766</v>
      </c>
      <c r="Y212" s="66"/>
      <c r="Z212" s="66"/>
      <c r="AA212" s="66"/>
      <c r="AB212" s="63"/>
      <c r="AC212" s="63"/>
      <c r="AD212" s="63"/>
      <c r="AE212" s="63"/>
      <c r="AF212" s="63"/>
      <c r="AG212" s="63"/>
      <c r="AH212" s="63" t="str">
        <f t="shared" si="14"/>
        <v/>
      </c>
      <c r="AI212" s="63" t="str">
        <f>if(AH212,_xlfn.workday.intl(int(AH212),0,"1000000",Holidays!A:A)+18/24,"")</f>
        <v/>
      </c>
      <c r="AJ212" s="64" t="str">
        <f t="shared" si="24"/>
        <v/>
      </c>
      <c r="AL212" s="66" t="str">
        <f t="shared" si="9"/>
        <v/>
      </c>
      <c r="AM212" s="66"/>
      <c r="AN212" s="63" t="str">
        <f>if(AJ212,if(and(hour(AJ212+AN$5)&gt;11,(hour(AJ212+AN$5)&lt;20)),AJ212+AN$5,_xlfn.workday.intl(int(AJ212),1,"1000000",Holidays!A:A)+hour(AJ212+AN$5-$B$1)/24+minute(AJ212)/1440),"")</f>
        <v/>
      </c>
      <c r="AO212" s="64" t="str">
        <f t="shared" si="15"/>
        <v/>
      </c>
      <c r="AQ212" s="66" t="str">
        <f t="shared" si="16"/>
        <v/>
      </c>
      <c r="AR212" s="66"/>
      <c r="AS212" s="63" t="str">
        <f>if(AJ212,if(and(hour(AJ212+AS$5)&gt;11,(hour(AJ212+AS$5)&lt;20)),AJ212+AS$5,_xlfn.workday.intl(int(AJ212),1,"1000000",Holidays!A:A)+hour(AJ212+AS$5-$B$1)/24+minute(AJ212)/1440),"")</f>
        <v/>
      </c>
      <c r="AT212" s="64" t="str">
        <f t="shared" si="21"/>
        <v/>
      </c>
      <c r="AV212" s="66" t="str">
        <f t="shared" si="25"/>
        <v/>
      </c>
      <c r="AW212" s="66"/>
      <c r="AX212" s="56"/>
    </row>
    <row r="213">
      <c r="A213" s="55">
        <v>45055.77022482639</v>
      </c>
      <c r="B213" s="56"/>
      <c r="C213" s="57"/>
      <c r="D213" s="57"/>
      <c r="E213" s="57"/>
      <c r="F213" s="57"/>
      <c r="G213" s="58">
        <f>if(A213,_xlfn.workday.intl(int(A213),1,"1000000",Holidays!A:A)+17/24,"")</f>
        <v>45056.70833</v>
      </c>
      <c r="H213" s="59" t="str">
        <f t="shared" si="23"/>
        <v/>
      </c>
      <c r="I213" s="60"/>
      <c r="J213" s="61">
        <f t="shared" si="2"/>
        <v>1077.275577</v>
      </c>
      <c r="K213" s="58">
        <f>if(G213,_xlfn.workday.intl(int(G213),0,"1000000",Holidays!A:A)+19/24,"")</f>
        <v>45056.79167</v>
      </c>
      <c r="L213" s="59" t="str">
        <f t="shared" si="3"/>
        <v/>
      </c>
      <c r="M213" s="60"/>
      <c r="N213" s="61">
        <f t="shared" si="4"/>
        <v>1077.192243</v>
      </c>
      <c r="O213" s="63">
        <f>if(A213,_xlfn.WORKDAY.INTL(A213,O$5,"1000000",Holidays!A:A)+hour(A213)/24+MINUTE(A213)/1440,"")</f>
        <v>45056.77014</v>
      </c>
      <c r="P213" s="64" t="s">
        <v>2718</v>
      </c>
      <c r="R213" s="66">
        <f t="shared" si="5"/>
        <v>1077.213771</v>
      </c>
      <c r="S213" s="66"/>
      <c r="T213" s="66"/>
      <c r="U213" s="64">
        <f>if(O213,_xlfn.WORKDAY.INTL(O213,U$5,"1000000",Holidays!A:A)+hour(O213)/24+MINUTE(O213)/1440,"")</f>
        <v>45057.77014</v>
      </c>
      <c r="V213" s="64" t="str">
        <f t="shared" si="6"/>
        <v/>
      </c>
      <c r="W213" s="66"/>
      <c r="X213" s="66">
        <f t="shared" si="7"/>
        <v>1076.213771</v>
      </c>
      <c r="Y213" s="66"/>
      <c r="Z213" s="66"/>
      <c r="AA213" s="66"/>
      <c r="AB213" s="63"/>
      <c r="AC213" s="63"/>
      <c r="AD213" s="63"/>
      <c r="AE213" s="63"/>
      <c r="AF213" s="63"/>
      <c r="AG213" s="63"/>
      <c r="AH213" s="63" t="str">
        <f t="shared" si="14"/>
        <v/>
      </c>
      <c r="AI213" s="63" t="str">
        <f>if(AH213,_xlfn.workday.intl(int(AH213),0,"1000000",Holidays!A:A)+18/24,"")</f>
        <v/>
      </c>
      <c r="AJ213" s="64" t="str">
        <f t="shared" si="24"/>
        <v/>
      </c>
      <c r="AL213" s="66" t="str">
        <f t="shared" si="9"/>
        <v/>
      </c>
      <c r="AM213" s="66"/>
      <c r="AN213" s="63" t="str">
        <f>if(AJ213,if(and(hour(AJ213+AN$5)&gt;11,(hour(AJ213+AN$5)&lt;20)),AJ213+AN$5,_xlfn.workday.intl(int(AJ213),1,"1000000",Holidays!A:A)+hour(AJ213+AN$5-$B$1)/24+minute(AJ213)/1440),"")</f>
        <v/>
      </c>
      <c r="AO213" s="64" t="str">
        <f t="shared" si="15"/>
        <v/>
      </c>
      <c r="AQ213" s="66" t="str">
        <f t="shared" si="16"/>
        <v/>
      </c>
      <c r="AR213" s="66"/>
      <c r="AS213" s="63" t="str">
        <f>if(AJ213,if(and(hour(AJ213+AS$5)&gt;11,(hour(AJ213+AS$5)&lt;20)),AJ213+AS$5,_xlfn.workday.intl(int(AJ213),1,"1000000",Holidays!A:A)+hour(AJ213+AS$5-$B$1)/24+minute(AJ213)/1440),"")</f>
        <v/>
      </c>
      <c r="AT213" s="64" t="str">
        <f t="shared" si="21"/>
        <v/>
      </c>
      <c r="AV213" s="66" t="str">
        <f t="shared" si="25"/>
        <v/>
      </c>
      <c r="AW213" s="66"/>
      <c r="AX213" s="56"/>
    </row>
    <row r="214">
      <c r="A214" s="55">
        <v>45055.784783518524</v>
      </c>
      <c r="B214" s="56"/>
      <c r="C214" s="57"/>
      <c r="D214" s="57"/>
      <c r="E214" s="57"/>
      <c r="F214" s="57"/>
      <c r="G214" s="58">
        <f>if(A214,_xlfn.workday.intl(int(A214),1,"1000000",Holidays!A:A)+17/24,"")</f>
        <v>45056.70833</v>
      </c>
      <c r="H214" s="59" t="str">
        <f t="shared" si="23"/>
        <v/>
      </c>
      <c r="I214" s="60"/>
      <c r="J214" s="61">
        <f t="shared" si="2"/>
        <v>1077.275577</v>
      </c>
      <c r="K214" s="58">
        <f>if(G214,_xlfn.workday.intl(int(G214),0,"1000000",Holidays!A:A)+19/24,"")</f>
        <v>45056.79167</v>
      </c>
      <c r="L214" s="59" t="str">
        <f t="shared" si="3"/>
        <v/>
      </c>
      <c r="M214" s="60"/>
      <c r="N214" s="61">
        <f t="shared" si="4"/>
        <v>1077.192243</v>
      </c>
      <c r="O214" s="63">
        <f>if(A214,_xlfn.WORKDAY.INTL(A214,O$5,"1000000",Holidays!A:A)+hour(A214)/24+MINUTE(A214)/1440,"")</f>
        <v>45056.78472</v>
      </c>
      <c r="P214" s="64" t="s">
        <v>2718</v>
      </c>
      <c r="R214" s="66">
        <f t="shared" si="5"/>
        <v>1077.199188</v>
      </c>
      <c r="S214" s="66"/>
      <c r="T214" s="66"/>
      <c r="U214" s="64">
        <f>if(O214,_xlfn.WORKDAY.INTL(O214,U$5,"1000000",Holidays!A:A)+hour(O214)/24+MINUTE(O214)/1440,"")</f>
        <v>45057.78472</v>
      </c>
      <c r="V214" s="64" t="str">
        <f t="shared" si="6"/>
        <v/>
      </c>
      <c r="W214" s="66"/>
      <c r="X214" s="66">
        <f t="shared" si="7"/>
        <v>1076.199188</v>
      </c>
      <c r="Y214" s="66"/>
      <c r="Z214" s="66"/>
      <c r="AA214" s="66"/>
      <c r="AB214" s="63"/>
      <c r="AC214" s="63"/>
      <c r="AD214" s="63"/>
      <c r="AE214" s="63"/>
      <c r="AF214" s="63"/>
      <c r="AG214" s="63"/>
      <c r="AH214" s="63" t="str">
        <f t="shared" si="14"/>
        <v/>
      </c>
      <c r="AI214" s="63" t="str">
        <f>if(AH214,_xlfn.workday.intl(int(AH214),0,"1000000",Holidays!A:A)+18/24,"")</f>
        <v/>
      </c>
      <c r="AJ214" s="64" t="str">
        <f t="shared" si="24"/>
        <v/>
      </c>
      <c r="AL214" s="66" t="str">
        <f t="shared" si="9"/>
        <v/>
      </c>
      <c r="AM214" s="66"/>
      <c r="AN214" s="63" t="str">
        <f>if(AJ214,if(and(hour(AJ214+AN$5)&gt;11,(hour(AJ214+AN$5)&lt;20)),AJ214+AN$5,_xlfn.workday.intl(int(AJ214),1,"1000000",Holidays!A:A)+hour(AJ214+AN$5-$B$1)/24+minute(AJ214)/1440),"")</f>
        <v/>
      </c>
      <c r="AO214" s="64" t="str">
        <f t="shared" si="15"/>
        <v/>
      </c>
      <c r="AQ214" s="66" t="str">
        <f t="shared" si="16"/>
        <v/>
      </c>
      <c r="AR214" s="66"/>
      <c r="AS214" s="63" t="str">
        <f>if(AJ214,if(and(hour(AJ214+AS$5)&gt;11,(hour(AJ214+AS$5)&lt;20)),AJ214+AS$5,_xlfn.workday.intl(int(AJ214),1,"1000000",Holidays!A:A)+hour(AJ214+AS$5-$B$1)/24+minute(AJ214)/1440),"")</f>
        <v/>
      </c>
      <c r="AT214" s="64" t="str">
        <f t="shared" si="21"/>
        <v/>
      </c>
      <c r="AV214" s="66" t="str">
        <f t="shared" si="25"/>
        <v/>
      </c>
      <c r="AW214" s="66"/>
      <c r="AX214" s="56"/>
    </row>
    <row r="215">
      <c r="A215" s="55">
        <v>45055.78904334491</v>
      </c>
      <c r="B215" s="56"/>
      <c r="C215" s="57"/>
      <c r="D215" s="57"/>
      <c r="E215" s="57"/>
      <c r="F215" s="57"/>
      <c r="G215" s="58">
        <f>if(A215,_xlfn.workday.intl(int(A215),1,"1000000",Holidays!A:A)+17/24,"")</f>
        <v>45056.70833</v>
      </c>
      <c r="H215" s="59" t="str">
        <f t="shared" si="23"/>
        <v/>
      </c>
      <c r="I215" s="60"/>
      <c r="J215" s="61">
        <f t="shared" si="2"/>
        <v>1077.275577</v>
      </c>
      <c r="K215" s="58">
        <f>if(G215,_xlfn.workday.intl(int(G215),0,"1000000",Holidays!A:A)+19/24,"")</f>
        <v>45056.79167</v>
      </c>
      <c r="L215" s="59" t="str">
        <f t="shared" si="3"/>
        <v/>
      </c>
      <c r="M215" s="60"/>
      <c r="N215" s="61">
        <f t="shared" si="4"/>
        <v>1077.192243</v>
      </c>
      <c r="O215" s="63">
        <f>if(A215,_xlfn.WORKDAY.INTL(A215,O$5,"1000000",Holidays!A:A)+hour(A215)/24+MINUTE(A215)/1440,"")</f>
        <v>45056.78889</v>
      </c>
      <c r="P215" s="64" t="s">
        <v>2718</v>
      </c>
      <c r="R215" s="66">
        <f t="shared" si="5"/>
        <v>1077.195021</v>
      </c>
      <c r="S215" s="66"/>
      <c r="T215" s="66"/>
      <c r="U215" s="64">
        <f>if(O215,_xlfn.WORKDAY.INTL(O215,U$5,"1000000",Holidays!A:A)+hour(O215)/24+MINUTE(O215)/1440,"")</f>
        <v>45057.78889</v>
      </c>
      <c r="V215" s="64" t="str">
        <f t="shared" si="6"/>
        <v/>
      </c>
      <c r="W215" s="66"/>
      <c r="X215" s="66">
        <f t="shared" si="7"/>
        <v>1076.195021</v>
      </c>
      <c r="Y215" s="66"/>
      <c r="Z215" s="66"/>
      <c r="AA215" s="66"/>
      <c r="AB215" s="63"/>
      <c r="AC215" s="63"/>
      <c r="AD215" s="63"/>
      <c r="AE215" s="63"/>
      <c r="AF215" s="63"/>
      <c r="AG215" s="63"/>
      <c r="AH215" s="63" t="str">
        <f t="shared" si="14"/>
        <v/>
      </c>
      <c r="AI215" s="63" t="str">
        <f>if(AH215,_xlfn.workday.intl(int(AH215),0,"1000000",Holidays!A:A)+18/24,"")</f>
        <v/>
      </c>
      <c r="AJ215" s="64" t="str">
        <f t="shared" si="24"/>
        <v/>
      </c>
      <c r="AL215" s="66" t="str">
        <f t="shared" si="9"/>
        <v/>
      </c>
      <c r="AM215" s="66"/>
      <c r="AN215" s="63" t="str">
        <f>if(AJ215,if(and(hour(AJ215+AN$5)&gt;11,(hour(AJ215+AN$5)&lt;20)),AJ215+AN$5,_xlfn.workday.intl(int(AJ215),1,"1000000",Holidays!A:A)+hour(AJ215+AN$5-$B$1)/24+minute(AJ215)/1440),"")</f>
        <v/>
      </c>
      <c r="AO215" s="64" t="str">
        <f t="shared" si="15"/>
        <v/>
      </c>
      <c r="AQ215" s="66" t="str">
        <f t="shared" si="16"/>
        <v/>
      </c>
      <c r="AR215" s="66"/>
      <c r="AS215" s="63" t="str">
        <f>if(AJ215,if(and(hour(AJ215+AS$5)&gt;11,(hour(AJ215+AS$5)&lt;20)),AJ215+AS$5,_xlfn.workday.intl(int(AJ215),1,"1000000",Holidays!A:A)+hour(AJ215+AS$5-$B$1)/24+minute(AJ215)/1440),"")</f>
        <v/>
      </c>
      <c r="AT215" s="64" t="str">
        <f t="shared" si="21"/>
        <v/>
      </c>
      <c r="AV215" s="66" t="str">
        <f t="shared" si="25"/>
        <v/>
      </c>
      <c r="AW215" s="66"/>
      <c r="AX215" s="56"/>
    </row>
    <row r="216">
      <c r="A216" s="55">
        <v>45055.79040221065</v>
      </c>
      <c r="B216" s="56"/>
      <c r="C216" s="57"/>
      <c r="D216" s="57"/>
      <c r="E216" s="57"/>
      <c r="F216" s="57"/>
      <c r="G216" s="58">
        <f>if(A216,_xlfn.workday.intl(int(A216),1,"1000000",Holidays!A:A)+17/24,"")</f>
        <v>45056.70833</v>
      </c>
      <c r="H216" s="59" t="str">
        <f t="shared" si="23"/>
        <v/>
      </c>
      <c r="I216" s="60"/>
      <c r="J216" s="61">
        <f t="shared" si="2"/>
        <v>1077.275577</v>
      </c>
      <c r="K216" s="58">
        <f>if(G216,_xlfn.workday.intl(int(G216),0,"1000000",Holidays!A:A)+19/24,"")</f>
        <v>45056.79167</v>
      </c>
      <c r="L216" s="59" t="str">
        <f t="shared" si="3"/>
        <v/>
      </c>
      <c r="M216" s="60"/>
      <c r="N216" s="61">
        <f t="shared" si="4"/>
        <v>1077.192243</v>
      </c>
      <c r="O216" s="63">
        <f>if(A216,_xlfn.WORKDAY.INTL(A216,O$5,"1000000",Holidays!A:A)+hour(A216)/24+MINUTE(A216)/1440,"")</f>
        <v>45056.79028</v>
      </c>
      <c r="P216" s="64" t="s">
        <v>2718</v>
      </c>
      <c r="R216" s="66">
        <f t="shared" si="5"/>
        <v>1077.193632</v>
      </c>
      <c r="S216" s="66"/>
      <c r="T216" s="66"/>
      <c r="U216" s="64">
        <f>if(O216,_xlfn.WORKDAY.INTL(O216,U$5,"1000000",Holidays!A:A)+hour(O216)/24+MINUTE(O216)/1440,"")</f>
        <v>45057.79028</v>
      </c>
      <c r="V216" s="64" t="str">
        <f t="shared" si="6"/>
        <v/>
      </c>
      <c r="W216" s="66"/>
      <c r="X216" s="66">
        <f t="shared" si="7"/>
        <v>1076.193632</v>
      </c>
      <c r="Y216" s="66"/>
      <c r="Z216" s="66"/>
      <c r="AA216" s="66"/>
      <c r="AB216" s="63"/>
      <c r="AC216" s="63"/>
      <c r="AD216" s="63"/>
      <c r="AE216" s="63"/>
      <c r="AF216" s="63"/>
      <c r="AG216" s="63"/>
      <c r="AH216" s="63" t="str">
        <f t="shared" si="14"/>
        <v/>
      </c>
      <c r="AI216" s="63" t="str">
        <f>if(AH216,_xlfn.workday.intl(int(AH216),0,"1000000",Holidays!A:A)+18/24,"")</f>
        <v/>
      </c>
      <c r="AJ216" s="64" t="str">
        <f t="shared" si="24"/>
        <v/>
      </c>
      <c r="AL216" s="66" t="str">
        <f t="shared" si="9"/>
        <v/>
      </c>
      <c r="AM216" s="66"/>
      <c r="AN216" s="63" t="str">
        <f>if(AJ216,if(and(hour(AJ216+AN$5)&gt;11,(hour(AJ216+AN$5)&lt;20)),AJ216+AN$5,_xlfn.workday.intl(int(AJ216),1,"1000000",Holidays!A:A)+hour(AJ216+AN$5-$B$1)/24+minute(AJ216)/1440),"")</f>
        <v/>
      </c>
      <c r="AO216" s="64" t="str">
        <f t="shared" si="15"/>
        <v/>
      </c>
      <c r="AQ216" s="66" t="str">
        <f t="shared" si="16"/>
        <v/>
      </c>
      <c r="AR216" s="66"/>
      <c r="AS216" s="63" t="str">
        <f>if(AJ216,if(and(hour(AJ216+AS$5)&gt;11,(hour(AJ216+AS$5)&lt;20)),AJ216+AS$5,_xlfn.workday.intl(int(AJ216),1,"1000000",Holidays!A:A)+hour(AJ216+AS$5-$B$1)/24+minute(AJ216)/1440),"")</f>
        <v/>
      </c>
      <c r="AT216" s="64" t="str">
        <f t="shared" si="21"/>
        <v/>
      </c>
      <c r="AV216" s="66" t="str">
        <f t="shared" si="25"/>
        <v/>
      </c>
      <c r="AW216" s="66"/>
      <c r="AX216" s="56"/>
    </row>
    <row r="217">
      <c r="A217" s="55">
        <v>45055.79156537037</v>
      </c>
      <c r="B217" s="56"/>
      <c r="C217" s="57"/>
      <c r="D217" s="57"/>
      <c r="E217" s="57"/>
      <c r="F217" s="57"/>
      <c r="G217" s="58">
        <f>if(A217,_xlfn.workday.intl(int(A217),1,"1000000",Holidays!A:A)+17/24,"")</f>
        <v>45056.70833</v>
      </c>
      <c r="H217" s="59" t="str">
        <f t="shared" si="23"/>
        <v/>
      </c>
      <c r="I217" s="60"/>
      <c r="J217" s="61">
        <f t="shared" si="2"/>
        <v>1077.275577</v>
      </c>
      <c r="K217" s="58">
        <f>if(G217,_xlfn.workday.intl(int(G217),0,"1000000",Holidays!A:A)+19/24,"")</f>
        <v>45056.79167</v>
      </c>
      <c r="L217" s="59" t="str">
        <f t="shared" si="3"/>
        <v/>
      </c>
      <c r="M217" s="60"/>
      <c r="N217" s="61">
        <f t="shared" si="4"/>
        <v>1077.192243</v>
      </c>
      <c r="O217" s="63">
        <f>if(A217,_xlfn.WORKDAY.INTL(A217,O$5,"1000000",Holidays!A:A)+hour(A217)/24+MINUTE(A217)/1440,"")</f>
        <v>45056.79097</v>
      </c>
      <c r="P217" s="64" t="s">
        <v>2718</v>
      </c>
      <c r="R217" s="66">
        <f t="shared" si="5"/>
        <v>1077.192938</v>
      </c>
      <c r="S217" s="66"/>
      <c r="T217" s="66"/>
      <c r="U217" s="64">
        <f>if(O217,_xlfn.WORKDAY.INTL(O217,U$5,"1000000",Holidays!A:A)+hour(O217)/24+MINUTE(O217)/1440,"")</f>
        <v>45057.79097</v>
      </c>
      <c r="V217" s="64" t="str">
        <f t="shared" si="6"/>
        <v/>
      </c>
      <c r="W217" s="66"/>
      <c r="X217" s="66">
        <f t="shared" si="7"/>
        <v>1076.192938</v>
      </c>
      <c r="Y217" s="66"/>
      <c r="Z217" s="66"/>
      <c r="AA217" s="66"/>
      <c r="AB217" s="63"/>
      <c r="AC217" s="63"/>
      <c r="AD217" s="63"/>
      <c r="AE217" s="63"/>
      <c r="AF217" s="63"/>
      <c r="AG217" s="63"/>
      <c r="AH217" s="63" t="str">
        <f t="shared" si="14"/>
        <v/>
      </c>
      <c r="AI217" s="63" t="str">
        <f>if(AH217,_xlfn.workday.intl(int(AH217),0,"1000000",Holidays!A:A)+18/24,"")</f>
        <v/>
      </c>
      <c r="AJ217" s="64" t="str">
        <f t="shared" si="24"/>
        <v/>
      </c>
      <c r="AL217" s="66" t="str">
        <f t="shared" si="9"/>
        <v/>
      </c>
      <c r="AM217" s="66"/>
      <c r="AN217" s="63" t="str">
        <f>if(AJ217,if(and(hour(AJ217+AN$5)&gt;11,(hour(AJ217+AN$5)&lt;20)),AJ217+AN$5,_xlfn.workday.intl(int(AJ217),1,"1000000",Holidays!A:A)+hour(AJ217+AN$5-$B$1)/24+minute(AJ217)/1440),"")</f>
        <v/>
      </c>
      <c r="AO217" s="64" t="str">
        <f t="shared" si="15"/>
        <v/>
      </c>
      <c r="AQ217" s="66" t="str">
        <f t="shared" si="16"/>
        <v/>
      </c>
      <c r="AR217" s="66"/>
      <c r="AS217" s="63" t="str">
        <f>if(AJ217,if(and(hour(AJ217+AS$5)&gt;11,(hour(AJ217+AS$5)&lt;20)),AJ217+AS$5,_xlfn.workday.intl(int(AJ217),1,"1000000",Holidays!A:A)+hour(AJ217+AS$5-$B$1)/24+minute(AJ217)/1440),"")</f>
        <v/>
      </c>
      <c r="AT217" s="64" t="str">
        <f t="shared" si="21"/>
        <v/>
      </c>
      <c r="AV217" s="66" t="str">
        <f t="shared" si="25"/>
        <v/>
      </c>
      <c r="AW217" s="66"/>
      <c r="AX217" s="56"/>
    </row>
    <row r="218">
      <c r="A218" s="55">
        <v>45055.79622982639</v>
      </c>
      <c r="B218" s="56"/>
      <c r="C218" s="57"/>
      <c r="D218" s="57"/>
      <c r="E218" s="57"/>
      <c r="F218" s="57"/>
      <c r="G218" s="58">
        <f>if(A218,_xlfn.workday.intl(int(A218),1,"1000000",Holidays!A:A)+17/24,"")</f>
        <v>45056.70833</v>
      </c>
      <c r="H218" s="59" t="str">
        <f t="shared" si="23"/>
        <v/>
      </c>
      <c r="I218" s="60"/>
      <c r="J218" s="61">
        <f t="shared" si="2"/>
        <v>1077.275577</v>
      </c>
      <c r="K218" s="58">
        <f>if(G218,_xlfn.workday.intl(int(G218),0,"1000000",Holidays!A:A)+19/24,"")</f>
        <v>45056.79167</v>
      </c>
      <c r="L218" s="59" t="str">
        <f t="shared" si="3"/>
        <v/>
      </c>
      <c r="M218" s="60"/>
      <c r="N218" s="61">
        <f t="shared" si="4"/>
        <v>1077.192243</v>
      </c>
      <c r="O218" s="63">
        <f>if(A218,_xlfn.WORKDAY.INTL(A218,O$5,"1000000",Holidays!A:A)+hour(A218)/24+MINUTE(A218)/1440,"")</f>
        <v>45056.79583</v>
      </c>
      <c r="P218" s="64" t="s">
        <v>2718</v>
      </c>
      <c r="R218" s="66">
        <f t="shared" si="5"/>
        <v>1077.188077</v>
      </c>
      <c r="S218" s="66"/>
      <c r="T218" s="66"/>
      <c r="U218" s="64">
        <f>if(O218,_xlfn.WORKDAY.INTL(O218,U$5,"1000000",Holidays!A:A)+hour(O218)/24+MINUTE(O218)/1440,"")</f>
        <v>45057.79583</v>
      </c>
      <c r="V218" s="64" t="str">
        <f t="shared" si="6"/>
        <v/>
      </c>
      <c r="W218" s="66"/>
      <c r="X218" s="66">
        <f t="shared" si="7"/>
        <v>1076.188077</v>
      </c>
      <c r="Y218" s="66"/>
      <c r="Z218" s="66"/>
      <c r="AA218" s="66"/>
      <c r="AB218" s="63"/>
      <c r="AC218" s="63"/>
      <c r="AD218" s="63"/>
      <c r="AE218" s="63"/>
      <c r="AF218" s="63"/>
      <c r="AG218" s="63"/>
      <c r="AH218" s="63" t="str">
        <f t="shared" si="14"/>
        <v/>
      </c>
      <c r="AI218" s="63" t="str">
        <f>if(AH218,_xlfn.workday.intl(int(AH218),0,"1000000",Holidays!A:A)+18/24,"")</f>
        <v/>
      </c>
      <c r="AJ218" s="64" t="str">
        <f t="shared" si="24"/>
        <v/>
      </c>
      <c r="AL218" s="66" t="str">
        <f t="shared" si="9"/>
        <v/>
      </c>
      <c r="AM218" s="66"/>
      <c r="AN218" s="63" t="str">
        <f>if(AJ218,if(and(hour(AJ218+AN$5)&gt;11,(hour(AJ218+AN$5)&lt;20)),AJ218+AN$5,_xlfn.workday.intl(int(AJ218),1,"1000000",Holidays!A:A)+hour(AJ218+AN$5-$B$1)/24+minute(AJ218)/1440),"")</f>
        <v/>
      </c>
      <c r="AO218" s="64" t="str">
        <f t="shared" si="15"/>
        <v/>
      </c>
      <c r="AQ218" s="66" t="str">
        <f t="shared" si="16"/>
        <v/>
      </c>
      <c r="AR218" s="66"/>
      <c r="AS218" s="63" t="str">
        <f>if(AJ218,if(and(hour(AJ218+AS$5)&gt;11,(hour(AJ218+AS$5)&lt;20)),AJ218+AS$5,_xlfn.workday.intl(int(AJ218),1,"1000000",Holidays!A:A)+hour(AJ218+AS$5-$B$1)/24+minute(AJ218)/1440),"")</f>
        <v/>
      </c>
      <c r="AT218" s="64" t="str">
        <f t="shared" si="21"/>
        <v/>
      </c>
      <c r="AV218" s="66" t="str">
        <f t="shared" si="25"/>
        <v/>
      </c>
      <c r="AW218" s="66"/>
      <c r="AX218" s="56"/>
    </row>
    <row r="219">
      <c r="A219" s="55">
        <v>45055.79734971064</v>
      </c>
      <c r="B219" s="56"/>
      <c r="C219" s="57"/>
      <c r="D219" s="57"/>
      <c r="E219" s="57"/>
      <c r="F219" s="57"/>
      <c r="G219" s="58">
        <f>if(A219,_xlfn.workday.intl(int(A219),1,"1000000",Holidays!A:A)+17/24,"")</f>
        <v>45056.70833</v>
      </c>
      <c r="H219" s="59" t="str">
        <f t="shared" si="23"/>
        <v/>
      </c>
      <c r="I219" s="60"/>
      <c r="J219" s="61">
        <f t="shared" si="2"/>
        <v>1077.275577</v>
      </c>
      <c r="K219" s="58">
        <f>if(G219,_xlfn.workday.intl(int(G219),0,"1000000",Holidays!A:A)+19/24,"")</f>
        <v>45056.79167</v>
      </c>
      <c r="L219" s="59" t="str">
        <f t="shared" si="3"/>
        <v/>
      </c>
      <c r="M219" s="60"/>
      <c r="N219" s="61">
        <f t="shared" si="4"/>
        <v>1077.192243</v>
      </c>
      <c r="O219" s="63">
        <f>if(A219,_xlfn.WORKDAY.INTL(A219,O$5,"1000000",Holidays!A:A)+hour(A219)/24+MINUTE(A219)/1440,"")</f>
        <v>45056.79722</v>
      </c>
      <c r="P219" s="64" t="s">
        <v>2718</v>
      </c>
      <c r="R219" s="66">
        <f t="shared" si="5"/>
        <v>1077.186688</v>
      </c>
      <c r="S219" s="66"/>
      <c r="T219" s="66"/>
      <c r="U219" s="64">
        <f>if(O219,_xlfn.WORKDAY.INTL(O219,U$5,"1000000",Holidays!A:A)+hour(O219)/24+MINUTE(O219)/1440,"")</f>
        <v>45057.79722</v>
      </c>
      <c r="V219" s="64" t="str">
        <f t="shared" si="6"/>
        <v/>
      </c>
      <c r="W219" s="66"/>
      <c r="X219" s="66">
        <f t="shared" si="7"/>
        <v>1076.186688</v>
      </c>
      <c r="Y219" s="66"/>
      <c r="Z219" s="66"/>
      <c r="AA219" s="66"/>
      <c r="AB219" s="63"/>
      <c r="AC219" s="63"/>
      <c r="AD219" s="63"/>
      <c r="AE219" s="63"/>
      <c r="AF219" s="63"/>
      <c r="AG219" s="63"/>
      <c r="AH219" s="63" t="str">
        <f t="shared" si="14"/>
        <v/>
      </c>
      <c r="AI219" s="63" t="str">
        <f>if(AH219,_xlfn.workday.intl(int(AH219),0,"1000000",Holidays!A:A)+18/24,"")</f>
        <v/>
      </c>
      <c r="AJ219" s="64" t="str">
        <f t="shared" si="24"/>
        <v/>
      </c>
      <c r="AL219" s="66" t="str">
        <f t="shared" si="9"/>
        <v/>
      </c>
      <c r="AM219" s="66"/>
      <c r="AN219" s="63" t="str">
        <f>if(AJ219,if(and(hour(AJ219+AN$5)&gt;11,(hour(AJ219+AN$5)&lt;20)),AJ219+AN$5,_xlfn.workday.intl(int(AJ219),1,"1000000",Holidays!A:A)+hour(AJ219+AN$5-$B$1)/24+minute(AJ219)/1440),"")</f>
        <v/>
      </c>
      <c r="AO219" s="64" t="str">
        <f t="shared" si="15"/>
        <v/>
      </c>
      <c r="AQ219" s="66" t="str">
        <f t="shared" si="16"/>
        <v/>
      </c>
      <c r="AR219" s="66"/>
      <c r="AS219" s="63" t="str">
        <f>if(AJ219,if(and(hour(AJ219+AS$5)&gt;11,(hour(AJ219+AS$5)&lt;20)),AJ219+AS$5,_xlfn.workday.intl(int(AJ219),1,"1000000",Holidays!A:A)+hour(AJ219+AS$5-$B$1)/24+minute(AJ219)/1440),"")</f>
        <v/>
      </c>
      <c r="AT219" s="64" t="str">
        <f t="shared" si="21"/>
        <v/>
      </c>
      <c r="AV219" s="66" t="str">
        <f t="shared" si="25"/>
        <v/>
      </c>
      <c r="AW219" s="66"/>
      <c r="AX219" s="56"/>
    </row>
    <row r="220">
      <c r="A220" s="55">
        <v>45055.79888040509</v>
      </c>
      <c r="B220" s="56"/>
      <c r="C220" s="57"/>
      <c r="D220" s="57"/>
      <c r="E220" s="57"/>
      <c r="F220" s="57"/>
      <c r="G220" s="58">
        <f>if(A220,_xlfn.workday.intl(int(A220),1,"1000000",Holidays!A:A)+17/24,"")</f>
        <v>45056.70833</v>
      </c>
      <c r="H220" s="59" t="str">
        <f t="shared" si="23"/>
        <v/>
      </c>
      <c r="I220" s="60"/>
      <c r="J220" s="61">
        <f t="shared" si="2"/>
        <v>1077.275577</v>
      </c>
      <c r="K220" s="58">
        <f>if(G220,_xlfn.workday.intl(int(G220),0,"1000000",Holidays!A:A)+19/24,"")</f>
        <v>45056.79167</v>
      </c>
      <c r="L220" s="59" t="str">
        <f t="shared" si="3"/>
        <v/>
      </c>
      <c r="M220" s="60"/>
      <c r="N220" s="61">
        <f t="shared" si="4"/>
        <v>1077.192243</v>
      </c>
      <c r="O220" s="63">
        <f>if(A220,_xlfn.WORKDAY.INTL(A220,O$5,"1000000",Holidays!A:A)+hour(A220)/24+MINUTE(A220)/1440,"")</f>
        <v>45056.79861</v>
      </c>
      <c r="P220" s="64" t="s">
        <v>2718</v>
      </c>
      <c r="R220" s="66">
        <f t="shared" si="5"/>
        <v>1077.185299</v>
      </c>
      <c r="S220" s="66"/>
      <c r="T220" s="66"/>
      <c r="U220" s="64">
        <f>if(O220,_xlfn.WORKDAY.INTL(O220,U$5,"1000000",Holidays!A:A)+hour(O220)/24+MINUTE(O220)/1440,"")</f>
        <v>45057.79861</v>
      </c>
      <c r="V220" s="64" t="str">
        <f t="shared" si="6"/>
        <v/>
      </c>
      <c r="W220" s="66"/>
      <c r="X220" s="66">
        <f t="shared" si="7"/>
        <v>1076.185299</v>
      </c>
      <c r="Y220" s="66"/>
      <c r="Z220" s="66"/>
      <c r="AA220" s="66"/>
      <c r="AB220" s="63"/>
      <c r="AC220" s="63"/>
      <c r="AD220" s="63"/>
      <c r="AE220" s="63"/>
      <c r="AF220" s="63"/>
      <c r="AG220" s="63"/>
      <c r="AH220" s="63" t="str">
        <f t="shared" si="14"/>
        <v/>
      </c>
      <c r="AI220" s="63" t="str">
        <f>if(AH220,_xlfn.workday.intl(int(AH220),0,"1000000",Holidays!A:A)+18/24,"")</f>
        <v/>
      </c>
      <c r="AJ220" s="64" t="str">
        <f t="shared" si="24"/>
        <v/>
      </c>
      <c r="AL220" s="66" t="str">
        <f t="shared" si="9"/>
        <v/>
      </c>
      <c r="AM220" s="66"/>
      <c r="AN220" s="63" t="str">
        <f>if(AJ220,if(and(hour(AJ220+AN$5)&gt;11,(hour(AJ220+AN$5)&lt;20)),AJ220+AN$5,_xlfn.workday.intl(int(AJ220),1,"1000000",Holidays!A:A)+hour(AJ220+AN$5-$B$1)/24+minute(AJ220)/1440),"")</f>
        <v/>
      </c>
      <c r="AO220" s="64" t="str">
        <f t="shared" si="15"/>
        <v/>
      </c>
      <c r="AQ220" s="66" t="str">
        <f t="shared" si="16"/>
        <v/>
      </c>
      <c r="AR220" s="66"/>
      <c r="AS220" s="63" t="str">
        <f>if(AJ220,if(and(hour(AJ220+AS$5)&gt;11,(hour(AJ220+AS$5)&lt;20)),AJ220+AS$5,_xlfn.workday.intl(int(AJ220),1,"1000000",Holidays!A:A)+hour(AJ220+AS$5-$B$1)/24+minute(AJ220)/1440),"")</f>
        <v/>
      </c>
      <c r="AT220" s="64" t="str">
        <f t="shared" si="21"/>
        <v/>
      </c>
      <c r="AV220" s="66" t="str">
        <f t="shared" si="25"/>
        <v/>
      </c>
      <c r="AW220" s="66"/>
      <c r="AX220" s="56"/>
    </row>
    <row r="221">
      <c r="A221" s="55">
        <v>45056.50937980324</v>
      </c>
      <c r="B221" s="56"/>
      <c r="C221" s="57"/>
      <c r="D221" s="57"/>
      <c r="E221" s="57"/>
      <c r="F221" s="57"/>
      <c r="G221" s="58">
        <f>if(A221,_xlfn.workday.intl(int(A221),1,"1000000",Holidays!A:A)+17/24,"")</f>
        <v>45057.70833</v>
      </c>
      <c r="H221" s="59" t="str">
        <f t="shared" si="23"/>
        <v/>
      </c>
      <c r="I221" s="60"/>
      <c r="J221" s="61">
        <f t="shared" si="2"/>
        <v>1076.275577</v>
      </c>
      <c r="K221" s="58">
        <f>if(G221,_xlfn.workday.intl(int(G221),0,"1000000",Holidays!A:A)+19/24,"")</f>
        <v>45057.79167</v>
      </c>
      <c r="L221" s="59" t="str">
        <f t="shared" si="3"/>
        <v/>
      </c>
      <c r="M221" s="60"/>
      <c r="N221" s="61">
        <f t="shared" si="4"/>
        <v>1076.192243</v>
      </c>
      <c r="O221" s="63">
        <f>if(A221,_xlfn.WORKDAY.INTL(A221,O$5,"1000000",Holidays!A:A)+hour(A221)/24+MINUTE(A221)/1440,"")</f>
        <v>45057.50903</v>
      </c>
      <c r="P221" s="64" t="s">
        <v>2718</v>
      </c>
      <c r="R221" s="66">
        <f t="shared" si="5"/>
        <v>1076.474882</v>
      </c>
      <c r="S221" s="66"/>
      <c r="T221" s="66"/>
      <c r="U221" s="64">
        <f>if(O221,_xlfn.WORKDAY.INTL(O221,U$5,"1000000",Holidays!A:A)+hour(O221)/24+MINUTE(O221)/1440,"")</f>
        <v>45058.50903</v>
      </c>
      <c r="V221" s="64" t="str">
        <f t="shared" si="6"/>
        <v/>
      </c>
      <c r="W221" s="66"/>
      <c r="X221" s="66">
        <f t="shared" si="7"/>
        <v>1075.474882</v>
      </c>
      <c r="Y221" s="66"/>
      <c r="Z221" s="66"/>
      <c r="AA221" s="66"/>
      <c r="AB221" s="63"/>
      <c r="AC221" s="63"/>
      <c r="AD221" s="63"/>
      <c r="AE221" s="63"/>
      <c r="AF221" s="63"/>
      <c r="AG221" s="63"/>
      <c r="AH221" s="63" t="str">
        <f t="shared" si="14"/>
        <v/>
      </c>
      <c r="AI221" s="63" t="str">
        <f>if(AH221,_xlfn.workday.intl(int(AH221),0,"1000000",Holidays!A:A)+18/24,"")</f>
        <v/>
      </c>
      <c r="AJ221" s="64" t="str">
        <f t="shared" si="24"/>
        <v/>
      </c>
      <c r="AL221" s="66" t="str">
        <f t="shared" si="9"/>
        <v/>
      </c>
      <c r="AM221" s="66"/>
      <c r="AN221" s="63" t="str">
        <f>if(AJ221,if(and(hour(AJ221+AN$5)&gt;11,(hour(AJ221+AN$5)&lt;20)),AJ221+AN$5,_xlfn.workday.intl(int(AJ221),1,"1000000",Holidays!A:A)+hour(AJ221+AN$5-$B$1)/24+minute(AJ221)/1440),"")</f>
        <v/>
      </c>
      <c r="AO221" s="64" t="str">
        <f t="shared" si="15"/>
        <v/>
      </c>
      <c r="AQ221" s="66" t="str">
        <f t="shared" si="16"/>
        <v/>
      </c>
      <c r="AR221" s="66"/>
      <c r="AS221" s="63" t="str">
        <f>if(AJ221,if(and(hour(AJ221+AS$5)&gt;11,(hour(AJ221+AS$5)&lt;20)),AJ221+AS$5,_xlfn.workday.intl(int(AJ221),1,"1000000",Holidays!A:A)+hour(AJ221+AS$5-$B$1)/24+minute(AJ221)/1440),"")</f>
        <v/>
      </c>
      <c r="AT221" s="64" t="str">
        <f t="shared" si="21"/>
        <v/>
      </c>
      <c r="AV221" s="66" t="str">
        <f t="shared" si="25"/>
        <v/>
      </c>
      <c r="AW221" s="66"/>
      <c r="AX221" s="56"/>
    </row>
    <row r="222">
      <c r="A222" s="55">
        <v>45058.53826450232</v>
      </c>
      <c r="B222" s="56"/>
      <c r="C222" s="57"/>
      <c r="D222" s="57"/>
      <c r="E222" s="57"/>
      <c r="F222" s="57"/>
      <c r="G222" s="58">
        <f>if(A222,_xlfn.workday.intl(int(A222),1,"1000000",Holidays!A:A)+17/24,"")</f>
        <v>45059.70833</v>
      </c>
      <c r="H222" s="59" t="str">
        <f t="shared" si="23"/>
        <v/>
      </c>
      <c r="I222" s="60"/>
      <c r="J222" s="61">
        <f t="shared" si="2"/>
        <v>1074.275577</v>
      </c>
      <c r="K222" s="58">
        <f>if(G222,_xlfn.workday.intl(int(G222),0,"1000000",Holidays!A:A)+19/24,"")</f>
        <v>45059.79167</v>
      </c>
      <c r="L222" s="59" t="str">
        <f t="shared" si="3"/>
        <v/>
      </c>
      <c r="M222" s="60"/>
      <c r="N222" s="61">
        <f t="shared" si="4"/>
        <v>1074.192243</v>
      </c>
      <c r="O222" s="63">
        <f>if(A222,_xlfn.WORKDAY.INTL(A222,O$5,"1000000",Holidays!A:A)+hour(A222)/24+MINUTE(A222)/1440,"")</f>
        <v>45059.53819</v>
      </c>
      <c r="P222" s="64" t="s">
        <v>2718</v>
      </c>
      <c r="R222" s="66">
        <f t="shared" si="5"/>
        <v>1074.445715</v>
      </c>
      <c r="S222" s="66"/>
      <c r="T222" s="66"/>
      <c r="U222" s="64">
        <f>if(O222,_xlfn.WORKDAY.INTL(O222,U$5,"1000000",Holidays!A:A)+hour(O222)/24+MINUTE(O222)/1440,"")</f>
        <v>45060.53819</v>
      </c>
      <c r="V222" s="64" t="str">
        <f t="shared" si="6"/>
        <v/>
      </c>
      <c r="W222" s="66"/>
      <c r="X222" s="66">
        <f t="shared" si="7"/>
        <v>1073.445715</v>
      </c>
      <c r="Y222" s="66"/>
      <c r="Z222" s="66"/>
      <c r="AA222" s="66"/>
      <c r="AB222" s="63"/>
      <c r="AC222" s="63"/>
      <c r="AD222" s="63"/>
      <c r="AE222" s="63"/>
      <c r="AF222" s="63"/>
      <c r="AG222" s="63"/>
      <c r="AH222" s="63" t="str">
        <f t="shared" si="14"/>
        <v/>
      </c>
      <c r="AI222" s="63" t="str">
        <f>if(AH222,_xlfn.workday.intl(int(AH222),0,"1000000",Holidays!A:A)+18/24,"")</f>
        <v/>
      </c>
      <c r="AJ222" s="64" t="str">
        <f t="shared" si="24"/>
        <v/>
      </c>
      <c r="AL222" s="66" t="str">
        <f t="shared" si="9"/>
        <v/>
      </c>
      <c r="AM222" s="66"/>
      <c r="AN222" s="63" t="str">
        <f>if(AJ222,if(and(hour(AJ222+AN$5)&gt;11,(hour(AJ222+AN$5)&lt;20)),AJ222+AN$5,_xlfn.workday.intl(int(AJ222),1,"1000000",Holidays!A:A)+hour(AJ222+AN$5-$B$1)/24+minute(AJ222)/1440),"")</f>
        <v/>
      </c>
      <c r="AO222" s="64" t="str">
        <f t="shared" si="15"/>
        <v/>
      </c>
      <c r="AQ222" s="66" t="str">
        <f t="shared" si="16"/>
        <v/>
      </c>
      <c r="AR222" s="66"/>
      <c r="AS222" s="63" t="str">
        <f>if(AJ222,if(and(hour(AJ222+AS$5)&gt;11,(hour(AJ222+AS$5)&lt;20)),AJ222+AS$5,_xlfn.workday.intl(int(AJ222),1,"1000000",Holidays!A:A)+hour(AJ222+AS$5-$B$1)/24+minute(AJ222)/1440),"")</f>
        <v/>
      </c>
      <c r="AT222" s="64" t="str">
        <f t="shared" si="21"/>
        <v/>
      </c>
      <c r="AV222" s="66" t="str">
        <f t="shared" si="25"/>
        <v/>
      </c>
      <c r="AW222" s="66"/>
      <c r="AX222" s="56"/>
    </row>
    <row r="223">
      <c r="A223" s="55">
        <v>45060.805926030094</v>
      </c>
      <c r="B223" s="56"/>
      <c r="C223" s="57"/>
      <c r="D223" s="57"/>
      <c r="E223" s="57"/>
      <c r="F223" s="57"/>
      <c r="G223" s="58">
        <f>if(A223,_xlfn.workday.intl(int(A223),1,"1000000",Holidays!A:A)+17/24,"")</f>
        <v>45062.70833</v>
      </c>
      <c r="H223" s="59" t="str">
        <f t="shared" si="23"/>
        <v/>
      </c>
      <c r="I223" s="60"/>
      <c r="J223" s="61">
        <f t="shared" si="2"/>
        <v>1071.275577</v>
      </c>
      <c r="K223" s="58">
        <f>if(G223,_xlfn.workday.intl(int(G223),0,"1000000",Holidays!A:A)+19/24,"")</f>
        <v>45062.79167</v>
      </c>
      <c r="L223" s="59" t="str">
        <f t="shared" si="3"/>
        <v/>
      </c>
      <c r="M223" s="60"/>
      <c r="N223" s="61">
        <f t="shared" si="4"/>
        <v>1071.192243</v>
      </c>
      <c r="O223" s="63">
        <f>if(A223,_xlfn.WORKDAY.INTL(A223,O$5,"1000000",Holidays!A:A)+hour(A223)/24+MINUTE(A223)/1440,"")</f>
        <v>45062.80556</v>
      </c>
      <c r="P223" s="64" t="s">
        <v>2718</v>
      </c>
      <c r="R223" s="66">
        <f t="shared" si="5"/>
        <v>1071.178354</v>
      </c>
      <c r="S223" s="66"/>
      <c r="T223" s="66"/>
      <c r="U223" s="64">
        <f>if(O223,_xlfn.WORKDAY.INTL(O223,U$5,"1000000",Holidays!A:A)+hour(O223)/24+MINUTE(O223)/1440,"")</f>
        <v>45063.80556</v>
      </c>
      <c r="V223" s="64" t="str">
        <f t="shared" si="6"/>
        <v/>
      </c>
      <c r="W223" s="66"/>
      <c r="X223" s="66">
        <f t="shared" si="7"/>
        <v>1070.178354</v>
      </c>
      <c r="Y223" s="66"/>
      <c r="Z223" s="66"/>
      <c r="AA223" s="66"/>
      <c r="AB223" s="63"/>
      <c r="AC223" s="63"/>
      <c r="AD223" s="63"/>
      <c r="AE223" s="63"/>
      <c r="AF223" s="63"/>
      <c r="AG223" s="63"/>
      <c r="AH223" s="63" t="str">
        <f t="shared" si="14"/>
        <v/>
      </c>
      <c r="AI223" s="63" t="str">
        <f>if(AH223,_xlfn.workday.intl(int(AH223),0,"1000000",Holidays!A:A)+18/24,"")</f>
        <v/>
      </c>
      <c r="AJ223" s="64" t="str">
        <f t="shared" si="24"/>
        <v/>
      </c>
      <c r="AL223" s="66" t="str">
        <f t="shared" si="9"/>
        <v/>
      </c>
      <c r="AM223" s="66"/>
      <c r="AN223" s="63" t="str">
        <f>if(AJ223,if(and(hour(AJ223+AN$5)&gt;11,(hour(AJ223+AN$5)&lt;20)),AJ223+AN$5,_xlfn.workday.intl(int(AJ223),1,"1000000",Holidays!A:A)+hour(AJ223+AN$5-$B$1)/24+minute(AJ223)/1440),"")</f>
        <v/>
      </c>
      <c r="AO223" s="64" t="str">
        <f t="shared" si="15"/>
        <v/>
      </c>
      <c r="AQ223" s="66" t="str">
        <f t="shared" si="16"/>
        <v/>
      </c>
      <c r="AR223" s="66"/>
      <c r="AS223" s="63" t="str">
        <f>if(AJ223,if(and(hour(AJ223+AS$5)&gt;11,(hour(AJ223+AS$5)&lt;20)),AJ223+AS$5,_xlfn.workday.intl(int(AJ223),1,"1000000",Holidays!A:A)+hour(AJ223+AS$5-$B$1)/24+minute(AJ223)/1440),"")</f>
        <v/>
      </c>
      <c r="AT223" s="64" t="str">
        <f t="shared" si="21"/>
        <v/>
      </c>
      <c r="AV223" s="66" t="str">
        <f t="shared" si="25"/>
        <v/>
      </c>
      <c r="AW223" s="66"/>
      <c r="AX223" s="56"/>
    </row>
    <row r="224">
      <c r="A224" s="55">
        <v>45063.585097256946</v>
      </c>
      <c r="B224" s="56"/>
      <c r="C224" s="57"/>
      <c r="D224" s="57"/>
      <c r="E224" s="57"/>
      <c r="F224" s="57"/>
      <c r="G224" s="58">
        <f>if(A224,_xlfn.workday.intl(int(A224),1,"1000000",Holidays!A:A)+17/24,"")</f>
        <v>45064.70833</v>
      </c>
      <c r="H224" s="59" t="str">
        <f t="shared" si="23"/>
        <v/>
      </c>
      <c r="I224" s="60"/>
      <c r="J224" s="61">
        <f t="shared" si="2"/>
        <v>1069.275577</v>
      </c>
      <c r="K224" s="58">
        <f>if(G224,_xlfn.workday.intl(int(G224),0,"1000000",Holidays!A:A)+19/24,"")</f>
        <v>45064.79167</v>
      </c>
      <c r="L224" s="59" t="str">
        <f t="shared" si="3"/>
        <v/>
      </c>
      <c r="M224" s="60"/>
      <c r="N224" s="61">
        <f t="shared" si="4"/>
        <v>1069.192243</v>
      </c>
      <c r="O224" s="63">
        <f>if(A224,_xlfn.WORKDAY.INTL(A224,O$5,"1000000",Holidays!A:A)+hour(A224)/24+MINUTE(A224)/1440,"")</f>
        <v>45064.58472</v>
      </c>
      <c r="P224" s="64" t="s">
        <v>2718</v>
      </c>
      <c r="R224" s="66">
        <f t="shared" si="5"/>
        <v>1069.399188</v>
      </c>
      <c r="S224" s="66"/>
      <c r="T224" s="66"/>
      <c r="U224" s="64">
        <f>if(O224,_xlfn.WORKDAY.INTL(O224,U$5,"1000000",Holidays!A:A)+hour(O224)/24+MINUTE(O224)/1440,"")</f>
        <v>45065.58472</v>
      </c>
      <c r="V224" s="64" t="str">
        <f t="shared" si="6"/>
        <v/>
      </c>
      <c r="W224" s="66"/>
      <c r="X224" s="66">
        <f t="shared" si="7"/>
        <v>1068.399188</v>
      </c>
      <c r="Y224" s="66"/>
      <c r="Z224" s="66"/>
      <c r="AA224" s="66"/>
      <c r="AB224" s="63"/>
      <c r="AC224" s="63"/>
      <c r="AD224" s="63"/>
      <c r="AE224" s="63"/>
      <c r="AF224" s="63"/>
      <c r="AG224" s="63"/>
      <c r="AH224" s="63" t="str">
        <f t="shared" si="14"/>
        <v/>
      </c>
      <c r="AI224" s="63" t="str">
        <f>if(AH224,_xlfn.workday.intl(int(AH224),0,"1000000",Holidays!A:A)+18/24,"")</f>
        <v/>
      </c>
      <c r="AJ224" s="64" t="str">
        <f t="shared" si="24"/>
        <v/>
      </c>
      <c r="AL224" s="66" t="str">
        <f t="shared" si="9"/>
        <v/>
      </c>
      <c r="AM224" s="66"/>
      <c r="AN224" s="63" t="str">
        <f>if(AJ224,if(and(hour(AJ224+AN$5)&gt;11,(hour(AJ224+AN$5)&lt;20)),AJ224+AN$5,_xlfn.workday.intl(int(AJ224),1,"1000000",Holidays!A:A)+hour(AJ224+AN$5-$B$1)/24+minute(AJ224)/1440),"")</f>
        <v/>
      </c>
      <c r="AO224" s="64" t="str">
        <f t="shared" si="15"/>
        <v/>
      </c>
      <c r="AQ224" s="66" t="str">
        <f t="shared" si="16"/>
        <v/>
      </c>
      <c r="AR224" s="66"/>
      <c r="AS224" s="63" t="str">
        <f>if(AJ224,if(and(hour(AJ224+AS$5)&gt;11,(hour(AJ224+AS$5)&lt;20)),AJ224+AS$5,_xlfn.workday.intl(int(AJ224),1,"1000000",Holidays!A:A)+hour(AJ224+AS$5-$B$1)/24+minute(AJ224)/1440),"")</f>
        <v/>
      </c>
      <c r="AT224" s="64" t="str">
        <f t="shared" si="21"/>
        <v/>
      </c>
      <c r="AV224" s="66" t="str">
        <f t="shared" si="25"/>
        <v/>
      </c>
      <c r="AW224" s="66"/>
      <c r="AX224" s="56"/>
    </row>
    <row r="225">
      <c r="A225" s="55">
        <v>45064.671935555554</v>
      </c>
      <c r="B225" s="56"/>
      <c r="C225" s="57"/>
      <c r="D225" s="57"/>
      <c r="E225" s="57"/>
      <c r="F225" s="57"/>
      <c r="G225" s="58">
        <f>if(A225,_xlfn.workday.intl(int(A225),1,"1000000",Holidays!A:A)+17/24,"")</f>
        <v>45065.70833</v>
      </c>
      <c r="H225" s="59" t="str">
        <f t="shared" si="23"/>
        <v/>
      </c>
      <c r="I225" s="60"/>
      <c r="J225" s="61">
        <f t="shared" si="2"/>
        <v>1068.275577</v>
      </c>
      <c r="K225" s="58">
        <f>if(G225,_xlfn.workday.intl(int(G225),0,"1000000",Holidays!A:A)+19/24,"")</f>
        <v>45065.79167</v>
      </c>
      <c r="L225" s="59" t="str">
        <f t="shared" si="3"/>
        <v/>
      </c>
      <c r="M225" s="60"/>
      <c r="N225" s="61">
        <f t="shared" si="4"/>
        <v>1068.192243</v>
      </c>
      <c r="O225" s="63">
        <f>if(A225,_xlfn.WORKDAY.INTL(A225,O$5,"1000000",Holidays!A:A)+hour(A225)/24+MINUTE(A225)/1440,"")</f>
        <v>45065.67153</v>
      </c>
      <c r="P225" s="64" t="s">
        <v>2718</v>
      </c>
      <c r="R225" s="66">
        <f t="shared" si="5"/>
        <v>1068.312382</v>
      </c>
      <c r="S225" s="66"/>
      <c r="T225" s="66"/>
      <c r="U225" s="64">
        <f>if(O225,_xlfn.WORKDAY.INTL(O225,U$5,"1000000",Holidays!A:A)+hour(O225)/24+MINUTE(O225)/1440,"")</f>
        <v>45066.67153</v>
      </c>
      <c r="V225" s="64" t="str">
        <f t="shared" si="6"/>
        <v/>
      </c>
      <c r="W225" s="66"/>
      <c r="X225" s="66">
        <f t="shared" si="7"/>
        <v>1067.312382</v>
      </c>
      <c r="Y225" s="66"/>
      <c r="Z225" s="66"/>
      <c r="AA225" s="66"/>
      <c r="AB225" s="63"/>
      <c r="AC225" s="63"/>
      <c r="AD225" s="63"/>
      <c r="AE225" s="63"/>
      <c r="AF225" s="63"/>
      <c r="AG225" s="63"/>
      <c r="AH225" s="63" t="str">
        <f t="shared" si="14"/>
        <v/>
      </c>
      <c r="AI225" s="63" t="str">
        <f>if(AH225,_xlfn.workday.intl(int(AH225),0,"1000000",Holidays!A:A)+18/24,"")</f>
        <v/>
      </c>
      <c r="AJ225" s="64" t="str">
        <f t="shared" si="24"/>
        <v/>
      </c>
      <c r="AL225" s="66" t="str">
        <f t="shared" si="9"/>
        <v/>
      </c>
      <c r="AM225" s="66"/>
      <c r="AN225" s="63" t="str">
        <f>if(AJ225,if(and(hour(AJ225+AN$5)&gt;11,(hour(AJ225+AN$5)&lt;20)),AJ225+AN$5,_xlfn.workday.intl(int(AJ225),1,"1000000",Holidays!A:A)+hour(AJ225+AN$5-$B$1)/24+minute(AJ225)/1440),"")</f>
        <v/>
      </c>
      <c r="AO225" s="64" t="str">
        <f t="shared" si="15"/>
        <v/>
      </c>
      <c r="AQ225" s="66" t="str">
        <f t="shared" si="16"/>
        <v/>
      </c>
      <c r="AR225" s="66"/>
      <c r="AS225" s="63" t="str">
        <f>if(AJ225,if(and(hour(AJ225+AS$5)&gt;11,(hour(AJ225+AS$5)&lt;20)),AJ225+AS$5,_xlfn.workday.intl(int(AJ225),1,"1000000",Holidays!A:A)+hour(AJ225+AS$5-$B$1)/24+minute(AJ225)/1440),"")</f>
        <v/>
      </c>
      <c r="AT225" s="64" t="str">
        <f t="shared" si="21"/>
        <v/>
      </c>
      <c r="AV225" s="66" t="str">
        <f t="shared" si="25"/>
        <v/>
      </c>
      <c r="AW225" s="66"/>
      <c r="AX225" s="56"/>
    </row>
    <row r="226">
      <c r="A226" s="55">
        <v>45066.55505927083</v>
      </c>
      <c r="B226" s="56"/>
      <c r="C226" s="57"/>
      <c r="D226" s="57"/>
      <c r="E226" s="57"/>
      <c r="F226" s="57"/>
      <c r="G226" s="58">
        <f>if(A226,_xlfn.workday.intl(int(A226),1,"1000000",Holidays!A:A)+17/24,"")</f>
        <v>45067.70833</v>
      </c>
      <c r="H226" s="59" t="str">
        <f t="shared" si="23"/>
        <v/>
      </c>
      <c r="I226" s="60"/>
      <c r="J226" s="61">
        <f t="shared" si="2"/>
        <v>1066.275577</v>
      </c>
      <c r="K226" s="58">
        <f>if(G226,_xlfn.workday.intl(int(G226),0,"1000000",Holidays!A:A)+19/24,"")</f>
        <v>45067.79167</v>
      </c>
      <c r="L226" s="59" t="str">
        <f t="shared" si="3"/>
        <v/>
      </c>
      <c r="M226" s="60"/>
      <c r="N226" s="61">
        <f t="shared" si="4"/>
        <v>1066.192243</v>
      </c>
      <c r="O226" s="63">
        <f>if(A226,_xlfn.WORKDAY.INTL(A226,O$5,"1000000",Holidays!A:A)+hour(A226)/24+MINUTE(A226)/1440,"")</f>
        <v>45067.55486</v>
      </c>
      <c r="P226" s="64" t="s">
        <v>2718</v>
      </c>
      <c r="R226" s="66">
        <f t="shared" si="5"/>
        <v>1066.429049</v>
      </c>
      <c r="S226" s="66"/>
      <c r="T226" s="66"/>
      <c r="U226" s="64">
        <f>if(O226,_xlfn.WORKDAY.INTL(O226,U$5,"1000000",Holidays!A:A)+hour(O226)/24+MINUTE(O226)/1440,"")</f>
        <v>45069.55486</v>
      </c>
      <c r="V226" s="64" t="str">
        <f t="shared" si="6"/>
        <v/>
      </c>
      <c r="W226" s="66"/>
      <c r="X226" s="66">
        <f t="shared" si="7"/>
        <v>1064.429049</v>
      </c>
      <c r="Y226" s="66"/>
      <c r="Z226" s="66"/>
      <c r="AA226" s="66"/>
      <c r="AB226" s="63"/>
      <c r="AC226" s="63"/>
      <c r="AD226" s="63"/>
      <c r="AE226" s="63"/>
      <c r="AF226" s="63"/>
      <c r="AG226" s="63"/>
      <c r="AH226" s="63" t="str">
        <f t="shared" si="14"/>
        <v/>
      </c>
      <c r="AI226" s="63" t="str">
        <f>if(AH226,_xlfn.workday.intl(int(AH226),0,"1000000",Holidays!A:A)+18/24,"")</f>
        <v/>
      </c>
      <c r="AJ226" s="64" t="str">
        <f t="shared" si="24"/>
        <v/>
      </c>
      <c r="AL226" s="66" t="str">
        <f t="shared" si="9"/>
        <v/>
      </c>
      <c r="AM226" s="66"/>
      <c r="AN226" s="63" t="str">
        <f>if(AJ226,if(and(hour(AJ226+AN$5)&gt;11,(hour(AJ226+AN$5)&lt;20)),AJ226+AN$5,_xlfn.workday.intl(int(AJ226),1,"1000000",Holidays!A:A)+hour(AJ226+AN$5-$B$1)/24+minute(AJ226)/1440),"")</f>
        <v/>
      </c>
      <c r="AO226" s="64" t="str">
        <f t="shared" si="15"/>
        <v/>
      </c>
      <c r="AQ226" s="66" t="str">
        <f t="shared" si="16"/>
        <v/>
      </c>
      <c r="AR226" s="66"/>
      <c r="AS226" s="63" t="str">
        <f>if(AJ226,if(and(hour(AJ226+AS$5)&gt;11,(hour(AJ226+AS$5)&lt;20)),AJ226+AS$5,_xlfn.workday.intl(int(AJ226),1,"1000000",Holidays!A:A)+hour(AJ226+AS$5-$B$1)/24+minute(AJ226)/1440),"")</f>
        <v/>
      </c>
      <c r="AT226" s="64" t="str">
        <f t="shared" si="21"/>
        <v/>
      </c>
      <c r="AV226" s="66" t="str">
        <f t="shared" si="25"/>
        <v/>
      </c>
      <c r="AW226" s="66"/>
      <c r="AX226" s="56"/>
    </row>
    <row r="227">
      <c r="A227" s="55">
        <v>45066.578293425926</v>
      </c>
      <c r="B227" s="56"/>
      <c r="C227" s="57"/>
      <c r="D227" s="57"/>
      <c r="E227" s="57"/>
      <c r="F227" s="57"/>
      <c r="G227" s="58">
        <f>if(A227,_xlfn.workday.intl(int(A227),1,"1000000",Holidays!A:A)+17/24,"")</f>
        <v>45067.70833</v>
      </c>
      <c r="H227" s="59" t="str">
        <f t="shared" si="23"/>
        <v/>
      </c>
      <c r="I227" s="60"/>
      <c r="J227" s="61">
        <f t="shared" si="2"/>
        <v>1066.275577</v>
      </c>
      <c r="K227" s="58">
        <f>if(G227,_xlfn.workday.intl(int(G227),0,"1000000",Holidays!A:A)+19/24,"")</f>
        <v>45067.79167</v>
      </c>
      <c r="L227" s="59" t="str">
        <f t="shared" si="3"/>
        <v/>
      </c>
      <c r="M227" s="60"/>
      <c r="N227" s="61">
        <f t="shared" si="4"/>
        <v>1066.192243</v>
      </c>
      <c r="O227" s="63">
        <f>if(A227,_xlfn.WORKDAY.INTL(A227,O$5,"1000000",Holidays!A:A)+hour(A227)/24+MINUTE(A227)/1440,"")</f>
        <v>45067.57778</v>
      </c>
      <c r="P227" s="64" t="s">
        <v>2718</v>
      </c>
      <c r="R227" s="66">
        <f t="shared" si="5"/>
        <v>1066.406132</v>
      </c>
      <c r="S227" s="66"/>
      <c r="T227" s="66"/>
      <c r="U227" s="64">
        <f>if(O227,_xlfn.WORKDAY.INTL(O227,U$5,"1000000",Holidays!A:A)+hour(O227)/24+MINUTE(O227)/1440,"")</f>
        <v>45069.57778</v>
      </c>
      <c r="V227" s="64" t="str">
        <f t="shared" si="6"/>
        <v/>
      </c>
      <c r="W227" s="66"/>
      <c r="X227" s="66">
        <f t="shared" si="7"/>
        <v>1064.406132</v>
      </c>
      <c r="Y227" s="66"/>
      <c r="Z227" s="66"/>
      <c r="AA227" s="66"/>
      <c r="AB227" s="63"/>
      <c r="AC227" s="63"/>
      <c r="AD227" s="63"/>
      <c r="AE227" s="63"/>
      <c r="AF227" s="63"/>
      <c r="AG227" s="63"/>
      <c r="AH227" s="63" t="str">
        <f t="shared" si="14"/>
        <v/>
      </c>
      <c r="AI227" s="63" t="str">
        <f>if(AH227,_xlfn.workday.intl(int(AH227),0,"1000000",Holidays!A:A)+18/24,"")</f>
        <v/>
      </c>
      <c r="AJ227" s="64" t="str">
        <f t="shared" si="24"/>
        <v/>
      </c>
      <c r="AL227" s="66" t="str">
        <f t="shared" si="9"/>
        <v/>
      </c>
      <c r="AM227" s="66"/>
      <c r="AN227" s="63" t="str">
        <f>if(AJ227,if(and(hour(AJ227+AN$5)&gt;11,(hour(AJ227+AN$5)&lt;20)),AJ227+AN$5,_xlfn.workday.intl(int(AJ227),1,"1000000",Holidays!A:A)+hour(AJ227+AN$5-$B$1)/24+minute(AJ227)/1440),"")</f>
        <v/>
      </c>
      <c r="AO227" s="64" t="str">
        <f t="shared" si="15"/>
        <v/>
      </c>
      <c r="AQ227" s="66" t="str">
        <f t="shared" si="16"/>
        <v/>
      </c>
      <c r="AR227" s="66"/>
      <c r="AS227" s="63" t="str">
        <f>if(AJ227,if(and(hour(AJ227+AS$5)&gt;11,(hour(AJ227+AS$5)&lt;20)),AJ227+AS$5,_xlfn.workday.intl(int(AJ227),1,"1000000",Holidays!A:A)+hour(AJ227+AS$5-$B$1)/24+minute(AJ227)/1440),"")</f>
        <v/>
      </c>
      <c r="AT227" s="64" t="str">
        <f t="shared" si="21"/>
        <v/>
      </c>
      <c r="AV227" s="66" t="str">
        <f t="shared" si="25"/>
        <v/>
      </c>
      <c r="AW227" s="66"/>
      <c r="AX227" s="56"/>
    </row>
    <row r="228">
      <c r="A228" s="55">
        <v>45067.61971796297</v>
      </c>
      <c r="B228" s="56"/>
      <c r="C228" s="57"/>
      <c r="D228" s="57"/>
      <c r="E228" s="57"/>
      <c r="F228" s="57"/>
      <c r="G228" s="58">
        <f>if(A228,_xlfn.workday.intl(int(A228),1,"1000000",Holidays!A:A)+17/24,"")</f>
        <v>45069.70833</v>
      </c>
      <c r="H228" s="59" t="str">
        <f t="shared" si="23"/>
        <v/>
      </c>
      <c r="I228" s="60"/>
      <c r="J228" s="61">
        <f t="shared" si="2"/>
        <v>1064.275577</v>
      </c>
      <c r="K228" s="58">
        <f>if(G228,_xlfn.workday.intl(int(G228),0,"1000000",Holidays!A:A)+19/24,"")</f>
        <v>45069.79167</v>
      </c>
      <c r="L228" s="59" t="str">
        <f t="shared" si="3"/>
        <v/>
      </c>
      <c r="M228" s="60"/>
      <c r="N228" s="61">
        <f t="shared" si="4"/>
        <v>1064.192243</v>
      </c>
      <c r="O228" s="63">
        <f>if(A228,_xlfn.WORKDAY.INTL(A228,O$5,"1000000",Holidays!A:A)+hour(A228)/24+MINUTE(A228)/1440,"")</f>
        <v>45069.61944</v>
      </c>
      <c r="P228" s="64" t="s">
        <v>2718</v>
      </c>
      <c r="R228" s="66">
        <f t="shared" si="5"/>
        <v>1064.364465</v>
      </c>
      <c r="S228" s="66"/>
      <c r="T228" s="66"/>
      <c r="U228" s="64">
        <f>if(O228,_xlfn.WORKDAY.INTL(O228,U$5,"1000000",Holidays!A:A)+hour(O228)/24+MINUTE(O228)/1440,"")</f>
        <v>45070.61944</v>
      </c>
      <c r="V228" s="64" t="str">
        <f t="shared" si="6"/>
        <v/>
      </c>
      <c r="W228" s="66"/>
      <c r="X228" s="66">
        <f t="shared" si="7"/>
        <v>1063.364465</v>
      </c>
      <c r="Y228" s="66"/>
      <c r="Z228" s="66"/>
      <c r="AA228" s="66"/>
      <c r="AB228" s="63"/>
      <c r="AC228" s="63"/>
      <c r="AD228" s="63"/>
      <c r="AE228" s="63"/>
      <c r="AF228" s="63"/>
      <c r="AG228" s="63"/>
      <c r="AH228" s="63" t="str">
        <f t="shared" si="14"/>
        <v/>
      </c>
      <c r="AI228" s="63" t="str">
        <f>if(AH228,_xlfn.workday.intl(int(AH228),0,"1000000",Holidays!A:A)+18/24,"")</f>
        <v/>
      </c>
      <c r="AJ228" s="64" t="str">
        <f t="shared" si="24"/>
        <v/>
      </c>
      <c r="AL228" s="66" t="str">
        <f t="shared" si="9"/>
        <v/>
      </c>
      <c r="AM228" s="66"/>
      <c r="AN228" s="63" t="str">
        <f>if(AJ228,if(and(hour(AJ228+AN$5)&gt;11,(hour(AJ228+AN$5)&lt;20)),AJ228+AN$5,_xlfn.workday.intl(int(AJ228),1,"1000000",Holidays!A:A)+hour(AJ228+AN$5-$B$1)/24+minute(AJ228)/1440),"")</f>
        <v/>
      </c>
      <c r="AO228" s="64" t="str">
        <f t="shared" si="15"/>
        <v/>
      </c>
      <c r="AQ228" s="66" t="str">
        <f t="shared" si="16"/>
        <v/>
      </c>
      <c r="AR228" s="66"/>
      <c r="AS228" s="63" t="str">
        <f>if(AJ228,if(and(hour(AJ228+AS$5)&gt;11,(hour(AJ228+AS$5)&lt;20)),AJ228+AS$5,_xlfn.workday.intl(int(AJ228),1,"1000000",Holidays!A:A)+hour(AJ228+AS$5-$B$1)/24+minute(AJ228)/1440),"")</f>
        <v/>
      </c>
      <c r="AT228" s="64" t="str">
        <f t="shared" si="21"/>
        <v/>
      </c>
      <c r="AV228" s="66" t="str">
        <f t="shared" si="25"/>
        <v/>
      </c>
      <c r="AW228" s="66"/>
      <c r="AX228" s="56"/>
    </row>
    <row r="229">
      <c r="A229" s="55">
        <v>45067.70292571759</v>
      </c>
      <c r="B229" s="56"/>
      <c r="C229" s="57"/>
      <c r="D229" s="57"/>
      <c r="E229" s="57"/>
      <c r="F229" s="57"/>
      <c r="G229" s="58">
        <f>if(A229,_xlfn.workday.intl(int(A229),1,"1000000",Holidays!A:A)+17/24,"")</f>
        <v>45069.70833</v>
      </c>
      <c r="H229" s="59" t="str">
        <f t="shared" si="23"/>
        <v/>
      </c>
      <c r="I229" s="60"/>
      <c r="J229" s="61">
        <f t="shared" si="2"/>
        <v>1064.275577</v>
      </c>
      <c r="K229" s="58">
        <f>if(G229,_xlfn.workday.intl(int(G229),0,"1000000",Holidays!A:A)+19/24,"")</f>
        <v>45069.79167</v>
      </c>
      <c r="L229" s="59" t="str">
        <f t="shared" si="3"/>
        <v/>
      </c>
      <c r="M229" s="60"/>
      <c r="N229" s="61">
        <f t="shared" si="4"/>
        <v>1064.192243</v>
      </c>
      <c r="O229" s="63">
        <f>if(A229,_xlfn.WORKDAY.INTL(A229,O$5,"1000000",Holidays!A:A)+hour(A229)/24+MINUTE(A229)/1440,"")</f>
        <v>45069.70278</v>
      </c>
      <c r="P229" s="64" t="s">
        <v>2718</v>
      </c>
      <c r="R229" s="66">
        <f t="shared" si="5"/>
        <v>1064.281132</v>
      </c>
      <c r="S229" s="66"/>
      <c r="T229" s="66"/>
      <c r="U229" s="64">
        <f>if(O229,_xlfn.WORKDAY.INTL(O229,U$5,"1000000",Holidays!A:A)+hour(O229)/24+MINUTE(O229)/1440,"")</f>
        <v>45070.70278</v>
      </c>
      <c r="V229" s="64" t="str">
        <f t="shared" si="6"/>
        <v/>
      </c>
      <c r="W229" s="66"/>
      <c r="X229" s="66">
        <f t="shared" si="7"/>
        <v>1063.281132</v>
      </c>
      <c r="Y229" s="66"/>
      <c r="Z229" s="66"/>
      <c r="AA229" s="66"/>
      <c r="AB229" s="63"/>
      <c r="AC229" s="63"/>
      <c r="AD229" s="63"/>
      <c r="AE229" s="63"/>
      <c r="AF229" s="63"/>
      <c r="AG229" s="63"/>
      <c r="AH229" s="63" t="str">
        <f t="shared" si="14"/>
        <v/>
      </c>
      <c r="AI229" s="63" t="str">
        <f>if(AH229,_xlfn.workday.intl(int(AH229),0,"1000000",Holidays!A:A)+18/24,"")</f>
        <v/>
      </c>
      <c r="AJ229" s="64" t="str">
        <f t="shared" si="24"/>
        <v/>
      </c>
      <c r="AL229" s="66" t="str">
        <f t="shared" si="9"/>
        <v/>
      </c>
      <c r="AM229" s="66"/>
      <c r="AN229" s="63" t="str">
        <f>if(AJ229,if(and(hour(AJ229+AN$5)&gt;11,(hour(AJ229+AN$5)&lt;20)),AJ229+AN$5,_xlfn.workday.intl(int(AJ229),1,"1000000",Holidays!A:A)+hour(AJ229+AN$5-$B$1)/24+minute(AJ229)/1440),"")</f>
        <v/>
      </c>
      <c r="AO229" s="64" t="str">
        <f t="shared" si="15"/>
        <v/>
      </c>
      <c r="AQ229" s="66" t="str">
        <f t="shared" si="16"/>
        <v/>
      </c>
      <c r="AR229" s="66"/>
      <c r="AS229" s="63" t="str">
        <f>if(AJ229,if(and(hour(AJ229+AS$5)&gt;11,(hour(AJ229+AS$5)&lt;20)),AJ229+AS$5,_xlfn.workday.intl(int(AJ229),1,"1000000",Holidays!A:A)+hour(AJ229+AS$5-$B$1)/24+minute(AJ229)/1440),"")</f>
        <v/>
      </c>
      <c r="AT229" s="64" t="str">
        <f t="shared" si="21"/>
        <v/>
      </c>
      <c r="AV229" s="66" t="str">
        <f t="shared" si="25"/>
        <v/>
      </c>
      <c r="AW229" s="66"/>
      <c r="AX229" s="56"/>
    </row>
    <row r="230">
      <c r="A230" s="55">
        <v>45067.70377898148</v>
      </c>
      <c r="B230" s="56"/>
      <c r="C230" s="57"/>
      <c r="D230" s="57"/>
      <c r="E230" s="57"/>
      <c r="F230" s="57"/>
      <c r="G230" s="58">
        <f>if(A230,_xlfn.workday.intl(int(A230),1,"1000000",Holidays!A:A)+17/24,"")</f>
        <v>45069.70833</v>
      </c>
      <c r="H230" s="59" t="str">
        <f t="shared" si="23"/>
        <v/>
      </c>
      <c r="I230" s="60"/>
      <c r="J230" s="61">
        <f t="shared" si="2"/>
        <v>1064.275577</v>
      </c>
      <c r="K230" s="58">
        <f>if(G230,_xlfn.workday.intl(int(G230),0,"1000000",Holidays!A:A)+19/24,"")</f>
        <v>45069.79167</v>
      </c>
      <c r="L230" s="59" t="str">
        <f t="shared" si="3"/>
        <v/>
      </c>
      <c r="M230" s="60"/>
      <c r="N230" s="61">
        <f t="shared" si="4"/>
        <v>1064.192243</v>
      </c>
      <c r="O230" s="63">
        <f>if(A230,_xlfn.WORKDAY.INTL(A230,O$5,"1000000",Holidays!A:A)+hour(A230)/24+MINUTE(A230)/1440,"")</f>
        <v>45069.70347</v>
      </c>
      <c r="P230" s="64" t="s">
        <v>2718</v>
      </c>
      <c r="R230" s="66">
        <f t="shared" si="5"/>
        <v>1064.280438</v>
      </c>
      <c r="S230" s="66"/>
      <c r="T230" s="66"/>
      <c r="U230" s="64">
        <f>if(O230,_xlfn.WORKDAY.INTL(O230,U$5,"1000000",Holidays!A:A)+hour(O230)/24+MINUTE(O230)/1440,"")</f>
        <v>45070.70347</v>
      </c>
      <c r="V230" s="64" t="str">
        <f t="shared" si="6"/>
        <v/>
      </c>
      <c r="W230" s="66"/>
      <c r="X230" s="66">
        <f t="shared" si="7"/>
        <v>1063.280438</v>
      </c>
      <c r="Y230" s="66"/>
      <c r="Z230" s="66"/>
      <c r="AA230" s="66"/>
      <c r="AB230" s="63"/>
      <c r="AC230" s="63"/>
      <c r="AD230" s="63"/>
      <c r="AE230" s="63"/>
      <c r="AF230" s="63"/>
      <c r="AG230" s="63"/>
      <c r="AH230" s="63" t="str">
        <f t="shared" si="14"/>
        <v/>
      </c>
      <c r="AI230" s="63" t="str">
        <f>if(AH230,_xlfn.workday.intl(int(AH230),0,"1000000",Holidays!A:A)+18/24,"")</f>
        <v/>
      </c>
      <c r="AJ230" s="64" t="str">
        <f t="shared" si="24"/>
        <v/>
      </c>
      <c r="AL230" s="66" t="str">
        <f t="shared" si="9"/>
        <v/>
      </c>
      <c r="AM230" s="66"/>
      <c r="AN230" s="63" t="str">
        <f>if(AJ230,if(and(hour(AJ230+AN$5)&gt;11,(hour(AJ230+AN$5)&lt;20)),AJ230+AN$5,_xlfn.workday.intl(int(AJ230),1,"1000000",Holidays!A:A)+hour(AJ230+AN$5-$B$1)/24+minute(AJ230)/1440),"")</f>
        <v/>
      </c>
      <c r="AO230" s="64" t="str">
        <f t="shared" si="15"/>
        <v/>
      </c>
      <c r="AQ230" s="66" t="str">
        <f t="shared" si="16"/>
        <v/>
      </c>
      <c r="AR230" s="66"/>
      <c r="AS230" s="63" t="str">
        <f>if(AJ230,if(and(hour(AJ230+AS$5)&gt;11,(hour(AJ230+AS$5)&lt;20)),AJ230+AS$5,_xlfn.workday.intl(int(AJ230),1,"1000000",Holidays!A:A)+hour(AJ230+AS$5-$B$1)/24+minute(AJ230)/1440),"")</f>
        <v/>
      </c>
      <c r="AT230" s="64" t="str">
        <f t="shared" si="21"/>
        <v/>
      </c>
      <c r="AV230" s="66" t="str">
        <f t="shared" si="25"/>
        <v/>
      </c>
      <c r="AW230" s="66"/>
      <c r="AX230" s="56"/>
    </row>
    <row r="231">
      <c r="A231" s="55">
        <v>45067.70518362269</v>
      </c>
      <c r="B231" s="56"/>
      <c r="C231" s="57"/>
      <c r="D231" s="57"/>
      <c r="E231" s="57"/>
      <c r="F231" s="57"/>
      <c r="G231" s="58">
        <f>if(A231,_xlfn.workday.intl(int(A231),1,"1000000",Holidays!A:A)+17/24,"")</f>
        <v>45069.70833</v>
      </c>
      <c r="H231" s="59" t="str">
        <f t="shared" si="23"/>
        <v/>
      </c>
      <c r="I231" s="60"/>
      <c r="J231" s="61">
        <f t="shared" si="2"/>
        <v>1064.275577</v>
      </c>
      <c r="K231" s="58">
        <f>if(G231,_xlfn.workday.intl(int(G231),0,"1000000",Holidays!A:A)+19/24,"")</f>
        <v>45069.79167</v>
      </c>
      <c r="L231" s="59" t="str">
        <f t="shared" si="3"/>
        <v/>
      </c>
      <c r="M231" s="60"/>
      <c r="N231" s="61">
        <f t="shared" si="4"/>
        <v>1064.192243</v>
      </c>
      <c r="O231" s="63">
        <f>if(A231,_xlfn.WORKDAY.INTL(A231,O$5,"1000000",Holidays!A:A)+hour(A231)/24+MINUTE(A231)/1440,"")</f>
        <v>45069.70486</v>
      </c>
      <c r="P231" s="64" t="s">
        <v>2718</v>
      </c>
      <c r="R231" s="66">
        <f t="shared" si="5"/>
        <v>1064.279049</v>
      </c>
      <c r="S231" s="66"/>
      <c r="T231" s="66"/>
      <c r="U231" s="64">
        <f>if(O231,_xlfn.WORKDAY.INTL(O231,U$5,"1000000",Holidays!A:A)+hour(O231)/24+MINUTE(O231)/1440,"")</f>
        <v>45070.70486</v>
      </c>
      <c r="V231" s="64" t="str">
        <f t="shared" si="6"/>
        <v/>
      </c>
      <c r="W231" s="66"/>
      <c r="X231" s="66">
        <f t="shared" si="7"/>
        <v>1063.279049</v>
      </c>
      <c r="Y231" s="66"/>
      <c r="Z231" s="66"/>
      <c r="AA231" s="66"/>
      <c r="AB231" s="63"/>
      <c r="AC231" s="63"/>
      <c r="AD231" s="63"/>
      <c r="AE231" s="63"/>
      <c r="AF231" s="63"/>
      <c r="AG231" s="63"/>
      <c r="AH231" s="63" t="str">
        <f t="shared" si="14"/>
        <v/>
      </c>
      <c r="AI231" s="63" t="str">
        <f>if(AH231,_xlfn.workday.intl(int(AH231),0,"1000000",Holidays!A:A)+18/24,"")</f>
        <v/>
      </c>
      <c r="AJ231" s="64" t="str">
        <f t="shared" si="24"/>
        <v/>
      </c>
      <c r="AL231" s="66" t="str">
        <f t="shared" si="9"/>
        <v/>
      </c>
      <c r="AM231" s="66"/>
      <c r="AN231" s="63" t="str">
        <f>if(AJ231,if(and(hour(AJ231+AN$5)&gt;11,(hour(AJ231+AN$5)&lt;20)),AJ231+AN$5,_xlfn.workday.intl(int(AJ231),1,"1000000",Holidays!A:A)+hour(AJ231+AN$5-$B$1)/24+minute(AJ231)/1440),"")</f>
        <v/>
      </c>
      <c r="AO231" s="64" t="str">
        <f t="shared" si="15"/>
        <v/>
      </c>
      <c r="AQ231" s="66" t="str">
        <f t="shared" si="16"/>
        <v/>
      </c>
      <c r="AR231" s="66"/>
      <c r="AS231" s="63" t="str">
        <f>if(AJ231,if(and(hour(AJ231+AS$5)&gt;11,(hour(AJ231+AS$5)&lt;20)),AJ231+AS$5,_xlfn.workday.intl(int(AJ231),1,"1000000",Holidays!A:A)+hour(AJ231+AS$5-$B$1)/24+minute(AJ231)/1440),"")</f>
        <v/>
      </c>
      <c r="AT231" s="64" t="str">
        <f t="shared" si="21"/>
        <v/>
      </c>
      <c r="AV231" s="66" t="str">
        <f t="shared" si="25"/>
        <v/>
      </c>
      <c r="AW231" s="66"/>
      <c r="AX231" s="56"/>
    </row>
    <row r="232">
      <c r="A232" s="55">
        <v>45071.511592106486</v>
      </c>
      <c r="B232" s="56"/>
      <c r="C232" s="57"/>
      <c r="D232" s="57"/>
      <c r="E232" s="57"/>
      <c r="F232" s="57"/>
      <c r="G232" s="58">
        <f>if(A232,_xlfn.workday.intl(int(A232),1,"1000000",Holidays!A:A)+17/24,"")</f>
        <v>45072.70833</v>
      </c>
      <c r="H232" s="59" t="str">
        <f t="shared" si="23"/>
        <v/>
      </c>
      <c r="I232" s="60"/>
      <c r="J232" s="61">
        <f t="shared" si="2"/>
        <v>1061.275577</v>
      </c>
      <c r="K232" s="58">
        <f>if(G232,_xlfn.workday.intl(int(G232),0,"1000000",Holidays!A:A)+19/24,"")</f>
        <v>45072.79167</v>
      </c>
      <c r="L232" s="59" t="str">
        <f t="shared" si="3"/>
        <v/>
      </c>
      <c r="M232" s="60"/>
      <c r="N232" s="61">
        <f t="shared" si="4"/>
        <v>1061.192243</v>
      </c>
      <c r="O232" s="63">
        <f>if(A232,_xlfn.WORKDAY.INTL(A232,O$5,"1000000",Holidays!A:A)+hour(A232)/24+MINUTE(A232)/1440,"")</f>
        <v>45072.51111</v>
      </c>
      <c r="P232" s="64" t="s">
        <v>2718</v>
      </c>
      <c r="R232" s="66">
        <f t="shared" si="5"/>
        <v>1061.472799</v>
      </c>
      <c r="S232" s="66"/>
      <c r="T232" s="66"/>
      <c r="U232" s="64">
        <f>if(O232,_xlfn.WORKDAY.INTL(O232,U$5,"1000000",Holidays!A:A)+hour(O232)/24+MINUTE(O232)/1440,"")</f>
        <v>45073.51111</v>
      </c>
      <c r="V232" s="64" t="str">
        <f t="shared" si="6"/>
        <v/>
      </c>
      <c r="W232" s="66"/>
      <c r="X232" s="66">
        <f t="shared" si="7"/>
        <v>1060.472799</v>
      </c>
      <c r="Y232" s="66"/>
      <c r="Z232" s="66"/>
      <c r="AA232" s="66"/>
      <c r="AB232" s="63"/>
      <c r="AC232" s="63"/>
      <c r="AD232" s="63"/>
      <c r="AE232" s="63"/>
      <c r="AF232" s="63"/>
      <c r="AG232" s="63"/>
      <c r="AH232" s="63" t="str">
        <f t="shared" si="14"/>
        <v/>
      </c>
      <c r="AI232" s="63" t="str">
        <f>if(AH232,_xlfn.workday.intl(int(AH232),0,"1000000",Holidays!A:A)+18/24,"")</f>
        <v/>
      </c>
      <c r="AJ232" s="64" t="str">
        <f t="shared" si="24"/>
        <v/>
      </c>
      <c r="AL232" s="66" t="str">
        <f t="shared" si="9"/>
        <v/>
      </c>
      <c r="AM232" s="66"/>
      <c r="AN232" s="63" t="str">
        <f>if(AJ232,if(and(hour(AJ232+AN$5)&gt;11,(hour(AJ232+AN$5)&lt;20)),AJ232+AN$5,_xlfn.workday.intl(int(AJ232),1,"1000000",Holidays!A:A)+hour(AJ232+AN$5-$B$1)/24+minute(AJ232)/1440),"")</f>
        <v/>
      </c>
      <c r="AO232" s="64" t="str">
        <f t="shared" si="15"/>
        <v/>
      </c>
      <c r="AQ232" s="66" t="str">
        <f t="shared" si="16"/>
        <v/>
      </c>
      <c r="AR232" s="66"/>
      <c r="AS232" s="63" t="str">
        <f>if(AJ232,if(and(hour(AJ232+AS$5)&gt;11,(hour(AJ232+AS$5)&lt;20)),AJ232+AS$5,_xlfn.workday.intl(int(AJ232),1,"1000000",Holidays!A:A)+hour(AJ232+AS$5-$B$1)/24+minute(AJ232)/1440),"")</f>
        <v/>
      </c>
      <c r="AT232" s="64" t="str">
        <f t="shared" si="21"/>
        <v/>
      </c>
      <c r="AV232" s="66" t="str">
        <f t="shared" si="25"/>
        <v/>
      </c>
      <c r="AW232" s="66"/>
      <c r="AX232" s="56"/>
    </row>
    <row r="233">
      <c r="A233" s="55">
        <v>45081.63811962963</v>
      </c>
      <c r="B233" s="56"/>
      <c r="C233" s="57"/>
      <c r="D233" s="57"/>
      <c r="E233" s="57"/>
      <c r="F233" s="57"/>
      <c r="G233" s="58">
        <f>if(A233,_xlfn.workday.intl(int(A233),1,"1000000",Holidays!A:A)+17/24,"")</f>
        <v>45083.70833</v>
      </c>
      <c r="H233" s="59" t="str">
        <f t="shared" si="23"/>
        <v/>
      </c>
      <c r="I233" s="60"/>
      <c r="J233" s="61">
        <f t="shared" si="2"/>
        <v>1050.275577</v>
      </c>
      <c r="K233" s="58">
        <f>if(G233,_xlfn.workday.intl(int(G233),0,"1000000",Holidays!A:A)+19/24,"")</f>
        <v>45083.79167</v>
      </c>
      <c r="L233" s="59" t="str">
        <f t="shared" si="3"/>
        <v/>
      </c>
      <c r="M233" s="60"/>
      <c r="N233" s="61">
        <f t="shared" si="4"/>
        <v>1050.192243</v>
      </c>
      <c r="O233" s="63">
        <f>if(A233,_xlfn.WORKDAY.INTL(A233,O$5,"1000000",Holidays!A:A)+hour(A233)/24+MINUTE(A233)/1440,"")</f>
        <v>45083.6375</v>
      </c>
      <c r="P233" s="64" t="s">
        <v>2718</v>
      </c>
      <c r="R233" s="66">
        <f t="shared" si="5"/>
        <v>1050.34641</v>
      </c>
      <c r="S233" s="66"/>
      <c r="T233" s="66"/>
      <c r="U233" s="64">
        <f>if(O233,_xlfn.WORKDAY.INTL(O233,U$5,"1000000",Holidays!A:A)+hour(O233)/24+MINUTE(O233)/1440,"")</f>
        <v>45084.6375</v>
      </c>
      <c r="V233" s="64" t="str">
        <f t="shared" si="6"/>
        <v/>
      </c>
      <c r="W233" s="66"/>
      <c r="X233" s="66">
        <f t="shared" si="7"/>
        <v>1049.34641</v>
      </c>
      <c r="Y233" s="66"/>
      <c r="Z233" s="66"/>
      <c r="AA233" s="66"/>
      <c r="AB233" s="63"/>
      <c r="AC233" s="63"/>
      <c r="AD233" s="63"/>
      <c r="AE233" s="63"/>
      <c r="AF233" s="63"/>
      <c r="AG233" s="63"/>
      <c r="AH233" s="63" t="str">
        <f t="shared" si="14"/>
        <v/>
      </c>
      <c r="AI233" s="63" t="str">
        <f>if(AH233,_xlfn.workday.intl(int(AH233),0,"1000000",Holidays!A:A)+18/24,"")</f>
        <v/>
      </c>
      <c r="AJ233" s="64" t="str">
        <f t="shared" si="24"/>
        <v/>
      </c>
      <c r="AL233" s="66" t="str">
        <f t="shared" si="9"/>
        <v/>
      </c>
      <c r="AM233" s="66"/>
      <c r="AN233" s="63" t="str">
        <f>if(AJ233,if(and(hour(AJ233+AN$5)&gt;11,(hour(AJ233+AN$5)&lt;20)),AJ233+AN$5,_xlfn.workday.intl(int(AJ233),1,"1000000",Holidays!A:A)+hour(AJ233+AN$5-$B$1)/24+minute(AJ233)/1440),"")</f>
        <v/>
      </c>
      <c r="AO233" s="64" t="str">
        <f t="shared" si="15"/>
        <v/>
      </c>
      <c r="AQ233" s="66" t="str">
        <f t="shared" si="16"/>
        <v/>
      </c>
      <c r="AR233" s="66"/>
      <c r="AS233" s="63" t="str">
        <f>if(AJ233,if(and(hour(AJ233+AS$5)&gt;11,(hour(AJ233+AS$5)&lt;20)),AJ233+AS$5,_xlfn.workday.intl(int(AJ233),1,"1000000",Holidays!A:A)+hour(AJ233+AS$5-$B$1)/24+minute(AJ233)/1440),"")</f>
        <v/>
      </c>
      <c r="AT233" s="64" t="str">
        <f t="shared" si="21"/>
        <v/>
      </c>
      <c r="AV233" s="66" t="str">
        <f t="shared" si="25"/>
        <v/>
      </c>
      <c r="AW233" s="66"/>
      <c r="AX233" s="56"/>
    </row>
    <row r="234">
      <c r="A234" s="55">
        <v>45087.53627928241</v>
      </c>
      <c r="B234" s="56"/>
      <c r="C234" s="57"/>
      <c r="D234" s="57"/>
      <c r="E234" s="57"/>
      <c r="F234" s="57"/>
      <c r="G234" s="58">
        <f>if(A234,_xlfn.workday.intl(int(A234),1,"1000000",Holidays!A:A)+17/24,"")</f>
        <v>45088.70833</v>
      </c>
      <c r="H234" s="59" t="str">
        <f t="shared" si="23"/>
        <v/>
      </c>
      <c r="I234" s="60"/>
      <c r="J234" s="61">
        <f t="shared" si="2"/>
        <v>1045.275577</v>
      </c>
      <c r="K234" s="58">
        <f>if(G234,_xlfn.workday.intl(int(G234),0,"1000000",Holidays!A:A)+19/24,"")</f>
        <v>45088.79167</v>
      </c>
      <c r="L234" s="59" t="str">
        <f t="shared" si="3"/>
        <v/>
      </c>
      <c r="M234" s="60"/>
      <c r="N234" s="61">
        <f t="shared" si="4"/>
        <v>1045.192243</v>
      </c>
      <c r="O234" s="63">
        <f>if(A234,_xlfn.WORKDAY.INTL(A234,O$5,"1000000",Holidays!A:A)+hour(A234)/24+MINUTE(A234)/1440,"")</f>
        <v>45088.53611</v>
      </c>
      <c r="P234" s="64" t="s">
        <v>2718</v>
      </c>
      <c r="R234" s="66">
        <f t="shared" si="5"/>
        <v>1045.447799</v>
      </c>
      <c r="S234" s="66"/>
      <c r="T234" s="66"/>
      <c r="U234" s="64">
        <f>if(O234,_xlfn.WORKDAY.INTL(O234,U$5,"1000000",Holidays!A:A)+hour(O234)/24+MINUTE(O234)/1440,"")</f>
        <v>45090.53611</v>
      </c>
      <c r="V234" s="64" t="str">
        <f t="shared" si="6"/>
        <v/>
      </c>
      <c r="W234" s="66"/>
      <c r="X234" s="66">
        <f t="shared" si="7"/>
        <v>1043.447799</v>
      </c>
      <c r="Y234" s="66"/>
      <c r="Z234" s="66"/>
      <c r="AA234" s="66"/>
      <c r="AB234" s="63"/>
      <c r="AC234" s="63"/>
      <c r="AD234" s="63"/>
      <c r="AE234" s="63"/>
      <c r="AF234" s="63"/>
      <c r="AG234" s="63"/>
      <c r="AH234" s="63" t="str">
        <f t="shared" si="14"/>
        <v/>
      </c>
      <c r="AI234" s="63" t="str">
        <f>if(AH234,_xlfn.workday.intl(int(AH234),0,"1000000",Holidays!A:A)+18/24,"")</f>
        <v/>
      </c>
      <c r="AJ234" s="64" t="str">
        <f t="shared" si="24"/>
        <v/>
      </c>
      <c r="AL234" s="66" t="str">
        <f t="shared" si="9"/>
        <v/>
      </c>
      <c r="AM234" s="66"/>
      <c r="AN234" s="63" t="str">
        <f>if(AJ234,if(and(hour(AJ234+AN$5)&gt;11,(hour(AJ234+AN$5)&lt;20)),AJ234+AN$5,_xlfn.workday.intl(int(AJ234),1,"1000000",Holidays!A:A)+hour(AJ234+AN$5-$B$1)/24+minute(AJ234)/1440),"")</f>
        <v/>
      </c>
      <c r="AO234" s="64" t="str">
        <f t="shared" si="15"/>
        <v/>
      </c>
      <c r="AQ234" s="66" t="str">
        <f t="shared" si="16"/>
        <v/>
      </c>
      <c r="AR234" s="66"/>
      <c r="AS234" s="63" t="str">
        <f>if(AJ234,if(and(hour(AJ234+AS$5)&gt;11,(hour(AJ234+AS$5)&lt;20)),AJ234+AS$5,_xlfn.workday.intl(int(AJ234),1,"1000000",Holidays!A:A)+hour(AJ234+AS$5-$B$1)/24+minute(AJ234)/1440),"")</f>
        <v/>
      </c>
      <c r="AT234" s="64" t="str">
        <f t="shared" si="21"/>
        <v/>
      </c>
      <c r="AV234" s="66" t="str">
        <f t="shared" si="25"/>
        <v/>
      </c>
      <c r="AW234" s="66"/>
      <c r="AX234" s="56"/>
    </row>
    <row r="235">
      <c r="A235" s="55">
        <v>45096.637912453705</v>
      </c>
      <c r="B235" s="56"/>
      <c r="C235" s="57"/>
      <c r="D235" s="57"/>
      <c r="E235" s="57"/>
      <c r="F235" s="57"/>
      <c r="G235" s="58">
        <f>if(A235,_xlfn.workday.intl(int(A235),1,"1000000",Holidays!A:A)+17/24,"")</f>
        <v>45097.70833</v>
      </c>
      <c r="H235" s="59" t="str">
        <f t="shared" si="23"/>
        <v/>
      </c>
      <c r="I235" s="60"/>
      <c r="J235" s="61">
        <f t="shared" si="2"/>
        <v>1036.275577</v>
      </c>
      <c r="K235" s="58">
        <f>if(G235,_xlfn.workday.intl(int(G235),0,"1000000",Holidays!A:A)+19/24,"")</f>
        <v>45097.79167</v>
      </c>
      <c r="L235" s="59" t="str">
        <f t="shared" si="3"/>
        <v/>
      </c>
      <c r="M235" s="60"/>
      <c r="N235" s="61">
        <f t="shared" si="4"/>
        <v>1036.192243</v>
      </c>
      <c r="O235" s="63">
        <f>if(A235,_xlfn.WORKDAY.INTL(A235,O$5,"1000000",Holidays!A:A)+hour(A235)/24+MINUTE(A235)/1440,"")</f>
        <v>45097.6375</v>
      </c>
      <c r="P235" s="64" t="s">
        <v>2718</v>
      </c>
      <c r="R235" s="66">
        <f t="shared" si="5"/>
        <v>1036.34641</v>
      </c>
      <c r="S235" s="66"/>
      <c r="T235" s="66"/>
      <c r="U235" s="64">
        <f>if(O235,_xlfn.WORKDAY.INTL(O235,U$5,"1000000",Holidays!A:A)+hour(O235)/24+MINUTE(O235)/1440,"")</f>
        <v>45098.6375</v>
      </c>
      <c r="V235" s="64" t="str">
        <f t="shared" si="6"/>
        <v/>
      </c>
      <c r="W235" s="66"/>
      <c r="X235" s="66">
        <f t="shared" si="7"/>
        <v>1035.34641</v>
      </c>
      <c r="Y235" s="66"/>
      <c r="Z235" s="66"/>
      <c r="AA235" s="66"/>
      <c r="AB235" s="63"/>
      <c r="AC235" s="63"/>
      <c r="AD235" s="63"/>
      <c r="AE235" s="63"/>
      <c r="AF235" s="63"/>
      <c r="AG235" s="63"/>
      <c r="AH235" s="63" t="str">
        <f t="shared" si="14"/>
        <v/>
      </c>
      <c r="AI235" s="63" t="str">
        <f>if(AH235,_xlfn.workday.intl(int(AH235),0,"1000000",Holidays!A:A)+18/24,"")</f>
        <v/>
      </c>
      <c r="AJ235" s="64" t="str">
        <f t="shared" si="24"/>
        <v/>
      </c>
      <c r="AL235" s="66" t="str">
        <f t="shared" si="9"/>
        <v/>
      </c>
      <c r="AM235" s="66"/>
      <c r="AN235" s="63" t="str">
        <f>if(AJ235,if(and(hour(AJ235+AN$5)&gt;11,(hour(AJ235+AN$5)&lt;20)),AJ235+AN$5,_xlfn.workday.intl(int(AJ235),1,"1000000",Holidays!A:A)+hour(AJ235+AN$5-$B$1)/24+minute(AJ235)/1440),"")</f>
        <v/>
      </c>
      <c r="AO235" s="64" t="str">
        <f t="shared" si="15"/>
        <v/>
      </c>
      <c r="AQ235" s="66" t="str">
        <f t="shared" si="16"/>
        <v/>
      </c>
      <c r="AR235" s="66"/>
      <c r="AS235" s="63" t="str">
        <f>if(AJ235,if(and(hour(AJ235+AS$5)&gt;11,(hour(AJ235+AS$5)&lt;20)),AJ235+AS$5,_xlfn.workday.intl(int(AJ235),1,"1000000",Holidays!A:A)+hour(AJ235+AS$5-$B$1)/24+minute(AJ235)/1440),"")</f>
        <v/>
      </c>
      <c r="AT235" s="64" t="str">
        <f t="shared" si="21"/>
        <v/>
      </c>
      <c r="AV235" s="66" t="str">
        <f t="shared" si="25"/>
        <v/>
      </c>
      <c r="AW235" s="66"/>
      <c r="AX235" s="56"/>
    </row>
    <row r="236">
      <c r="A236" s="55">
        <v>45106.60492349537</v>
      </c>
      <c r="B236" s="56"/>
      <c r="C236" s="57"/>
      <c r="D236" s="57"/>
      <c r="E236" s="57"/>
      <c r="F236" s="57"/>
      <c r="G236" s="58">
        <f>if(A236,_xlfn.workday.intl(int(A236),1,"1000000",Holidays!A:A)+17/24,"")</f>
        <v>45107.70833</v>
      </c>
      <c r="H236" s="59" t="str">
        <f t="shared" si="23"/>
        <v/>
      </c>
      <c r="I236" s="60"/>
      <c r="J236" s="61">
        <f t="shared" si="2"/>
        <v>1026.275577</v>
      </c>
      <c r="K236" s="58">
        <f>if(G236,_xlfn.workday.intl(int(G236),0,"1000000",Holidays!A:A)+19/24,"")</f>
        <v>45107.79167</v>
      </c>
      <c r="L236" s="59" t="str">
        <f t="shared" si="3"/>
        <v/>
      </c>
      <c r="M236" s="60"/>
      <c r="N236" s="61">
        <f t="shared" si="4"/>
        <v>1026.192243</v>
      </c>
      <c r="O236" s="63">
        <f>if(A236,_xlfn.WORKDAY.INTL(A236,O$5,"1000000",Holidays!A:A)+hour(A236)/24+MINUTE(A236)/1440,"")</f>
        <v>45107.60486</v>
      </c>
      <c r="P236" s="64" t="s">
        <v>2718</v>
      </c>
      <c r="R236" s="66">
        <f t="shared" si="5"/>
        <v>1026.379049</v>
      </c>
      <c r="S236" s="66"/>
      <c r="T236" s="66"/>
      <c r="U236" s="64">
        <f>if(O236,_xlfn.WORKDAY.INTL(O236,U$5,"1000000",Holidays!A:A)+hour(O236)/24+MINUTE(O236)/1440,"")</f>
        <v>45108.60486</v>
      </c>
      <c r="V236" s="64" t="str">
        <f t="shared" si="6"/>
        <v/>
      </c>
      <c r="W236" s="66"/>
      <c r="X236" s="66">
        <f t="shared" si="7"/>
        <v>1025.379049</v>
      </c>
      <c r="Y236" s="66"/>
      <c r="Z236" s="66"/>
      <c r="AA236" s="66"/>
      <c r="AB236" s="63"/>
      <c r="AC236" s="63"/>
      <c r="AD236" s="63"/>
      <c r="AE236" s="63"/>
      <c r="AF236" s="63"/>
      <c r="AG236" s="63"/>
      <c r="AH236" s="63" t="str">
        <f t="shared" si="14"/>
        <v/>
      </c>
      <c r="AI236" s="63" t="str">
        <f>if(AH236,_xlfn.workday.intl(int(AH236),0,"1000000",Holidays!A:A)+18/24,"")</f>
        <v/>
      </c>
      <c r="AJ236" s="64" t="str">
        <f t="shared" si="24"/>
        <v/>
      </c>
      <c r="AL236" s="66" t="str">
        <f t="shared" si="9"/>
        <v/>
      </c>
      <c r="AM236" s="66"/>
      <c r="AN236" s="63" t="str">
        <f>if(AJ236,if(and(hour(AJ236+AN$5)&gt;11,(hour(AJ236+AN$5)&lt;20)),AJ236+AN$5,_xlfn.workday.intl(int(AJ236),1,"1000000",Holidays!A:A)+hour(AJ236+AN$5-$B$1)/24+minute(AJ236)/1440),"")</f>
        <v/>
      </c>
      <c r="AO236" s="64" t="str">
        <f t="shared" si="15"/>
        <v/>
      </c>
      <c r="AQ236" s="66" t="str">
        <f t="shared" si="16"/>
        <v/>
      </c>
      <c r="AR236" s="66"/>
      <c r="AS236" s="63" t="str">
        <f>if(AJ236,if(and(hour(AJ236+AS$5)&gt;11,(hour(AJ236+AS$5)&lt;20)),AJ236+AS$5,_xlfn.workday.intl(int(AJ236),1,"1000000",Holidays!A:A)+hour(AJ236+AS$5-$B$1)/24+minute(AJ236)/1440),"")</f>
        <v/>
      </c>
      <c r="AT236" s="64" t="str">
        <f t="shared" si="21"/>
        <v/>
      </c>
      <c r="AV236" s="66" t="str">
        <f t="shared" si="25"/>
        <v/>
      </c>
      <c r="AW236" s="66"/>
      <c r="AX236" s="56"/>
    </row>
    <row r="237">
      <c r="A237" s="55">
        <v>45113.7143981713</v>
      </c>
      <c r="B237" s="56"/>
      <c r="C237" s="57"/>
      <c r="D237" s="57"/>
      <c r="E237" s="57"/>
      <c r="F237" s="57"/>
      <c r="G237" s="58">
        <f>if(A237,_xlfn.workday.intl(int(A237),1,"1000000",Holidays!A:A)+17/24,"")</f>
        <v>45114.70833</v>
      </c>
      <c r="H237" s="59" t="str">
        <f t="shared" si="23"/>
        <v/>
      </c>
      <c r="I237" s="60"/>
      <c r="J237" s="61">
        <f t="shared" si="2"/>
        <v>1019.275577</v>
      </c>
      <c r="K237" s="58">
        <f>if(G237,_xlfn.workday.intl(int(G237),0,"1000000",Holidays!A:A)+19/24,"")</f>
        <v>45114.79167</v>
      </c>
      <c r="L237" s="59" t="str">
        <f t="shared" si="3"/>
        <v/>
      </c>
      <c r="M237" s="60"/>
      <c r="N237" s="61">
        <f t="shared" si="4"/>
        <v>1019.192243</v>
      </c>
      <c r="O237" s="63">
        <f>if(A237,_xlfn.WORKDAY.INTL(A237,O$5,"1000000",Holidays!A:A)+hour(A237)/24+MINUTE(A237)/1440,"")</f>
        <v>45114.71389</v>
      </c>
      <c r="P237" s="64" t="s">
        <v>2718</v>
      </c>
      <c r="R237" s="66">
        <f t="shared" si="5"/>
        <v>1019.270021</v>
      </c>
      <c r="S237" s="66"/>
      <c r="T237" s="66"/>
      <c r="U237" s="64">
        <f>if(O237,_xlfn.WORKDAY.INTL(O237,U$5,"1000000",Holidays!A:A)+hour(O237)/24+MINUTE(O237)/1440,"")</f>
        <v>45115.71389</v>
      </c>
      <c r="V237" s="64" t="str">
        <f t="shared" si="6"/>
        <v/>
      </c>
      <c r="W237" s="66"/>
      <c r="X237" s="66">
        <f t="shared" si="7"/>
        <v>1018.270021</v>
      </c>
      <c r="Y237" s="66"/>
      <c r="Z237" s="66"/>
      <c r="AA237" s="66"/>
      <c r="AB237" s="63"/>
      <c r="AC237" s="63"/>
      <c r="AD237" s="63"/>
      <c r="AE237" s="63"/>
      <c r="AF237" s="63"/>
      <c r="AG237" s="63"/>
      <c r="AH237" s="63" t="str">
        <f t="shared" si="14"/>
        <v/>
      </c>
      <c r="AI237" s="63" t="str">
        <f>if(AH237,_xlfn.workday.intl(int(AH237),0,"1000000",Holidays!A:A)+18/24,"")</f>
        <v/>
      </c>
      <c r="AJ237" s="64" t="str">
        <f t="shared" si="24"/>
        <v/>
      </c>
      <c r="AL237" s="66" t="str">
        <f t="shared" si="9"/>
        <v/>
      </c>
      <c r="AM237" s="66"/>
      <c r="AN237" s="63" t="str">
        <f>if(AJ237,if(and(hour(AJ237+AN$5)&gt;11,(hour(AJ237+AN$5)&lt;20)),AJ237+AN$5,_xlfn.workday.intl(int(AJ237),1,"1000000",Holidays!A:A)+hour(AJ237+AN$5-$B$1)/24+minute(AJ237)/1440),"")</f>
        <v/>
      </c>
      <c r="AO237" s="64" t="str">
        <f t="shared" si="15"/>
        <v/>
      </c>
      <c r="AQ237" s="66" t="str">
        <f t="shared" si="16"/>
        <v/>
      </c>
      <c r="AR237" s="66"/>
      <c r="AS237" s="63" t="str">
        <f>if(AJ237,if(and(hour(AJ237+AS$5)&gt;11,(hour(AJ237+AS$5)&lt;20)),AJ237+AS$5,_xlfn.workday.intl(int(AJ237),1,"1000000",Holidays!A:A)+hour(AJ237+AS$5-$B$1)/24+minute(AJ237)/1440),"")</f>
        <v/>
      </c>
      <c r="AT237" s="64" t="str">
        <f t="shared" si="21"/>
        <v/>
      </c>
      <c r="AV237" s="66" t="str">
        <f t="shared" si="25"/>
        <v/>
      </c>
      <c r="AW237" s="66"/>
      <c r="AX237" s="56"/>
    </row>
    <row r="238">
      <c r="A238" s="55">
        <v>45113.7035785301</v>
      </c>
      <c r="B238" s="56"/>
      <c r="C238" s="57"/>
      <c r="D238" s="57"/>
      <c r="E238" s="57"/>
      <c r="F238" s="57"/>
      <c r="G238" s="58">
        <f>if(A238,_xlfn.workday.intl(int(A238),1,"1000000",Holidays!A:A)+17/24,"")</f>
        <v>45114.70833</v>
      </c>
      <c r="H238" s="59" t="str">
        <f t="shared" si="23"/>
        <v/>
      </c>
      <c r="I238" s="60"/>
      <c r="J238" s="61">
        <f t="shared" si="2"/>
        <v>1019.275577</v>
      </c>
      <c r="K238" s="58">
        <f>if(G238,_xlfn.workday.intl(int(G238),0,"1000000",Holidays!A:A)+19/24,"")</f>
        <v>45114.79167</v>
      </c>
      <c r="L238" s="59" t="str">
        <f t="shared" si="3"/>
        <v/>
      </c>
      <c r="M238" s="60"/>
      <c r="N238" s="61">
        <f t="shared" si="4"/>
        <v>1019.192243</v>
      </c>
      <c r="O238" s="63">
        <f>if(A238,_xlfn.WORKDAY.INTL(A238,O$5,"1000000",Holidays!A:A)+hour(A238)/24+MINUTE(A238)/1440,"")</f>
        <v>45114.70347</v>
      </c>
      <c r="P238" s="64" t="s">
        <v>2718</v>
      </c>
      <c r="R238" s="66">
        <f t="shared" si="5"/>
        <v>1019.280438</v>
      </c>
      <c r="S238" s="66"/>
      <c r="T238" s="66"/>
      <c r="U238" s="64">
        <f>if(O238,_xlfn.WORKDAY.INTL(O238,U$5,"1000000",Holidays!A:A)+hour(O238)/24+MINUTE(O238)/1440,"")</f>
        <v>45115.70347</v>
      </c>
      <c r="V238" s="64" t="str">
        <f t="shared" si="6"/>
        <v/>
      </c>
      <c r="W238" s="66"/>
      <c r="X238" s="66">
        <f t="shared" si="7"/>
        <v>1018.280438</v>
      </c>
      <c r="Y238" s="66"/>
      <c r="Z238" s="66"/>
      <c r="AA238" s="66"/>
      <c r="AB238" s="63"/>
      <c r="AC238" s="63"/>
      <c r="AD238" s="63"/>
      <c r="AE238" s="63"/>
      <c r="AF238" s="63"/>
      <c r="AG238" s="63"/>
      <c r="AH238" s="63" t="str">
        <f t="shared" si="14"/>
        <v/>
      </c>
      <c r="AI238" s="63" t="str">
        <f>if(AH238,_xlfn.workday.intl(int(AH238),0,"1000000",Holidays!A:A)+18/24,"")</f>
        <v/>
      </c>
      <c r="AJ238" s="64" t="str">
        <f t="shared" si="24"/>
        <v/>
      </c>
      <c r="AL238" s="66" t="str">
        <f t="shared" si="9"/>
        <v/>
      </c>
      <c r="AM238" s="66"/>
      <c r="AN238" s="63" t="str">
        <f>if(AJ238,if(and(hour(AJ238+AN$5)&gt;11,(hour(AJ238+AN$5)&lt;20)),AJ238+AN$5,_xlfn.workday.intl(int(AJ238),1,"1000000",Holidays!A:A)+hour(AJ238+AN$5-$B$1)/24+minute(AJ238)/1440),"")</f>
        <v/>
      </c>
      <c r="AO238" s="64" t="str">
        <f t="shared" si="15"/>
        <v/>
      </c>
      <c r="AQ238" s="66" t="str">
        <f t="shared" si="16"/>
        <v/>
      </c>
      <c r="AR238" s="66"/>
      <c r="AS238" s="63" t="str">
        <f>if(AJ238,if(and(hour(AJ238+AS$5)&gt;11,(hour(AJ238+AS$5)&lt;20)),AJ238+AS$5,_xlfn.workday.intl(int(AJ238),1,"1000000",Holidays!A:A)+hour(AJ238+AS$5-$B$1)/24+minute(AJ238)/1440),"")</f>
        <v/>
      </c>
      <c r="AT238" s="64" t="str">
        <f t="shared" si="21"/>
        <v/>
      </c>
      <c r="AV238" s="66" t="str">
        <f t="shared" si="25"/>
        <v/>
      </c>
      <c r="AW238" s="66"/>
      <c r="AX238" s="56"/>
    </row>
    <row r="239">
      <c r="A239" s="55">
        <v>45113.70238270833</v>
      </c>
      <c r="B239" s="56"/>
      <c r="C239" s="57"/>
      <c r="D239" s="57"/>
      <c r="E239" s="57"/>
      <c r="F239" s="57"/>
      <c r="G239" s="58">
        <f>if(A239,_xlfn.workday.intl(int(A239),1,"1000000",Holidays!A:A)+17/24,"")</f>
        <v>45114.70833</v>
      </c>
      <c r="H239" s="59" t="str">
        <f t="shared" si="23"/>
        <v/>
      </c>
      <c r="I239" s="60"/>
      <c r="J239" s="61">
        <f t="shared" si="2"/>
        <v>1019.275577</v>
      </c>
      <c r="K239" s="58">
        <f>if(G239,_xlfn.workday.intl(int(G239),0,"1000000",Holidays!A:A)+19/24,"")</f>
        <v>45114.79167</v>
      </c>
      <c r="L239" s="59" t="str">
        <f t="shared" si="3"/>
        <v/>
      </c>
      <c r="M239" s="60"/>
      <c r="N239" s="61">
        <f t="shared" si="4"/>
        <v>1019.192243</v>
      </c>
      <c r="O239" s="63">
        <f>if(A239,_xlfn.WORKDAY.INTL(A239,O$5,"1000000",Holidays!A:A)+hour(A239)/24+MINUTE(A239)/1440,"")</f>
        <v>45114.70208</v>
      </c>
      <c r="P239" s="64" t="s">
        <v>2718</v>
      </c>
      <c r="R239" s="66">
        <f t="shared" si="5"/>
        <v>1019.281827</v>
      </c>
      <c r="S239" s="66"/>
      <c r="T239" s="66"/>
      <c r="U239" s="64">
        <f>if(O239,_xlfn.WORKDAY.INTL(O239,U$5,"1000000",Holidays!A:A)+hour(O239)/24+MINUTE(O239)/1440,"")</f>
        <v>45115.70208</v>
      </c>
      <c r="V239" s="64" t="str">
        <f t="shared" si="6"/>
        <v/>
      </c>
      <c r="W239" s="66"/>
      <c r="X239" s="66">
        <f t="shared" si="7"/>
        <v>1018.281827</v>
      </c>
      <c r="Y239" s="66"/>
      <c r="Z239" s="66"/>
      <c r="AA239" s="66"/>
      <c r="AB239" s="63"/>
      <c r="AC239" s="63"/>
      <c r="AD239" s="63"/>
      <c r="AE239" s="63"/>
      <c r="AF239" s="63"/>
      <c r="AG239" s="63"/>
      <c r="AH239" s="63" t="str">
        <f t="shared" si="14"/>
        <v/>
      </c>
      <c r="AI239" s="63" t="str">
        <f>if(AH239,_xlfn.workday.intl(int(AH239),0,"1000000",Holidays!A:A)+18/24,"")</f>
        <v/>
      </c>
      <c r="AJ239" s="64" t="str">
        <f t="shared" si="24"/>
        <v/>
      </c>
      <c r="AL239" s="66" t="str">
        <f t="shared" si="9"/>
        <v/>
      </c>
      <c r="AM239" s="66"/>
      <c r="AN239" s="63" t="str">
        <f>if(AJ239,if(and(hour(AJ239+AN$5)&gt;11,(hour(AJ239+AN$5)&lt;20)),AJ239+AN$5,_xlfn.workday.intl(int(AJ239),1,"1000000",Holidays!A:A)+hour(AJ239+AN$5-$B$1)/24+minute(AJ239)/1440),"")</f>
        <v/>
      </c>
      <c r="AO239" s="64" t="str">
        <f t="shared" si="15"/>
        <v/>
      </c>
      <c r="AQ239" s="66" t="str">
        <f t="shared" si="16"/>
        <v/>
      </c>
      <c r="AR239" s="66"/>
      <c r="AS239" s="63" t="str">
        <f>if(AJ239,if(and(hour(AJ239+AS$5)&gt;11,(hour(AJ239+AS$5)&lt;20)),AJ239+AS$5,_xlfn.workday.intl(int(AJ239),1,"1000000",Holidays!A:A)+hour(AJ239+AS$5-$B$1)/24+minute(AJ239)/1440),"")</f>
        <v/>
      </c>
      <c r="AT239" s="64" t="str">
        <f t="shared" si="21"/>
        <v/>
      </c>
      <c r="AV239" s="66" t="str">
        <f t="shared" si="25"/>
        <v/>
      </c>
      <c r="AW239" s="66"/>
      <c r="AX239" s="56"/>
    </row>
    <row r="240">
      <c r="A240" s="55">
        <v>45113.7047011574</v>
      </c>
      <c r="B240" s="56"/>
      <c r="C240" s="57"/>
      <c r="D240" s="57"/>
      <c r="E240" s="57"/>
      <c r="F240" s="57"/>
      <c r="G240" s="58">
        <f>if(A240,_xlfn.workday.intl(int(A240),1,"1000000",Holidays!A:A)+17/24,"")</f>
        <v>45114.70833</v>
      </c>
      <c r="H240" s="59" t="str">
        <f t="shared" si="23"/>
        <v/>
      </c>
      <c r="I240" s="60"/>
      <c r="J240" s="61">
        <f t="shared" si="2"/>
        <v>1019.275577</v>
      </c>
      <c r="K240" s="58">
        <f>if(G240,_xlfn.workday.intl(int(G240),0,"1000000",Holidays!A:A)+19/24,"")</f>
        <v>45114.79167</v>
      </c>
      <c r="L240" s="59" t="str">
        <f t="shared" si="3"/>
        <v/>
      </c>
      <c r="M240" s="60"/>
      <c r="N240" s="61">
        <f t="shared" si="4"/>
        <v>1019.192243</v>
      </c>
      <c r="O240" s="63">
        <f>if(A240,_xlfn.WORKDAY.INTL(A240,O$5,"1000000",Holidays!A:A)+hour(A240)/24+MINUTE(A240)/1440,"")</f>
        <v>45114.70417</v>
      </c>
      <c r="P240" s="64" t="s">
        <v>2718</v>
      </c>
      <c r="R240" s="66">
        <f t="shared" si="5"/>
        <v>1019.279743</v>
      </c>
      <c r="S240" s="66"/>
      <c r="T240" s="66"/>
      <c r="U240" s="64">
        <f>if(O240,_xlfn.WORKDAY.INTL(O240,U$5,"1000000",Holidays!A:A)+hour(O240)/24+MINUTE(O240)/1440,"")</f>
        <v>45115.70417</v>
      </c>
      <c r="V240" s="64" t="str">
        <f t="shared" si="6"/>
        <v/>
      </c>
      <c r="W240" s="66"/>
      <c r="X240" s="66">
        <f t="shared" si="7"/>
        <v>1018.279743</v>
      </c>
      <c r="Y240" s="66"/>
      <c r="Z240" s="66"/>
      <c r="AA240" s="66"/>
      <c r="AB240" s="63"/>
      <c r="AC240" s="63"/>
      <c r="AD240" s="63"/>
      <c r="AE240" s="63"/>
      <c r="AF240" s="63"/>
      <c r="AG240" s="63"/>
      <c r="AH240" s="63" t="str">
        <f t="shared" si="14"/>
        <v/>
      </c>
      <c r="AI240" s="63" t="str">
        <f>if(AH240,_xlfn.workday.intl(int(AH240),0,"1000000",Holidays!A:A)+18/24,"")</f>
        <v/>
      </c>
      <c r="AJ240" s="64" t="str">
        <f t="shared" si="24"/>
        <v/>
      </c>
      <c r="AL240" s="66" t="str">
        <f t="shared" si="9"/>
        <v/>
      </c>
      <c r="AM240" s="66"/>
      <c r="AN240" s="63" t="str">
        <f>if(AJ240,if(and(hour(AJ240+AN$5)&gt;11,(hour(AJ240+AN$5)&lt;20)),AJ240+AN$5,_xlfn.workday.intl(int(AJ240),1,"1000000",Holidays!A:A)+hour(AJ240+AN$5-$B$1)/24+minute(AJ240)/1440),"")</f>
        <v/>
      </c>
      <c r="AO240" s="64" t="str">
        <f t="shared" si="15"/>
        <v/>
      </c>
      <c r="AQ240" s="66" t="str">
        <f t="shared" si="16"/>
        <v/>
      </c>
      <c r="AR240" s="66"/>
      <c r="AS240" s="63" t="str">
        <f>if(AJ240,if(and(hour(AJ240+AS$5)&gt;11,(hour(AJ240+AS$5)&lt;20)),AJ240+AS$5,_xlfn.workday.intl(int(AJ240),1,"1000000",Holidays!A:A)+hour(AJ240+AS$5-$B$1)/24+minute(AJ240)/1440),"")</f>
        <v/>
      </c>
      <c r="AT240" s="64" t="str">
        <f t="shared" si="21"/>
        <v/>
      </c>
      <c r="AV240" s="66" t="str">
        <f t="shared" si="25"/>
        <v/>
      </c>
      <c r="AW240" s="66"/>
      <c r="AX240" s="56"/>
    </row>
    <row r="241">
      <c r="A241" s="55">
        <v>45113.70105832176</v>
      </c>
      <c r="B241" s="56"/>
      <c r="C241" s="57"/>
      <c r="D241" s="57"/>
      <c r="E241" s="57"/>
      <c r="F241" s="57"/>
      <c r="G241" s="58">
        <f>if(A241,_xlfn.workday.intl(int(A241),1,"1000000",Holidays!A:A)+17/24,"")</f>
        <v>45114.70833</v>
      </c>
      <c r="H241" s="59" t="str">
        <f t="shared" si="23"/>
        <v/>
      </c>
      <c r="I241" s="60"/>
      <c r="J241" s="61">
        <f t="shared" si="2"/>
        <v>1019.275577</v>
      </c>
      <c r="K241" s="58">
        <f>if(G241,_xlfn.workday.intl(int(G241),0,"1000000",Holidays!A:A)+19/24,"")</f>
        <v>45114.79167</v>
      </c>
      <c r="L241" s="59" t="str">
        <f t="shared" si="3"/>
        <v/>
      </c>
      <c r="M241" s="60"/>
      <c r="N241" s="61">
        <f t="shared" si="4"/>
        <v>1019.192243</v>
      </c>
      <c r="O241" s="63">
        <f>if(A241,_xlfn.WORKDAY.INTL(A241,O$5,"1000000",Holidays!A:A)+hour(A241)/24+MINUTE(A241)/1440,"")</f>
        <v>45114.70069</v>
      </c>
      <c r="P241" s="64" t="s">
        <v>2718</v>
      </c>
      <c r="R241" s="66">
        <f t="shared" si="5"/>
        <v>1019.283215</v>
      </c>
      <c r="S241" s="66"/>
      <c r="T241" s="66"/>
      <c r="U241" s="64">
        <f>if(O241,_xlfn.WORKDAY.INTL(O241,U$5,"1000000",Holidays!A:A)+hour(O241)/24+MINUTE(O241)/1440,"")</f>
        <v>45115.70069</v>
      </c>
      <c r="V241" s="64" t="str">
        <f t="shared" si="6"/>
        <v/>
      </c>
      <c r="W241" s="66"/>
      <c r="X241" s="66">
        <f t="shared" si="7"/>
        <v>1018.283215</v>
      </c>
      <c r="Y241" s="66"/>
      <c r="Z241" s="66"/>
      <c r="AA241" s="66"/>
      <c r="AB241" s="63"/>
      <c r="AC241" s="63"/>
      <c r="AD241" s="63"/>
      <c r="AE241" s="63"/>
      <c r="AF241" s="63"/>
      <c r="AG241" s="63"/>
      <c r="AH241" s="63" t="str">
        <f t="shared" si="14"/>
        <v/>
      </c>
      <c r="AI241" s="63" t="str">
        <f>if(AH241,_xlfn.workday.intl(int(AH241),0,"1000000",Holidays!A:A)+18/24,"")</f>
        <v/>
      </c>
      <c r="AJ241" s="64" t="str">
        <f t="shared" si="24"/>
        <v/>
      </c>
      <c r="AL241" s="66" t="str">
        <f t="shared" si="9"/>
        <v/>
      </c>
      <c r="AM241" s="66"/>
      <c r="AN241" s="63" t="str">
        <f>if(AJ241,if(and(hour(AJ241+AN$5)&gt;11,(hour(AJ241+AN$5)&lt;20)),AJ241+AN$5,_xlfn.workday.intl(int(AJ241),1,"1000000",Holidays!A:A)+hour(AJ241+AN$5-$B$1)/24+minute(AJ241)/1440),"")</f>
        <v/>
      </c>
      <c r="AO241" s="64" t="str">
        <f t="shared" si="15"/>
        <v/>
      </c>
      <c r="AQ241" s="66" t="str">
        <f t="shared" si="16"/>
        <v/>
      </c>
      <c r="AR241" s="66"/>
      <c r="AS241" s="63" t="str">
        <f>if(AJ241,if(and(hour(AJ241+AS$5)&gt;11,(hour(AJ241+AS$5)&lt;20)),AJ241+AS$5,_xlfn.workday.intl(int(AJ241),1,"1000000",Holidays!A:A)+hour(AJ241+AS$5-$B$1)/24+minute(AJ241)/1440),"")</f>
        <v/>
      </c>
      <c r="AT241" s="64" t="str">
        <f t="shared" si="21"/>
        <v/>
      </c>
      <c r="AV241" s="66" t="str">
        <f t="shared" si="25"/>
        <v/>
      </c>
      <c r="AW241" s="66"/>
      <c r="AX241" s="56"/>
    </row>
    <row r="242">
      <c r="A242" s="55">
        <v>45112.67155194444</v>
      </c>
      <c r="B242" s="56"/>
      <c r="C242" s="57"/>
      <c r="D242" s="57"/>
      <c r="E242" s="57"/>
      <c r="F242" s="57"/>
      <c r="G242" s="58">
        <f>if(A242,_xlfn.workday.intl(int(A242),1,"1000000",Holidays!A:A)+17/24,"")</f>
        <v>45113.70833</v>
      </c>
      <c r="H242" s="59" t="str">
        <f t="shared" si="23"/>
        <v/>
      </c>
      <c r="I242" s="60"/>
      <c r="J242" s="61">
        <f t="shared" si="2"/>
        <v>1020.275577</v>
      </c>
      <c r="K242" s="58">
        <f>if(G242,_xlfn.workday.intl(int(G242),0,"1000000",Holidays!A:A)+19/24,"")</f>
        <v>45113.79167</v>
      </c>
      <c r="L242" s="59" t="str">
        <f t="shared" si="3"/>
        <v/>
      </c>
      <c r="M242" s="60"/>
      <c r="N242" s="61">
        <f t="shared" si="4"/>
        <v>1020.192243</v>
      </c>
      <c r="O242" s="63">
        <f>if(A242,_xlfn.WORKDAY.INTL(A242,O$5,"1000000",Holidays!A:A)+hour(A242)/24+MINUTE(A242)/1440,"")</f>
        <v>45113.67153</v>
      </c>
      <c r="P242" s="64" t="s">
        <v>2718</v>
      </c>
      <c r="R242" s="66">
        <f t="shared" si="5"/>
        <v>1020.312382</v>
      </c>
      <c r="S242" s="66"/>
      <c r="T242" s="66"/>
      <c r="U242" s="64">
        <f>if(O242,_xlfn.WORKDAY.INTL(O242,U$5,"1000000",Holidays!A:A)+hour(O242)/24+MINUTE(O242)/1440,"")</f>
        <v>45114.67153</v>
      </c>
      <c r="V242" s="64" t="str">
        <f t="shared" si="6"/>
        <v/>
      </c>
      <c r="W242" s="66"/>
      <c r="X242" s="66">
        <f t="shared" si="7"/>
        <v>1019.312382</v>
      </c>
      <c r="Y242" s="66"/>
      <c r="Z242" s="66"/>
      <c r="AA242" s="66"/>
      <c r="AB242" s="63"/>
      <c r="AC242" s="63"/>
      <c r="AD242" s="63"/>
      <c r="AE242" s="63"/>
      <c r="AF242" s="63"/>
      <c r="AG242" s="63"/>
      <c r="AH242" s="63" t="str">
        <f t="shared" si="14"/>
        <v/>
      </c>
      <c r="AI242" s="63" t="str">
        <f>if(AH242,_xlfn.workday.intl(int(AH242),0,"1000000",Holidays!A:A)+18/24,"")</f>
        <v/>
      </c>
      <c r="AJ242" s="64" t="str">
        <f t="shared" si="24"/>
        <v/>
      </c>
      <c r="AL242" s="66" t="str">
        <f t="shared" si="9"/>
        <v/>
      </c>
      <c r="AM242" s="66"/>
      <c r="AN242" s="63" t="str">
        <f>if(AJ242,if(and(hour(AJ242+AN$5)&gt;11,(hour(AJ242+AN$5)&lt;20)),AJ242+AN$5,_xlfn.workday.intl(int(AJ242),1,"1000000",Holidays!A:A)+hour(AJ242+AN$5-$B$1)/24+minute(AJ242)/1440),"")</f>
        <v/>
      </c>
      <c r="AO242" s="64" t="str">
        <f t="shared" si="15"/>
        <v/>
      </c>
      <c r="AQ242" s="66" t="str">
        <f t="shared" si="16"/>
        <v/>
      </c>
      <c r="AR242" s="66"/>
      <c r="AS242" s="63" t="str">
        <f>if(AJ242,if(and(hour(AJ242+AS$5)&gt;11,(hour(AJ242+AS$5)&lt;20)),AJ242+AS$5,_xlfn.workday.intl(int(AJ242),1,"1000000",Holidays!A:A)+hour(AJ242+AS$5-$B$1)/24+minute(AJ242)/1440),"")</f>
        <v/>
      </c>
      <c r="AT242" s="64" t="str">
        <f t="shared" si="21"/>
        <v/>
      </c>
      <c r="AV242" s="66" t="str">
        <f t="shared" si="25"/>
        <v/>
      </c>
      <c r="AW242" s="66"/>
      <c r="AX242" s="56"/>
    </row>
    <row r="243">
      <c r="A243" s="55">
        <v>45113.707171319445</v>
      </c>
      <c r="B243" s="56"/>
      <c r="C243" s="57"/>
      <c r="D243" s="57"/>
      <c r="E243" s="57"/>
      <c r="F243" s="57"/>
      <c r="G243" s="58">
        <f>if(A243,_xlfn.workday.intl(int(A243),1,"1000000",Holidays!A:A)+17/24,"")</f>
        <v>45114.70833</v>
      </c>
      <c r="H243" s="59" t="str">
        <f t="shared" si="23"/>
        <v/>
      </c>
      <c r="I243" s="60"/>
      <c r="J243" s="61">
        <f t="shared" si="2"/>
        <v>1019.275577</v>
      </c>
      <c r="K243" s="58">
        <f>if(G243,_xlfn.workday.intl(int(G243),0,"1000000",Holidays!A:A)+19/24,"")</f>
        <v>45114.79167</v>
      </c>
      <c r="L243" s="59" t="str">
        <f t="shared" si="3"/>
        <v/>
      </c>
      <c r="M243" s="60"/>
      <c r="N243" s="61">
        <f t="shared" si="4"/>
        <v>1019.192243</v>
      </c>
      <c r="O243" s="63">
        <f>if(A243,_xlfn.WORKDAY.INTL(A243,O$5,"1000000",Holidays!A:A)+hour(A243)/24+MINUTE(A243)/1440,"")</f>
        <v>45114.70694</v>
      </c>
      <c r="P243" s="64" t="s">
        <v>2718</v>
      </c>
      <c r="R243" s="66">
        <f t="shared" si="5"/>
        <v>1019.276965</v>
      </c>
      <c r="S243" s="66"/>
      <c r="T243" s="66"/>
      <c r="U243" s="64">
        <f>if(O243,_xlfn.WORKDAY.INTL(O243,U$5,"1000000",Holidays!A:A)+hour(O243)/24+MINUTE(O243)/1440,"")</f>
        <v>45115.70694</v>
      </c>
      <c r="V243" s="64" t="str">
        <f t="shared" si="6"/>
        <v/>
      </c>
      <c r="W243" s="66"/>
      <c r="X243" s="66">
        <f t="shared" si="7"/>
        <v>1018.276965</v>
      </c>
      <c r="Y243" s="66"/>
      <c r="Z243" s="66"/>
      <c r="AA243" s="66"/>
      <c r="AB243" s="63"/>
      <c r="AC243" s="63"/>
      <c r="AD243" s="63"/>
      <c r="AE243" s="63"/>
      <c r="AF243" s="63"/>
      <c r="AG243" s="63"/>
      <c r="AH243" s="63" t="str">
        <f t="shared" si="14"/>
        <v/>
      </c>
      <c r="AI243" s="63" t="str">
        <f>if(AH243,_xlfn.workday.intl(int(AH243),0,"1000000",Holidays!A:A)+18/24,"")</f>
        <v/>
      </c>
      <c r="AJ243" s="64" t="str">
        <f t="shared" si="24"/>
        <v/>
      </c>
      <c r="AL243" s="66" t="str">
        <f t="shared" si="9"/>
        <v/>
      </c>
      <c r="AM243" s="66"/>
      <c r="AN243" s="63" t="str">
        <f>if(AJ243,if(and(hour(AJ243+AN$5)&gt;11,(hour(AJ243+AN$5)&lt;20)),AJ243+AN$5,_xlfn.workday.intl(int(AJ243),1,"1000000",Holidays!A:A)+hour(AJ243+AN$5-$B$1)/24+minute(AJ243)/1440),"")</f>
        <v/>
      </c>
      <c r="AO243" s="64" t="str">
        <f t="shared" si="15"/>
        <v/>
      </c>
      <c r="AQ243" s="66" t="str">
        <f t="shared" si="16"/>
        <v/>
      </c>
      <c r="AR243" s="66"/>
      <c r="AS243" s="63" t="str">
        <f>if(AJ243,if(and(hour(AJ243+AS$5)&gt;11,(hour(AJ243+AS$5)&lt;20)),AJ243+AS$5,_xlfn.workday.intl(int(AJ243),1,"1000000",Holidays!A:A)+hour(AJ243+AS$5-$B$1)/24+minute(AJ243)/1440),"")</f>
        <v/>
      </c>
      <c r="AT243" s="64" t="str">
        <f t="shared" si="21"/>
        <v/>
      </c>
      <c r="AV243" s="66" t="str">
        <f t="shared" si="25"/>
        <v/>
      </c>
      <c r="AW243" s="66"/>
      <c r="AX243" s="56"/>
    </row>
    <row r="244">
      <c r="A244" s="55">
        <v>45113.69959265046</v>
      </c>
      <c r="B244" s="56"/>
      <c r="C244" s="57"/>
      <c r="D244" s="57"/>
      <c r="E244" s="57"/>
      <c r="F244" s="57"/>
      <c r="G244" s="58">
        <f>if(A244,_xlfn.workday.intl(int(A244),1,"1000000",Holidays!A:A)+17/24,"")</f>
        <v>45114.70833</v>
      </c>
      <c r="H244" s="59" t="str">
        <f t="shared" si="23"/>
        <v/>
      </c>
      <c r="I244" s="60"/>
      <c r="J244" s="61">
        <f t="shared" si="2"/>
        <v>1019.275577</v>
      </c>
      <c r="K244" s="58">
        <f>if(G244,_xlfn.workday.intl(int(G244),0,"1000000",Holidays!A:A)+19/24,"")</f>
        <v>45114.79167</v>
      </c>
      <c r="L244" s="59" t="str">
        <f t="shared" si="3"/>
        <v/>
      </c>
      <c r="M244" s="60"/>
      <c r="N244" s="61">
        <f t="shared" si="4"/>
        <v>1019.192243</v>
      </c>
      <c r="O244" s="63">
        <f>if(A244,_xlfn.WORKDAY.INTL(A244,O$5,"1000000",Holidays!A:A)+hour(A244)/24+MINUTE(A244)/1440,"")</f>
        <v>45114.69931</v>
      </c>
      <c r="P244" s="64" t="s">
        <v>2718</v>
      </c>
      <c r="R244" s="66">
        <f t="shared" si="5"/>
        <v>1019.284604</v>
      </c>
      <c r="S244" s="66"/>
      <c r="T244" s="66"/>
      <c r="U244" s="64">
        <f>if(O244,_xlfn.WORKDAY.INTL(O244,U$5,"1000000",Holidays!A:A)+hour(O244)/24+MINUTE(O244)/1440,"")</f>
        <v>45115.69931</v>
      </c>
      <c r="V244" s="64" t="str">
        <f t="shared" si="6"/>
        <v/>
      </c>
      <c r="W244" s="66"/>
      <c r="X244" s="66">
        <f t="shared" si="7"/>
        <v>1018.284604</v>
      </c>
      <c r="Y244" s="66"/>
      <c r="Z244" s="66"/>
      <c r="AA244" s="66"/>
      <c r="AB244" s="63"/>
      <c r="AC244" s="63"/>
      <c r="AD244" s="63"/>
      <c r="AE244" s="63"/>
      <c r="AF244" s="63"/>
      <c r="AG244" s="63"/>
      <c r="AH244" s="63" t="str">
        <f t="shared" si="14"/>
        <v/>
      </c>
      <c r="AI244" s="63" t="str">
        <f>if(AH244,_xlfn.workday.intl(int(AH244),0,"1000000",Holidays!A:A)+18/24,"")</f>
        <v/>
      </c>
      <c r="AJ244" s="64" t="str">
        <f t="shared" si="24"/>
        <v/>
      </c>
      <c r="AL244" s="66" t="str">
        <f t="shared" si="9"/>
        <v/>
      </c>
      <c r="AM244" s="66"/>
      <c r="AN244" s="63" t="str">
        <f>if(AJ244,if(and(hour(AJ244+AN$5)&gt;11,(hour(AJ244+AN$5)&lt;20)),AJ244+AN$5,_xlfn.workday.intl(int(AJ244),1,"1000000",Holidays!A:A)+hour(AJ244+AN$5-$B$1)/24+minute(AJ244)/1440),"")</f>
        <v/>
      </c>
      <c r="AO244" s="64" t="str">
        <f t="shared" si="15"/>
        <v/>
      </c>
      <c r="AQ244" s="66" t="str">
        <f t="shared" si="16"/>
        <v/>
      </c>
      <c r="AR244" s="66"/>
      <c r="AS244" s="63" t="str">
        <f>if(AJ244,if(and(hour(AJ244+AS$5)&gt;11,(hour(AJ244+AS$5)&lt;20)),AJ244+AS$5,_xlfn.workday.intl(int(AJ244),1,"1000000",Holidays!A:A)+hour(AJ244+AS$5-$B$1)/24+minute(AJ244)/1440),"")</f>
        <v/>
      </c>
      <c r="AT244" s="64" t="str">
        <f t="shared" si="21"/>
        <v/>
      </c>
      <c r="AV244" s="66" t="str">
        <f t="shared" si="25"/>
        <v/>
      </c>
      <c r="AW244" s="66"/>
      <c r="AX244" s="56"/>
    </row>
    <row r="245">
      <c r="A245" s="55">
        <v>45115.55740716435</v>
      </c>
      <c r="B245" s="56"/>
      <c r="C245" s="57"/>
      <c r="D245" s="57"/>
      <c r="E245" s="57"/>
      <c r="F245" s="57"/>
      <c r="G245" s="58">
        <f>if(A245,_xlfn.workday.intl(int(A245),1,"1000000",Holidays!A:A)+17/24,"")</f>
        <v>45116.70833</v>
      </c>
      <c r="H245" s="59" t="str">
        <f t="shared" si="23"/>
        <v/>
      </c>
      <c r="I245" s="60"/>
      <c r="J245" s="61">
        <f t="shared" si="2"/>
        <v>1017.275577</v>
      </c>
      <c r="K245" s="58">
        <f>if(G245,_xlfn.workday.intl(int(G245),0,"1000000",Holidays!A:A)+19/24,"")</f>
        <v>45116.79167</v>
      </c>
      <c r="L245" s="59" t="str">
        <f t="shared" si="3"/>
        <v/>
      </c>
      <c r="M245" s="60"/>
      <c r="N245" s="61">
        <f t="shared" si="4"/>
        <v>1017.192243</v>
      </c>
      <c r="O245" s="63">
        <f>if(A245,_xlfn.WORKDAY.INTL(A245,O$5,"1000000",Holidays!A:A)+hour(A245)/24+MINUTE(A245)/1440,"")</f>
        <v>45116.55694</v>
      </c>
      <c r="P245" s="64" t="s">
        <v>2718</v>
      </c>
      <c r="R245" s="66">
        <f t="shared" si="5"/>
        <v>1017.426965</v>
      </c>
      <c r="S245" s="66"/>
      <c r="T245" s="66"/>
      <c r="U245" s="64">
        <f>if(O245,_xlfn.WORKDAY.INTL(O245,U$5,"1000000",Holidays!A:A)+hour(O245)/24+MINUTE(O245)/1440,"")</f>
        <v>45118.55694</v>
      </c>
      <c r="V245" s="64" t="str">
        <f t="shared" si="6"/>
        <v/>
      </c>
      <c r="W245" s="66"/>
      <c r="X245" s="66">
        <f t="shared" si="7"/>
        <v>1015.426965</v>
      </c>
      <c r="Y245" s="66"/>
      <c r="Z245" s="66"/>
      <c r="AA245" s="66"/>
      <c r="AB245" s="63"/>
      <c r="AC245" s="63"/>
      <c r="AD245" s="63"/>
      <c r="AE245" s="63"/>
      <c r="AF245" s="63"/>
      <c r="AG245" s="63"/>
      <c r="AH245" s="63" t="str">
        <f t="shared" si="14"/>
        <v/>
      </c>
      <c r="AI245" s="63" t="str">
        <f>if(AH245,_xlfn.workday.intl(int(AH245),0,"1000000",Holidays!A:A)+18/24,"")</f>
        <v/>
      </c>
      <c r="AJ245" s="64" t="str">
        <f t="shared" si="24"/>
        <v/>
      </c>
      <c r="AL245" s="66" t="str">
        <f t="shared" si="9"/>
        <v/>
      </c>
      <c r="AM245" s="66"/>
      <c r="AN245" s="63" t="str">
        <f>if(AJ245,if(and(hour(AJ245+AN$5)&gt;11,(hour(AJ245+AN$5)&lt;20)),AJ245+AN$5,_xlfn.workday.intl(int(AJ245),1,"1000000",Holidays!A:A)+hour(AJ245+AN$5-$B$1)/24+minute(AJ245)/1440),"")</f>
        <v/>
      </c>
      <c r="AO245" s="64" t="str">
        <f t="shared" si="15"/>
        <v/>
      </c>
      <c r="AQ245" s="66" t="str">
        <f t="shared" si="16"/>
        <v/>
      </c>
      <c r="AR245" s="66"/>
      <c r="AS245" s="63" t="str">
        <f>if(AJ245,if(and(hour(AJ245+AS$5)&gt;11,(hour(AJ245+AS$5)&lt;20)),AJ245+AS$5,_xlfn.workday.intl(int(AJ245),1,"1000000",Holidays!A:A)+hour(AJ245+AS$5-$B$1)/24+minute(AJ245)/1440),"")</f>
        <v/>
      </c>
      <c r="AT245" s="64" t="str">
        <f t="shared" si="21"/>
        <v/>
      </c>
      <c r="AV245" s="66" t="str">
        <f t="shared" si="25"/>
        <v/>
      </c>
      <c r="AW245" s="66"/>
      <c r="AX245" s="56"/>
    </row>
    <row r="246">
      <c r="A246" s="55">
        <v>45114.61066569445</v>
      </c>
      <c r="B246" s="56"/>
      <c r="C246" s="57"/>
      <c r="D246" s="57"/>
      <c r="E246" s="57"/>
      <c r="F246" s="57"/>
      <c r="G246" s="58">
        <f>if(A246,_xlfn.workday.intl(int(A246),1,"1000000",Holidays!A:A)+17/24,"")</f>
        <v>45115.70833</v>
      </c>
      <c r="H246" s="59" t="str">
        <f t="shared" si="23"/>
        <v/>
      </c>
      <c r="I246" s="60"/>
      <c r="J246" s="61">
        <f t="shared" si="2"/>
        <v>1018.275577</v>
      </c>
      <c r="K246" s="58">
        <f>if(G246,_xlfn.workday.intl(int(G246),0,"1000000",Holidays!A:A)+19/24,"")</f>
        <v>45115.79167</v>
      </c>
      <c r="L246" s="59" t="str">
        <f t="shared" si="3"/>
        <v/>
      </c>
      <c r="M246" s="60"/>
      <c r="N246" s="61">
        <f t="shared" si="4"/>
        <v>1018.192243</v>
      </c>
      <c r="O246" s="63">
        <f>if(A246,_xlfn.WORKDAY.INTL(A246,O$5,"1000000",Holidays!A:A)+hour(A246)/24+MINUTE(A246)/1440,"")</f>
        <v>45115.61042</v>
      </c>
      <c r="P246" s="64" t="s">
        <v>2718</v>
      </c>
      <c r="R246" s="66">
        <f t="shared" si="5"/>
        <v>1018.373493</v>
      </c>
      <c r="S246" s="66"/>
      <c r="T246" s="66"/>
      <c r="U246" s="64">
        <f>if(O246,_xlfn.WORKDAY.INTL(O246,U$5,"1000000",Holidays!A:A)+hour(O246)/24+MINUTE(O246)/1440,"")</f>
        <v>45116.61042</v>
      </c>
      <c r="V246" s="64" t="str">
        <f t="shared" si="6"/>
        <v/>
      </c>
      <c r="W246" s="66"/>
      <c r="X246" s="66">
        <f t="shared" si="7"/>
        <v>1017.373493</v>
      </c>
      <c r="Y246" s="66"/>
      <c r="Z246" s="66"/>
      <c r="AA246" s="66"/>
      <c r="AB246" s="63"/>
      <c r="AC246" s="63"/>
      <c r="AD246" s="63"/>
      <c r="AE246" s="63"/>
      <c r="AF246" s="63"/>
      <c r="AG246" s="63"/>
      <c r="AH246" s="63" t="str">
        <f t="shared" si="14"/>
        <v/>
      </c>
      <c r="AI246" s="63" t="str">
        <f>if(AH246,_xlfn.workday.intl(int(AH246),0,"1000000",Holidays!A:A)+18/24,"")</f>
        <v/>
      </c>
      <c r="AJ246" s="64" t="str">
        <f t="shared" si="24"/>
        <v/>
      </c>
      <c r="AL246" s="66" t="str">
        <f t="shared" si="9"/>
        <v/>
      </c>
      <c r="AM246" s="66"/>
      <c r="AN246" s="63" t="str">
        <f>if(AJ246,if(and(hour(AJ246+AN$5)&gt;11,(hour(AJ246+AN$5)&lt;20)),AJ246+AN$5,_xlfn.workday.intl(int(AJ246),1,"1000000",Holidays!A:A)+hour(AJ246+AN$5-$B$1)/24+minute(AJ246)/1440),"")</f>
        <v/>
      </c>
      <c r="AO246" s="64" t="str">
        <f t="shared" si="15"/>
        <v/>
      </c>
      <c r="AQ246" s="66" t="str">
        <f t="shared" si="16"/>
        <v/>
      </c>
      <c r="AR246" s="66"/>
      <c r="AS246" s="63" t="str">
        <f>if(AJ246,if(and(hour(AJ246+AS$5)&gt;11,(hour(AJ246+AS$5)&lt;20)),AJ246+AS$5,_xlfn.workday.intl(int(AJ246),1,"1000000",Holidays!A:A)+hour(AJ246+AS$5-$B$1)/24+minute(AJ246)/1440),"")</f>
        <v/>
      </c>
      <c r="AT246" s="64" t="str">
        <f t="shared" si="21"/>
        <v/>
      </c>
      <c r="AV246" s="66" t="str">
        <f t="shared" si="25"/>
        <v/>
      </c>
      <c r="AW246" s="66"/>
      <c r="AX246" s="56"/>
    </row>
    <row r="247">
      <c r="A247" s="55">
        <v>45115.578478773146</v>
      </c>
      <c r="B247" s="56"/>
      <c r="C247" s="57"/>
      <c r="D247" s="57"/>
      <c r="E247" s="57"/>
      <c r="F247" s="57"/>
      <c r="G247" s="58">
        <f>if(A247,_xlfn.workday.intl(int(A247),1,"1000000",Holidays!A:A)+17/24,"")</f>
        <v>45116.70833</v>
      </c>
      <c r="H247" s="59" t="str">
        <f t="shared" si="23"/>
        <v/>
      </c>
      <c r="I247" s="60"/>
      <c r="J247" s="61">
        <f t="shared" si="2"/>
        <v>1017.275577</v>
      </c>
      <c r="K247" s="58">
        <f>if(G247,_xlfn.workday.intl(int(G247),0,"1000000",Holidays!A:A)+19/24,"")</f>
        <v>45116.79167</v>
      </c>
      <c r="L247" s="59" t="str">
        <f t="shared" si="3"/>
        <v/>
      </c>
      <c r="M247" s="60"/>
      <c r="N247" s="61">
        <f t="shared" si="4"/>
        <v>1017.192243</v>
      </c>
      <c r="O247" s="63">
        <f>if(A247,_xlfn.WORKDAY.INTL(A247,O$5,"1000000",Holidays!A:A)+hour(A247)/24+MINUTE(A247)/1440,"")</f>
        <v>45116.57847</v>
      </c>
      <c r="P247" s="64" t="s">
        <v>2718</v>
      </c>
      <c r="R247" s="66">
        <f t="shared" si="5"/>
        <v>1017.405438</v>
      </c>
      <c r="S247" s="66"/>
      <c r="T247" s="66"/>
      <c r="U247" s="64">
        <f>if(O247,_xlfn.WORKDAY.INTL(O247,U$5,"1000000",Holidays!A:A)+hour(O247)/24+MINUTE(O247)/1440,"")</f>
        <v>45118.57847</v>
      </c>
      <c r="V247" s="64" t="str">
        <f t="shared" si="6"/>
        <v/>
      </c>
      <c r="W247" s="66"/>
      <c r="X247" s="66">
        <f t="shared" si="7"/>
        <v>1015.405438</v>
      </c>
      <c r="Y247" s="66"/>
      <c r="Z247" s="66"/>
      <c r="AA247" s="66"/>
      <c r="AB247" s="63"/>
      <c r="AC247" s="63"/>
      <c r="AD247" s="63"/>
      <c r="AE247" s="63"/>
      <c r="AF247" s="63"/>
      <c r="AG247" s="63"/>
      <c r="AH247" s="63" t="str">
        <f t="shared" si="14"/>
        <v/>
      </c>
      <c r="AI247" s="63" t="str">
        <f>if(AH247,_xlfn.workday.intl(int(AH247),0,"1000000",Holidays!A:A)+18/24,"")</f>
        <v/>
      </c>
      <c r="AJ247" s="64" t="str">
        <f t="shared" si="24"/>
        <v/>
      </c>
      <c r="AL247" s="66" t="str">
        <f t="shared" si="9"/>
        <v/>
      </c>
      <c r="AM247" s="66"/>
      <c r="AN247" s="63" t="str">
        <f>if(AJ247,if(and(hour(AJ247+AN$5)&gt;11,(hour(AJ247+AN$5)&lt;20)),AJ247+AN$5,_xlfn.workday.intl(int(AJ247),1,"1000000",Holidays!A:A)+hour(AJ247+AN$5-$B$1)/24+minute(AJ247)/1440),"")</f>
        <v/>
      </c>
      <c r="AO247" s="64" t="str">
        <f t="shared" si="15"/>
        <v/>
      </c>
      <c r="AQ247" s="66" t="str">
        <f t="shared" si="16"/>
        <v/>
      </c>
      <c r="AR247" s="66"/>
      <c r="AS247" s="63" t="str">
        <f>if(AJ247,if(and(hour(AJ247+AS$5)&gt;11,(hour(AJ247+AS$5)&lt;20)),AJ247+AS$5,_xlfn.workday.intl(int(AJ247),1,"1000000",Holidays!A:A)+hour(AJ247+AS$5-$B$1)/24+minute(AJ247)/1440),"")</f>
        <v/>
      </c>
      <c r="AT247" s="64" t="str">
        <f t="shared" si="21"/>
        <v/>
      </c>
      <c r="AV247" s="66" t="str">
        <f t="shared" si="25"/>
        <v/>
      </c>
      <c r="AW247" s="66"/>
      <c r="AX247" s="56"/>
    </row>
    <row r="248">
      <c r="A248" s="55">
        <v>45119.533983009256</v>
      </c>
      <c r="B248" s="56"/>
      <c r="C248" s="57"/>
      <c r="D248" s="57"/>
      <c r="E248" s="57"/>
      <c r="F248" s="57"/>
      <c r="G248" s="58">
        <f>if(A248,_xlfn.workday.intl(int(A248),1,"1000000",Holidays!A:A)+17/24,"")</f>
        <v>45120.70833</v>
      </c>
      <c r="H248" s="59" t="str">
        <f t="shared" si="23"/>
        <v/>
      </c>
      <c r="I248" s="60"/>
      <c r="J248" s="61">
        <f t="shared" si="2"/>
        <v>1013.275577</v>
      </c>
      <c r="K248" s="58">
        <f>if(G248,_xlfn.workday.intl(int(G248),0,"1000000",Holidays!A:A)+19/24,"")</f>
        <v>45120.79167</v>
      </c>
      <c r="L248" s="59" t="str">
        <f t="shared" si="3"/>
        <v/>
      </c>
      <c r="M248" s="60"/>
      <c r="N248" s="61">
        <f t="shared" si="4"/>
        <v>1013.192243</v>
      </c>
      <c r="O248" s="63">
        <f>if(A248,_xlfn.WORKDAY.INTL(A248,O$5,"1000000",Holidays!A:A)+hour(A248)/24+MINUTE(A248)/1440,"")</f>
        <v>45120.53333</v>
      </c>
      <c r="P248" s="64" t="s">
        <v>2718</v>
      </c>
      <c r="R248" s="66">
        <f t="shared" si="5"/>
        <v>1013.450577</v>
      </c>
      <c r="S248" s="66"/>
      <c r="T248" s="66"/>
      <c r="U248" s="64">
        <f>if(O248,_xlfn.WORKDAY.INTL(O248,U$5,"1000000",Holidays!A:A)+hour(O248)/24+MINUTE(O248)/1440,"")</f>
        <v>45121.53333</v>
      </c>
      <c r="V248" s="64" t="str">
        <f t="shared" si="6"/>
        <v/>
      </c>
      <c r="W248" s="66"/>
      <c r="X248" s="66">
        <f t="shared" si="7"/>
        <v>1012.450577</v>
      </c>
      <c r="Y248" s="66"/>
      <c r="Z248" s="66"/>
      <c r="AA248" s="66"/>
      <c r="AB248" s="63"/>
      <c r="AC248" s="63"/>
      <c r="AD248" s="63"/>
      <c r="AE248" s="63"/>
      <c r="AF248" s="63"/>
      <c r="AG248" s="63"/>
      <c r="AH248" s="63" t="str">
        <f t="shared" si="14"/>
        <v/>
      </c>
      <c r="AI248" s="63" t="str">
        <f>if(AH248,_xlfn.workday.intl(int(AH248),0,"1000000",Holidays!A:A)+18/24,"")</f>
        <v/>
      </c>
      <c r="AJ248" s="64" t="str">
        <f t="shared" si="24"/>
        <v/>
      </c>
      <c r="AL248" s="66" t="str">
        <f t="shared" si="9"/>
        <v/>
      </c>
      <c r="AM248" s="66"/>
      <c r="AN248" s="63" t="str">
        <f>if(AJ248,if(and(hour(AJ248+AN$5)&gt;11,(hour(AJ248+AN$5)&lt;20)),AJ248+AN$5,_xlfn.workday.intl(int(AJ248),1,"1000000",Holidays!A:A)+hour(AJ248+AN$5-$B$1)/24+minute(AJ248)/1440),"")</f>
        <v/>
      </c>
      <c r="AO248" s="64" t="str">
        <f t="shared" si="15"/>
        <v/>
      </c>
      <c r="AQ248" s="66" t="str">
        <f t="shared" si="16"/>
        <v/>
      </c>
      <c r="AR248" s="66"/>
      <c r="AS248" s="63" t="str">
        <f>if(AJ248,if(and(hour(AJ248+AS$5)&gt;11,(hour(AJ248+AS$5)&lt;20)),AJ248+AS$5,_xlfn.workday.intl(int(AJ248),1,"1000000",Holidays!A:A)+hour(AJ248+AS$5-$B$1)/24+minute(AJ248)/1440),"")</f>
        <v/>
      </c>
      <c r="AT248" s="64" t="str">
        <f t="shared" si="21"/>
        <v/>
      </c>
      <c r="AV248" s="66" t="str">
        <f t="shared" si="25"/>
        <v/>
      </c>
      <c r="AW248" s="66"/>
      <c r="AX248" s="56"/>
    </row>
    <row r="249">
      <c r="A249" s="55">
        <v>45119.63702692129</v>
      </c>
      <c r="B249" s="56"/>
      <c r="C249" s="57"/>
      <c r="D249" s="57"/>
      <c r="E249" s="57"/>
      <c r="F249" s="57"/>
      <c r="G249" s="58">
        <f>if(A249,_xlfn.workday.intl(int(A249),1,"1000000",Holidays!A:A)+17/24,"")</f>
        <v>45120.70833</v>
      </c>
      <c r="H249" s="59" t="str">
        <f t="shared" si="23"/>
        <v/>
      </c>
      <c r="I249" s="60"/>
      <c r="J249" s="61">
        <f t="shared" si="2"/>
        <v>1013.275577</v>
      </c>
      <c r="K249" s="58">
        <f>if(G249,_xlfn.workday.intl(int(G249),0,"1000000",Holidays!A:A)+19/24,"")</f>
        <v>45120.79167</v>
      </c>
      <c r="L249" s="59" t="str">
        <f t="shared" si="3"/>
        <v/>
      </c>
      <c r="M249" s="60"/>
      <c r="N249" s="61">
        <f t="shared" si="4"/>
        <v>1013.192243</v>
      </c>
      <c r="O249" s="63">
        <f>if(A249,_xlfn.WORKDAY.INTL(A249,O$5,"1000000",Holidays!A:A)+hour(A249)/24+MINUTE(A249)/1440,"")</f>
        <v>45120.63681</v>
      </c>
      <c r="P249" s="64" t="s">
        <v>2718</v>
      </c>
      <c r="R249" s="66">
        <f t="shared" si="5"/>
        <v>1013.347104</v>
      </c>
      <c r="S249" s="66"/>
      <c r="T249" s="66"/>
      <c r="U249" s="64">
        <f>if(O249,_xlfn.WORKDAY.INTL(O249,U$5,"1000000",Holidays!A:A)+hour(O249)/24+MINUTE(O249)/1440,"")</f>
        <v>45121.63681</v>
      </c>
      <c r="V249" s="64" t="str">
        <f t="shared" si="6"/>
        <v/>
      </c>
      <c r="W249" s="66"/>
      <c r="X249" s="66">
        <f t="shared" si="7"/>
        <v>1012.347104</v>
      </c>
      <c r="Y249" s="66"/>
      <c r="Z249" s="66"/>
      <c r="AA249" s="66"/>
      <c r="AB249" s="63"/>
      <c r="AC249" s="63"/>
      <c r="AD249" s="63"/>
      <c r="AE249" s="63"/>
      <c r="AF249" s="63"/>
      <c r="AG249" s="63"/>
      <c r="AH249" s="63" t="str">
        <f t="shared" si="14"/>
        <v/>
      </c>
      <c r="AI249" s="63" t="str">
        <f>if(AH249,_xlfn.workday.intl(int(AH249),0,"1000000",Holidays!A:A)+18/24,"")</f>
        <v/>
      </c>
      <c r="AJ249" s="64" t="str">
        <f t="shared" si="24"/>
        <v/>
      </c>
      <c r="AL249" s="66" t="str">
        <f t="shared" si="9"/>
        <v/>
      </c>
      <c r="AM249" s="66"/>
      <c r="AN249" s="63" t="str">
        <f>if(AJ249,if(and(hour(AJ249+AN$5)&gt;11,(hour(AJ249+AN$5)&lt;20)),AJ249+AN$5,_xlfn.workday.intl(int(AJ249),1,"1000000",Holidays!A:A)+hour(AJ249+AN$5-$B$1)/24+minute(AJ249)/1440),"")</f>
        <v/>
      </c>
      <c r="AO249" s="64" t="str">
        <f t="shared" si="15"/>
        <v/>
      </c>
      <c r="AQ249" s="66" t="str">
        <f t="shared" si="16"/>
        <v/>
      </c>
      <c r="AR249" s="66"/>
      <c r="AS249" s="63" t="str">
        <f>if(AJ249,if(and(hour(AJ249+AS$5)&gt;11,(hour(AJ249+AS$5)&lt;20)),AJ249+AS$5,_xlfn.workday.intl(int(AJ249),1,"1000000",Holidays!A:A)+hour(AJ249+AS$5-$B$1)/24+minute(AJ249)/1440),"")</f>
        <v/>
      </c>
      <c r="AT249" s="64" t="str">
        <f t="shared" si="21"/>
        <v/>
      </c>
      <c r="AV249" s="66" t="str">
        <f t="shared" si="25"/>
        <v/>
      </c>
      <c r="AW249" s="66"/>
      <c r="AX249" s="56"/>
    </row>
    <row r="250">
      <c r="A250" s="55">
        <v>45120.74850802083</v>
      </c>
      <c r="B250" s="56"/>
      <c r="C250" s="57"/>
      <c r="D250" s="57"/>
      <c r="E250" s="57"/>
      <c r="F250" s="57"/>
      <c r="G250" s="58">
        <f>if(A250,_xlfn.workday.intl(int(A250),1,"1000000",Holidays!A:A)+17/24,"")</f>
        <v>45121.70833</v>
      </c>
      <c r="H250" s="59" t="str">
        <f t="shared" si="23"/>
        <v/>
      </c>
      <c r="I250" s="60"/>
      <c r="J250" s="61">
        <f t="shared" si="2"/>
        <v>1012.275577</v>
      </c>
      <c r="K250" s="58">
        <f>if(G250,_xlfn.workday.intl(int(G250),0,"1000000",Holidays!A:A)+19/24,"")</f>
        <v>45121.79167</v>
      </c>
      <c r="L250" s="59" t="str">
        <f t="shared" si="3"/>
        <v/>
      </c>
      <c r="M250" s="60"/>
      <c r="N250" s="61">
        <f t="shared" si="4"/>
        <v>1012.192243</v>
      </c>
      <c r="O250" s="63">
        <f>if(A250,_xlfn.WORKDAY.INTL(A250,O$5,"1000000",Holidays!A:A)+hour(A250)/24+MINUTE(A250)/1440,"")</f>
        <v>45121.74792</v>
      </c>
      <c r="P250" s="64" t="s">
        <v>2718</v>
      </c>
      <c r="R250" s="66">
        <f t="shared" si="5"/>
        <v>1012.235993</v>
      </c>
      <c r="S250" s="66"/>
      <c r="T250" s="66"/>
      <c r="U250" s="64">
        <f>if(O250,_xlfn.WORKDAY.INTL(O250,U$5,"1000000",Holidays!A:A)+hour(O250)/24+MINUTE(O250)/1440,"")</f>
        <v>45122.74792</v>
      </c>
      <c r="V250" s="64" t="str">
        <f t="shared" si="6"/>
        <v/>
      </c>
      <c r="W250" s="66"/>
      <c r="X250" s="66">
        <f t="shared" si="7"/>
        <v>1011.235993</v>
      </c>
      <c r="Y250" s="66"/>
      <c r="Z250" s="66"/>
      <c r="AA250" s="66"/>
      <c r="AB250" s="63"/>
      <c r="AC250" s="63"/>
      <c r="AD250" s="63"/>
      <c r="AE250" s="63"/>
      <c r="AF250" s="63"/>
      <c r="AG250" s="63"/>
      <c r="AH250" s="63" t="str">
        <f t="shared" si="14"/>
        <v/>
      </c>
      <c r="AI250" s="63" t="str">
        <f>if(AH250,_xlfn.workday.intl(int(AH250),0,"1000000",Holidays!A:A)+18/24,"")</f>
        <v/>
      </c>
      <c r="AJ250" s="64" t="str">
        <f t="shared" si="24"/>
        <v/>
      </c>
      <c r="AL250" s="66" t="str">
        <f t="shared" si="9"/>
        <v/>
      </c>
      <c r="AM250" s="66"/>
      <c r="AN250" s="63" t="str">
        <f>if(AJ250,if(and(hour(AJ250+AN$5)&gt;11,(hour(AJ250+AN$5)&lt;20)),AJ250+AN$5,_xlfn.workday.intl(int(AJ250),1,"1000000",Holidays!A:A)+hour(AJ250+AN$5-$B$1)/24+minute(AJ250)/1440),"")</f>
        <v/>
      </c>
      <c r="AO250" s="64" t="str">
        <f t="shared" si="15"/>
        <v/>
      </c>
      <c r="AQ250" s="66" t="str">
        <f t="shared" si="16"/>
        <v/>
      </c>
      <c r="AR250" s="66"/>
      <c r="AS250" s="63" t="str">
        <f>if(AJ250,if(and(hour(AJ250+AS$5)&gt;11,(hour(AJ250+AS$5)&lt;20)),AJ250+AS$5,_xlfn.workday.intl(int(AJ250),1,"1000000",Holidays!A:A)+hour(AJ250+AS$5-$B$1)/24+minute(AJ250)/1440),"")</f>
        <v/>
      </c>
      <c r="AT250" s="64" t="str">
        <f t="shared" si="21"/>
        <v/>
      </c>
      <c r="AV250" s="66" t="str">
        <f t="shared" si="25"/>
        <v/>
      </c>
      <c r="AW250" s="66"/>
      <c r="AX250" s="56"/>
    </row>
    <row r="251">
      <c r="A251" s="55">
        <v>45121.726081863424</v>
      </c>
      <c r="B251" s="56"/>
      <c r="C251" s="57"/>
      <c r="D251" s="57"/>
      <c r="E251" s="57"/>
      <c r="F251" s="57"/>
      <c r="G251" s="58">
        <f>if(A251,_xlfn.workday.intl(int(A251),1,"1000000",Holidays!A:A)+17/24,"")</f>
        <v>45122.70833</v>
      </c>
      <c r="H251" s="59" t="str">
        <f t="shared" si="23"/>
        <v/>
      </c>
      <c r="I251" s="60"/>
      <c r="J251" s="61">
        <f t="shared" si="2"/>
        <v>1011.275577</v>
      </c>
      <c r="K251" s="58">
        <f>if(G251,_xlfn.workday.intl(int(G251),0,"1000000",Holidays!A:A)+19/24,"")</f>
        <v>45122.79167</v>
      </c>
      <c r="L251" s="59" t="str">
        <f t="shared" si="3"/>
        <v/>
      </c>
      <c r="M251" s="60"/>
      <c r="N251" s="61">
        <f t="shared" si="4"/>
        <v>1011.192243</v>
      </c>
      <c r="O251" s="63">
        <f>if(A251,_xlfn.WORKDAY.INTL(A251,O$5,"1000000",Holidays!A:A)+hour(A251)/24+MINUTE(A251)/1440,"")</f>
        <v>45122.72569</v>
      </c>
      <c r="P251" s="64" t="s">
        <v>2718</v>
      </c>
      <c r="R251" s="66">
        <f t="shared" si="5"/>
        <v>1011.258215</v>
      </c>
      <c r="S251" s="66"/>
      <c r="T251" s="66"/>
      <c r="U251" s="64">
        <f>if(O251,_xlfn.WORKDAY.INTL(O251,U$5,"1000000",Holidays!A:A)+hour(O251)/24+MINUTE(O251)/1440,"")</f>
        <v>45123.72569</v>
      </c>
      <c r="V251" s="64" t="str">
        <f t="shared" si="6"/>
        <v/>
      </c>
      <c r="W251" s="66"/>
      <c r="X251" s="66">
        <f t="shared" si="7"/>
        <v>1010.258215</v>
      </c>
      <c r="Y251" s="66"/>
      <c r="Z251" s="66"/>
      <c r="AA251" s="66"/>
      <c r="AB251" s="63"/>
      <c r="AC251" s="63"/>
      <c r="AD251" s="63"/>
      <c r="AE251" s="63"/>
      <c r="AF251" s="63"/>
      <c r="AG251" s="63"/>
      <c r="AH251" s="63" t="str">
        <f t="shared" si="14"/>
        <v/>
      </c>
      <c r="AI251" s="63" t="str">
        <f>if(AH251,_xlfn.workday.intl(int(AH251),0,"1000000",Holidays!A:A)+18/24,"")</f>
        <v/>
      </c>
      <c r="AJ251" s="64" t="str">
        <f t="shared" si="24"/>
        <v/>
      </c>
      <c r="AL251" s="66" t="str">
        <f t="shared" si="9"/>
        <v/>
      </c>
      <c r="AM251" s="66"/>
      <c r="AN251" s="63" t="str">
        <f>if(AJ251,if(and(hour(AJ251+AN$5)&gt;11,(hour(AJ251+AN$5)&lt;20)),AJ251+AN$5,_xlfn.workday.intl(int(AJ251),1,"1000000",Holidays!A:A)+hour(AJ251+AN$5-$B$1)/24+minute(AJ251)/1440),"")</f>
        <v/>
      </c>
      <c r="AO251" s="64" t="str">
        <f t="shared" si="15"/>
        <v/>
      </c>
      <c r="AQ251" s="66" t="str">
        <f t="shared" si="16"/>
        <v/>
      </c>
      <c r="AR251" s="66"/>
      <c r="AS251" s="63" t="str">
        <f>if(AJ251,if(and(hour(AJ251+AS$5)&gt;11,(hour(AJ251+AS$5)&lt;20)),AJ251+AS$5,_xlfn.workday.intl(int(AJ251),1,"1000000",Holidays!A:A)+hour(AJ251+AS$5-$B$1)/24+minute(AJ251)/1440),"")</f>
        <v/>
      </c>
      <c r="AT251" s="64" t="str">
        <f t="shared" si="21"/>
        <v/>
      </c>
      <c r="AV251" s="66" t="str">
        <f t="shared" si="25"/>
        <v/>
      </c>
      <c r="AW251" s="66"/>
      <c r="AX251" s="56"/>
    </row>
    <row r="252">
      <c r="A252" s="55">
        <v>45123.555528321755</v>
      </c>
      <c r="B252" s="56"/>
      <c r="C252" s="57"/>
      <c r="D252" s="57"/>
      <c r="E252" s="57"/>
      <c r="F252" s="57"/>
      <c r="G252" s="58">
        <f>if(A252,_xlfn.workday.intl(int(A252),1,"1000000",Holidays!A:A)+17/24,"")</f>
        <v>45125.70833</v>
      </c>
      <c r="H252" s="59" t="str">
        <f t="shared" si="23"/>
        <v/>
      </c>
      <c r="I252" s="60"/>
      <c r="J252" s="61">
        <f t="shared" si="2"/>
        <v>1008.275577</v>
      </c>
      <c r="K252" s="58">
        <f>if(G252,_xlfn.workday.intl(int(G252),0,"1000000",Holidays!A:A)+19/24,"")</f>
        <v>45125.79167</v>
      </c>
      <c r="L252" s="59" t="str">
        <f t="shared" si="3"/>
        <v/>
      </c>
      <c r="M252" s="60"/>
      <c r="N252" s="61">
        <f t="shared" si="4"/>
        <v>1008.192243</v>
      </c>
      <c r="O252" s="63">
        <f>if(A252,_xlfn.WORKDAY.INTL(A252,O$5,"1000000",Holidays!A:A)+hour(A252)/24+MINUTE(A252)/1440,"")</f>
        <v>45125.55486</v>
      </c>
      <c r="P252" s="64" t="s">
        <v>2718</v>
      </c>
      <c r="R252" s="66">
        <f t="shared" si="5"/>
        <v>1008.429049</v>
      </c>
      <c r="S252" s="66"/>
      <c r="T252" s="66"/>
      <c r="U252" s="64">
        <f>if(O252,_xlfn.WORKDAY.INTL(O252,U$5,"1000000",Holidays!A:A)+hour(O252)/24+MINUTE(O252)/1440,"")</f>
        <v>45126.55486</v>
      </c>
      <c r="V252" s="64" t="str">
        <f t="shared" si="6"/>
        <v/>
      </c>
      <c r="W252" s="66"/>
      <c r="X252" s="66">
        <f t="shared" si="7"/>
        <v>1007.429049</v>
      </c>
      <c r="Y252" s="66"/>
      <c r="Z252" s="66"/>
      <c r="AA252" s="66"/>
      <c r="AB252" s="63"/>
      <c r="AC252" s="63"/>
      <c r="AD252" s="63"/>
      <c r="AE252" s="63"/>
      <c r="AF252" s="63"/>
      <c r="AG252" s="63"/>
      <c r="AH252" s="63" t="str">
        <f t="shared" si="14"/>
        <v/>
      </c>
      <c r="AI252" s="63" t="str">
        <f>if(AH252,_xlfn.workday.intl(int(AH252),0,"1000000",Holidays!A:A)+18/24,"")</f>
        <v/>
      </c>
      <c r="AJ252" s="64" t="str">
        <f t="shared" si="24"/>
        <v/>
      </c>
      <c r="AL252" s="66" t="str">
        <f t="shared" si="9"/>
        <v/>
      </c>
      <c r="AM252" s="66"/>
      <c r="AN252" s="63" t="str">
        <f>if(AJ252,if(and(hour(AJ252+AN$5)&gt;11,(hour(AJ252+AN$5)&lt;20)),AJ252+AN$5,_xlfn.workday.intl(int(AJ252),1,"1000000",Holidays!A:A)+hour(AJ252+AN$5-$B$1)/24+minute(AJ252)/1440),"")</f>
        <v/>
      </c>
      <c r="AO252" s="64" t="str">
        <f t="shared" si="15"/>
        <v/>
      </c>
      <c r="AQ252" s="66" t="str">
        <f t="shared" si="16"/>
        <v/>
      </c>
      <c r="AR252" s="66"/>
      <c r="AS252" s="63" t="str">
        <f>if(AJ252,if(and(hour(AJ252+AS$5)&gt;11,(hour(AJ252+AS$5)&lt;20)),AJ252+AS$5,_xlfn.workday.intl(int(AJ252),1,"1000000",Holidays!A:A)+hour(AJ252+AS$5-$B$1)/24+minute(AJ252)/1440),"")</f>
        <v/>
      </c>
      <c r="AT252" s="64" t="str">
        <f t="shared" si="21"/>
        <v/>
      </c>
      <c r="AV252" s="66" t="str">
        <f t="shared" si="25"/>
        <v/>
      </c>
      <c r="AW252" s="66"/>
      <c r="AX252" s="56"/>
    </row>
    <row r="253">
      <c r="A253" s="55">
        <v>45123.558831180555</v>
      </c>
      <c r="B253" s="56"/>
      <c r="C253" s="57"/>
      <c r="D253" s="57"/>
      <c r="E253" s="57"/>
      <c r="F253" s="57"/>
      <c r="G253" s="58">
        <f>if(A253,_xlfn.workday.intl(int(A253),1,"1000000",Holidays!A:A)+17/24,"")</f>
        <v>45125.70833</v>
      </c>
      <c r="H253" s="59" t="str">
        <f t="shared" si="23"/>
        <v/>
      </c>
      <c r="I253" s="60"/>
      <c r="J253" s="61">
        <f t="shared" si="2"/>
        <v>1008.275577</v>
      </c>
      <c r="K253" s="58">
        <f>if(G253,_xlfn.workday.intl(int(G253),0,"1000000",Holidays!A:A)+19/24,"")</f>
        <v>45125.79167</v>
      </c>
      <c r="L253" s="59" t="str">
        <f t="shared" si="3"/>
        <v/>
      </c>
      <c r="M253" s="60"/>
      <c r="N253" s="61">
        <f t="shared" si="4"/>
        <v>1008.192243</v>
      </c>
      <c r="O253" s="63">
        <f>if(A253,_xlfn.WORKDAY.INTL(A253,O$5,"1000000",Holidays!A:A)+hour(A253)/24+MINUTE(A253)/1440,"")</f>
        <v>45125.55833</v>
      </c>
      <c r="P253" s="64" t="s">
        <v>2718</v>
      </c>
      <c r="R253" s="66">
        <f t="shared" si="5"/>
        <v>1008.425577</v>
      </c>
      <c r="S253" s="66"/>
      <c r="T253" s="66"/>
      <c r="U253" s="64">
        <f>if(O253,_xlfn.WORKDAY.INTL(O253,U$5,"1000000",Holidays!A:A)+hour(O253)/24+MINUTE(O253)/1440,"")</f>
        <v>45126.55833</v>
      </c>
      <c r="V253" s="64" t="str">
        <f t="shared" si="6"/>
        <v/>
      </c>
      <c r="W253" s="66"/>
      <c r="X253" s="66">
        <f t="shared" si="7"/>
        <v>1007.425577</v>
      </c>
      <c r="Y253" s="66"/>
      <c r="Z253" s="66"/>
      <c r="AA253" s="66"/>
      <c r="AB253" s="63"/>
      <c r="AC253" s="63"/>
      <c r="AD253" s="63"/>
      <c r="AE253" s="63"/>
      <c r="AF253" s="63"/>
      <c r="AG253" s="63"/>
      <c r="AH253" s="63" t="str">
        <f t="shared" si="14"/>
        <v/>
      </c>
      <c r="AI253" s="63" t="str">
        <f>if(AH253,_xlfn.workday.intl(int(AH253),0,"1000000",Holidays!A:A)+18/24,"")</f>
        <v/>
      </c>
      <c r="AJ253" s="64" t="str">
        <f t="shared" si="24"/>
        <v/>
      </c>
      <c r="AL253" s="66" t="str">
        <f t="shared" si="9"/>
        <v/>
      </c>
      <c r="AM253" s="66"/>
      <c r="AN253" s="63" t="str">
        <f>if(AJ253,if(and(hour(AJ253+AN$5)&gt;11,(hour(AJ253+AN$5)&lt;20)),AJ253+AN$5,_xlfn.workday.intl(int(AJ253),1,"1000000",Holidays!A:A)+hour(AJ253+AN$5-$B$1)/24+minute(AJ253)/1440),"")</f>
        <v/>
      </c>
      <c r="AO253" s="64" t="str">
        <f t="shared" si="15"/>
        <v/>
      </c>
      <c r="AQ253" s="66" t="str">
        <f t="shared" si="16"/>
        <v/>
      </c>
      <c r="AR253" s="66"/>
      <c r="AS253" s="63" t="str">
        <f>if(AJ253,if(and(hour(AJ253+AS$5)&gt;11,(hour(AJ253+AS$5)&lt;20)),AJ253+AS$5,_xlfn.workday.intl(int(AJ253),1,"1000000",Holidays!A:A)+hour(AJ253+AS$5-$B$1)/24+minute(AJ253)/1440),"")</f>
        <v/>
      </c>
      <c r="AT253" s="64" t="str">
        <f t="shared" si="21"/>
        <v/>
      </c>
      <c r="AV253" s="66" t="str">
        <f t="shared" si="25"/>
        <v/>
      </c>
      <c r="AW253" s="66"/>
      <c r="AX253" s="56"/>
    </row>
    <row r="254">
      <c r="A254" s="55">
        <v>45125.550280173615</v>
      </c>
      <c r="B254" s="56"/>
      <c r="C254" s="57"/>
      <c r="D254" s="57"/>
      <c r="E254" s="57"/>
      <c r="F254" s="57"/>
      <c r="G254" s="58">
        <f>if(A254,_xlfn.workday.intl(int(A254),1,"1000000",Holidays!A:A)+17/24,"")</f>
        <v>45126.70833</v>
      </c>
      <c r="H254" s="59" t="str">
        <f t="shared" si="23"/>
        <v/>
      </c>
      <c r="I254" s="60"/>
      <c r="J254" s="61">
        <f t="shared" si="2"/>
        <v>1007.275577</v>
      </c>
      <c r="K254" s="58">
        <f>if(G254,_xlfn.workday.intl(int(G254),0,"1000000",Holidays!A:A)+19/24,"")</f>
        <v>45126.79167</v>
      </c>
      <c r="L254" s="59" t="str">
        <f t="shared" si="3"/>
        <v/>
      </c>
      <c r="M254" s="60"/>
      <c r="N254" s="61">
        <f t="shared" si="4"/>
        <v>1007.192243</v>
      </c>
      <c r="O254" s="63">
        <f>if(A254,_xlfn.WORKDAY.INTL(A254,O$5,"1000000",Holidays!A:A)+hour(A254)/24+MINUTE(A254)/1440,"")</f>
        <v>45126.55</v>
      </c>
      <c r="P254" s="64" t="s">
        <v>2718</v>
      </c>
      <c r="R254" s="66">
        <f t="shared" si="5"/>
        <v>1007.43391</v>
      </c>
      <c r="S254" s="66"/>
      <c r="T254" s="66"/>
      <c r="U254" s="64">
        <f>if(O254,_xlfn.WORKDAY.INTL(O254,U$5,"1000000",Holidays!A:A)+hour(O254)/24+MINUTE(O254)/1440,"")</f>
        <v>45127.55</v>
      </c>
      <c r="V254" s="64" t="str">
        <f t="shared" si="6"/>
        <v/>
      </c>
      <c r="W254" s="66"/>
      <c r="X254" s="66">
        <f t="shared" si="7"/>
        <v>1006.43391</v>
      </c>
      <c r="Y254" s="66"/>
      <c r="Z254" s="66"/>
      <c r="AA254" s="66"/>
      <c r="AB254" s="63"/>
      <c r="AC254" s="63"/>
      <c r="AD254" s="63"/>
      <c r="AE254" s="63"/>
      <c r="AF254" s="63"/>
      <c r="AG254" s="63"/>
      <c r="AH254" s="63" t="str">
        <f t="shared" si="14"/>
        <v/>
      </c>
      <c r="AI254" s="63" t="str">
        <f>if(AH254,_xlfn.workday.intl(int(AH254),0,"1000000",Holidays!A:A)+18/24,"")</f>
        <v/>
      </c>
      <c r="AJ254" s="64" t="str">
        <f t="shared" si="24"/>
        <v/>
      </c>
      <c r="AL254" s="66" t="str">
        <f t="shared" si="9"/>
        <v/>
      </c>
      <c r="AM254" s="66"/>
      <c r="AN254" s="63" t="str">
        <f>if(AJ254,if(and(hour(AJ254+AN$5)&gt;11,(hour(AJ254+AN$5)&lt;20)),AJ254+AN$5,_xlfn.workday.intl(int(AJ254),1,"1000000",Holidays!A:A)+hour(AJ254+AN$5-$B$1)/24+minute(AJ254)/1440),"")</f>
        <v/>
      </c>
      <c r="AO254" s="64" t="str">
        <f t="shared" si="15"/>
        <v/>
      </c>
      <c r="AQ254" s="66" t="str">
        <f t="shared" si="16"/>
        <v/>
      </c>
      <c r="AR254" s="66"/>
      <c r="AS254" s="63" t="str">
        <f>if(AJ254,if(and(hour(AJ254+AS$5)&gt;11,(hour(AJ254+AS$5)&lt;20)),AJ254+AS$5,_xlfn.workday.intl(int(AJ254),1,"1000000",Holidays!A:A)+hour(AJ254+AS$5-$B$1)/24+minute(AJ254)/1440),"")</f>
        <v/>
      </c>
      <c r="AT254" s="64" t="str">
        <f t="shared" si="21"/>
        <v/>
      </c>
      <c r="AV254" s="66" t="str">
        <f t="shared" si="25"/>
        <v/>
      </c>
      <c r="AW254" s="66"/>
      <c r="AX254" s="56"/>
    </row>
    <row r="255">
      <c r="A255" s="55">
        <v>45126.653232627315</v>
      </c>
      <c r="B255" s="56"/>
      <c r="C255" s="57"/>
      <c r="D255" s="57"/>
      <c r="E255" s="57"/>
      <c r="F255" s="57"/>
      <c r="G255" s="58">
        <f>if(A255,_xlfn.workday.intl(int(A255),1,"1000000",Holidays!A:A)+17/24,"")</f>
        <v>45127.70833</v>
      </c>
      <c r="H255" s="59" t="str">
        <f t="shared" si="23"/>
        <v/>
      </c>
      <c r="I255" s="60"/>
      <c r="J255" s="61">
        <f t="shared" si="2"/>
        <v>1006.275577</v>
      </c>
      <c r="K255" s="58">
        <f>if(G255,_xlfn.workday.intl(int(G255),0,"1000000",Holidays!A:A)+19/24,"")</f>
        <v>45127.79167</v>
      </c>
      <c r="L255" s="59" t="str">
        <f t="shared" si="3"/>
        <v/>
      </c>
      <c r="M255" s="60"/>
      <c r="N255" s="61">
        <f t="shared" si="4"/>
        <v>1006.192243</v>
      </c>
      <c r="O255" s="63">
        <f>if(A255,_xlfn.WORKDAY.INTL(A255,O$5,"1000000",Holidays!A:A)+hour(A255)/24+MINUTE(A255)/1440,"")</f>
        <v>45127.65278</v>
      </c>
      <c r="P255" s="64" t="s">
        <v>2718</v>
      </c>
      <c r="R255" s="66">
        <f t="shared" si="5"/>
        <v>1006.331132</v>
      </c>
      <c r="S255" s="66"/>
      <c r="T255" s="66"/>
      <c r="U255" s="64">
        <f>if(O255,_xlfn.WORKDAY.INTL(O255,U$5,"1000000",Holidays!A:A)+hour(O255)/24+MINUTE(O255)/1440,"")</f>
        <v>45128.65278</v>
      </c>
      <c r="V255" s="64" t="str">
        <f t="shared" si="6"/>
        <v/>
      </c>
      <c r="W255" s="66"/>
      <c r="X255" s="66">
        <f t="shared" si="7"/>
        <v>1005.331132</v>
      </c>
      <c r="Y255" s="66"/>
      <c r="Z255" s="66"/>
      <c r="AA255" s="66"/>
      <c r="AB255" s="63"/>
      <c r="AC255" s="63"/>
      <c r="AD255" s="63"/>
      <c r="AE255" s="63"/>
      <c r="AF255" s="63"/>
      <c r="AG255" s="63"/>
      <c r="AH255" s="63" t="str">
        <f t="shared" si="14"/>
        <v/>
      </c>
      <c r="AI255" s="63" t="str">
        <f>if(AH255,_xlfn.workday.intl(int(AH255),0,"1000000",Holidays!A:A)+18/24,"")</f>
        <v/>
      </c>
      <c r="AJ255" s="64" t="str">
        <f t="shared" si="24"/>
        <v/>
      </c>
      <c r="AL255" s="66" t="str">
        <f t="shared" si="9"/>
        <v/>
      </c>
      <c r="AM255" s="66"/>
      <c r="AN255" s="63" t="str">
        <f>if(AJ255,if(and(hour(AJ255+AN$5)&gt;11,(hour(AJ255+AN$5)&lt;20)),AJ255+AN$5,_xlfn.workday.intl(int(AJ255),1,"1000000",Holidays!A:A)+hour(AJ255+AN$5-$B$1)/24+minute(AJ255)/1440),"")</f>
        <v/>
      </c>
      <c r="AO255" s="64" t="str">
        <f t="shared" si="15"/>
        <v/>
      </c>
      <c r="AQ255" s="66" t="str">
        <f t="shared" si="16"/>
        <v/>
      </c>
      <c r="AR255" s="66"/>
      <c r="AS255" s="63" t="str">
        <f>if(AJ255,if(and(hour(AJ255+AS$5)&gt;11,(hour(AJ255+AS$5)&lt;20)),AJ255+AS$5,_xlfn.workday.intl(int(AJ255),1,"1000000",Holidays!A:A)+hour(AJ255+AS$5-$B$1)/24+minute(AJ255)/1440),"")</f>
        <v/>
      </c>
      <c r="AT255" s="64" t="str">
        <f t="shared" si="21"/>
        <v/>
      </c>
      <c r="AV255" s="66" t="str">
        <f t="shared" si="25"/>
        <v/>
      </c>
      <c r="AW255" s="66"/>
      <c r="AX255" s="56"/>
    </row>
    <row r="256">
      <c r="A256" s="55">
        <v>45126.66096804398</v>
      </c>
      <c r="B256" s="56"/>
      <c r="C256" s="57"/>
      <c r="D256" s="57"/>
      <c r="E256" s="57"/>
      <c r="F256" s="57"/>
      <c r="G256" s="58">
        <f>if(A256,_xlfn.workday.intl(int(A256),1,"1000000",Holidays!A:A)+17/24,"")</f>
        <v>45127.70833</v>
      </c>
      <c r="H256" s="59" t="str">
        <f t="shared" si="23"/>
        <v/>
      </c>
      <c r="I256" s="60"/>
      <c r="J256" s="61">
        <f t="shared" si="2"/>
        <v>1006.275577</v>
      </c>
      <c r="K256" s="58">
        <f>if(G256,_xlfn.workday.intl(int(G256),0,"1000000",Holidays!A:A)+19/24,"")</f>
        <v>45127.79167</v>
      </c>
      <c r="L256" s="59" t="str">
        <f t="shared" si="3"/>
        <v/>
      </c>
      <c r="M256" s="60"/>
      <c r="N256" s="61">
        <f t="shared" si="4"/>
        <v>1006.192243</v>
      </c>
      <c r="O256" s="63">
        <f>if(A256,_xlfn.WORKDAY.INTL(A256,O$5,"1000000",Holidays!A:A)+hour(A256)/24+MINUTE(A256)/1440,"")</f>
        <v>45127.66042</v>
      </c>
      <c r="P256" s="64" t="s">
        <v>2718</v>
      </c>
      <c r="R256" s="66">
        <f t="shared" si="5"/>
        <v>1006.323493</v>
      </c>
      <c r="S256" s="66"/>
      <c r="T256" s="66"/>
      <c r="U256" s="64">
        <f>if(O256,_xlfn.WORKDAY.INTL(O256,U$5,"1000000",Holidays!A:A)+hour(O256)/24+MINUTE(O256)/1440,"")</f>
        <v>45128.66042</v>
      </c>
      <c r="V256" s="64" t="str">
        <f t="shared" si="6"/>
        <v/>
      </c>
      <c r="W256" s="66"/>
      <c r="X256" s="66">
        <f t="shared" si="7"/>
        <v>1005.323493</v>
      </c>
      <c r="Y256" s="66"/>
      <c r="Z256" s="66"/>
      <c r="AA256" s="66"/>
      <c r="AB256" s="63"/>
      <c r="AC256" s="63"/>
      <c r="AD256" s="63"/>
      <c r="AE256" s="63"/>
      <c r="AF256" s="63"/>
      <c r="AG256" s="63"/>
      <c r="AH256" s="63" t="str">
        <f t="shared" si="14"/>
        <v/>
      </c>
      <c r="AI256" s="63" t="str">
        <f>if(AH256,_xlfn.workday.intl(int(AH256),0,"1000000",Holidays!A:A)+18/24,"")</f>
        <v/>
      </c>
      <c r="AJ256" s="64" t="str">
        <f t="shared" si="24"/>
        <v/>
      </c>
      <c r="AL256" s="66" t="str">
        <f t="shared" si="9"/>
        <v/>
      </c>
      <c r="AM256" s="66"/>
      <c r="AN256" s="63" t="str">
        <f>if(AJ256,if(and(hour(AJ256+AN$5)&gt;11,(hour(AJ256+AN$5)&lt;20)),AJ256+AN$5,_xlfn.workday.intl(int(AJ256),1,"1000000",Holidays!A:A)+hour(AJ256+AN$5-$B$1)/24+minute(AJ256)/1440),"")</f>
        <v/>
      </c>
      <c r="AO256" s="64" t="str">
        <f t="shared" si="15"/>
        <v/>
      </c>
      <c r="AQ256" s="66" t="str">
        <f t="shared" si="16"/>
        <v/>
      </c>
      <c r="AR256" s="66"/>
      <c r="AS256" s="63" t="str">
        <f>if(AJ256,if(and(hour(AJ256+AS$5)&gt;11,(hour(AJ256+AS$5)&lt;20)),AJ256+AS$5,_xlfn.workday.intl(int(AJ256),1,"1000000",Holidays!A:A)+hour(AJ256+AS$5-$B$1)/24+minute(AJ256)/1440),"")</f>
        <v/>
      </c>
      <c r="AT256" s="64" t="str">
        <f t="shared" si="21"/>
        <v/>
      </c>
      <c r="AV256" s="66" t="str">
        <f t="shared" si="25"/>
        <v/>
      </c>
      <c r="AW256" s="66"/>
      <c r="AX256" s="56"/>
    </row>
    <row r="257">
      <c r="A257" s="55">
        <v>45126.68817086806</v>
      </c>
      <c r="B257" s="56"/>
      <c r="C257" s="57"/>
      <c r="D257" s="57"/>
      <c r="E257" s="57"/>
      <c r="F257" s="57"/>
      <c r="G257" s="58">
        <f>if(A257,_xlfn.workday.intl(int(A257),1,"1000000",Holidays!A:A)+17/24,"")</f>
        <v>45127.70833</v>
      </c>
      <c r="H257" s="59" t="str">
        <f t="shared" si="23"/>
        <v/>
      </c>
      <c r="I257" s="60"/>
      <c r="J257" s="61">
        <f t="shared" si="2"/>
        <v>1006.275577</v>
      </c>
      <c r="K257" s="58">
        <f>if(G257,_xlfn.workday.intl(int(G257),0,"1000000",Holidays!A:A)+19/24,"")</f>
        <v>45127.79167</v>
      </c>
      <c r="L257" s="59" t="str">
        <f t="shared" si="3"/>
        <v/>
      </c>
      <c r="M257" s="60"/>
      <c r="N257" s="61">
        <f t="shared" si="4"/>
        <v>1006.192243</v>
      </c>
      <c r="O257" s="63">
        <f>if(A257,_xlfn.WORKDAY.INTL(A257,O$5,"1000000",Holidays!A:A)+hour(A257)/24+MINUTE(A257)/1440,"")</f>
        <v>45127.6875</v>
      </c>
      <c r="P257" s="64" t="s">
        <v>2718</v>
      </c>
      <c r="R257" s="66">
        <f t="shared" si="5"/>
        <v>1006.29641</v>
      </c>
      <c r="S257" s="66"/>
      <c r="T257" s="66"/>
      <c r="U257" s="64">
        <f>if(O257,_xlfn.WORKDAY.INTL(O257,U$5,"1000000",Holidays!A:A)+hour(O257)/24+MINUTE(O257)/1440,"")</f>
        <v>45128.6875</v>
      </c>
      <c r="V257" s="64" t="str">
        <f t="shared" si="6"/>
        <v/>
      </c>
      <c r="W257" s="66"/>
      <c r="X257" s="66">
        <f t="shared" si="7"/>
        <v>1005.29641</v>
      </c>
      <c r="Y257" s="66"/>
      <c r="Z257" s="66"/>
      <c r="AA257" s="66"/>
      <c r="AB257" s="63"/>
      <c r="AC257" s="63"/>
      <c r="AD257" s="63"/>
      <c r="AE257" s="63"/>
      <c r="AF257" s="63"/>
      <c r="AG257" s="63"/>
      <c r="AH257" s="63" t="str">
        <f t="shared" si="14"/>
        <v/>
      </c>
      <c r="AI257" s="63" t="str">
        <f>if(AH257,_xlfn.workday.intl(int(AH257),0,"1000000",Holidays!A:A)+18/24,"")</f>
        <v/>
      </c>
      <c r="AJ257" s="64" t="str">
        <f t="shared" si="24"/>
        <v/>
      </c>
      <c r="AL257" s="66" t="str">
        <f t="shared" si="9"/>
        <v/>
      </c>
      <c r="AM257" s="66"/>
      <c r="AN257" s="63" t="str">
        <f>if(AJ257,if(and(hour(AJ257+AN$5)&gt;11,(hour(AJ257+AN$5)&lt;20)),AJ257+AN$5,_xlfn.workday.intl(int(AJ257),1,"1000000",Holidays!A:A)+hour(AJ257+AN$5-$B$1)/24+minute(AJ257)/1440),"")</f>
        <v/>
      </c>
      <c r="AO257" s="64" t="str">
        <f t="shared" si="15"/>
        <v/>
      </c>
      <c r="AQ257" s="66" t="str">
        <f t="shared" si="16"/>
        <v/>
      </c>
      <c r="AR257" s="66"/>
      <c r="AS257" s="63" t="str">
        <f>if(AJ257,if(and(hour(AJ257+AS$5)&gt;11,(hour(AJ257+AS$5)&lt;20)),AJ257+AS$5,_xlfn.workday.intl(int(AJ257),1,"1000000",Holidays!A:A)+hour(AJ257+AS$5-$B$1)/24+minute(AJ257)/1440),"")</f>
        <v/>
      </c>
      <c r="AT257" s="64" t="str">
        <f t="shared" si="21"/>
        <v/>
      </c>
      <c r="AV257" s="66" t="str">
        <f t="shared" si="25"/>
        <v/>
      </c>
      <c r="AW257" s="66"/>
      <c r="AX257" s="56"/>
    </row>
    <row r="258">
      <c r="A258" s="55">
        <v>45126.72326496527</v>
      </c>
      <c r="B258" s="56"/>
      <c r="C258" s="57"/>
      <c r="D258" s="57"/>
      <c r="E258" s="57"/>
      <c r="F258" s="57"/>
      <c r="G258" s="58">
        <f>if(A258,_xlfn.workday.intl(int(A258),1,"1000000",Holidays!A:A)+17/24,"")</f>
        <v>45127.70833</v>
      </c>
      <c r="H258" s="59" t="str">
        <f t="shared" si="23"/>
        <v/>
      </c>
      <c r="I258" s="60"/>
      <c r="J258" s="61">
        <f t="shared" si="2"/>
        <v>1006.275577</v>
      </c>
      <c r="K258" s="58">
        <f>if(G258,_xlfn.workday.intl(int(G258),0,"1000000",Holidays!A:A)+19/24,"")</f>
        <v>45127.79167</v>
      </c>
      <c r="L258" s="59" t="str">
        <f t="shared" si="3"/>
        <v/>
      </c>
      <c r="M258" s="60"/>
      <c r="N258" s="61">
        <f t="shared" si="4"/>
        <v>1006.192243</v>
      </c>
      <c r="O258" s="63">
        <f>if(A258,_xlfn.WORKDAY.INTL(A258,O$5,"1000000",Holidays!A:A)+hour(A258)/24+MINUTE(A258)/1440,"")</f>
        <v>45127.72292</v>
      </c>
      <c r="P258" s="64" t="s">
        <v>2718</v>
      </c>
      <c r="R258" s="66">
        <f t="shared" si="5"/>
        <v>1006.260993</v>
      </c>
      <c r="S258" s="66"/>
      <c r="T258" s="66"/>
      <c r="U258" s="64">
        <f>if(O258,_xlfn.WORKDAY.INTL(O258,U$5,"1000000",Holidays!A:A)+hour(O258)/24+MINUTE(O258)/1440,"")</f>
        <v>45128.72292</v>
      </c>
      <c r="V258" s="64" t="str">
        <f t="shared" si="6"/>
        <v/>
      </c>
      <c r="W258" s="66"/>
      <c r="X258" s="66">
        <f t="shared" si="7"/>
        <v>1005.260993</v>
      </c>
      <c r="Y258" s="66"/>
      <c r="Z258" s="66"/>
      <c r="AA258" s="66"/>
      <c r="AB258" s="63"/>
      <c r="AC258" s="63"/>
      <c r="AD258" s="63"/>
      <c r="AE258" s="63"/>
      <c r="AF258" s="63"/>
      <c r="AG258" s="63"/>
      <c r="AH258" s="63" t="str">
        <f t="shared" si="14"/>
        <v/>
      </c>
      <c r="AI258" s="63" t="str">
        <f>if(AH258,_xlfn.workday.intl(int(AH258),0,"1000000",Holidays!A:A)+18/24,"")</f>
        <v/>
      </c>
      <c r="AJ258" s="64" t="str">
        <f t="shared" si="24"/>
        <v/>
      </c>
      <c r="AL258" s="66" t="str">
        <f t="shared" si="9"/>
        <v/>
      </c>
      <c r="AM258" s="66"/>
      <c r="AN258" s="63" t="str">
        <f>if(AJ258,if(and(hour(AJ258+AN$5)&gt;11,(hour(AJ258+AN$5)&lt;20)),AJ258+AN$5,_xlfn.workday.intl(int(AJ258),1,"1000000",Holidays!A:A)+hour(AJ258+AN$5-$B$1)/24+minute(AJ258)/1440),"")</f>
        <v/>
      </c>
      <c r="AO258" s="64" t="str">
        <f t="shared" si="15"/>
        <v/>
      </c>
      <c r="AQ258" s="66" t="str">
        <f t="shared" si="16"/>
        <v/>
      </c>
      <c r="AR258" s="66"/>
      <c r="AS258" s="63" t="str">
        <f>if(AJ258,if(and(hour(AJ258+AS$5)&gt;11,(hour(AJ258+AS$5)&lt;20)),AJ258+AS$5,_xlfn.workday.intl(int(AJ258),1,"1000000",Holidays!A:A)+hour(AJ258+AS$5-$B$1)/24+minute(AJ258)/1440),"")</f>
        <v/>
      </c>
      <c r="AT258" s="64" t="str">
        <f t="shared" si="21"/>
        <v/>
      </c>
      <c r="AV258" s="66" t="str">
        <f t="shared" si="25"/>
        <v/>
      </c>
      <c r="AW258" s="66"/>
      <c r="AX258" s="56"/>
    </row>
    <row r="259">
      <c r="A259" s="55">
        <v>45127.6346346875</v>
      </c>
      <c r="B259" s="56"/>
      <c r="C259" s="57"/>
      <c r="D259" s="57"/>
      <c r="E259" s="57"/>
      <c r="F259" s="57"/>
      <c r="G259" s="58">
        <f>if(A259,_xlfn.workday.intl(int(A259),1,"1000000",Holidays!A:A)+17/24,"")</f>
        <v>45128.70833</v>
      </c>
      <c r="H259" s="59" t="str">
        <f t="shared" si="23"/>
        <v/>
      </c>
      <c r="I259" s="60"/>
      <c r="J259" s="61">
        <f t="shared" si="2"/>
        <v>1005.275577</v>
      </c>
      <c r="K259" s="58">
        <f>if(G259,_xlfn.workday.intl(int(G259),0,"1000000",Holidays!A:A)+19/24,"")</f>
        <v>45128.79167</v>
      </c>
      <c r="L259" s="59" t="str">
        <f t="shared" si="3"/>
        <v/>
      </c>
      <c r="M259" s="60"/>
      <c r="N259" s="61">
        <f t="shared" si="4"/>
        <v>1005.192243</v>
      </c>
      <c r="O259" s="63">
        <f>if(A259,_xlfn.WORKDAY.INTL(A259,O$5,"1000000",Holidays!A:A)+hour(A259)/24+MINUTE(A259)/1440,"")</f>
        <v>45128.63403</v>
      </c>
      <c r="P259" s="64" t="s">
        <v>2718</v>
      </c>
      <c r="R259" s="66">
        <f t="shared" si="5"/>
        <v>1005.349882</v>
      </c>
      <c r="S259" s="66"/>
      <c r="T259" s="66"/>
      <c r="U259" s="64">
        <f>if(O259,_xlfn.WORKDAY.INTL(O259,U$5,"1000000",Holidays!A:A)+hour(O259)/24+MINUTE(O259)/1440,"")</f>
        <v>45129.63403</v>
      </c>
      <c r="V259" s="64" t="str">
        <f t="shared" si="6"/>
        <v/>
      </c>
      <c r="W259" s="66"/>
      <c r="X259" s="66">
        <f t="shared" si="7"/>
        <v>1004.349882</v>
      </c>
      <c r="Y259" s="66"/>
      <c r="Z259" s="66"/>
      <c r="AA259" s="66"/>
      <c r="AB259" s="63"/>
      <c r="AC259" s="63"/>
      <c r="AD259" s="63"/>
      <c r="AE259" s="63"/>
      <c r="AF259" s="63"/>
      <c r="AG259" s="63"/>
      <c r="AH259" s="63" t="str">
        <f t="shared" si="14"/>
        <v/>
      </c>
      <c r="AI259" s="63" t="str">
        <f>if(AH259,_xlfn.workday.intl(int(AH259),0,"1000000",Holidays!A:A)+18/24,"")</f>
        <v/>
      </c>
      <c r="AJ259" s="64" t="str">
        <f t="shared" si="24"/>
        <v/>
      </c>
      <c r="AL259" s="66" t="str">
        <f t="shared" si="9"/>
        <v/>
      </c>
      <c r="AM259" s="66"/>
      <c r="AN259" s="63" t="str">
        <f>if(AJ259,if(and(hour(AJ259+AN$5)&gt;11,(hour(AJ259+AN$5)&lt;20)),AJ259+AN$5,_xlfn.workday.intl(int(AJ259),1,"1000000",Holidays!A:A)+hour(AJ259+AN$5-$B$1)/24+minute(AJ259)/1440),"")</f>
        <v/>
      </c>
      <c r="AO259" s="64" t="str">
        <f t="shared" si="15"/>
        <v/>
      </c>
      <c r="AQ259" s="66" t="str">
        <f t="shared" si="16"/>
        <v/>
      </c>
      <c r="AR259" s="66"/>
      <c r="AS259" s="63" t="str">
        <f>if(AJ259,if(and(hour(AJ259+AS$5)&gt;11,(hour(AJ259+AS$5)&lt;20)),AJ259+AS$5,_xlfn.workday.intl(int(AJ259),1,"1000000",Holidays!A:A)+hour(AJ259+AS$5-$B$1)/24+minute(AJ259)/1440),"")</f>
        <v/>
      </c>
      <c r="AT259" s="64" t="str">
        <f t="shared" si="21"/>
        <v/>
      </c>
      <c r="AV259" s="66" t="str">
        <f t="shared" si="25"/>
        <v/>
      </c>
      <c r="AW259" s="66"/>
      <c r="AX259" s="56"/>
    </row>
    <row r="260">
      <c r="A260" s="55">
        <v>45129.62009832176</v>
      </c>
      <c r="B260" s="56"/>
      <c r="C260" s="57"/>
      <c r="D260" s="57"/>
      <c r="E260" s="57"/>
      <c r="F260" s="57"/>
      <c r="G260" s="58">
        <f>if(A260,_xlfn.workday.intl(int(A260),1,"1000000",Holidays!A:A)+17/24,"")</f>
        <v>45130.70833</v>
      </c>
      <c r="H260" s="59" t="str">
        <f t="shared" si="23"/>
        <v/>
      </c>
      <c r="I260" s="60"/>
      <c r="J260" s="61">
        <f t="shared" si="2"/>
        <v>1003.275577</v>
      </c>
      <c r="K260" s="58">
        <f>if(G260,_xlfn.workday.intl(int(G260),0,"1000000",Holidays!A:A)+19/24,"")</f>
        <v>45130.79167</v>
      </c>
      <c r="L260" s="59" t="str">
        <f t="shared" si="3"/>
        <v/>
      </c>
      <c r="M260" s="60"/>
      <c r="N260" s="61">
        <f t="shared" si="4"/>
        <v>1003.192243</v>
      </c>
      <c r="O260" s="63">
        <f>if(A260,_xlfn.WORKDAY.INTL(A260,O$5,"1000000",Holidays!A:A)+hour(A260)/24+MINUTE(A260)/1440,"")</f>
        <v>45130.61944</v>
      </c>
      <c r="P260" s="64" t="s">
        <v>2718</v>
      </c>
      <c r="R260" s="66">
        <f t="shared" si="5"/>
        <v>1003.364465</v>
      </c>
      <c r="S260" s="66"/>
      <c r="T260" s="66"/>
      <c r="U260" s="64">
        <f>if(O260,_xlfn.WORKDAY.INTL(O260,U$5,"1000000",Holidays!A:A)+hour(O260)/24+MINUTE(O260)/1440,"")</f>
        <v>45132.61944</v>
      </c>
      <c r="V260" s="64" t="str">
        <f t="shared" si="6"/>
        <v/>
      </c>
      <c r="W260" s="66"/>
      <c r="X260" s="66">
        <f t="shared" si="7"/>
        <v>1001.364465</v>
      </c>
      <c r="Y260" s="66"/>
      <c r="Z260" s="66"/>
      <c r="AA260" s="66"/>
      <c r="AB260" s="63"/>
      <c r="AC260" s="63"/>
      <c r="AD260" s="63"/>
      <c r="AE260" s="63"/>
      <c r="AF260" s="63"/>
      <c r="AG260" s="63"/>
      <c r="AH260" s="63" t="str">
        <f t="shared" si="14"/>
        <v/>
      </c>
      <c r="AI260" s="63" t="str">
        <f>if(AH260,_xlfn.workday.intl(int(AH260),0,"1000000",Holidays!A:A)+18/24,"")</f>
        <v/>
      </c>
      <c r="AJ260" s="64" t="str">
        <f t="shared" si="24"/>
        <v/>
      </c>
      <c r="AL260" s="66" t="str">
        <f t="shared" si="9"/>
        <v/>
      </c>
      <c r="AM260" s="66"/>
      <c r="AN260" s="63" t="str">
        <f>if(AJ260,if(and(hour(AJ260+AN$5)&gt;11,(hour(AJ260+AN$5)&lt;20)),AJ260+AN$5,_xlfn.workday.intl(int(AJ260),1,"1000000",Holidays!A:A)+hour(AJ260+AN$5-$B$1)/24+minute(AJ260)/1440),"")</f>
        <v/>
      </c>
      <c r="AO260" s="64" t="str">
        <f t="shared" si="15"/>
        <v/>
      </c>
      <c r="AQ260" s="66" t="str">
        <f t="shared" si="16"/>
        <v/>
      </c>
      <c r="AR260" s="66"/>
      <c r="AS260" s="63" t="str">
        <f>if(AJ260,if(and(hour(AJ260+AS$5)&gt;11,(hour(AJ260+AS$5)&lt;20)),AJ260+AS$5,_xlfn.workday.intl(int(AJ260),1,"1000000",Holidays!A:A)+hour(AJ260+AS$5-$B$1)/24+minute(AJ260)/1440),"")</f>
        <v/>
      </c>
      <c r="AT260" s="64" t="str">
        <f t="shared" si="21"/>
        <v/>
      </c>
      <c r="AV260" s="66" t="str">
        <f t="shared" si="25"/>
        <v/>
      </c>
      <c r="AW260" s="66"/>
      <c r="AX260" s="56"/>
    </row>
    <row r="261">
      <c r="A261" s="55">
        <v>45130.62402480324</v>
      </c>
      <c r="B261" s="56"/>
      <c r="C261" s="57"/>
      <c r="D261" s="57"/>
      <c r="E261" s="57"/>
      <c r="F261" s="57"/>
      <c r="G261" s="58">
        <f>if(A261,_xlfn.workday.intl(int(A261),1,"1000000",Holidays!A:A)+17/24,"")</f>
        <v>45132.70833</v>
      </c>
      <c r="H261" s="59" t="str">
        <f t="shared" si="23"/>
        <v/>
      </c>
      <c r="I261" s="60"/>
      <c r="J261" s="61">
        <f t="shared" si="2"/>
        <v>1001.275577</v>
      </c>
      <c r="K261" s="58">
        <f>if(G261,_xlfn.workday.intl(int(G261),0,"1000000",Holidays!A:A)+19/24,"")</f>
        <v>45132.79167</v>
      </c>
      <c r="L261" s="59" t="str">
        <f t="shared" si="3"/>
        <v/>
      </c>
      <c r="M261" s="60"/>
      <c r="N261" s="61">
        <f t="shared" si="4"/>
        <v>1001.192243</v>
      </c>
      <c r="O261" s="63">
        <f>if(A261,_xlfn.WORKDAY.INTL(A261,O$5,"1000000",Holidays!A:A)+hour(A261)/24+MINUTE(A261)/1440,"")</f>
        <v>45132.62361</v>
      </c>
      <c r="P261" s="64" t="s">
        <v>2718</v>
      </c>
      <c r="R261" s="66">
        <f t="shared" si="5"/>
        <v>1001.360299</v>
      </c>
      <c r="S261" s="66"/>
      <c r="T261" s="66"/>
      <c r="U261" s="64">
        <f>if(O261,_xlfn.WORKDAY.INTL(O261,U$5,"1000000",Holidays!A:A)+hour(O261)/24+MINUTE(O261)/1440,"")</f>
        <v>45133.62361</v>
      </c>
      <c r="V261" s="64" t="str">
        <f t="shared" si="6"/>
        <v/>
      </c>
      <c r="W261" s="66"/>
      <c r="X261" s="66">
        <f t="shared" si="7"/>
        <v>1000.360299</v>
      </c>
      <c r="Y261" s="66"/>
      <c r="Z261" s="66"/>
      <c r="AA261" s="66"/>
      <c r="AB261" s="63"/>
      <c r="AC261" s="63"/>
      <c r="AD261" s="63"/>
      <c r="AE261" s="63"/>
      <c r="AF261" s="63"/>
      <c r="AG261" s="63"/>
      <c r="AH261" s="63" t="str">
        <f t="shared" si="14"/>
        <v/>
      </c>
      <c r="AI261" s="63" t="str">
        <f>if(AH261,_xlfn.workday.intl(int(AH261),0,"1000000",Holidays!A:A)+18/24,"")</f>
        <v/>
      </c>
      <c r="AJ261" s="64" t="str">
        <f t="shared" si="24"/>
        <v/>
      </c>
      <c r="AL261" s="66" t="str">
        <f t="shared" si="9"/>
        <v/>
      </c>
      <c r="AM261" s="66"/>
      <c r="AN261" s="63" t="str">
        <f>if(AJ261,if(and(hour(AJ261+AN$5)&gt;11,(hour(AJ261+AN$5)&lt;20)),AJ261+AN$5,_xlfn.workday.intl(int(AJ261),1,"1000000",Holidays!A:A)+hour(AJ261+AN$5-$B$1)/24+minute(AJ261)/1440),"")</f>
        <v/>
      </c>
      <c r="AO261" s="64" t="str">
        <f t="shared" si="15"/>
        <v/>
      </c>
      <c r="AQ261" s="66" t="str">
        <f t="shared" si="16"/>
        <v/>
      </c>
      <c r="AR261" s="66"/>
      <c r="AS261" s="63" t="str">
        <f>if(AJ261,if(and(hour(AJ261+AS$5)&gt;11,(hour(AJ261+AS$5)&lt;20)),AJ261+AS$5,_xlfn.workday.intl(int(AJ261),1,"1000000",Holidays!A:A)+hour(AJ261+AS$5-$B$1)/24+minute(AJ261)/1440),"")</f>
        <v/>
      </c>
      <c r="AT261" s="64" t="str">
        <f t="shared" si="21"/>
        <v/>
      </c>
      <c r="AV261" s="66" t="str">
        <f t="shared" si="25"/>
        <v/>
      </c>
      <c r="AW261" s="66"/>
      <c r="AX261" s="56"/>
    </row>
    <row r="262">
      <c r="A262" s="55">
        <v>45133.52893804398</v>
      </c>
      <c r="B262" s="56"/>
      <c r="C262" s="57"/>
      <c r="D262" s="57"/>
      <c r="E262" s="57"/>
      <c r="F262" s="57"/>
      <c r="G262" s="58">
        <f>if(A262,_xlfn.workday.intl(int(A262),1,"1000000",Holidays!A:A)+17/24,"")</f>
        <v>45134.70833</v>
      </c>
      <c r="H262" s="59" t="str">
        <f t="shared" si="23"/>
        <v/>
      </c>
      <c r="I262" s="60"/>
      <c r="J262" s="61">
        <f t="shared" si="2"/>
        <v>999.2755766</v>
      </c>
      <c r="K262" s="58">
        <f>if(G262,_xlfn.workday.intl(int(G262),0,"1000000",Holidays!A:A)+19/24,"")</f>
        <v>45134.79167</v>
      </c>
      <c r="L262" s="59" t="str">
        <f t="shared" si="3"/>
        <v/>
      </c>
      <c r="M262" s="60"/>
      <c r="N262" s="61">
        <f t="shared" si="4"/>
        <v>999.1922432</v>
      </c>
      <c r="O262" s="63">
        <f>if(A262,_xlfn.WORKDAY.INTL(A262,O$5,"1000000",Holidays!A:A)+hour(A262)/24+MINUTE(A262)/1440,"")</f>
        <v>45134.52847</v>
      </c>
      <c r="P262" s="64" t="s">
        <v>2718</v>
      </c>
      <c r="R262" s="66">
        <f t="shared" si="5"/>
        <v>999.4554377</v>
      </c>
      <c r="S262" s="66"/>
      <c r="T262" s="66"/>
      <c r="U262" s="64">
        <f>if(O262,_xlfn.WORKDAY.INTL(O262,U$5,"1000000",Holidays!A:A)+hour(O262)/24+MINUTE(O262)/1440,"")</f>
        <v>45135.52847</v>
      </c>
      <c r="V262" s="64" t="str">
        <f t="shared" si="6"/>
        <v/>
      </c>
      <c r="W262" s="66"/>
      <c r="X262" s="66">
        <f t="shared" si="7"/>
        <v>998.4554377</v>
      </c>
      <c r="Y262" s="66"/>
      <c r="Z262" s="66"/>
      <c r="AA262" s="66"/>
      <c r="AB262" s="63"/>
      <c r="AC262" s="63"/>
      <c r="AD262" s="63"/>
      <c r="AE262" s="63"/>
      <c r="AF262" s="63"/>
      <c r="AG262" s="63"/>
      <c r="AH262" s="63" t="str">
        <f t="shared" si="14"/>
        <v/>
      </c>
      <c r="AI262" s="63" t="str">
        <f>if(AH262,_xlfn.workday.intl(int(AH262),0,"1000000",Holidays!A:A)+18/24,"")</f>
        <v/>
      </c>
      <c r="AJ262" s="64" t="str">
        <f t="shared" si="24"/>
        <v/>
      </c>
      <c r="AL262" s="66" t="str">
        <f t="shared" si="9"/>
        <v/>
      </c>
      <c r="AM262" s="66"/>
      <c r="AN262" s="63" t="str">
        <f>if(AJ262,if(and(hour(AJ262+AN$5)&gt;11,(hour(AJ262+AN$5)&lt;20)),AJ262+AN$5,_xlfn.workday.intl(int(AJ262),1,"1000000",Holidays!A:A)+hour(AJ262+AN$5-$B$1)/24+minute(AJ262)/1440),"")</f>
        <v/>
      </c>
      <c r="AO262" s="64" t="str">
        <f t="shared" si="15"/>
        <v/>
      </c>
      <c r="AQ262" s="66" t="str">
        <f t="shared" si="16"/>
        <v/>
      </c>
      <c r="AR262" s="66"/>
      <c r="AS262" s="63" t="str">
        <f>if(AJ262,if(and(hour(AJ262+AS$5)&gt;11,(hour(AJ262+AS$5)&lt;20)),AJ262+AS$5,_xlfn.workday.intl(int(AJ262),1,"1000000",Holidays!A:A)+hour(AJ262+AS$5-$B$1)/24+minute(AJ262)/1440),"")</f>
        <v/>
      </c>
      <c r="AT262" s="64" t="str">
        <f t="shared" si="21"/>
        <v/>
      </c>
      <c r="AV262" s="66" t="str">
        <f t="shared" si="25"/>
        <v/>
      </c>
      <c r="AW262" s="66"/>
      <c r="AX262" s="56"/>
    </row>
    <row r="263">
      <c r="A263" s="55">
        <v>45133.75023895834</v>
      </c>
      <c r="B263" s="56"/>
      <c r="C263" s="57"/>
      <c r="D263" s="57"/>
      <c r="E263" s="57"/>
      <c r="F263" s="57"/>
      <c r="G263" s="58">
        <f>if(A263,_xlfn.workday.intl(int(A263),1,"1000000",Holidays!A:A)+17/24,"")</f>
        <v>45134.70833</v>
      </c>
      <c r="H263" s="59" t="str">
        <f t="shared" si="23"/>
        <v/>
      </c>
      <c r="I263" s="60"/>
      <c r="J263" s="61">
        <f t="shared" si="2"/>
        <v>999.2755766</v>
      </c>
      <c r="K263" s="58">
        <f>if(G263,_xlfn.workday.intl(int(G263),0,"1000000",Holidays!A:A)+19/24,"")</f>
        <v>45134.79167</v>
      </c>
      <c r="L263" s="59" t="str">
        <f t="shared" si="3"/>
        <v/>
      </c>
      <c r="M263" s="60"/>
      <c r="N263" s="61">
        <f t="shared" si="4"/>
        <v>999.1922432</v>
      </c>
      <c r="O263" s="63">
        <f>if(A263,_xlfn.WORKDAY.INTL(A263,O$5,"1000000",Holidays!A:A)+hour(A263)/24+MINUTE(A263)/1440,"")</f>
        <v>45134.75</v>
      </c>
      <c r="P263" s="64" t="s">
        <v>2718</v>
      </c>
      <c r="R263" s="66">
        <f t="shared" si="5"/>
        <v>999.2339099</v>
      </c>
      <c r="S263" s="66"/>
      <c r="T263" s="66"/>
      <c r="U263" s="64">
        <f>if(O263,_xlfn.WORKDAY.INTL(O263,U$5,"1000000",Holidays!A:A)+hour(O263)/24+MINUTE(O263)/1440,"")</f>
        <v>45135.75</v>
      </c>
      <c r="V263" s="64" t="str">
        <f t="shared" si="6"/>
        <v/>
      </c>
      <c r="W263" s="66"/>
      <c r="X263" s="66">
        <f t="shared" si="7"/>
        <v>998.2339099</v>
      </c>
      <c r="Y263" s="66"/>
      <c r="Z263" s="66"/>
      <c r="AA263" s="66"/>
      <c r="AB263" s="63"/>
      <c r="AC263" s="63"/>
      <c r="AD263" s="63"/>
      <c r="AE263" s="63"/>
      <c r="AF263" s="63"/>
      <c r="AG263" s="63"/>
      <c r="AH263" s="63" t="str">
        <f t="shared" si="14"/>
        <v/>
      </c>
      <c r="AI263" s="63" t="str">
        <f>if(AH263,_xlfn.workday.intl(int(AH263),0,"1000000",Holidays!A:A)+18/24,"")</f>
        <v/>
      </c>
      <c r="AJ263" s="64" t="str">
        <f t="shared" si="24"/>
        <v/>
      </c>
      <c r="AL263" s="66" t="str">
        <f t="shared" si="9"/>
        <v/>
      </c>
      <c r="AM263" s="66"/>
      <c r="AN263" s="63" t="str">
        <f>if(AJ263,if(and(hour(AJ263+AN$5)&gt;11,(hour(AJ263+AN$5)&lt;20)),AJ263+AN$5,_xlfn.workday.intl(int(AJ263),1,"1000000",Holidays!A:A)+hour(AJ263+AN$5-$B$1)/24+minute(AJ263)/1440),"")</f>
        <v/>
      </c>
      <c r="AO263" s="64" t="str">
        <f t="shared" si="15"/>
        <v/>
      </c>
      <c r="AQ263" s="66" t="str">
        <f t="shared" si="16"/>
        <v/>
      </c>
      <c r="AR263" s="66"/>
      <c r="AS263" s="63" t="str">
        <f>if(AJ263,if(and(hour(AJ263+AS$5)&gt;11,(hour(AJ263+AS$5)&lt;20)),AJ263+AS$5,_xlfn.workday.intl(int(AJ263),1,"1000000",Holidays!A:A)+hour(AJ263+AS$5-$B$1)/24+minute(AJ263)/1440),"")</f>
        <v/>
      </c>
      <c r="AT263" s="64" t="str">
        <f t="shared" si="21"/>
        <v/>
      </c>
      <c r="AV263" s="66" t="str">
        <f t="shared" si="25"/>
        <v/>
      </c>
      <c r="AW263" s="66"/>
      <c r="AX263" s="56"/>
    </row>
    <row r="264">
      <c r="A264" s="55">
        <v>45133.75353289352</v>
      </c>
      <c r="B264" s="56"/>
      <c r="C264" s="57"/>
      <c r="D264" s="57"/>
      <c r="E264" s="57"/>
      <c r="F264" s="57"/>
      <c r="G264" s="58">
        <f>if(A264,_xlfn.workday.intl(int(A264),1,"1000000",Holidays!A:A)+17/24,"")</f>
        <v>45134.70833</v>
      </c>
      <c r="H264" s="59" t="str">
        <f t="shared" si="23"/>
        <v/>
      </c>
      <c r="I264" s="60"/>
      <c r="J264" s="61">
        <f t="shared" si="2"/>
        <v>999.2755766</v>
      </c>
      <c r="K264" s="58">
        <f>if(G264,_xlfn.workday.intl(int(G264),0,"1000000",Holidays!A:A)+19/24,"")</f>
        <v>45134.79167</v>
      </c>
      <c r="L264" s="59" t="str">
        <f t="shared" si="3"/>
        <v/>
      </c>
      <c r="M264" s="60"/>
      <c r="N264" s="61">
        <f t="shared" si="4"/>
        <v>999.1922432</v>
      </c>
      <c r="O264" s="63">
        <f>if(A264,_xlfn.WORKDAY.INTL(A264,O$5,"1000000",Holidays!A:A)+hour(A264)/24+MINUTE(A264)/1440,"")</f>
        <v>45134.75347</v>
      </c>
      <c r="P264" s="64" t="s">
        <v>2718</v>
      </c>
      <c r="R264" s="66">
        <f t="shared" si="5"/>
        <v>999.2304377</v>
      </c>
      <c r="S264" s="66"/>
      <c r="T264" s="66"/>
      <c r="U264" s="64">
        <f>if(O264,_xlfn.WORKDAY.INTL(O264,U$5,"1000000",Holidays!A:A)+hour(O264)/24+MINUTE(O264)/1440,"")</f>
        <v>45135.75347</v>
      </c>
      <c r="V264" s="64" t="str">
        <f t="shared" si="6"/>
        <v/>
      </c>
      <c r="W264" s="66"/>
      <c r="X264" s="66">
        <f t="shared" si="7"/>
        <v>998.2304377</v>
      </c>
      <c r="Y264" s="66"/>
      <c r="Z264" s="66"/>
      <c r="AA264" s="66"/>
      <c r="AB264" s="63"/>
      <c r="AC264" s="63"/>
      <c r="AD264" s="63"/>
      <c r="AE264" s="63"/>
      <c r="AF264" s="63"/>
      <c r="AG264" s="63"/>
      <c r="AH264" s="63" t="str">
        <f t="shared" si="14"/>
        <v/>
      </c>
      <c r="AI264" s="63" t="str">
        <f>if(AH264,_xlfn.workday.intl(int(AH264),0,"1000000",Holidays!A:A)+18/24,"")</f>
        <v/>
      </c>
      <c r="AJ264" s="64" t="str">
        <f t="shared" si="24"/>
        <v/>
      </c>
      <c r="AL264" s="66" t="str">
        <f t="shared" si="9"/>
        <v/>
      </c>
      <c r="AM264" s="66"/>
      <c r="AN264" s="63" t="str">
        <f>if(AJ264,if(and(hour(AJ264+AN$5)&gt;11,(hour(AJ264+AN$5)&lt;20)),AJ264+AN$5,_xlfn.workday.intl(int(AJ264),1,"1000000",Holidays!A:A)+hour(AJ264+AN$5-$B$1)/24+minute(AJ264)/1440),"")</f>
        <v/>
      </c>
      <c r="AO264" s="64" t="str">
        <f t="shared" si="15"/>
        <v/>
      </c>
      <c r="AQ264" s="66" t="str">
        <f t="shared" si="16"/>
        <v/>
      </c>
      <c r="AR264" s="66"/>
      <c r="AS264" s="63" t="str">
        <f>if(AJ264,if(and(hour(AJ264+AS$5)&gt;11,(hour(AJ264+AS$5)&lt;20)),AJ264+AS$5,_xlfn.workday.intl(int(AJ264),1,"1000000",Holidays!A:A)+hour(AJ264+AS$5-$B$1)/24+minute(AJ264)/1440),"")</f>
        <v/>
      </c>
      <c r="AT264" s="64" t="str">
        <f t="shared" si="21"/>
        <v/>
      </c>
      <c r="AV264" s="66" t="str">
        <f t="shared" si="25"/>
        <v/>
      </c>
      <c r="AW264" s="66"/>
      <c r="AX264" s="56"/>
    </row>
    <row r="265">
      <c r="A265" s="55">
        <v>45133.76304049768</v>
      </c>
      <c r="B265" s="56"/>
      <c r="C265" s="57"/>
      <c r="D265" s="57"/>
      <c r="E265" s="57"/>
      <c r="F265" s="57"/>
      <c r="G265" s="58">
        <f>if(A265,_xlfn.workday.intl(int(A265),1,"1000000",Holidays!A:A)+17/24,"")</f>
        <v>45134.70833</v>
      </c>
      <c r="H265" s="59" t="str">
        <f t="shared" si="23"/>
        <v/>
      </c>
      <c r="I265" s="60"/>
      <c r="J265" s="61">
        <f t="shared" si="2"/>
        <v>999.2755766</v>
      </c>
      <c r="K265" s="58">
        <f>if(G265,_xlfn.workday.intl(int(G265),0,"1000000",Holidays!A:A)+19/24,"")</f>
        <v>45134.79167</v>
      </c>
      <c r="L265" s="59" t="str">
        <f t="shared" si="3"/>
        <v/>
      </c>
      <c r="M265" s="60"/>
      <c r="N265" s="61">
        <f t="shared" si="4"/>
        <v>999.1922432</v>
      </c>
      <c r="O265" s="63">
        <f>if(A265,_xlfn.WORKDAY.INTL(A265,O$5,"1000000",Holidays!A:A)+hour(A265)/24+MINUTE(A265)/1440,"")</f>
        <v>45134.7625</v>
      </c>
      <c r="P265" s="64" t="s">
        <v>2718</v>
      </c>
      <c r="R265" s="66">
        <f t="shared" si="5"/>
        <v>999.2214099</v>
      </c>
      <c r="S265" s="66"/>
      <c r="T265" s="66"/>
      <c r="U265" s="64">
        <f>if(O265,_xlfn.WORKDAY.INTL(O265,U$5,"1000000",Holidays!A:A)+hour(O265)/24+MINUTE(O265)/1440,"")</f>
        <v>45135.7625</v>
      </c>
      <c r="V265" s="64" t="str">
        <f t="shared" si="6"/>
        <v/>
      </c>
      <c r="W265" s="66"/>
      <c r="X265" s="66">
        <f t="shared" si="7"/>
        <v>998.2214099</v>
      </c>
      <c r="Y265" s="66"/>
      <c r="Z265" s="66"/>
      <c r="AA265" s="66"/>
      <c r="AB265" s="63"/>
      <c r="AC265" s="63"/>
      <c r="AD265" s="63"/>
      <c r="AE265" s="63"/>
      <c r="AF265" s="63"/>
      <c r="AG265" s="63"/>
      <c r="AH265" s="63" t="str">
        <f t="shared" si="14"/>
        <v/>
      </c>
      <c r="AI265" s="63" t="str">
        <f>if(AH265,_xlfn.workday.intl(int(AH265),0,"1000000",Holidays!A:A)+18/24,"")</f>
        <v/>
      </c>
      <c r="AJ265" s="64" t="str">
        <f t="shared" si="24"/>
        <v/>
      </c>
      <c r="AL265" s="66" t="str">
        <f t="shared" si="9"/>
        <v/>
      </c>
      <c r="AM265" s="66"/>
      <c r="AN265" s="63" t="str">
        <f>if(AJ265,if(and(hour(AJ265+AN$5)&gt;11,(hour(AJ265+AN$5)&lt;20)),AJ265+AN$5,_xlfn.workday.intl(int(AJ265),1,"1000000",Holidays!A:A)+hour(AJ265+AN$5-$B$1)/24+minute(AJ265)/1440),"")</f>
        <v/>
      </c>
      <c r="AO265" s="64" t="str">
        <f t="shared" si="15"/>
        <v/>
      </c>
      <c r="AQ265" s="66" t="str">
        <f t="shared" si="16"/>
        <v/>
      </c>
      <c r="AR265" s="66"/>
      <c r="AS265" s="63" t="str">
        <f>if(AJ265,if(and(hour(AJ265+AS$5)&gt;11,(hour(AJ265+AS$5)&lt;20)),AJ265+AS$5,_xlfn.workday.intl(int(AJ265),1,"1000000",Holidays!A:A)+hour(AJ265+AS$5-$B$1)/24+minute(AJ265)/1440),"")</f>
        <v/>
      </c>
      <c r="AT265" s="64" t="str">
        <f t="shared" si="21"/>
        <v/>
      </c>
      <c r="AV265" s="66" t="str">
        <f t="shared" si="25"/>
        <v/>
      </c>
      <c r="AW265" s="66"/>
      <c r="AX265" s="56"/>
    </row>
    <row r="266">
      <c r="A266" s="55">
        <v>45134.56391841435</v>
      </c>
      <c r="B266" s="56"/>
      <c r="C266" s="57"/>
      <c r="D266" s="57"/>
      <c r="E266" s="57"/>
      <c r="F266" s="57"/>
      <c r="G266" s="58">
        <f>if(A266,_xlfn.workday.intl(int(A266),1,"1000000",Holidays!A:A)+17/24,"")</f>
        <v>45135.70833</v>
      </c>
      <c r="H266" s="59" t="str">
        <f t="shared" si="23"/>
        <v/>
      </c>
      <c r="I266" s="60"/>
      <c r="J266" s="61">
        <f t="shared" si="2"/>
        <v>998.2755766</v>
      </c>
      <c r="K266" s="58">
        <f>if(G266,_xlfn.workday.intl(int(G266),0,"1000000",Holidays!A:A)+19/24,"")</f>
        <v>45135.79167</v>
      </c>
      <c r="L266" s="59" t="str">
        <f t="shared" si="3"/>
        <v/>
      </c>
      <c r="M266" s="60"/>
      <c r="N266" s="61">
        <f t="shared" si="4"/>
        <v>998.1922432</v>
      </c>
      <c r="O266" s="63">
        <f>if(A266,_xlfn.WORKDAY.INTL(A266,O$5,"1000000",Holidays!A:A)+hour(A266)/24+MINUTE(A266)/1440,"")</f>
        <v>45135.56389</v>
      </c>
      <c r="P266" s="64" t="s">
        <v>2718</v>
      </c>
      <c r="R266" s="66">
        <f t="shared" si="5"/>
        <v>998.420021</v>
      </c>
      <c r="S266" s="66"/>
      <c r="T266" s="66"/>
      <c r="U266" s="64">
        <f>if(O266,_xlfn.WORKDAY.INTL(O266,U$5,"1000000",Holidays!A:A)+hour(O266)/24+MINUTE(O266)/1440,"")</f>
        <v>45136.56389</v>
      </c>
      <c r="V266" s="64" t="str">
        <f t="shared" si="6"/>
        <v/>
      </c>
      <c r="W266" s="66"/>
      <c r="X266" s="66">
        <f t="shared" si="7"/>
        <v>997.420021</v>
      </c>
      <c r="Y266" s="66"/>
      <c r="Z266" s="66"/>
      <c r="AA266" s="66"/>
      <c r="AB266" s="63"/>
      <c r="AC266" s="63"/>
      <c r="AD266" s="63"/>
      <c r="AE266" s="63"/>
      <c r="AF266" s="63"/>
      <c r="AG266" s="63"/>
      <c r="AH266" s="63" t="str">
        <f t="shared" si="14"/>
        <v/>
      </c>
      <c r="AI266" s="63" t="str">
        <f>if(AH266,_xlfn.workday.intl(int(AH266),0,"1000000",Holidays!A:A)+18/24,"")</f>
        <v/>
      </c>
      <c r="AJ266" s="64" t="str">
        <f t="shared" si="24"/>
        <v/>
      </c>
      <c r="AL266" s="66" t="str">
        <f t="shared" si="9"/>
        <v/>
      </c>
      <c r="AM266" s="66"/>
      <c r="AN266" s="63" t="str">
        <f>if(AJ266,if(and(hour(AJ266+AN$5)&gt;11,(hour(AJ266+AN$5)&lt;20)),AJ266+AN$5,_xlfn.workday.intl(int(AJ266),1,"1000000",Holidays!A:A)+hour(AJ266+AN$5-$B$1)/24+minute(AJ266)/1440),"")</f>
        <v/>
      </c>
      <c r="AO266" s="64" t="str">
        <f t="shared" si="15"/>
        <v/>
      </c>
      <c r="AQ266" s="66" t="str">
        <f t="shared" si="16"/>
        <v/>
      </c>
      <c r="AR266" s="66"/>
      <c r="AS266" s="63" t="str">
        <f>if(AJ266,if(and(hour(AJ266+AS$5)&gt;11,(hour(AJ266+AS$5)&lt;20)),AJ266+AS$5,_xlfn.workday.intl(int(AJ266),1,"1000000",Holidays!A:A)+hour(AJ266+AS$5-$B$1)/24+minute(AJ266)/1440),"")</f>
        <v/>
      </c>
      <c r="AT266" s="64" t="str">
        <f t="shared" si="21"/>
        <v/>
      </c>
      <c r="AV266" s="66" t="str">
        <f t="shared" si="25"/>
        <v/>
      </c>
      <c r="AW266" s="66"/>
      <c r="AX266" s="56"/>
    </row>
    <row r="267">
      <c r="A267" s="55">
        <v>45136.6156503588</v>
      </c>
      <c r="B267" s="56"/>
      <c r="C267" s="57"/>
      <c r="D267" s="57"/>
      <c r="E267" s="57"/>
      <c r="F267" s="57"/>
      <c r="G267" s="58">
        <f>if(A267,_xlfn.workday.intl(int(A267),1,"1000000",Holidays!A:A)+17/24,"")</f>
        <v>45137.70833</v>
      </c>
      <c r="H267" s="59" t="str">
        <f t="shared" si="23"/>
        <v/>
      </c>
      <c r="I267" s="60"/>
      <c r="J267" s="61">
        <f t="shared" si="2"/>
        <v>996.2755766</v>
      </c>
      <c r="K267" s="58">
        <f>if(G267,_xlfn.workday.intl(int(G267),0,"1000000",Holidays!A:A)+19/24,"")</f>
        <v>45137.79167</v>
      </c>
      <c r="L267" s="59" t="str">
        <f t="shared" si="3"/>
        <v/>
      </c>
      <c r="M267" s="60"/>
      <c r="N267" s="61">
        <f t="shared" si="4"/>
        <v>996.1922432</v>
      </c>
      <c r="O267" s="63">
        <f>if(A267,_xlfn.WORKDAY.INTL(A267,O$5,"1000000",Holidays!A:A)+hour(A267)/24+MINUTE(A267)/1440,"")</f>
        <v>45137.61528</v>
      </c>
      <c r="P267" s="64" t="s">
        <v>2718</v>
      </c>
      <c r="R267" s="66">
        <f t="shared" si="5"/>
        <v>996.3686321</v>
      </c>
      <c r="S267" s="66"/>
      <c r="T267" s="66"/>
      <c r="U267" s="64">
        <f>if(O267,_xlfn.WORKDAY.INTL(O267,U$5,"1000000",Holidays!A:A)+hour(O267)/24+MINUTE(O267)/1440,"")</f>
        <v>45139.61528</v>
      </c>
      <c r="V267" s="64" t="str">
        <f t="shared" si="6"/>
        <v/>
      </c>
      <c r="W267" s="66"/>
      <c r="X267" s="66">
        <f t="shared" si="7"/>
        <v>994.3686321</v>
      </c>
      <c r="Y267" s="66"/>
      <c r="Z267" s="66"/>
      <c r="AA267" s="66"/>
      <c r="AB267" s="63"/>
      <c r="AC267" s="63"/>
      <c r="AD267" s="63"/>
      <c r="AE267" s="63"/>
      <c r="AF267" s="63"/>
      <c r="AG267" s="63"/>
      <c r="AH267" s="63" t="str">
        <f t="shared" si="14"/>
        <v/>
      </c>
      <c r="AI267" s="63" t="str">
        <f>if(AH267,_xlfn.workday.intl(int(AH267),0,"1000000",Holidays!A:A)+18/24,"")</f>
        <v/>
      </c>
      <c r="AJ267" s="64" t="str">
        <f t="shared" si="24"/>
        <v/>
      </c>
      <c r="AL267" s="66" t="str">
        <f t="shared" si="9"/>
        <v/>
      </c>
      <c r="AM267" s="66"/>
      <c r="AN267" s="63" t="str">
        <f>if(AJ267,if(and(hour(AJ267+AN$5)&gt;11,(hour(AJ267+AN$5)&lt;20)),AJ267+AN$5,_xlfn.workday.intl(int(AJ267),1,"1000000",Holidays!A:A)+hour(AJ267+AN$5-$B$1)/24+minute(AJ267)/1440),"")</f>
        <v/>
      </c>
      <c r="AO267" s="64" t="str">
        <f t="shared" si="15"/>
        <v/>
      </c>
      <c r="AQ267" s="66" t="str">
        <f t="shared" si="16"/>
        <v/>
      </c>
      <c r="AR267" s="66"/>
      <c r="AS267" s="63" t="str">
        <f>if(AJ267,if(and(hour(AJ267+AS$5)&gt;11,(hour(AJ267+AS$5)&lt;20)),AJ267+AS$5,_xlfn.workday.intl(int(AJ267),1,"1000000",Holidays!A:A)+hour(AJ267+AS$5-$B$1)/24+minute(AJ267)/1440),"")</f>
        <v/>
      </c>
      <c r="AT267" s="64" t="str">
        <f t="shared" si="21"/>
        <v/>
      </c>
      <c r="AV267" s="66" t="str">
        <f t="shared" si="25"/>
        <v/>
      </c>
      <c r="AW267" s="66"/>
      <c r="AX267" s="56"/>
    </row>
    <row r="268">
      <c r="A268" s="55">
        <v>45136.62994597222</v>
      </c>
      <c r="B268" s="56"/>
      <c r="C268" s="57"/>
      <c r="D268" s="57"/>
      <c r="E268" s="57"/>
      <c r="F268" s="57"/>
      <c r="G268" s="58">
        <f>if(A268,_xlfn.workday.intl(int(A268),1,"1000000",Holidays!A:A)+17/24,"")</f>
        <v>45137.70833</v>
      </c>
      <c r="H268" s="59" t="str">
        <f t="shared" si="23"/>
        <v/>
      </c>
      <c r="I268" s="60"/>
      <c r="J268" s="61">
        <f t="shared" si="2"/>
        <v>996.2755766</v>
      </c>
      <c r="K268" s="58">
        <f>if(G268,_xlfn.workday.intl(int(G268),0,"1000000",Holidays!A:A)+19/24,"")</f>
        <v>45137.79167</v>
      </c>
      <c r="L268" s="59" t="str">
        <f t="shared" si="3"/>
        <v/>
      </c>
      <c r="M268" s="60"/>
      <c r="N268" s="61">
        <f t="shared" si="4"/>
        <v>996.1922432</v>
      </c>
      <c r="O268" s="63">
        <f>if(A268,_xlfn.WORKDAY.INTL(A268,O$5,"1000000",Holidays!A:A)+hour(A268)/24+MINUTE(A268)/1440,"")</f>
        <v>45137.62986</v>
      </c>
      <c r="P268" s="64" t="s">
        <v>2718</v>
      </c>
      <c r="R268" s="66">
        <f t="shared" si="5"/>
        <v>996.3540488</v>
      </c>
      <c r="S268" s="66"/>
      <c r="T268" s="66"/>
      <c r="U268" s="64">
        <f>if(O268,_xlfn.WORKDAY.INTL(O268,U$5,"1000000",Holidays!A:A)+hour(O268)/24+MINUTE(O268)/1440,"")</f>
        <v>45139.62986</v>
      </c>
      <c r="V268" s="64" t="str">
        <f t="shared" si="6"/>
        <v/>
      </c>
      <c r="W268" s="66"/>
      <c r="X268" s="66">
        <f t="shared" si="7"/>
        <v>994.3540488</v>
      </c>
      <c r="Y268" s="66"/>
      <c r="Z268" s="66"/>
      <c r="AA268" s="66"/>
      <c r="AB268" s="63"/>
      <c r="AC268" s="63"/>
      <c r="AD268" s="63"/>
      <c r="AE268" s="63"/>
      <c r="AF268" s="63"/>
      <c r="AG268" s="63"/>
      <c r="AH268" s="63" t="str">
        <f t="shared" si="14"/>
        <v/>
      </c>
      <c r="AI268" s="63" t="str">
        <f>if(AH268,_xlfn.workday.intl(int(AH268),0,"1000000",Holidays!A:A)+18/24,"")</f>
        <v/>
      </c>
      <c r="AJ268" s="64" t="str">
        <f t="shared" si="24"/>
        <v/>
      </c>
      <c r="AL268" s="66" t="str">
        <f t="shared" si="9"/>
        <v/>
      </c>
      <c r="AM268" s="66"/>
      <c r="AN268" s="63" t="str">
        <f>if(AJ268,if(and(hour(AJ268+AN$5)&gt;11,(hour(AJ268+AN$5)&lt;20)),AJ268+AN$5,_xlfn.workday.intl(int(AJ268),1,"1000000",Holidays!A:A)+hour(AJ268+AN$5-$B$1)/24+minute(AJ268)/1440),"")</f>
        <v/>
      </c>
      <c r="AO268" s="64" t="str">
        <f t="shared" si="15"/>
        <v/>
      </c>
      <c r="AQ268" s="66" t="str">
        <f t="shared" si="16"/>
        <v/>
      </c>
      <c r="AR268" s="66"/>
      <c r="AS268" s="63" t="str">
        <f>if(AJ268,if(and(hour(AJ268+AS$5)&gt;11,(hour(AJ268+AS$5)&lt;20)),AJ268+AS$5,_xlfn.workday.intl(int(AJ268),1,"1000000",Holidays!A:A)+hour(AJ268+AS$5-$B$1)/24+minute(AJ268)/1440),"")</f>
        <v/>
      </c>
      <c r="AT268" s="64" t="str">
        <f t="shared" si="21"/>
        <v/>
      </c>
      <c r="AV268" s="66" t="str">
        <f t="shared" si="25"/>
        <v/>
      </c>
      <c r="AW268" s="66"/>
      <c r="AX268" s="56"/>
    </row>
    <row r="269">
      <c r="A269" s="55">
        <v>45139.62458520834</v>
      </c>
      <c r="B269" s="56"/>
      <c r="C269" s="57"/>
      <c r="D269" s="57"/>
      <c r="E269" s="57"/>
      <c r="F269" s="57"/>
      <c r="G269" s="58">
        <f>if(A269,_xlfn.workday.intl(int(A269),1,"1000000",Holidays!A:A)+17/24,"")</f>
        <v>45140.70833</v>
      </c>
      <c r="H269" s="59" t="str">
        <f t="shared" si="23"/>
        <v/>
      </c>
      <c r="I269" s="60"/>
      <c r="J269" s="61">
        <f t="shared" si="2"/>
        <v>993.2755766</v>
      </c>
      <c r="K269" s="58">
        <f>if(G269,_xlfn.workday.intl(int(G269),0,"1000000",Holidays!A:A)+19/24,"")</f>
        <v>45140.79167</v>
      </c>
      <c r="L269" s="59" t="str">
        <f t="shared" si="3"/>
        <v/>
      </c>
      <c r="M269" s="60"/>
      <c r="N269" s="61">
        <f t="shared" si="4"/>
        <v>993.1922432</v>
      </c>
      <c r="O269" s="63">
        <f>if(A269,_xlfn.WORKDAY.INTL(A269,O$5,"1000000",Holidays!A:A)+hour(A269)/24+MINUTE(A269)/1440,"")</f>
        <v>45140.62431</v>
      </c>
      <c r="P269" s="64" t="s">
        <v>2718</v>
      </c>
      <c r="R269" s="66">
        <f t="shared" si="5"/>
        <v>993.3596043</v>
      </c>
      <c r="S269" s="66"/>
      <c r="T269" s="66"/>
      <c r="U269" s="64">
        <f>if(O269,_xlfn.WORKDAY.INTL(O269,U$5,"1000000",Holidays!A:A)+hour(O269)/24+MINUTE(O269)/1440,"")</f>
        <v>45141.62431</v>
      </c>
      <c r="V269" s="64" t="str">
        <f t="shared" si="6"/>
        <v/>
      </c>
      <c r="W269" s="66"/>
      <c r="X269" s="66">
        <f t="shared" si="7"/>
        <v>992.3596043</v>
      </c>
      <c r="Y269" s="66"/>
      <c r="Z269" s="66"/>
      <c r="AA269" s="66"/>
      <c r="AB269" s="63"/>
      <c r="AC269" s="63"/>
      <c r="AD269" s="63"/>
      <c r="AE269" s="63"/>
      <c r="AF269" s="63"/>
      <c r="AG269" s="63"/>
      <c r="AH269" s="63" t="str">
        <f t="shared" si="14"/>
        <v/>
      </c>
      <c r="AI269" s="63" t="str">
        <f>if(AH269,_xlfn.workday.intl(int(AH269),0,"1000000",Holidays!A:A)+18/24,"")</f>
        <v/>
      </c>
      <c r="AJ269" s="64" t="str">
        <f t="shared" si="24"/>
        <v/>
      </c>
      <c r="AL269" s="66" t="str">
        <f t="shared" si="9"/>
        <v/>
      </c>
      <c r="AM269" s="66"/>
      <c r="AN269" s="63" t="str">
        <f>if(AJ269,if(and(hour(AJ269+AN$5)&gt;11,(hour(AJ269+AN$5)&lt;20)),AJ269+AN$5,_xlfn.workday.intl(int(AJ269),1,"1000000",Holidays!A:A)+hour(AJ269+AN$5-$B$1)/24+minute(AJ269)/1440),"")</f>
        <v/>
      </c>
      <c r="AO269" s="64" t="str">
        <f t="shared" si="15"/>
        <v/>
      </c>
      <c r="AQ269" s="66" t="str">
        <f t="shared" si="16"/>
        <v/>
      </c>
      <c r="AR269" s="66"/>
      <c r="AS269" s="63" t="str">
        <f>if(AJ269,if(and(hour(AJ269+AS$5)&gt;11,(hour(AJ269+AS$5)&lt;20)),AJ269+AS$5,_xlfn.workday.intl(int(AJ269),1,"1000000",Holidays!A:A)+hour(AJ269+AS$5-$B$1)/24+minute(AJ269)/1440),"")</f>
        <v/>
      </c>
      <c r="AT269" s="64" t="str">
        <f t="shared" si="21"/>
        <v/>
      </c>
      <c r="AV269" s="66" t="str">
        <f t="shared" si="25"/>
        <v/>
      </c>
      <c r="AW269" s="66"/>
      <c r="AX269" s="56"/>
    </row>
    <row r="270">
      <c r="A270" s="55">
        <v>45139.630877233794</v>
      </c>
      <c r="B270" s="56"/>
      <c r="C270" s="57"/>
      <c r="D270" s="57"/>
      <c r="E270" s="57"/>
      <c r="F270" s="57"/>
      <c r="G270" s="58">
        <f>if(A270,_xlfn.workday.intl(int(A270),1,"1000000",Holidays!A:A)+17/24,"")</f>
        <v>45140.70833</v>
      </c>
      <c r="H270" s="59" t="str">
        <f t="shared" si="23"/>
        <v/>
      </c>
      <c r="I270" s="60"/>
      <c r="J270" s="61">
        <f t="shared" si="2"/>
        <v>993.2755766</v>
      </c>
      <c r="K270" s="58">
        <f>if(G270,_xlfn.workday.intl(int(G270),0,"1000000",Holidays!A:A)+19/24,"")</f>
        <v>45140.79167</v>
      </c>
      <c r="L270" s="59" t="str">
        <f t="shared" si="3"/>
        <v/>
      </c>
      <c r="M270" s="60"/>
      <c r="N270" s="61">
        <f t="shared" si="4"/>
        <v>993.1922432</v>
      </c>
      <c r="O270" s="63">
        <f>if(A270,_xlfn.WORKDAY.INTL(A270,O$5,"1000000",Holidays!A:A)+hour(A270)/24+MINUTE(A270)/1440,"")</f>
        <v>45140.63056</v>
      </c>
      <c r="P270" s="64" t="s">
        <v>2718</v>
      </c>
      <c r="R270" s="66">
        <f t="shared" si="5"/>
        <v>993.3533543</v>
      </c>
      <c r="S270" s="66"/>
      <c r="T270" s="66"/>
      <c r="U270" s="64">
        <f>if(O270,_xlfn.WORKDAY.INTL(O270,U$5,"1000000",Holidays!A:A)+hour(O270)/24+MINUTE(O270)/1440,"")</f>
        <v>45141.63056</v>
      </c>
      <c r="V270" s="64" t="str">
        <f t="shared" si="6"/>
        <v/>
      </c>
      <c r="W270" s="66"/>
      <c r="X270" s="66">
        <f t="shared" si="7"/>
        <v>992.3533543</v>
      </c>
      <c r="Y270" s="66"/>
      <c r="Z270" s="66"/>
      <c r="AA270" s="66"/>
      <c r="AB270" s="63"/>
      <c r="AC270" s="63"/>
      <c r="AD270" s="63"/>
      <c r="AE270" s="63"/>
      <c r="AF270" s="63"/>
      <c r="AG270" s="63"/>
      <c r="AH270" s="63" t="str">
        <f t="shared" si="14"/>
        <v/>
      </c>
      <c r="AI270" s="63" t="str">
        <f>if(AH270,_xlfn.workday.intl(int(AH270),0,"1000000",Holidays!A:A)+18/24,"")</f>
        <v/>
      </c>
      <c r="AJ270" s="64" t="str">
        <f t="shared" si="24"/>
        <v/>
      </c>
      <c r="AL270" s="66" t="str">
        <f t="shared" si="9"/>
        <v/>
      </c>
      <c r="AM270" s="66"/>
      <c r="AN270" s="63" t="str">
        <f>if(AJ270,if(and(hour(AJ270+AN$5)&gt;11,(hour(AJ270+AN$5)&lt;20)),AJ270+AN$5,_xlfn.workday.intl(int(AJ270),1,"1000000",Holidays!A:A)+hour(AJ270+AN$5-$B$1)/24+minute(AJ270)/1440),"")</f>
        <v/>
      </c>
      <c r="AO270" s="64" t="str">
        <f t="shared" si="15"/>
        <v/>
      </c>
      <c r="AQ270" s="66" t="str">
        <f t="shared" si="16"/>
        <v/>
      </c>
      <c r="AR270" s="66"/>
      <c r="AS270" s="63" t="str">
        <f>if(AJ270,if(and(hour(AJ270+AS$5)&gt;11,(hour(AJ270+AS$5)&lt;20)),AJ270+AS$5,_xlfn.workday.intl(int(AJ270),1,"1000000",Holidays!A:A)+hour(AJ270+AS$5-$B$1)/24+minute(AJ270)/1440),"")</f>
        <v/>
      </c>
      <c r="AT270" s="64" t="str">
        <f t="shared" si="21"/>
        <v/>
      </c>
      <c r="AV270" s="66" t="str">
        <f t="shared" si="25"/>
        <v/>
      </c>
      <c r="AW270" s="66"/>
      <c r="AX270" s="56"/>
    </row>
    <row r="271">
      <c r="A271" s="55">
        <v>45143.50144180555</v>
      </c>
      <c r="B271" s="56"/>
      <c r="C271" s="57"/>
      <c r="D271" s="57"/>
      <c r="E271" s="57"/>
      <c r="F271" s="57"/>
      <c r="G271" s="58">
        <f>if(A271,_xlfn.workday.intl(int(A271),1,"1000000",Holidays!A:A)+17/24,"")</f>
        <v>45144.70833</v>
      </c>
      <c r="H271" s="59" t="str">
        <f t="shared" si="23"/>
        <v/>
      </c>
      <c r="I271" s="60"/>
      <c r="J271" s="61">
        <f t="shared" si="2"/>
        <v>989.2755766</v>
      </c>
      <c r="K271" s="58">
        <f>if(G271,_xlfn.workday.intl(int(G271),0,"1000000",Holidays!A:A)+19/24,"")</f>
        <v>45144.79167</v>
      </c>
      <c r="L271" s="59" t="str">
        <f t="shared" si="3"/>
        <v/>
      </c>
      <c r="M271" s="60"/>
      <c r="N271" s="61">
        <f t="shared" si="4"/>
        <v>989.1922432</v>
      </c>
      <c r="O271" s="63">
        <f>if(A271,_xlfn.WORKDAY.INTL(A271,O$5,"1000000",Holidays!A:A)+hour(A271)/24+MINUTE(A271)/1440,"")</f>
        <v>45144.50139</v>
      </c>
      <c r="P271" s="64" t="s">
        <v>2718</v>
      </c>
      <c r="R271" s="66">
        <f t="shared" si="5"/>
        <v>989.482521</v>
      </c>
      <c r="S271" s="66"/>
      <c r="T271" s="66"/>
      <c r="U271" s="64">
        <f>if(O271,_xlfn.WORKDAY.INTL(O271,U$5,"1000000",Holidays!A:A)+hour(O271)/24+MINUTE(O271)/1440,"")</f>
        <v>45146.50139</v>
      </c>
      <c r="V271" s="64" t="str">
        <f t="shared" si="6"/>
        <v/>
      </c>
      <c r="W271" s="66"/>
      <c r="X271" s="66">
        <f t="shared" si="7"/>
        <v>987.482521</v>
      </c>
      <c r="Y271" s="66"/>
      <c r="Z271" s="66"/>
      <c r="AA271" s="66"/>
      <c r="AB271" s="63"/>
      <c r="AC271" s="63"/>
      <c r="AD271" s="63"/>
      <c r="AE271" s="63"/>
      <c r="AF271" s="63"/>
      <c r="AG271" s="63"/>
      <c r="AH271" s="63" t="str">
        <f t="shared" si="14"/>
        <v/>
      </c>
      <c r="AI271" s="63" t="str">
        <f>if(AH271,_xlfn.workday.intl(int(AH271),0,"1000000",Holidays!A:A)+18/24,"")</f>
        <v/>
      </c>
      <c r="AJ271" s="64" t="str">
        <f t="shared" si="24"/>
        <v/>
      </c>
      <c r="AL271" s="66" t="str">
        <f t="shared" si="9"/>
        <v/>
      </c>
      <c r="AM271" s="66"/>
      <c r="AN271" s="63" t="str">
        <f>if(AJ271,if(and(hour(AJ271+AN$5)&gt;11,(hour(AJ271+AN$5)&lt;20)),AJ271+AN$5,_xlfn.workday.intl(int(AJ271),1,"1000000",Holidays!A:A)+hour(AJ271+AN$5-$B$1)/24+minute(AJ271)/1440),"")</f>
        <v/>
      </c>
      <c r="AO271" s="64" t="str">
        <f t="shared" si="15"/>
        <v/>
      </c>
      <c r="AQ271" s="66" t="str">
        <f t="shared" si="16"/>
        <v/>
      </c>
      <c r="AR271" s="66"/>
      <c r="AS271" s="63" t="str">
        <f>if(AJ271,if(and(hour(AJ271+AS$5)&gt;11,(hour(AJ271+AS$5)&lt;20)),AJ271+AS$5,_xlfn.workday.intl(int(AJ271),1,"1000000",Holidays!A:A)+hour(AJ271+AS$5-$B$1)/24+minute(AJ271)/1440),"")</f>
        <v/>
      </c>
      <c r="AT271" s="64" t="str">
        <f t="shared" si="21"/>
        <v/>
      </c>
      <c r="AV271" s="66" t="str">
        <f t="shared" si="25"/>
        <v/>
      </c>
      <c r="AW271" s="66"/>
      <c r="AX271" s="56"/>
    </row>
    <row r="272">
      <c r="A272" s="55">
        <v>45143.55674393519</v>
      </c>
      <c r="B272" s="56"/>
      <c r="C272" s="57"/>
      <c r="D272" s="57"/>
      <c r="E272" s="57"/>
      <c r="F272" s="57"/>
      <c r="G272" s="58">
        <f>if(A272,_xlfn.workday.intl(int(A272),1,"1000000",Holidays!A:A)+17/24,"")</f>
        <v>45144.70833</v>
      </c>
      <c r="H272" s="59" t="str">
        <f t="shared" si="23"/>
        <v/>
      </c>
      <c r="I272" s="60"/>
      <c r="J272" s="61">
        <f t="shared" si="2"/>
        <v>989.2755766</v>
      </c>
      <c r="K272" s="58">
        <f>if(G272,_xlfn.workday.intl(int(G272),0,"1000000",Holidays!A:A)+19/24,"")</f>
        <v>45144.79167</v>
      </c>
      <c r="L272" s="59" t="str">
        <f t="shared" si="3"/>
        <v/>
      </c>
      <c r="M272" s="60"/>
      <c r="N272" s="61">
        <f t="shared" si="4"/>
        <v>989.1922432</v>
      </c>
      <c r="O272" s="63">
        <f>if(A272,_xlfn.WORKDAY.INTL(A272,O$5,"1000000",Holidays!A:A)+hour(A272)/24+MINUTE(A272)/1440,"")</f>
        <v>45144.55625</v>
      </c>
      <c r="P272" s="64" t="s">
        <v>2718</v>
      </c>
      <c r="R272" s="66">
        <f t="shared" si="5"/>
        <v>989.4276599</v>
      </c>
      <c r="S272" s="66"/>
      <c r="T272" s="66"/>
      <c r="U272" s="64">
        <f>if(O272,_xlfn.WORKDAY.INTL(O272,U$5,"1000000",Holidays!A:A)+hour(O272)/24+MINUTE(O272)/1440,"")</f>
        <v>45146.55625</v>
      </c>
      <c r="V272" s="64" t="str">
        <f t="shared" si="6"/>
        <v/>
      </c>
      <c r="W272" s="66"/>
      <c r="X272" s="66">
        <f t="shared" si="7"/>
        <v>987.4276599</v>
      </c>
      <c r="Y272" s="66"/>
      <c r="Z272" s="66"/>
      <c r="AA272" s="66"/>
      <c r="AB272" s="63"/>
      <c r="AC272" s="63"/>
      <c r="AD272" s="63"/>
      <c r="AE272" s="63"/>
      <c r="AF272" s="63"/>
      <c r="AG272" s="63"/>
      <c r="AH272" s="63" t="str">
        <f t="shared" si="14"/>
        <v/>
      </c>
      <c r="AI272" s="63" t="str">
        <f>if(AH272,_xlfn.workday.intl(int(AH272),0,"1000000",Holidays!A:A)+18/24,"")</f>
        <v/>
      </c>
      <c r="AJ272" s="64" t="str">
        <f t="shared" si="24"/>
        <v/>
      </c>
      <c r="AL272" s="66" t="str">
        <f t="shared" si="9"/>
        <v/>
      </c>
      <c r="AM272" s="66"/>
      <c r="AN272" s="63" t="str">
        <f>if(AJ272,if(and(hour(AJ272+AN$5)&gt;11,(hour(AJ272+AN$5)&lt;20)),AJ272+AN$5,_xlfn.workday.intl(int(AJ272),1,"1000000",Holidays!A:A)+hour(AJ272+AN$5-$B$1)/24+minute(AJ272)/1440),"")</f>
        <v/>
      </c>
      <c r="AO272" s="64" t="str">
        <f t="shared" si="15"/>
        <v/>
      </c>
      <c r="AQ272" s="66" t="str">
        <f t="shared" si="16"/>
        <v/>
      </c>
      <c r="AR272" s="66"/>
      <c r="AS272" s="63" t="str">
        <f>if(AJ272,if(and(hour(AJ272+AS$5)&gt;11,(hour(AJ272+AS$5)&lt;20)),AJ272+AS$5,_xlfn.workday.intl(int(AJ272),1,"1000000",Holidays!A:A)+hour(AJ272+AS$5-$B$1)/24+minute(AJ272)/1440),"")</f>
        <v/>
      </c>
      <c r="AT272" s="64" t="str">
        <f t="shared" si="21"/>
        <v/>
      </c>
      <c r="AV272" s="66" t="str">
        <f t="shared" si="25"/>
        <v/>
      </c>
      <c r="AW272" s="66"/>
      <c r="AX272" s="56"/>
    </row>
    <row r="273">
      <c r="A273" s="55">
        <v>45143.68726925926</v>
      </c>
      <c r="B273" s="56"/>
      <c r="C273" s="57"/>
      <c r="D273" s="57"/>
      <c r="E273" s="57"/>
      <c r="F273" s="57"/>
      <c r="G273" s="58">
        <f>if(A273,_xlfn.workday.intl(int(A273),1,"1000000",Holidays!A:A)+17/24,"")</f>
        <v>45144.70833</v>
      </c>
      <c r="H273" s="59" t="str">
        <f t="shared" si="23"/>
        <v/>
      </c>
      <c r="I273" s="60"/>
      <c r="J273" s="61">
        <f t="shared" si="2"/>
        <v>989.2755766</v>
      </c>
      <c r="K273" s="58">
        <f>if(G273,_xlfn.workday.intl(int(G273),0,"1000000",Holidays!A:A)+19/24,"")</f>
        <v>45144.79167</v>
      </c>
      <c r="L273" s="59" t="str">
        <f t="shared" si="3"/>
        <v/>
      </c>
      <c r="M273" s="60"/>
      <c r="N273" s="61">
        <f t="shared" si="4"/>
        <v>989.1922432</v>
      </c>
      <c r="O273" s="63">
        <f>if(A273,_xlfn.WORKDAY.INTL(A273,O$5,"1000000",Holidays!A:A)+hour(A273)/24+MINUTE(A273)/1440,"")</f>
        <v>45144.68681</v>
      </c>
      <c r="P273" s="64" t="s">
        <v>2718</v>
      </c>
      <c r="R273" s="66">
        <f t="shared" si="5"/>
        <v>989.2971043</v>
      </c>
      <c r="S273" s="66"/>
      <c r="T273" s="66"/>
      <c r="U273" s="64">
        <f>if(O273,_xlfn.WORKDAY.INTL(O273,U$5,"1000000",Holidays!A:A)+hour(O273)/24+MINUTE(O273)/1440,"")</f>
        <v>45146.68681</v>
      </c>
      <c r="V273" s="64" t="str">
        <f t="shared" si="6"/>
        <v/>
      </c>
      <c r="W273" s="66"/>
      <c r="X273" s="66">
        <f t="shared" si="7"/>
        <v>987.2971043</v>
      </c>
      <c r="Y273" s="66"/>
      <c r="Z273" s="66"/>
      <c r="AA273" s="66"/>
      <c r="AB273" s="63"/>
      <c r="AC273" s="63"/>
      <c r="AD273" s="63"/>
      <c r="AE273" s="63"/>
      <c r="AF273" s="63"/>
      <c r="AG273" s="63"/>
      <c r="AH273" s="63" t="str">
        <f t="shared" si="14"/>
        <v/>
      </c>
      <c r="AI273" s="63" t="str">
        <f>if(AH273,_xlfn.workday.intl(int(AH273),0,"1000000",Holidays!A:A)+18/24,"")</f>
        <v/>
      </c>
      <c r="AJ273" s="64" t="str">
        <f t="shared" si="24"/>
        <v/>
      </c>
      <c r="AL273" s="66" t="str">
        <f t="shared" si="9"/>
        <v/>
      </c>
      <c r="AM273" s="66"/>
      <c r="AN273" s="63" t="str">
        <f>if(AJ273,if(and(hour(AJ273+AN$5)&gt;11,(hour(AJ273+AN$5)&lt;20)),AJ273+AN$5,_xlfn.workday.intl(int(AJ273),1,"1000000",Holidays!A:A)+hour(AJ273+AN$5-$B$1)/24+minute(AJ273)/1440),"")</f>
        <v/>
      </c>
      <c r="AO273" s="64" t="str">
        <f t="shared" si="15"/>
        <v/>
      </c>
      <c r="AQ273" s="66" t="str">
        <f t="shared" si="16"/>
        <v/>
      </c>
      <c r="AR273" s="66"/>
      <c r="AS273" s="63" t="str">
        <f>if(AJ273,if(and(hour(AJ273+AS$5)&gt;11,(hour(AJ273+AS$5)&lt;20)),AJ273+AS$5,_xlfn.workday.intl(int(AJ273),1,"1000000",Holidays!A:A)+hour(AJ273+AS$5-$B$1)/24+minute(AJ273)/1440),"")</f>
        <v/>
      </c>
      <c r="AT273" s="64" t="str">
        <f t="shared" si="21"/>
        <v/>
      </c>
      <c r="AV273" s="66" t="str">
        <f t="shared" si="25"/>
        <v/>
      </c>
      <c r="AW273" s="66"/>
      <c r="AX273" s="56"/>
    </row>
    <row r="274">
      <c r="A274" s="55">
        <v>45143.69402684028</v>
      </c>
      <c r="B274" s="56"/>
      <c r="C274" s="57"/>
      <c r="D274" s="57"/>
      <c r="E274" s="57"/>
      <c r="F274" s="57"/>
      <c r="G274" s="58">
        <f>if(A274,_xlfn.workday.intl(int(A274),1,"1000000",Holidays!A:A)+17/24,"")</f>
        <v>45144.70833</v>
      </c>
      <c r="H274" s="59" t="str">
        <f t="shared" si="23"/>
        <v/>
      </c>
      <c r="I274" s="60"/>
      <c r="J274" s="61">
        <f t="shared" si="2"/>
        <v>989.2755766</v>
      </c>
      <c r="K274" s="58">
        <f>if(G274,_xlfn.workday.intl(int(G274),0,"1000000",Holidays!A:A)+19/24,"")</f>
        <v>45144.79167</v>
      </c>
      <c r="L274" s="59" t="str">
        <f t="shared" si="3"/>
        <v/>
      </c>
      <c r="M274" s="60"/>
      <c r="N274" s="61">
        <f t="shared" si="4"/>
        <v>989.1922432</v>
      </c>
      <c r="O274" s="63">
        <f>if(A274,_xlfn.WORKDAY.INTL(A274,O$5,"1000000",Holidays!A:A)+hour(A274)/24+MINUTE(A274)/1440,"")</f>
        <v>45144.69375</v>
      </c>
      <c r="P274" s="64" t="s">
        <v>2718</v>
      </c>
      <c r="R274" s="66">
        <f t="shared" si="5"/>
        <v>989.2901599</v>
      </c>
      <c r="S274" s="66"/>
      <c r="T274" s="66"/>
      <c r="U274" s="64">
        <f>if(O274,_xlfn.WORKDAY.INTL(O274,U$5,"1000000",Holidays!A:A)+hour(O274)/24+MINUTE(O274)/1440,"")</f>
        <v>45146.69375</v>
      </c>
      <c r="V274" s="64" t="str">
        <f t="shared" si="6"/>
        <v/>
      </c>
      <c r="W274" s="66"/>
      <c r="X274" s="66">
        <f t="shared" si="7"/>
        <v>987.2901599</v>
      </c>
      <c r="Y274" s="66"/>
      <c r="Z274" s="66"/>
      <c r="AA274" s="66"/>
      <c r="AB274" s="63"/>
      <c r="AC274" s="63"/>
      <c r="AD274" s="63"/>
      <c r="AE274" s="63"/>
      <c r="AF274" s="63"/>
      <c r="AG274" s="63"/>
      <c r="AH274" s="63" t="str">
        <f t="shared" si="14"/>
        <v/>
      </c>
      <c r="AI274" s="63" t="str">
        <f>if(AH274,_xlfn.workday.intl(int(AH274),0,"1000000",Holidays!A:A)+18/24,"")</f>
        <v/>
      </c>
      <c r="AJ274" s="64" t="str">
        <f t="shared" si="24"/>
        <v/>
      </c>
      <c r="AL274" s="66" t="str">
        <f t="shared" si="9"/>
        <v/>
      </c>
      <c r="AM274" s="66"/>
      <c r="AN274" s="63" t="str">
        <f>if(AJ274,if(and(hour(AJ274+AN$5)&gt;11,(hour(AJ274+AN$5)&lt;20)),AJ274+AN$5,_xlfn.workday.intl(int(AJ274),1,"1000000",Holidays!A:A)+hour(AJ274+AN$5-$B$1)/24+minute(AJ274)/1440),"")</f>
        <v/>
      </c>
      <c r="AO274" s="64" t="str">
        <f t="shared" si="15"/>
        <v/>
      </c>
      <c r="AQ274" s="66" t="str">
        <f t="shared" si="16"/>
        <v/>
      </c>
      <c r="AR274" s="66"/>
      <c r="AS274" s="63" t="str">
        <f>if(AJ274,if(and(hour(AJ274+AS$5)&gt;11,(hour(AJ274+AS$5)&lt;20)),AJ274+AS$5,_xlfn.workday.intl(int(AJ274),1,"1000000",Holidays!A:A)+hour(AJ274+AS$5-$B$1)/24+minute(AJ274)/1440),"")</f>
        <v/>
      </c>
      <c r="AT274" s="64" t="str">
        <f t="shared" si="21"/>
        <v/>
      </c>
      <c r="AV274" s="66" t="str">
        <f t="shared" si="25"/>
        <v/>
      </c>
      <c r="AW274" s="66"/>
      <c r="AX274" s="56"/>
    </row>
    <row r="275">
      <c r="A275" s="55">
        <v>45143.707891377315</v>
      </c>
      <c r="B275" s="56"/>
      <c r="C275" s="57"/>
      <c r="D275" s="57"/>
      <c r="E275" s="57"/>
      <c r="F275" s="57"/>
      <c r="G275" s="58">
        <f>if(A275,_xlfn.workday.intl(int(A275),1,"1000000",Holidays!A:A)+17/24,"")</f>
        <v>45144.70833</v>
      </c>
      <c r="H275" s="59" t="str">
        <f t="shared" si="23"/>
        <v/>
      </c>
      <c r="I275" s="60"/>
      <c r="J275" s="61">
        <f t="shared" si="2"/>
        <v>989.2755766</v>
      </c>
      <c r="K275" s="58">
        <f>if(G275,_xlfn.workday.intl(int(G275),0,"1000000",Holidays!A:A)+19/24,"")</f>
        <v>45144.79167</v>
      </c>
      <c r="L275" s="59" t="str">
        <f t="shared" si="3"/>
        <v/>
      </c>
      <c r="M275" s="60"/>
      <c r="N275" s="61">
        <f t="shared" si="4"/>
        <v>989.1922432</v>
      </c>
      <c r="O275" s="63">
        <f>if(A275,_xlfn.WORKDAY.INTL(A275,O$5,"1000000",Holidays!A:A)+hour(A275)/24+MINUTE(A275)/1440,"")</f>
        <v>45144.70764</v>
      </c>
      <c r="P275" s="64" t="s">
        <v>2718</v>
      </c>
      <c r="R275" s="66">
        <f t="shared" si="5"/>
        <v>989.276271</v>
      </c>
      <c r="S275" s="66"/>
      <c r="T275" s="66"/>
      <c r="U275" s="64">
        <f>if(O275,_xlfn.WORKDAY.INTL(O275,U$5,"1000000",Holidays!A:A)+hour(O275)/24+MINUTE(O275)/1440,"")</f>
        <v>45146.70764</v>
      </c>
      <c r="V275" s="64" t="str">
        <f t="shared" si="6"/>
        <v/>
      </c>
      <c r="W275" s="66"/>
      <c r="X275" s="66">
        <f t="shared" si="7"/>
        <v>987.276271</v>
      </c>
      <c r="Y275" s="66"/>
      <c r="Z275" s="66"/>
      <c r="AA275" s="66"/>
      <c r="AB275" s="63"/>
      <c r="AC275" s="63"/>
      <c r="AD275" s="63"/>
      <c r="AE275" s="63"/>
      <c r="AF275" s="63"/>
      <c r="AG275" s="63"/>
      <c r="AH275" s="63" t="str">
        <f t="shared" si="14"/>
        <v/>
      </c>
      <c r="AI275" s="63" t="str">
        <f>if(AH275,_xlfn.workday.intl(int(AH275),0,"1000000",Holidays!A:A)+18/24,"")</f>
        <v/>
      </c>
      <c r="AJ275" s="64" t="str">
        <f t="shared" si="24"/>
        <v/>
      </c>
      <c r="AL275" s="66" t="str">
        <f t="shared" si="9"/>
        <v/>
      </c>
      <c r="AM275" s="66"/>
      <c r="AN275" s="63" t="str">
        <f>if(AJ275,if(and(hour(AJ275+AN$5)&gt;11,(hour(AJ275+AN$5)&lt;20)),AJ275+AN$5,_xlfn.workday.intl(int(AJ275),1,"1000000",Holidays!A:A)+hour(AJ275+AN$5-$B$1)/24+minute(AJ275)/1440),"")</f>
        <v/>
      </c>
      <c r="AO275" s="64" t="str">
        <f t="shared" si="15"/>
        <v/>
      </c>
      <c r="AQ275" s="66" t="str">
        <f t="shared" si="16"/>
        <v/>
      </c>
      <c r="AR275" s="66"/>
      <c r="AS275" s="63" t="str">
        <f>if(AJ275,if(and(hour(AJ275+AS$5)&gt;11,(hour(AJ275+AS$5)&lt;20)),AJ275+AS$5,_xlfn.workday.intl(int(AJ275),1,"1000000",Holidays!A:A)+hour(AJ275+AS$5-$B$1)/24+minute(AJ275)/1440),"")</f>
        <v/>
      </c>
      <c r="AT275" s="64" t="str">
        <f t="shared" si="21"/>
        <v/>
      </c>
      <c r="AV275" s="66" t="str">
        <f t="shared" si="25"/>
        <v/>
      </c>
      <c r="AW275" s="66"/>
      <c r="AX275" s="56"/>
    </row>
    <row r="276">
      <c r="A276" s="55">
        <v>45143.74074445602</v>
      </c>
      <c r="B276" s="56"/>
      <c r="C276" s="57"/>
      <c r="D276" s="57"/>
      <c r="E276" s="57"/>
      <c r="F276" s="57"/>
      <c r="G276" s="58">
        <f>if(A276,_xlfn.workday.intl(int(A276),1,"1000000",Holidays!A:A)+17/24,"")</f>
        <v>45144.70833</v>
      </c>
      <c r="H276" s="59" t="str">
        <f t="shared" si="23"/>
        <v/>
      </c>
      <c r="I276" s="60"/>
      <c r="J276" s="61">
        <f t="shared" si="2"/>
        <v>989.2755766</v>
      </c>
      <c r="K276" s="58">
        <f>if(G276,_xlfn.workday.intl(int(G276),0,"1000000",Holidays!A:A)+19/24,"")</f>
        <v>45144.79167</v>
      </c>
      <c r="L276" s="59" t="str">
        <f t="shared" si="3"/>
        <v/>
      </c>
      <c r="M276" s="60"/>
      <c r="N276" s="61">
        <f t="shared" si="4"/>
        <v>989.1922432</v>
      </c>
      <c r="O276" s="63">
        <f>if(A276,_xlfn.WORKDAY.INTL(A276,O$5,"1000000",Holidays!A:A)+hour(A276)/24+MINUTE(A276)/1440,"")</f>
        <v>45144.74028</v>
      </c>
      <c r="P276" s="64" t="s">
        <v>2718</v>
      </c>
      <c r="R276" s="66">
        <f t="shared" si="5"/>
        <v>989.2436321</v>
      </c>
      <c r="S276" s="66"/>
      <c r="T276" s="66"/>
      <c r="U276" s="64">
        <f>if(O276,_xlfn.WORKDAY.INTL(O276,U$5,"1000000",Holidays!A:A)+hour(O276)/24+MINUTE(O276)/1440,"")</f>
        <v>45146.74028</v>
      </c>
      <c r="V276" s="64" t="str">
        <f t="shared" si="6"/>
        <v/>
      </c>
      <c r="W276" s="66"/>
      <c r="X276" s="66">
        <f t="shared" si="7"/>
        <v>987.2436321</v>
      </c>
      <c r="Y276" s="66"/>
      <c r="Z276" s="66"/>
      <c r="AA276" s="66"/>
      <c r="AB276" s="63"/>
      <c r="AC276" s="63"/>
      <c r="AD276" s="63"/>
      <c r="AE276" s="63"/>
      <c r="AF276" s="63"/>
      <c r="AG276" s="63"/>
      <c r="AH276" s="63" t="str">
        <f t="shared" si="14"/>
        <v/>
      </c>
      <c r="AI276" s="63" t="str">
        <f>if(AH276,_xlfn.workday.intl(int(AH276),0,"1000000",Holidays!A:A)+18/24,"")</f>
        <v/>
      </c>
      <c r="AJ276" s="64" t="str">
        <f t="shared" si="24"/>
        <v/>
      </c>
      <c r="AL276" s="66" t="str">
        <f t="shared" si="9"/>
        <v/>
      </c>
      <c r="AM276" s="66"/>
      <c r="AN276" s="63" t="str">
        <f>if(AJ276,if(and(hour(AJ276+AN$5)&gt;11,(hour(AJ276+AN$5)&lt;20)),AJ276+AN$5,_xlfn.workday.intl(int(AJ276),1,"1000000",Holidays!A:A)+hour(AJ276+AN$5-$B$1)/24+minute(AJ276)/1440),"")</f>
        <v/>
      </c>
      <c r="AO276" s="64" t="str">
        <f t="shared" si="15"/>
        <v/>
      </c>
      <c r="AQ276" s="66" t="str">
        <f t="shared" si="16"/>
        <v/>
      </c>
      <c r="AR276" s="66"/>
      <c r="AS276" s="63" t="str">
        <f>if(AJ276,if(and(hour(AJ276+AS$5)&gt;11,(hour(AJ276+AS$5)&lt;20)),AJ276+AS$5,_xlfn.workday.intl(int(AJ276),1,"1000000",Holidays!A:A)+hour(AJ276+AS$5-$B$1)/24+minute(AJ276)/1440),"")</f>
        <v/>
      </c>
      <c r="AT276" s="64" t="str">
        <f t="shared" si="21"/>
        <v/>
      </c>
      <c r="AV276" s="66" t="str">
        <f t="shared" si="25"/>
        <v/>
      </c>
      <c r="AW276" s="66"/>
      <c r="AX276" s="56"/>
    </row>
    <row r="277">
      <c r="A277" s="55">
        <v>45144.53822113426</v>
      </c>
      <c r="B277" s="56"/>
      <c r="C277" s="57"/>
      <c r="D277" s="57"/>
      <c r="E277" s="57"/>
      <c r="F277" s="57"/>
      <c r="G277" s="58">
        <f>if(A277,_xlfn.workday.intl(int(A277),1,"1000000",Holidays!A:A)+17/24,"")</f>
        <v>45146.70833</v>
      </c>
      <c r="H277" s="59" t="str">
        <f t="shared" si="23"/>
        <v/>
      </c>
      <c r="I277" s="60"/>
      <c r="J277" s="61">
        <f t="shared" si="2"/>
        <v>987.2755766</v>
      </c>
      <c r="K277" s="58">
        <f>if(G277,_xlfn.workday.intl(int(G277),0,"1000000",Holidays!A:A)+19/24,"")</f>
        <v>45146.79167</v>
      </c>
      <c r="L277" s="59" t="str">
        <f t="shared" si="3"/>
        <v/>
      </c>
      <c r="M277" s="60"/>
      <c r="N277" s="61">
        <f t="shared" si="4"/>
        <v>987.1922432</v>
      </c>
      <c r="O277" s="63">
        <f>if(A277,_xlfn.WORKDAY.INTL(A277,O$5,"1000000",Holidays!A:A)+hour(A277)/24+MINUTE(A277)/1440,"")</f>
        <v>45146.53819</v>
      </c>
      <c r="P277" s="64" t="s">
        <v>2718</v>
      </c>
      <c r="R277" s="66">
        <f t="shared" si="5"/>
        <v>987.4457155</v>
      </c>
      <c r="S277" s="66"/>
      <c r="T277" s="66"/>
      <c r="U277" s="64">
        <f>if(O277,_xlfn.WORKDAY.INTL(O277,U$5,"1000000",Holidays!A:A)+hour(O277)/24+MINUTE(O277)/1440,"")</f>
        <v>45147.53819</v>
      </c>
      <c r="V277" s="64" t="str">
        <f t="shared" si="6"/>
        <v/>
      </c>
      <c r="W277" s="66"/>
      <c r="X277" s="66">
        <f t="shared" si="7"/>
        <v>986.4457155</v>
      </c>
      <c r="Y277" s="66"/>
      <c r="Z277" s="66"/>
      <c r="AA277" s="66"/>
      <c r="AB277" s="63"/>
      <c r="AC277" s="63"/>
      <c r="AD277" s="63"/>
      <c r="AE277" s="63"/>
      <c r="AF277" s="63"/>
      <c r="AG277" s="63"/>
      <c r="AH277" s="63" t="str">
        <f t="shared" si="14"/>
        <v/>
      </c>
      <c r="AI277" s="63" t="str">
        <f>if(AH277,_xlfn.workday.intl(int(AH277),0,"1000000",Holidays!A:A)+18/24,"")</f>
        <v/>
      </c>
      <c r="AJ277" s="64" t="str">
        <f t="shared" si="24"/>
        <v/>
      </c>
      <c r="AL277" s="66" t="str">
        <f t="shared" si="9"/>
        <v/>
      </c>
      <c r="AM277" s="66"/>
      <c r="AN277" s="63" t="str">
        <f>if(AJ277,if(and(hour(AJ277+AN$5)&gt;11,(hour(AJ277+AN$5)&lt;20)),AJ277+AN$5,_xlfn.workday.intl(int(AJ277),1,"1000000",Holidays!A:A)+hour(AJ277+AN$5-$B$1)/24+minute(AJ277)/1440),"")</f>
        <v/>
      </c>
      <c r="AO277" s="64" t="str">
        <f t="shared" si="15"/>
        <v/>
      </c>
      <c r="AQ277" s="66" t="str">
        <f t="shared" si="16"/>
        <v/>
      </c>
      <c r="AR277" s="66"/>
      <c r="AS277" s="63" t="str">
        <f>if(AJ277,if(and(hour(AJ277+AS$5)&gt;11,(hour(AJ277+AS$5)&lt;20)),AJ277+AS$5,_xlfn.workday.intl(int(AJ277),1,"1000000",Holidays!A:A)+hour(AJ277+AS$5-$B$1)/24+minute(AJ277)/1440),"")</f>
        <v/>
      </c>
      <c r="AT277" s="64" t="str">
        <f t="shared" si="21"/>
        <v/>
      </c>
      <c r="AV277" s="66" t="str">
        <f t="shared" si="25"/>
        <v/>
      </c>
      <c r="AW277" s="66"/>
      <c r="AX277" s="56"/>
    </row>
    <row r="278">
      <c r="A278" s="55">
        <v>45144.55352673611</v>
      </c>
      <c r="B278" s="56"/>
      <c r="C278" s="57"/>
      <c r="D278" s="57"/>
      <c r="E278" s="57"/>
      <c r="F278" s="57"/>
      <c r="G278" s="58">
        <f>if(A278,_xlfn.workday.intl(int(A278),1,"1000000",Holidays!A:A)+17/24,"")</f>
        <v>45146.70833</v>
      </c>
      <c r="H278" s="59" t="str">
        <f t="shared" si="23"/>
        <v/>
      </c>
      <c r="I278" s="60"/>
      <c r="J278" s="61">
        <f t="shared" si="2"/>
        <v>987.2755766</v>
      </c>
      <c r="K278" s="58">
        <f>if(G278,_xlfn.workday.intl(int(G278),0,"1000000",Holidays!A:A)+19/24,"")</f>
        <v>45146.79167</v>
      </c>
      <c r="L278" s="59" t="str">
        <f t="shared" si="3"/>
        <v/>
      </c>
      <c r="M278" s="60"/>
      <c r="N278" s="61">
        <f t="shared" si="4"/>
        <v>987.1922432</v>
      </c>
      <c r="O278" s="63">
        <f>if(A278,_xlfn.WORKDAY.INTL(A278,O$5,"1000000",Holidays!A:A)+hour(A278)/24+MINUTE(A278)/1440,"")</f>
        <v>45146.55347</v>
      </c>
      <c r="P278" s="64" t="s">
        <v>2718</v>
      </c>
      <c r="R278" s="66">
        <f t="shared" si="5"/>
        <v>987.4304377</v>
      </c>
      <c r="S278" s="66"/>
      <c r="T278" s="66"/>
      <c r="U278" s="64">
        <f>if(O278,_xlfn.WORKDAY.INTL(O278,U$5,"1000000",Holidays!A:A)+hour(O278)/24+MINUTE(O278)/1440,"")</f>
        <v>45147.55347</v>
      </c>
      <c r="V278" s="64" t="str">
        <f t="shared" si="6"/>
        <v/>
      </c>
      <c r="W278" s="66"/>
      <c r="X278" s="66">
        <f t="shared" si="7"/>
        <v>986.4304377</v>
      </c>
      <c r="Y278" s="66"/>
      <c r="Z278" s="66"/>
      <c r="AA278" s="66"/>
      <c r="AB278" s="63"/>
      <c r="AC278" s="63"/>
      <c r="AD278" s="63"/>
      <c r="AE278" s="63"/>
      <c r="AF278" s="63"/>
      <c r="AG278" s="63"/>
      <c r="AH278" s="63" t="str">
        <f t="shared" si="14"/>
        <v/>
      </c>
      <c r="AI278" s="63" t="str">
        <f>if(AH278,_xlfn.workday.intl(int(AH278),0,"1000000",Holidays!A:A)+18/24,"")</f>
        <v/>
      </c>
      <c r="AJ278" s="64" t="str">
        <f t="shared" si="24"/>
        <v/>
      </c>
      <c r="AL278" s="66" t="str">
        <f t="shared" si="9"/>
        <v/>
      </c>
      <c r="AM278" s="66"/>
      <c r="AN278" s="63" t="str">
        <f>if(AJ278,if(and(hour(AJ278+AN$5)&gt;11,(hour(AJ278+AN$5)&lt;20)),AJ278+AN$5,_xlfn.workday.intl(int(AJ278),1,"1000000",Holidays!A:A)+hour(AJ278+AN$5-$B$1)/24+minute(AJ278)/1440),"")</f>
        <v/>
      </c>
      <c r="AO278" s="64" t="str">
        <f t="shared" si="15"/>
        <v/>
      </c>
      <c r="AQ278" s="66" t="str">
        <f t="shared" si="16"/>
        <v/>
      </c>
      <c r="AR278" s="66"/>
      <c r="AS278" s="63" t="str">
        <f>if(AJ278,if(and(hour(AJ278+AS$5)&gt;11,(hour(AJ278+AS$5)&lt;20)),AJ278+AS$5,_xlfn.workday.intl(int(AJ278),1,"1000000",Holidays!A:A)+hour(AJ278+AS$5-$B$1)/24+minute(AJ278)/1440),"")</f>
        <v/>
      </c>
      <c r="AT278" s="64" t="str">
        <f t="shared" si="21"/>
        <v/>
      </c>
      <c r="AV278" s="66" t="str">
        <f t="shared" si="25"/>
        <v/>
      </c>
      <c r="AW278" s="66"/>
      <c r="AX278" s="56"/>
    </row>
    <row r="279">
      <c r="A279" s="55">
        <v>45144.630054849535</v>
      </c>
      <c r="B279" s="56"/>
      <c r="C279" s="57"/>
      <c r="D279" s="57"/>
      <c r="E279" s="57"/>
      <c r="F279" s="57"/>
      <c r="G279" s="58">
        <f>if(A279,_xlfn.workday.intl(int(A279),1,"1000000",Holidays!A:A)+17/24,"")</f>
        <v>45146.70833</v>
      </c>
      <c r="H279" s="59" t="str">
        <f t="shared" si="23"/>
        <v/>
      </c>
      <c r="I279" s="60"/>
      <c r="J279" s="61">
        <f t="shared" si="2"/>
        <v>987.2755766</v>
      </c>
      <c r="K279" s="58">
        <f>if(G279,_xlfn.workday.intl(int(G279),0,"1000000",Holidays!A:A)+19/24,"")</f>
        <v>45146.79167</v>
      </c>
      <c r="L279" s="59" t="str">
        <f t="shared" si="3"/>
        <v/>
      </c>
      <c r="M279" s="60"/>
      <c r="N279" s="61">
        <f t="shared" si="4"/>
        <v>987.1922432</v>
      </c>
      <c r="O279" s="63">
        <f>if(A279,_xlfn.WORKDAY.INTL(A279,O$5,"1000000",Holidays!A:A)+hour(A279)/24+MINUTE(A279)/1440,"")</f>
        <v>45146.62986</v>
      </c>
      <c r="P279" s="64" t="s">
        <v>2718</v>
      </c>
      <c r="R279" s="66">
        <f t="shared" si="5"/>
        <v>987.3540488</v>
      </c>
      <c r="S279" s="66"/>
      <c r="T279" s="66"/>
      <c r="U279" s="64">
        <f>if(O279,_xlfn.WORKDAY.INTL(O279,U$5,"1000000",Holidays!A:A)+hour(O279)/24+MINUTE(O279)/1440,"")</f>
        <v>45147.62986</v>
      </c>
      <c r="V279" s="64" t="str">
        <f t="shared" si="6"/>
        <v/>
      </c>
      <c r="W279" s="66"/>
      <c r="X279" s="66">
        <f t="shared" si="7"/>
        <v>986.3540488</v>
      </c>
      <c r="Y279" s="66"/>
      <c r="Z279" s="66"/>
      <c r="AA279" s="66"/>
      <c r="AB279" s="63"/>
      <c r="AC279" s="63"/>
      <c r="AD279" s="63"/>
      <c r="AE279" s="63"/>
      <c r="AF279" s="63"/>
      <c r="AG279" s="63"/>
      <c r="AH279" s="63" t="str">
        <f t="shared" si="14"/>
        <v/>
      </c>
      <c r="AI279" s="63" t="str">
        <f>if(AH279,_xlfn.workday.intl(int(AH279),0,"1000000",Holidays!A:A)+18/24,"")</f>
        <v/>
      </c>
      <c r="AJ279" s="64" t="str">
        <f t="shared" si="24"/>
        <v/>
      </c>
      <c r="AL279" s="66" t="str">
        <f t="shared" si="9"/>
        <v/>
      </c>
      <c r="AM279" s="66"/>
      <c r="AN279" s="63" t="str">
        <f>if(AJ279,if(and(hour(AJ279+AN$5)&gt;11,(hour(AJ279+AN$5)&lt;20)),AJ279+AN$5,_xlfn.workday.intl(int(AJ279),1,"1000000",Holidays!A:A)+hour(AJ279+AN$5-$B$1)/24+minute(AJ279)/1440),"")</f>
        <v/>
      </c>
      <c r="AO279" s="64" t="str">
        <f t="shared" si="15"/>
        <v/>
      </c>
      <c r="AQ279" s="66" t="str">
        <f t="shared" si="16"/>
        <v/>
      </c>
      <c r="AR279" s="66"/>
      <c r="AS279" s="63" t="str">
        <f>if(AJ279,if(and(hour(AJ279+AS$5)&gt;11,(hour(AJ279+AS$5)&lt;20)),AJ279+AS$5,_xlfn.workday.intl(int(AJ279),1,"1000000",Holidays!A:A)+hour(AJ279+AS$5-$B$1)/24+minute(AJ279)/1440),"")</f>
        <v/>
      </c>
      <c r="AT279" s="64" t="str">
        <f t="shared" si="21"/>
        <v/>
      </c>
      <c r="AV279" s="66" t="str">
        <f t="shared" si="25"/>
        <v/>
      </c>
      <c r="AW279" s="66"/>
      <c r="AX279" s="56"/>
    </row>
    <row r="280">
      <c r="A280" s="55">
        <v>45146.789551932874</v>
      </c>
      <c r="B280" s="56"/>
      <c r="C280" s="57"/>
      <c r="D280" s="57"/>
      <c r="E280" s="57"/>
      <c r="F280" s="57"/>
      <c r="G280" s="58">
        <f>if(A280,_xlfn.workday.intl(int(A280),1,"1000000",Holidays!A:A)+17/24,"")</f>
        <v>45147.70833</v>
      </c>
      <c r="H280" s="59" t="str">
        <f t="shared" si="23"/>
        <v/>
      </c>
      <c r="I280" s="60"/>
      <c r="J280" s="61">
        <f t="shared" si="2"/>
        <v>986.2755766</v>
      </c>
      <c r="K280" s="58">
        <f>if(G280,_xlfn.workday.intl(int(G280),0,"1000000",Holidays!A:A)+19/24,"")</f>
        <v>45147.79167</v>
      </c>
      <c r="L280" s="59" t="str">
        <f t="shared" si="3"/>
        <v/>
      </c>
      <c r="M280" s="60"/>
      <c r="N280" s="61">
        <f t="shared" si="4"/>
        <v>986.1922432</v>
      </c>
      <c r="O280" s="63">
        <f>if(A280,_xlfn.WORKDAY.INTL(A280,O$5,"1000000",Holidays!A:A)+hour(A280)/24+MINUTE(A280)/1440,"")</f>
        <v>45147.78889</v>
      </c>
      <c r="P280" s="64" t="s">
        <v>2718</v>
      </c>
      <c r="R280" s="66">
        <f t="shared" si="5"/>
        <v>986.195021</v>
      </c>
      <c r="S280" s="66"/>
      <c r="T280" s="66"/>
      <c r="U280" s="64">
        <f>if(O280,_xlfn.WORKDAY.INTL(O280,U$5,"1000000",Holidays!A:A)+hour(O280)/24+MINUTE(O280)/1440,"")</f>
        <v>45148.78889</v>
      </c>
      <c r="V280" s="64" t="str">
        <f t="shared" si="6"/>
        <v/>
      </c>
      <c r="W280" s="66"/>
      <c r="X280" s="66">
        <f t="shared" si="7"/>
        <v>985.195021</v>
      </c>
      <c r="Y280" s="66"/>
      <c r="Z280" s="66"/>
      <c r="AA280" s="66"/>
      <c r="AB280" s="63"/>
      <c r="AC280" s="63"/>
      <c r="AD280" s="63"/>
      <c r="AE280" s="63"/>
      <c r="AF280" s="63"/>
      <c r="AG280" s="63"/>
      <c r="AH280" s="63" t="str">
        <f t="shared" si="14"/>
        <v/>
      </c>
      <c r="AI280" s="63" t="str">
        <f>if(AH280,_xlfn.workday.intl(int(AH280),0,"1000000",Holidays!A:A)+18/24,"")</f>
        <v/>
      </c>
      <c r="AJ280" s="64" t="str">
        <f t="shared" si="24"/>
        <v/>
      </c>
      <c r="AL280" s="66" t="str">
        <f t="shared" si="9"/>
        <v/>
      </c>
      <c r="AM280" s="66"/>
      <c r="AN280" s="63" t="str">
        <f>if(AJ280,if(and(hour(AJ280+AN$5)&gt;11,(hour(AJ280+AN$5)&lt;20)),AJ280+AN$5,_xlfn.workday.intl(int(AJ280),1,"1000000",Holidays!A:A)+hour(AJ280+AN$5-$B$1)/24+minute(AJ280)/1440),"")</f>
        <v/>
      </c>
      <c r="AO280" s="64" t="str">
        <f t="shared" si="15"/>
        <v/>
      </c>
      <c r="AQ280" s="66" t="str">
        <f t="shared" si="16"/>
        <v/>
      </c>
      <c r="AR280" s="66"/>
      <c r="AS280" s="63" t="str">
        <f>if(AJ280,if(and(hour(AJ280+AS$5)&gt;11,(hour(AJ280+AS$5)&lt;20)),AJ280+AS$5,_xlfn.workday.intl(int(AJ280),1,"1000000",Holidays!A:A)+hour(AJ280+AS$5-$B$1)/24+minute(AJ280)/1440),"")</f>
        <v/>
      </c>
      <c r="AT280" s="64" t="str">
        <f t="shared" si="21"/>
        <v/>
      </c>
      <c r="AV280" s="66" t="str">
        <f t="shared" si="25"/>
        <v/>
      </c>
      <c r="AW280" s="66"/>
      <c r="AX280" s="56"/>
    </row>
    <row r="281">
      <c r="A281" s="55">
        <v>45146.79242679398</v>
      </c>
      <c r="B281" s="56"/>
      <c r="C281" s="57"/>
      <c r="D281" s="57"/>
      <c r="E281" s="57"/>
      <c r="F281" s="57"/>
      <c r="G281" s="58">
        <f>if(A281,_xlfn.workday.intl(int(A281),1,"1000000",Holidays!A:A)+17/24,"")</f>
        <v>45147.70833</v>
      </c>
      <c r="H281" s="59" t="str">
        <f t="shared" si="23"/>
        <v/>
      </c>
      <c r="I281" s="60"/>
      <c r="J281" s="61">
        <f t="shared" si="2"/>
        <v>986.2755766</v>
      </c>
      <c r="K281" s="58">
        <f>if(G281,_xlfn.workday.intl(int(G281),0,"1000000",Holidays!A:A)+19/24,"")</f>
        <v>45147.79167</v>
      </c>
      <c r="L281" s="59" t="str">
        <f t="shared" si="3"/>
        <v/>
      </c>
      <c r="M281" s="60"/>
      <c r="N281" s="61">
        <f t="shared" si="4"/>
        <v>986.1922432</v>
      </c>
      <c r="O281" s="63">
        <f>if(A281,_xlfn.WORKDAY.INTL(A281,O$5,"1000000",Holidays!A:A)+hour(A281)/24+MINUTE(A281)/1440,"")</f>
        <v>45147.79236</v>
      </c>
      <c r="P281" s="64" t="s">
        <v>2718</v>
      </c>
      <c r="R281" s="66">
        <f t="shared" si="5"/>
        <v>986.1915488</v>
      </c>
      <c r="S281" s="66"/>
      <c r="T281" s="66"/>
      <c r="U281" s="64">
        <f>if(O281,_xlfn.WORKDAY.INTL(O281,U$5,"1000000",Holidays!A:A)+hour(O281)/24+MINUTE(O281)/1440,"")</f>
        <v>45148.79236</v>
      </c>
      <c r="V281" s="64" t="str">
        <f t="shared" si="6"/>
        <v/>
      </c>
      <c r="W281" s="66"/>
      <c r="X281" s="66">
        <f t="shared" si="7"/>
        <v>985.1915488</v>
      </c>
      <c r="Y281" s="66"/>
      <c r="Z281" s="66"/>
      <c r="AA281" s="66"/>
      <c r="AB281" s="63"/>
      <c r="AC281" s="63"/>
      <c r="AD281" s="63"/>
      <c r="AE281" s="63"/>
      <c r="AF281" s="63"/>
      <c r="AG281" s="63"/>
      <c r="AH281" s="63" t="str">
        <f t="shared" si="14"/>
        <v/>
      </c>
      <c r="AI281" s="63" t="str">
        <f>if(AH281,_xlfn.workday.intl(int(AH281),0,"1000000",Holidays!A:A)+18/24,"")</f>
        <v/>
      </c>
      <c r="AJ281" s="64" t="str">
        <f t="shared" si="24"/>
        <v/>
      </c>
      <c r="AL281" s="66" t="str">
        <f t="shared" si="9"/>
        <v/>
      </c>
      <c r="AM281" s="66"/>
      <c r="AN281" s="63" t="str">
        <f>if(AJ281,if(and(hour(AJ281+AN$5)&gt;11,(hour(AJ281+AN$5)&lt;20)),AJ281+AN$5,_xlfn.workday.intl(int(AJ281),1,"1000000",Holidays!A:A)+hour(AJ281+AN$5-$B$1)/24+minute(AJ281)/1440),"")</f>
        <v/>
      </c>
      <c r="AO281" s="64" t="str">
        <f t="shared" si="15"/>
        <v/>
      </c>
      <c r="AQ281" s="66" t="str">
        <f t="shared" si="16"/>
        <v/>
      </c>
      <c r="AR281" s="66"/>
      <c r="AS281" s="63" t="str">
        <f>if(AJ281,if(and(hour(AJ281+AS$5)&gt;11,(hour(AJ281+AS$5)&lt;20)),AJ281+AS$5,_xlfn.workday.intl(int(AJ281),1,"1000000",Holidays!A:A)+hour(AJ281+AS$5-$B$1)/24+minute(AJ281)/1440),"")</f>
        <v/>
      </c>
      <c r="AT281" s="64" t="str">
        <f t="shared" si="21"/>
        <v/>
      </c>
      <c r="AV281" s="66" t="str">
        <f t="shared" si="25"/>
        <v/>
      </c>
      <c r="AW281" s="66"/>
      <c r="AX281" s="56"/>
    </row>
    <row r="282">
      <c r="A282" s="55">
        <v>45149.48434653935</v>
      </c>
      <c r="B282" s="56"/>
      <c r="C282" s="57"/>
      <c r="D282" s="57"/>
      <c r="E282" s="57"/>
      <c r="F282" s="57"/>
      <c r="G282" s="58">
        <f>if(A282,_xlfn.workday.intl(int(A282),1,"1000000",Holidays!A:A)+17/24,"")</f>
        <v>45150.70833</v>
      </c>
      <c r="H282" s="59" t="str">
        <f t="shared" si="23"/>
        <v/>
      </c>
      <c r="I282" s="60"/>
      <c r="J282" s="61">
        <f t="shared" si="2"/>
        <v>983.2755766</v>
      </c>
      <c r="K282" s="58">
        <f>if(G282,_xlfn.workday.intl(int(G282),0,"1000000",Holidays!A:A)+19/24,"")</f>
        <v>45150.79167</v>
      </c>
      <c r="L282" s="59" t="str">
        <f t="shared" si="3"/>
        <v/>
      </c>
      <c r="M282" s="60"/>
      <c r="N282" s="61">
        <f t="shared" si="4"/>
        <v>983.1922432</v>
      </c>
      <c r="O282" s="63">
        <f>if(A282,_xlfn.WORKDAY.INTL(A282,O$5,"1000000",Holidays!A:A)+hour(A282)/24+MINUTE(A282)/1440,"")</f>
        <v>45150.48403</v>
      </c>
      <c r="P282" s="64" t="s">
        <v>2718</v>
      </c>
      <c r="R282" s="66">
        <f t="shared" si="5"/>
        <v>983.4998821</v>
      </c>
      <c r="S282" s="66"/>
      <c r="T282" s="66"/>
      <c r="U282" s="64">
        <f>if(O282,_xlfn.WORKDAY.INTL(O282,U$5,"1000000",Holidays!A:A)+hour(O282)/24+MINUTE(O282)/1440,"")</f>
        <v>45151.48403</v>
      </c>
      <c r="V282" s="64" t="str">
        <f t="shared" si="6"/>
        <v/>
      </c>
      <c r="W282" s="66"/>
      <c r="X282" s="66">
        <f t="shared" si="7"/>
        <v>982.4998821</v>
      </c>
      <c r="Y282" s="66"/>
      <c r="Z282" s="66"/>
      <c r="AA282" s="66"/>
      <c r="AB282" s="63"/>
      <c r="AC282" s="63"/>
      <c r="AD282" s="63"/>
      <c r="AE282" s="63"/>
      <c r="AF282" s="63"/>
      <c r="AG282" s="63"/>
      <c r="AH282" s="63" t="str">
        <f t="shared" si="14"/>
        <v/>
      </c>
      <c r="AI282" s="63" t="str">
        <f>if(AH282,_xlfn.workday.intl(int(AH282),0,"1000000",Holidays!A:A)+18/24,"")</f>
        <v/>
      </c>
      <c r="AJ282" s="64" t="str">
        <f t="shared" si="24"/>
        <v/>
      </c>
      <c r="AL282" s="66" t="str">
        <f t="shared" si="9"/>
        <v/>
      </c>
      <c r="AM282" s="66"/>
      <c r="AN282" s="63" t="str">
        <f>if(AJ282,if(and(hour(AJ282+AN$5)&gt;11,(hour(AJ282+AN$5)&lt;20)),AJ282+AN$5,_xlfn.workday.intl(int(AJ282),1,"1000000",Holidays!A:A)+hour(AJ282+AN$5-$B$1)/24+minute(AJ282)/1440),"")</f>
        <v/>
      </c>
      <c r="AO282" s="64" t="str">
        <f t="shared" si="15"/>
        <v/>
      </c>
      <c r="AQ282" s="66" t="str">
        <f t="shared" si="16"/>
        <v/>
      </c>
      <c r="AR282" s="66"/>
      <c r="AS282" s="63" t="str">
        <f>if(AJ282,if(and(hour(AJ282+AS$5)&gt;11,(hour(AJ282+AS$5)&lt;20)),AJ282+AS$5,_xlfn.workday.intl(int(AJ282),1,"1000000",Holidays!A:A)+hour(AJ282+AS$5-$B$1)/24+minute(AJ282)/1440),"")</f>
        <v/>
      </c>
      <c r="AT282" s="64" t="str">
        <f t="shared" si="21"/>
        <v/>
      </c>
      <c r="AV282" s="66" t="str">
        <f t="shared" si="25"/>
        <v/>
      </c>
      <c r="AW282" s="66"/>
      <c r="AX282" s="56"/>
    </row>
    <row r="283">
      <c r="A283" s="55">
        <v>45149.656268356484</v>
      </c>
      <c r="B283" s="56"/>
      <c r="C283" s="57"/>
      <c r="D283" s="57"/>
      <c r="E283" s="57"/>
      <c r="F283" s="57"/>
      <c r="G283" s="58">
        <f>if(A283,_xlfn.workday.intl(int(A283),1,"1000000",Holidays!A:A)+17/24,"")</f>
        <v>45150.70833</v>
      </c>
      <c r="H283" s="59" t="str">
        <f t="shared" si="23"/>
        <v/>
      </c>
      <c r="I283" s="60"/>
      <c r="J283" s="61">
        <f t="shared" si="2"/>
        <v>983.2755766</v>
      </c>
      <c r="K283" s="58">
        <f>if(G283,_xlfn.workday.intl(int(G283),0,"1000000",Holidays!A:A)+19/24,"")</f>
        <v>45150.79167</v>
      </c>
      <c r="L283" s="59" t="str">
        <f t="shared" si="3"/>
        <v/>
      </c>
      <c r="M283" s="60"/>
      <c r="N283" s="61">
        <f t="shared" si="4"/>
        <v>983.1922432</v>
      </c>
      <c r="O283" s="63">
        <f>if(A283,_xlfn.WORKDAY.INTL(A283,O$5,"1000000",Holidays!A:A)+hour(A283)/24+MINUTE(A283)/1440,"")</f>
        <v>45150.65625</v>
      </c>
      <c r="P283" s="64" t="s">
        <v>2718</v>
      </c>
      <c r="R283" s="66">
        <f t="shared" si="5"/>
        <v>983.3276599</v>
      </c>
      <c r="S283" s="66"/>
      <c r="T283" s="66"/>
      <c r="U283" s="64">
        <f>if(O283,_xlfn.WORKDAY.INTL(O283,U$5,"1000000",Holidays!A:A)+hour(O283)/24+MINUTE(O283)/1440,"")</f>
        <v>45151.65625</v>
      </c>
      <c r="V283" s="64" t="str">
        <f t="shared" si="6"/>
        <v/>
      </c>
      <c r="W283" s="66"/>
      <c r="X283" s="66">
        <f t="shared" si="7"/>
        <v>982.3276599</v>
      </c>
      <c r="Y283" s="66"/>
      <c r="Z283" s="66"/>
      <c r="AA283" s="66"/>
      <c r="AB283" s="63"/>
      <c r="AC283" s="63"/>
      <c r="AD283" s="63"/>
      <c r="AE283" s="63"/>
      <c r="AF283" s="63"/>
      <c r="AG283" s="63"/>
      <c r="AH283" s="63" t="str">
        <f t="shared" si="14"/>
        <v/>
      </c>
      <c r="AI283" s="63" t="str">
        <f>if(AH283,_xlfn.workday.intl(int(AH283),0,"1000000",Holidays!A:A)+18/24,"")</f>
        <v/>
      </c>
      <c r="AJ283" s="64" t="str">
        <f t="shared" si="24"/>
        <v/>
      </c>
      <c r="AL283" s="66" t="str">
        <f t="shared" si="9"/>
        <v/>
      </c>
      <c r="AM283" s="66"/>
      <c r="AN283" s="63" t="str">
        <f>if(AJ283,if(and(hour(AJ283+AN$5)&gt;11,(hour(AJ283+AN$5)&lt;20)),AJ283+AN$5,_xlfn.workday.intl(int(AJ283),1,"1000000",Holidays!A:A)+hour(AJ283+AN$5-$B$1)/24+minute(AJ283)/1440),"")</f>
        <v/>
      </c>
      <c r="AO283" s="64" t="str">
        <f t="shared" si="15"/>
        <v/>
      </c>
      <c r="AQ283" s="66" t="str">
        <f t="shared" si="16"/>
        <v/>
      </c>
      <c r="AR283" s="66"/>
      <c r="AS283" s="63" t="str">
        <f>if(AJ283,if(and(hour(AJ283+AS$5)&gt;11,(hour(AJ283+AS$5)&lt;20)),AJ283+AS$5,_xlfn.workday.intl(int(AJ283),1,"1000000",Holidays!A:A)+hour(AJ283+AS$5-$B$1)/24+minute(AJ283)/1440),"")</f>
        <v/>
      </c>
      <c r="AT283" s="64" t="str">
        <f t="shared" si="21"/>
        <v/>
      </c>
      <c r="AV283" s="66" t="str">
        <f t="shared" si="25"/>
        <v/>
      </c>
      <c r="AW283" s="66"/>
      <c r="AX283" s="56"/>
    </row>
    <row r="284">
      <c r="A284" s="55">
        <v>45150.62981391203</v>
      </c>
      <c r="B284" s="56"/>
      <c r="C284" s="57"/>
      <c r="D284" s="57"/>
      <c r="E284" s="57"/>
      <c r="F284" s="57"/>
      <c r="G284" s="58">
        <f>if(A284,_xlfn.workday.intl(int(A284),1,"1000000",Holidays!A:A)+17/24,"")</f>
        <v>45151.70833</v>
      </c>
      <c r="H284" s="59" t="str">
        <f t="shared" si="23"/>
        <v/>
      </c>
      <c r="I284" s="60"/>
      <c r="J284" s="61">
        <f t="shared" si="2"/>
        <v>982.2755766</v>
      </c>
      <c r="K284" s="58">
        <f>if(G284,_xlfn.workday.intl(int(G284),0,"1000000",Holidays!A:A)+19/24,"")</f>
        <v>45151.79167</v>
      </c>
      <c r="L284" s="59" t="str">
        <f t="shared" si="3"/>
        <v/>
      </c>
      <c r="M284" s="60"/>
      <c r="N284" s="61">
        <f t="shared" si="4"/>
        <v>982.1922432</v>
      </c>
      <c r="O284" s="63">
        <f>if(A284,_xlfn.WORKDAY.INTL(A284,O$5,"1000000",Holidays!A:A)+hour(A284)/24+MINUTE(A284)/1440,"")</f>
        <v>45151.62917</v>
      </c>
      <c r="P284" s="64" t="s">
        <v>2718</v>
      </c>
      <c r="R284" s="66">
        <f t="shared" si="5"/>
        <v>982.3547432</v>
      </c>
      <c r="S284" s="66"/>
      <c r="T284" s="66"/>
      <c r="U284" s="64">
        <f>if(O284,_xlfn.WORKDAY.INTL(O284,U$5,"1000000",Holidays!A:A)+hour(O284)/24+MINUTE(O284)/1440,"")</f>
        <v>45153.62917</v>
      </c>
      <c r="V284" s="64" t="str">
        <f t="shared" si="6"/>
        <v/>
      </c>
      <c r="W284" s="66"/>
      <c r="X284" s="66">
        <f t="shared" si="7"/>
        <v>980.3547432</v>
      </c>
      <c r="Y284" s="66"/>
      <c r="Z284" s="66"/>
      <c r="AA284" s="66"/>
      <c r="AB284" s="63"/>
      <c r="AC284" s="63"/>
      <c r="AD284" s="63"/>
      <c r="AE284" s="63"/>
      <c r="AF284" s="63"/>
      <c r="AG284" s="63"/>
      <c r="AH284" s="63" t="str">
        <f t="shared" si="14"/>
        <v/>
      </c>
      <c r="AI284" s="63" t="str">
        <f>if(AH284,_xlfn.workday.intl(int(AH284),0,"1000000",Holidays!A:A)+18/24,"")</f>
        <v/>
      </c>
      <c r="AJ284" s="64" t="str">
        <f t="shared" si="24"/>
        <v/>
      </c>
      <c r="AL284" s="66" t="str">
        <f t="shared" si="9"/>
        <v/>
      </c>
      <c r="AM284" s="66"/>
      <c r="AN284" s="63" t="str">
        <f>if(AJ284,if(and(hour(AJ284+AN$5)&gt;11,(hour(AJ284+AN$5)&lt;20)),AJ284+AN$5,_xlfn.workday.intl(int(AJ284),1,"1000000",Holidays!A:A)+hour(AJ284+AN$5-$B$1)/24+minute(AJ284)/1440),"")</f>
        <v/>
      </c>
      <c r="AO284" s="64" t="str">
        <f t="shared" si="15"/>
        <v/>
      </c>
      <c r="AQ284" s="66" t="str">
        <f t="shared" si="16"/>
        <v/>
      </c>
      <c r="AR284" s="66"/>
      <c r="AS284" s="63" t="str">
        <f>if(AJ284,if(and(hour(AJ284+AS$5)&gt;11,(hour(AJ284+AS$5)&lt;20)),AJ284+AS$5,_xlfn.workday.intl(int(AJ284),1,"1000000",Holidays!A:A)+hour(AJ284+AS$5-$B$1)/24+minute(AJ284)/1440),"")</f>
        <v/>
      </c>
      <c r="AT284" s="64" t="str">
        <f t="shared" si="21"/>
        <v/>
      </c>
      <c r="AV284" s="66" t="str">
        <f t="shared" si="25"/>
        <v/>
      </c>
      <c r="AW284" s="66"/>
      <c r="AX284" s="56"/>
    </row>
    <row r="285">
      <c r="A285" s="55">
        <v>45154.80569799768</v>
      </c>
      <c r="B285" s="56"/>
      <c r="C285" s="57"/>
      <c r="D285" s="57"/>
      <c r="E285" s="57"/>
      <c r="F285" s="57"/>
      <c r="G285" s="58">
        <f>if(A285,_xlfn.workday.intl(int(A285),1,"1000000",Holidays!A:A)+17/24,"")</f>
        <v>45155.70833</v>
      </c>
      <c r="H285" s="59" t="str">
        <f t="shared" si="23"/>
        <v/>
      </c>
      <c r="I285" s="60"/>
      <c r="J285" s="61">
        <f t="shared" si="2"/>
        <v>978.2755766</v>
      </c>
      <c r="K285" s="58">
        <f>if(G285,_xlfn.workday.intl(int(G285),0,"1000000",Holidays!A:A)+19/24,"")</f>
        <v>45155.79167</v>
      </c>
      <c r="L285" s="59" t="str">
        <f t="shared" si="3"/>
        <v/>
      </c>
      <c r="M285" s="60"/>
      <c r="N285" s="61">
        <f t="shared" si="4"/>
        <v>978.1922432</v>
      </c>
      <c r="O285" s="63">
        <f>if(A285,_xlfn.WORKDAY.INTL(A285,O$5,"1000000",Holidays!A:A)+hour(A285)/24+MINUTE(A285)/1440,"")</f>
        <v>45155.80556</v>
      </c>
      <c r="P285" s="64" t="s">
        <v>2718</v>
      </c>
      <c r="R285" s="66">
        <f t="shared" si="5"/>
        <v>978.1783543</v>
      </c>
      <c r="S285" s="66"/>
      <c r="T285" s="66"/>
      <c r="U285" s="64">
        <f>if(O285,_xlfn.WORKDAY.INTL(O285,U$5,"1000000",Holidays!A:A)+hour(O285)/24+MINUTE(O285)/1440,"")</f>
        <v>45156.80556</v>
      </c>
      <c r="V285" s="64" t="str">
        <f t="shared" si="6"/>
        <v/>
      </c>
      <c r="W285" s="66"/>
      <c r="X285" s="66">
        <f t="shared" si="7"/>
        <v>977.1783543</v>
      </c>
      <c r="Y285" s="66"/>
      <c r="Z285" s="66"/>
      <c r="AA285" s="66"/>
      <c r="AB285" s="63"/>
      <c r="AC285" s="63"/>
      <c r="AD285" s="63"/>
      <c r="AE285" s="63"/>
      <c r="AF285" s="63"/>
      <c r="AG285" s="63"/>
      <c r="AH285" s="63" t="str">
        <f t="shared" si="14"/>
        <v/>
      </c>
      <c r="AI285" s="63" t="str">
        <f>if(AH285,_xlfn.workday.intl(int(AH285),0,"1000000",Holidays!A:A)+18/24,"")</f>
        <v/>
      </c>
      <c r="AJ285" s="64" t="str">
        <f t="shared" si="24"/>
        <v/>
      </c>
      <c r="AL285" s="66" t="str">
        <f t="shared" si="9"/>
        <v/>
      </c>
      <c r="AM285" s="66"/>
      <c r="AN285" s="63" t="str">
        <f>if(AJ285,if(and(hour(AJ285+AN$5)&gt;11,(hour(AJ285+AN$5)&lt;20)),AJ285+AN$5,_xlfn.workday.intl(int(AJ285),1,"1000000",Holidays!A:A)+hour(AJ285+AN$5-$B$1)/24+minute(AJ285)/1440),"")</f>
        <v/>
      </c>
      <c r="AO285" s="64" t="str">
        <f t="shared" si="15"/>
        <v/>
      </c>
      <c r="AQ285" s="66" t="str">
        <f t="shared" si="16"/>
        <v/>
      </c>
      <c r="AR285" s="66"/>
      <c r="AS285" s="63" t="str">
        <f>if(AJ285,if(and(hour(AJ285+AS$5)&gt;11,(hour(AJ285+AS$5)&lt;20)),AJ285+AS$5,_xlfn.workday.intl(int(AJ285),1,"1000000",Holidays!A:A)+hour(AJ285+AS$5-$B$1)/24+minute(AJ285)/1440),"")</f>
        <v/>
      </c>
      <c r="AT285" s="64" t="str">
        <f t="shared" si="21"/>
        <v/>
      </c>
      <c r="AV285" s="66" t="str">
        <f t="shared" si="25"/>
        <v/>
      </c>
      <c r="AW285" s="66"/>
      <c r="AX285" s="56"/>
    </row>
    <row r="286">
      <c r="A286" s="55">
        <v>45154.80811006944</v>
      </c>
      <c r="B286" s="56"/>
      <c r="C286" s="57"/>
      <c r="D286" s="57"/>
      <c r="E286" s="57"/>
      <c r="F286" s="57"/>
      <c r="G286" s="58">
        <f>if(A286,_xlfn.workday.intl(int(A286),1,"1000000",Holidays!A:A)+17/24,"")</f>
        <v>45155.70833</v>
      </c>
      <c r="H286" s="59" t="str">
        <f t="shared" si="23"/>
        <v/>
      </c>
      <c r="I286" s="60"/>
      <c r="J286" s="61">
        <f t="shared" si="2"/>
        <v>978.2755766</v>
      </c>
      <c r="K286" s="58">
        <f>if(G286,_xlfn.workday.intl(int(G286),0,"1000000",Holidays!A:A)+19/24,"")</f>
        <v>45155.79167</v>
      </c>
      <c r="L286" s="59" t="str">
        <f t="shared" si="3"/>
        <v/>
      </c>
      <c r="M286" s="60"/>
      <c r="N286" s="61">
        <f t="shared" si="4"/>
        <v>978.1922432</v>
      </c>
      <c r="O286" s="63">
        <f>if(A286,_xlfn.WORKDAY.INTL(A286,O$5,"1000000",Holidays!A:A)+hour(A286)/24+MINUTE(A286)/1440,"")</f>
        <v>45155.80764</v>
      </c>
      <c r="P286" s="64" t="s">
        <v>2718</v>
      </c>
      <c r="R286" s="66">
        <f t="shared" si="5"/>
        <v>978.176271</v>
      </c>
      <c r="S286" s="66"/>
      <c r="T286" s="66"/>
      <c r="U286" s="64">
        <f>if(O286,_xlfn.WORKDAY.INTL(O286,U$5,"1000000",Holidays!A:A)+hour(O286)/24+MINUTE(O286)/1440,"")</f>
        <v>45156.80764</v>
      </c>
      <c r="V286" s="64" t="str">
        <f t="shared" si="6"/>
        <v/>
      </c>
      <c r="W286" s="66"/>
      <c r="X286" s="66">
        <f t="shared" si="7"/>
        <v>977.176271</v>
      </c>
      <c r="Y286" s="66"/>
      <c r="Z286" s="66"/>
      <c r="AA286" s="66"/>
      <c r="AB286" s="63"/>
      <c r="AC286" s="63"/>
      <c r="AD286" s="63"/>
      <c r="AE286" s="63"/>
      <c r="AF286" s="63"/>
      <c r="AG286" s="63"/>
      <c r="AH286" s="63" t="str">
        <f t="shared" si="14"/>
        <v/>
      </c>
      <c r="AI286" s="63" t="str">
        <f>if(AH286,_xlfn.workday.intl(int(AH286),0,"1000000",Holidays!A:A)+18/24,"")</f>
        <v/>
      </c>
      <c r="AJ286" s="64" t="str">
        <f t="shared" si="24"/>
        <v/>
      </c>
      <c r="AL286" s="66" t="str">
        <f t="shared" si="9"/>
        <v/>
      </c>
      <c r="AM286" s="66"/>
      <c r="AN286" s="63" t="str">
        <f>if(AJ286,if(and(hour(AJ286+AN$5)&gt;11,(hour(AJ286+AN$5)&lt;20)),AJ286+AN$5,_xlfn.workday.intl(int(AJ286),1,"1000000",Holidays!A:A)+hour(AJ286+AN$5-$B$1)/24+minute(AJ286)/1440),"")</f>
        <v/>
      </c>
      <c r="AO286" s="64" t="str">
        <f t="shared" si="15"/>
        <v/>
      </c>
      <c r="AQ286" s="66" t="str">
        <f t="shared" si="16"/>
        <v/>
      </c>
      <c r="AR286" s="66"/>
      <c r="AS286" s="63" t="str">
        <f>if(AJ286,if(and(hour(AJ286+AS$5)&gt;11,(hour(AJ286+AS$5)&lt;20)),AJ286+AS$5,_xlfn.workday.intl(int(AJ286),1,"1000000",Holidays!A:A)+hour(AJ286+AS$5-$B$1)/24+minute(AJ286)/1440),"")</f>
        <v/>
      </c>
      <c r="AT286" s="64" t="str">
        <f t="shared" si="21"/>
        <v/>
      </c>
      <c r="AV286" s="66" t="str">
        <f t="shared" si="25"/>
        <v/>
      </c>
      <c r="AW286" s="66"/>
      <c r="AX286" s="56"/>
    </row>
    <row r="287">
      <c r="A287" s="55">
        <v>45154.81032626158</v>
      </c>
      <c r="B287" s="56"/>
      <c r="C287" s="57"/>
      <c r="D287" s="57"/>
      <c r="E287" s="57"/>
      <c r="F287" s="57"/>
      <c r="G287" s="58">
        <f>if(A287,_xlfn.workday.intl(int(A287),1,"1000000",Holidays!A:A)+17/24,"")</f>
        <v>45155.70833</v>
      </c>
      <c r="H287" s="59" t="str">
        <f t="shared" si="23"/>
        <v/>
      </c>
      <c r="I287" s="60"/>
      <c r="J287" s="61">
        <f t="shared" si="2"/>
        <v>978.2755766</v>
      </c>
      <c r="K287" s="58">
        <f>if(G287,_xlfn.workday.intl(int(G287),0,"1000000",Holidays!A:A)+19/24,"")</f>
        <v>45155.79167</v>
      </c>
      <c r="L287" s="59" t="str">
        <f t="shared" si="3"/>
        <v/>
      </c>
      <c r="M287" s="60"/>
      <c r="N287" s="61">
        <f t="shared" si="4"/>
        <v>978.1922432</v>
      </c>
      <c r="O287" s="63">
        <f>if(A287,_xlfn.WORKDAY.INTL(A287,O$5,"1000000",Holidays!A:A)+hour(A287)/24+MINUTE(A287)/1440,"")</f>
        <v>45155.80972</v>
      </c>
      <c r="P287" s="64" t="s">
        <v>2718</v>
      </c>
      <c r="R287" s="66">
        <f t="shared" si="5"/>
        <v>978.1741877</v>
      </c>
      <c r="S287" s="66"/>
      <c r="T287" s="66"/>
      <c r="U287" s="64">
        <f>if(O287,_xlfn.WORKDAY.INTL(O287,U$5,"1000000",Holidays!A:A)+hour(O287)/24+MINUTE(O287)/1440,"")</f>
        <v>45156.80972</v>
      </c>
      <c r="V287" s="64" t="str">
        <f t="shared" si="6"/>
        <v/>
      </c>
      <c r="W287" s="66"/>
      <c r="X287" s="66">
        <f t="shared" si="7"/>
        <v>977.1741877</v>
      </c>
      <c r="Y287" s="66"/>
      <c r="Z287" s="66"/>
      <c r="AA287" s="66"/>
      <c r="AB287" s="63"/>
      <c r="AC287" s="63"/>
      <c r="AD287" s="63"/>
      <c r="AE287" s="63"/>
      <c r="AF287" s="63"/>
      <c r="AG287" s="63"/>
      <c r="AH287" s="63" t="str">
        <f t="shared" si="14"/>
        <v/>
      </c>
      <c r="AI287" s="63" t="str">
        <f>if(AH287,_xlfn.workday.intl(int(AH287),0,"1000000",Holidays!A:A)+18/24,"")</f>
        <v/>
      </c>
      <c r="AJ287" s="64" t="str">
        <f t="shared" si="24"/>
        <v/>
      </c>
      <c r="AL287" s="66" t="str">
        <f t="shared" si="9"/>
        <v/>
      </c>
      <c r="AM287" s="66"/>
      <c r="AN287" s="63" t="str">
        <f>if(AJ287,if(and(hour(AJ287+AN$5)&gt;11,(hour(AJ287+AN$5)&lt;20)),AJ287+AN$5,_xlfn.workday.intl(int(AJ287),1,"1000000",Holidays!A:A)+hour(AJ287+AN$5-$B$1)/24+minute(AJ287)/1440),"")</f>
        <v/>
      </c>
      <c r="AO287" s="64" t="str">
        <f t="shared" si="15"/>
        <v/>
      </c>
      <c r="AQ287" s="66" t="str">
        <f t="shared" si="16"/>
        <v/>
      </c>
      <c r="AR287" s="66"/>
      <c r="AS287" s="63" t="str">
        <f>if(AJ287,if(and(hour(AJ287+AS$5)&gt;11,(hour(AJ287+AS$5)&lt;20)),AJ287+AS$5,_xlfn.workday.intl(int(AJ287),1,"1000000",Holidays!A:A)+hour(AJ287+AS$5-$B$1)/24+minute(AJ287)/1440),"")</f>
        <v/>
      </c>
      <c r="AT287" s="64" t="str">
        <f t="shared" si="21"/>
        <v/>
      </c>
      <c r="AV287" s="66" t="str">
        <f t="shared" si="25"/>
        <v/>
      </c>
      <c r="AW287" s="66"/>
      <c r="AX287" s="56"/>
    </row>
    <row r="288">
      <c r="A288" s="55">
        <v>45155.77813291667</v>
      </c>
      <c r="B288" s="56"/>
      <c r="C288" s="57"/>
      <c r="D288" s="57"/>
      <c r="E288" s="57"/>
      <c r="F288" s="57"/>
      <c r="G288" s="58">
        <f>if(A288,_xlfn.workday.intl(int(A288),1,"1000000",Holidays!A:A)+17/24,"")</f>
        <v>45156.70833</v>
      </c>
      <c r="H288" s="59" t="str">
        <f t="shared" si="23"/>
        <v/>
      </c>
      <c r="I288" s="60"/>
      <c r="J288" s="61">
        <f t="shared" si="2"/>
        <v>977.2755766</v>
      </c>
      <c r="K288" s="58">
        <f>if(G288,_xlfn.workday.intl(int(G288),0,"1000000",Holidays!A:A)+19/24,"")</f>
        <v>45156.79167</v>
      </c>
      <c r="L288" s="59" t="str">
        <f t="shared" si="3"/>
        <v/>
      </c>
      <c r="M288" s="60"/>
      <c r="N288" s="61">
        <f t="shared" si="4"/>
        <v>977.1922432</v>
      </c>
      <c r="O288" s="63">
        <f>if(A288,_xlfn.WORKDAY.INTL(A288,O$5,"1000000",Holidays!A:A)+hour(A288)/24+MINUTE(A288)/1440,"")</f>
        <v>45156.77778</v>
      </c>
      <c r="P288" s="64" t="s">
        <v>2718</v>
      </c>
      <c r="R288" s="66">
        <f t="shared" si="5"/>
        <v>977.2061321</v>
      </c>
      <c r="S288" s="66"/>
      <c r="T288" s="66"/>
      <c r="U288" s="64">
        <f>if(O288,_xlfn.WORKDAY.INTL(O288,U$5,"1000000",Holidays!A:A)+hour(O288)/24+MINUTE(O288)/1440,"")</f>
        <v>45157.77778</v>
      </c>
      <c r="V288" s="64" t="str">
        <f t="shared" si="6"/>
        <v/>
      </c>
      <c r="W288" s="66"/>
      <c r="X288" s="66">
        <f t="shared" si="7"/>
        <v>976.2061321</v>
      </c>
      <c r="Y288" s="66"/>
      <c r="Z288" s="66"/>
      <c r="AA288" s="66"/>
      <c r="AB288" s="63"/>
      <c r="AC288" s="63"/>
      <c r="AD288" s="63"/>
      <c r="AE288" s="63"/>
      <c r="AF288" s="63"/>
      <c r="AG288" s="63"/>
      <c r="AH288" s="63" t="str">
        <f t="shared" si="14"/>
        <v/>
      </c>
      <c r="AI288" s="63" t="str">
        <f>if(AH288,_xlfn.workday.intl(int(AH288),0,"1000000",Holidays!A:A)+18/24,"")</f>
        <v/>
      </c>
      <c r="AJ288" s="64" t="str">
        <f t="shared" si="24"/>
        <v/>
      </c>
      <c r="AL288" s="66" t="str">
        <f t="shared" si="9"/>
        <v/>
      </c>
      <c r="AM288" s="66"/>
      <c r="AN288" s="63" t="str">
        <f>if(AJ288,if(and(hour(AJ288+AN$5)&gt;11,(hour(AJ288+AN$5)&lt;20)),AJ288+AN$5,_xlfn.workday.intl(int(AJ288),1,"1000000",Holidays!A:A)+hour(AJ288+AN$5-$B$1)/24+minute(AJ288)/1440),"")</f>
        <v/>
      </c>
      <c r="AO288" s="64" t="str">
        <f t="shared" si="15"/>
        <v/>
      </c>
      <c r="AQ288" s="66" t="str">
        <f t="shared" si="16"/>
        <v/>
      </c>
      <c r="AR288" s="66"/>
      <c r="AS288" s="63" t="str">
        <f>if(AJ288,if(and(hour(AJ288+AS$5)&gt;11,(hour(AJ288+AS$5)&lt;20)),AJ288+AS$5,_xlfn.workday.intl(int(AJ288),1,"1000000",Holidays!A:A)+hour(AJ288+AS$5-$B$1)/24+minute(AJ288)/1440),"")</f>
        <v/>
      </c>
      <c r="AT288" s="64" t="str">
        <f t="shared" si="21"/>
        <v/>
      </c>
      <c r="AV288" s="66" t="str">
        <f t="shared" si="25"/>
        <v/>
      </c>
      <c r="AW288" s="66"/>
      <c r="AX288" s="56"/>
    </row>
    <row r="289">
      <c r="A289" s="55">
        <v>45157.594336793976</v>
      </c>
      <c r="B289" s="56"/>
      <c r="C289" s="57"/>
      <c r="D289" s="57"/>
      <c r="E289" s="57"/>
      <c r="F289" s="57"/>
      <c r="G289" s="58">
        <f>if(A289,_xlfn.workday.intl(int(A289),1,"1000000",Holidays!A:A)+17/24,"")</f>
        <v>45158.70833</v>
      </c>
      <c r="H289" s="59" t="str">
        <f t="shared" si="23"/>
        <v/>
      </c>
      <c r="I289" s="60"/>
      <c r="J289" s="61">
        <f t="shared" si="2"/>
        <v>975.2755766</v>
      </c>
      <c r="K289" s="58">
        <f>if(G289,_xlfn.workday.intl(int(G289),0,"1000000",Holidays!A:A)+19/24,"")</f>
        <v>45158.79167</v>
      </c>
      <c r="L289" s="59" t="str">
        <f t="shared" si="3"/>
        <v/>
      </c>
      <c r="M289" s="60"/>
      <c r="N289" s="61">
        <f t="shared" si="4"/>
        <v>975.1922432</v>
      </c>
      <c r="O289" s="63">
        <f>if(A289,_xlfn.WORKDAY.INTL(A289,O$5,"1000000",Holidays!A:A)+hour(A289)/24+MINUTE(A289)/1440,"")</f>
        <v>45158.59375</v>
      </c>
      <c r="P289" s="64" t="s">
        <v>2718</v>
      </c>
      <c r="R289" s="66">
        <f t="shared" si="5"/>
        <v>975.3901599</v>
      </c>
      <c r="S289" s="66"/>
      <c r="T289" s="66"/>
      <c r="U289" s="64">
        <f>if(O289,_xlfn.WORKDAY.INTL(O289,U$5,"1000000",Holidays!A:A)+hour(O289)/24+MINUTE(O289)/1440,"")</f>
        <v>45160.59375</v>
      </c>
      <c r="V289" s="64" t="str">
        <f t="shared" si="6"/>
        <v/>
      </c>
      <c r="W289" s="66"/>
      <c r="X289" s="66">
        <f t="shared" si="7"/>
        <v>973.3901599</v>
      </c>
      <c r="Y289" s="66"/>
      <c r="Z289" s="66"/>
      <c r="AA289" s="66"/>
      <c r="AB289" s="63"/>
      <c r="AC289" s="63"/>
      <c r="AD289" s="63"/>
      <c r="AE289" s="63"/>
      <c r="AF289" s="63"/>
      <c r="AG289" s="63"/>
      <c r="AH289" s="63" t="str">
        <f t="shared" si="14"/>
        <v/>
      </c>
      <c r="AI289" s="63" t="str">
        <f>if(AH289,_xlfn.workday.intl(int(AH289),0,"1000000",Holidays!A:A)+18/24,"")</f>
        <v/>
      </c>
      <c r="AJ289" s="64" t="str">
        <f t="shared" si="24"/>
        <v/>
      </c>
      <c r="AL289" s="66" t="str">
        <f t="shared" si="9"/>
        <v/>
      </c>
      <c r="AM289" s="66"/>
      <c r="AN289" s="63" t="str">
        <f>if(AJ289,if(and(hour(AJ289+AN$5)&gt;11,(hour(AJ289+AN$5)&lt;20)),AJ289+AN$5,_xlfn.workday.intl(int(AJ289),1,"1000000",Holidays!A:A)+hour(AJ289+AN$5-$B$1)/24+minute(AJ289)/1440),"")</f>
        <v/>
      </c>
      <c r="AO289" s="64" t="str">
        <f t="shared" si="15"/>
        <v/>
      </c>
      <c r="AQ289" s="66" t="str">
        <f t="shared" si="16"/>
        <v/>
      </c>
      <c r="AR289" s="66"/>
      <c r="AS289" s="63" t="str">
        <f>if(AJ289,if(and(hour(AJ289+AS$5)&gt;11,(hour(AJ289+AS$5)&lt;20)),AJ289+AS$5,_xlfn.workday.intl(int(AJ289),1,"1000000",Holidays!A:A)+hour(AJ289+AS$5-$B$1)/24+minute(AJ289)/1440),"")</f>
        <v/>
      </c>
      <c r="AT289" s="64" t="str">
        <f t="shared" si="21"/>
        <v/>
      </c>
      <c r="AV289" s="66" t="str">
        <f t="shared" si="25"/>
        <v/>
      </c>
      <c r="AW289" s="66"/>
      <c r="AX289" s="56"/>
    </row>
    <row r="290">
      <c r="A290" s="55">
        <v>45158.489477916664</v>
      </c>
      <c r="B290" s="56"/>
      <c r="C290" s="57"/>
      <c r="D290" s="57"/>
      <c r="E290" s="57"/>
      <c r="F290" s="57"/>
      <c r="G290" s="58">
        <f>if(A290,_xlfn.workday.intl(int(A290),1,"1000000",Holidays!A:A)+17/24,"")</f>
        <v>45160.70833</v>
      </c>
      <c r="H290" s="59" t="str">
        <f t="shared" si="23"/>
        <v/>
      </c>
      <c r="I290" s="60"/>
      <c r="J290" s="61">
        <f t="shared" si="2"/>
        <v>973.2755766</v>
      </c>
      <c r="K290" s="58">
        <f>if(G290,_xlfn.workday.intl(int(G290),0,"1000000",Holidays!A:A)+19/24,"")</f>
        <v>45160.79167</v>
      </c>
      <c r="L290" s="59" t="str">
        <f t="shared" si="3"/>
        <v/>
      </c>
      <c r="M290" s="60"/>
      <c r="N290" s="61">
        <f t="shared" si="4"/>
        <v>973.1922432</v>
      </c>
      <c r="O290" s="63">
        <f>if(A290,_xlfn.WORKDAY.INTL(A290,O$5,"1000000",Holidays!A:A)+hour(A290)/24+MINUTE(A290)/1440,"")</f>
        <v>45160.48889</v>
      </c>
      <c r="P290" s="64" t="s">
        <v>2718</v>
      </c>
      <c r="R290" s="66">
        <f t="shared" si="5"/>
        <v>973.495021</v>
      </c>
      <c r="S290" s="66"/>
      <c r="T290" s="66"/>
      <c r="U290" s="64">
        <f>if(O290,_xlfn.WORKDAY.INTL(O290,U$5,"1000000",Holidays!A:A)+hour(O290)/24+MINUTE(O290)/1440,"")</f>
        <v>45161.48889</v>
      </c>
      <c r="V290" s="64" t="str">
        <f t="shared" si="6"/>
        <v/>
      </c>
      <c r="W290" s="66"/>
      <c r="X290" s="66">
        <f t="shared" si="7"/>
        <v>972.495021</v>
      </c>
      <c r="Y290" s="66"/>
      <c r="Z290" s="66"/>
      <c r="AA290" s="66"/>
      <c r="AB290" s="63"/>
      <c r="AC290" s="63"/>
      <c r="AD290" s="63"/>
      <c r="AE290" s="63"/>
      <c r="AF290" s="63"/>
      <c r="AG290" s="63"/>
      <c r="AH290" s="63" t="str">
        <f t="shared" si="14"/>
        <v/>
      </c>
      <c r="AI290" s="63" t="str">
        <f>if(AH290,_xlfn.workday.intl(int(AH290),0,"1000000",Holidays!A:A)+18/24,"")</f>
        <v/>
      </c>
      <c r="AJ290" s="64" t="str">
        <f t="shared" si="24"/>
        <v/>
      </c>
      <c r="AL290" s="66" t="str">
        <f t="shared" si="9"/>
        <v/>
      </c>
      <c r="AM290" s="66"/>
      <c r="AN290" s="63" t="str">
        <f>if(AJ290,if(and(hour(AJ290+AN$5)&gt;11,(hour(AJ290+AN$5)&lt;20)),AJ290+AN$5,_xlfn.workday.intl(int(AJ290),1,"1000000",Holidays!A:A)+hour(AJ290+AN$5-$B$1)/24+minute(AJ290)/1440),"")</f>
        <v/>
      </c>
      <c r="AO290" s="64" t="str">
        <f t="shared" si="15"/>
        <v/>
      </c>
      <c r="AQ290" s="66" t="str">
        <f t="shared" si="16"/>
        <v/>
      </c>
      <c r="AR290" s="66"/>
      <c r="AS290" s="63" t="str">
        <f>if(AJ290,if(and(hour(AJ290+AS$5)&gt;11,(hour(AJ290+AS$5)&lt;20)),AJ290+AS$5,_xlfn.workday.intl(int(AJ290),1,"1000000",Holidays!A:A)+hour(AJ290+AS$5-$B$1)/24+minute(AJ290)/1440),"")</f>
        <v/>
      </c>
      <c r="AT290" s="64" t="str">
        <f t="shared" si="21"/>
        <v/>
      </c>
      <c r="AV290" s="66" t="str">
        <f t="shared" si="25"/>
        <v/>
      </c>
      <c r="AW290" s="66"/>
      <c r="AX290" s="56"/>
    </row>
    <row r="291">
      <c r="A291" s="55">
        <v>45160.61237954861</v>
      </c>
      <c r="B291" s="56"/>
      <c r="C291" s="57"/>
      <c r="D291" s="57"/>
      <c r="E291" s="57"/>
      <c r="F291" s="57"/>
      <c r="G291" s="58">
        <f>if(A291,_xlfn.workday.intl(int(A291),1,"1000000",Holidays!A:A)+17/24,"")</f>
        <v>45161.70833</v>
      </c>
      <c r="H291" s="59" t="str">
        <f t="shared" si="23"/>
        <v/>
      </c>
      <c r="I291" s="60"/>
      <c r="J291" s="61">
        <f t="shared" si="2"/>
        <v>972.2755766</v>
      </c>
      <c r="K291" s="58">
        <f>if(G291,_xlfn.workday.intl(int(G291),0,"1000000",Holidays!A:A)+19/24,"")</f>
        <v>45161.79167</v>
      </c>
      <c r="L291" s="59" t="str">
        <f t="shared" si="3"/>
        <v/>
      </c>
      <c r="M291" s="60"/>
      <c r="N291" s="61">
        <f t="shared" si="4"/>
        <v>972.1922432</v>
      </c>
      <c r="O291" s="63">
        <f>if(A291,_xlfn.WORKDAY.INTL(A291,O$5,"1000000",Holidays!A:A)+hour(A291)/24+MINUTE(A291)/1440,"")</f>
        <v>45161.61181</v>
      </c>
      <c r="P291" s="64" t="s">
        <v>2718</v>
      </c>
      <c r="R291" s="66">
        <f t="shared" si="5"/>
        <v>972.3721043</v>
      </c>
      <c r="S291" s="66"/>
      <c r="T291" s="66"/>
      <c r="U291" s="64">
        <f>if(O291,_xlfn.WORKDAY.INTL(O291,U$5,"1000000",Holidays!A:A)+hour(O291)/24+MINUTE(O291)/1440,"")</f>
        <v>45162.61181</v>
      </c>
      <c r="V291" s="64" t="str">
        <f t="shared" si="6"/>
        <v/>
      </c>
      <c r="W291" s="66"/>
      <c r="X291" s="66">
        <f t="shared" si="7"/>
        <v>971.3721043</v>
      </c>
      <c r="Y291" s="66"/>
      <c r="Z291" s="66"/>
      <c r="AA291" s="66"/>
      <c r="AB291" s="63"/>
      <c r="AC291" s="63"/>
      <c r="AD291" s="63"/>
      <c r="AE291" s="63"/>
      <c r="AF291" s="63"/>
      <c r="AG291" s="63"/>
      <c r="AH291" s="63" t="str">
        <f t="shared" si="14"/>
        <v/>
      </c>
      <c r="AI291" s="63" t="str">
        <f>if(AH291,_xlfn.workday.intl(int(AH291),0,"1000000",Holidays!A:A)+18/24,"")</f>
        <v/>
      </c>
      <c r="AJ291" s="64" t="str">
        <f t="shared" si="24"/>
        <v/>
      </c>
      <c r="AL291" s="66" t="str">
        <f t="shared" si="9"/>
        <v/>
      </c>
      <c r="AM291" s="66"/>
      <c r="AN291" s="63" t="str">
        <f>if(AJ291,if(and(hour(AJ291+AN$5)&gt;11,(hour(AJ291+AN$5)&lt;20)),AJ291+AN$5,_xlfn.workday.intl(int(AJ291),1,"1000000",Holidays!A:A)+hour(AJ291+AN$5-$B$1)/24+minute(AJ291)/1440),"")</f>
        <v/>
      </c>
      <c r="AO291" s="64" t="str">
        <f t="shared" si="15"/>
        <v/>
      </c>
      <c r="AQ291" s="66" t="str">
        <f t="shared" si="16"/>
        <v/>
      </c>
      <c r="AR291" s="66"/>
      <c r="AS291" s="63" t="str">
        <f>if(AJ291,if(and(hour(AJ291+AS$5)&gt;11,(hour(AJ291+AS$5)&lt;20)),AJ291+AS$5,_xlfn.workday.intl(int(AJ291),1,"1000000",Holidays!A:A)+hour(AJ291+AS$5-$B$1)/24+minute(AJ291)/1440),"")</f>
        <v/>
      </c>
      <c r="AT291" s="64" t="str">
        <f t="shared" si="21"/>
        <v/>
      </c>
      <c r="AV291" s="66" t="str">
        <f t="shared" si="25"/>
        <v/>
      </c>
      <c r="AW291" s="66"/>
      <c r="AX291" s="56"/>
    </row>
    <row r="292">
      <c r="A292" s="55">
        <v>45163.495249872685</v>
      </c>
      <c r="B292" s="56"/>
      <c r="C292" s="57"/>
      <c r="D292" s="57"/>
      <c r="E292" s="57"/>
      <c r="F292" s="57"/>
      <c r="G292" s="58">
        <f>if(A292,_xlfn.workday.intl(int(A292),1,"1000000",Holidays!A:A)+17/24,"")</f>
        <v>45164.70833</v>
      </c>
      <c r="H292" s="59" t="str">
        <f t="shared" si="23"/>
        <v/>
      </c>
      <c r="I292" s="60"/>
      <c r="J292" s="61">
        <f t="shared" si="2"/>
        <v>969.2755766</v>
      </c>
      <c r="K292" s="58">
        <f>if(G292,_xlfn.workday.intl(int(G292),0,"1000000",Holidays!A:A)+19/24,"")</f>
        <v>45164.79167</v>
      </c>
      <c r="L292" s="59" t="str">
        <f t="shared" si="3"/>
        <v/>
      </c>
      <c r="M292" s="60"/>
      <c r="N292" s="61">
        <f t="shared" si="4"/>
        <v>969.1922432</v>
      </c>
      <c r="O292" s="63">
        <f>if(A292,_xlfn.WORKDAY.INTL(A292,O$5,"1000000",Holidays!A:A)+hour(A292)/24+MINUTE(A292)/1440,"")</f>
        <v>45164.49514</v>
      </c>
      <c r="P292" s="64" t="s">
        <v>2718</v>
      </c>
      <c r="R292" s="66">
        <f t="shared" si="5"/>
        <v>969.488771</v>
      </c>
      <c r="S292" s="66"/>
      <c r="T292" s="66"/>
      <c r="U292" s="64">
        <f>if(O292,_xlfn.WORKDAY.INTL(O292,U$5,"1000000",Holidays!A:A)+hour(O292)/24+MINUTE(O292)/1440,"")</f>
        <v>45165.49514</v>
      </c>
      <c r="V292" s="64" t="str">
        <f t="shared" si="6"/>
        <v/>
      </c>
      <c r="W292" s="66"/>
      <c r="X292" s="66">
        <f t="shared" si="7"/>
        <v>968.488771</v>
      </c>
      <c r="Y292" s="66"/>
      <c r="Z292" s="66"/>
      <c r="AA292" s="66"/>
      <c r="AB292" s="63"/>
      <c r="AC292" s="63"/>
      <c r="AD292" s="63"/>
      <c r="AE292" s="63"/>
      <c r="AF292" s="63"/>
      <c r="AG292" s="63"/>
      <c r="AH292" s="63" t="str">
        <f t="shared" si="14"/>
        <v/>
      </c>
      <c r="AI292" s="63" t="str">
        <f>if(AH292,_xlfn.workday.intl(int(AH292),0,"1000000",Holidays!A:A)+18/24,"")</f>
        <v/>
      </c>
      <c r="AJ292" s="64" t="str">
        <f t="shared" si="24"/>
        <v/>
      </c>
      <c r="AL292" s="66" t="str">
        <f t="shared" si="9"/>
        <v/>
      </c>
      <c r="AM292" s="66"/>
      <c r="AN292" s="63" t="str">
        <f>if(AJ292,if(and(hour(AJ292+AN$5)&gt;11,(hour(AJ292+AN$5)&lt;20)),AJ292+AN$5,_xlfn.workday.intl(int(AJ292),1,"1000000",Holidays!A:A)+hour(AJ292+AN$5-$B$1)/24+minute(AJ292)/1440),"")</f>
        <v/>
      </c>
      <c r="AO292" s="64" t="str">
        <f t="shared" si="15"/>
        <v/>
      </c>
      <c r="AQ292" s="66" t="str">
        <f t="shared" si="16"/>
        <v/>
      </c>
      <c r="AR292" s="66"/>
      <c r="AS292" s="63" t="str">
        <f>if(AJ292,if(and(hour(AJ292+AS$5)&gt;11,(hour(AJ292+AS$5)&lt;20)),AJ292+AS$5,_xlfn.workday.intl(int(AJ292),1,"1000000",Holidays!A:A)+hour(AJ292+AS$5-$B$1)/24+minute(AJ292)/1440),"")</f>
        <v/>
      </c>
      <c r="AT292" s="64" t="str">
        <f t="shared" si="21"/>
        <v/>
      </c>
      <c r="AV292" s="66" t="str">
        <f t="shared" si="25"/>
        <v/>
      </c>
      <c r="AW292" s="66"/>
      <c r="AX292" s="56"/>
    </row>
    <row r="293">
      <c r="A293" s="55">
        <v>45167.51876219908</v>
      </c>
      <c r="B293" s="56"/>
      <c r="C293" s="57"/>
      <c r="D293" s="57"/>
      <c r="E293" s="57"/>
      <c r="F293" s="57"/>
      <c r="G293" s="58">
        <f>if(A293,_xlfn.workday.intl(int(A293),1,"1000000",Holidays!A:A)+17/24,"")</f>
        <v>45168.70833</v>
      </c>
      <c r="H293" s="59" t="str">
        <f t="shared" si="23"/>
        <v/>
      </c>
      <c r="I293" s="60"/>
      <c r="J293" s="61">
        <f t="shared" si="2"/>
        <v>965.2755766</v>
      </c>
      <c r="K293" s="58">
        <f>if(G293,_xlfn.workday.intl(int(G293),0,"1000000",Holidays!A:A)+19/24,"")</f>
        <v>45168.79167</v>
      </c>
      <c r="L293" s="59" t="str">
        <f t="shared" si="3"/>
        <v/>
      </c>
      <c r="M293" s="60"/>
      <c r="N293" s="61">
        <f t="shared" si="4"/>
        <v>965.1922432</v>
      </c>
      <c r="O293" s="63">
        <f>if(A293,_xlfn.WORKDAY.INTL(A293,O$5,"1000000",Holidays!A:A)+hour(A293)/24+MINUTE(A293)/1440,"")</f>
        <v>45168.51875</v>
      </c>
      <c r="P293" s="64" t="s">
        <v>2718</v>
      </c>
      <c r="R293" s="66">
        <f t="shared" si="5"/>
        <v>965.4651599</v>
      </c>
      <c r="S293" s="66"/>
      <c r="T293" s="66"/>
      <c r="U293" s="64">
        <f>if(O293,_xlfn.WORKDAY.INTL(O293,U$5,"1000000",Holidays!A:A)+hour(O293)/24+MINUTE(O293)/1440,"")</f>
        <v>45169.51875</v>
      </c>
      <c r="V293" s="64" t="str">
        <f t="shared" si="6"/>
        <v/>
      </c>
      <c r="W293" s="66"/>
      <c r="X293" s="66">
        <f t="shared" si="7"/>
        <v>964.4651599</v>
      </c>
      <c r="Y293" s="66"/>
      <c r="Z293" s="66"/>
      <c r="AA293" s="66"/>
      <c r="AB293" s="63"/>
      <c r="AC293" s="63"/>
      <c r="AD293" s="63"/>
      <c r="AE293" s="63"/>
      <c r="AF293" s="63"/>
      <c r="AG293" s="63"/>
      <c r="AH293" s="63" t="str">
        <f t="shared" si="14"/>
        <v/>
      </c>
      <c r="AI293" s="63" t="str">
        <f>if(AH293,_xlfn.workday.intl(int(AH293),0,"1000000",Holidays!A:A)+18/24,"")</f>
        <v/>
      </c>
      <c r="AJ293" s="64" t="str">
        <f t="shared" si="24"/>
        <v/>
      </c>
      <c r="AL293" s="66" t="str">
        <f t="shared" si="9"/>
        <v/>
      </c>
      <c r="AM293" s="66"/>
      <c r="AN293" s="63" t="str">
        <f>if(AJ293,if(and(hour(AJ293+AN$5)&gt;11,(hour(AJ293+AN$5)&lt;20)),AJ293+AN$5,_xlfn.workday.intl(int(AJ293),1,"1000000",Holidays!A:A)+hour(AJ293+AN$5-$B$1)/24+minute(AJ293)/1440),"")</f>
        <v/>
      </c>
      <c r="AO293" s="64" t="str">
        <f t="shared" si="15"/>
        <v/>
      </c>
      <c r="AQ293" s="66" t="str">
        <f t="shared" si="16"/>
        <v/>
      </c>
      <c r="AR293" s="66"/>
      <c r="AS293" s="63" t="str">
        <f>if(AJ293,if(and(hour(AJ293+AS$5)&gt;11,(hour(AJ293+AS$5)&lt;20)),AJ293+AS$5,_xlfn.workday.intl(int(AJ293),1,"1000000",Holidays!A:A)+hour(AJ293+AS$5-$B$1)/24+minute(AJ293)/1440),"")</f>
        <v/>
      </c>
      <c r="AT293" s="64" t="str">
        <f t="shared" si="21"/>
        <v/>
      </c>
      <c r="AV293" s="66" t="str">
        <f t="shared" si="25"/>
        <v/>
      </c>
      <c r="AW293" s="66"/>
      <c r="AX293" s="56"/>
    </row>
    <row r="294">
      <c r="A294" s="55">
        <v>45167.539175185186</v>
      </c>
      <c r="B294" s="56"/>
      <c r="C294" s="57"/>
      <c r="D294" s="57"/>
      <c r="E294" s="57"/>
      <c r="F294" s="57"/>
      <c r="G294" s="58">
        <f>if(A294,_xlfn.workday.intl(int(A294),1,"1000000",Holidays!A:A)+17/24,"")</f>
        <v>45168.70833</v>
      </c>
      <c r="H294" s="59" t="str">
        <f t="shared" si="23"/>
        <v/>
      </c>
      <c r="I294" s="60"/>
      <c r="J294" s="61">
        <f t="shared" si="2"/>
        <v>965.2755766</v>
      </c>
      <c r="K294" s="58">
        <f>if(G294,_xlfn.workday.intl(int(G294),0,"1000000",Holidays!A:A)+19/24,"")</f>
        <v>45168.79167</v>
      </c>
      <c r="L294" s="59" t="str">
        <f t="shared" si="3"/>
        <v/>
      </c>
      <c r="M294" s="60"/>
      <c r="N294" s="61">
        <f t="shared" si="4"/>
        <v>965.1922432</v>
      </c>
      <c r="O294" s="63">
        <f>if(A294,_xlfn.WORKDAY.INTL(A294,O$5,"1000000",Holidays!A:A)+hour(A294)/24+MINUTE(A294)/1440,"")</f>
        <v>45168.53889</v>
      </c>
      <c r="P294" s="64" t="s">
        <v>2718</v>
      </c>
      <c r="R294" s="66">
        <f t="shared" si="5"/>
        <v>965.445021</v>
      </c>
      <c r="S294" s="66"/>
      <c r="T294" s="66"/>
      <c r="U294" s="64">
        <f>if(O294,_xlfn.WORKDAY.INTL(O294,U$5,"1000000",Holidays!A:A)+hour(O294)/24+MINUTE(O294)/1440,"")</f>
        <v>45169.53889</v>
      </c>
      <c r="V294" s="64" t="str">
        <f t="shared" si="6"/>
        <v/>
      </c>
      <c r="W294" s="66"/>
      <c r="X294" s="66">
        <f t="shared" si="7"/>
        <v>964.445021</v>
      </c>
      <c r="Y294" s="66"/>
      <c r="Z294" s="66"/>
      <c r="AA294" s="66"/>
      <c r="AB294" s="63"/>
      <c r="AC294" s="63"/>
      <c r="AD294" s="63"/>
      <c r="AE294" s="63"/>
      <c r="AF294" s="63"/>
      <c r="AG294" s="63"/>
      <c r="AH294" s="63" t="str">
        <f t="shared" si="14"/>
        <v/>
      </c>
      <c r="AI294" s="63" t="str">
        <f>if(AH294,_xlfn.workday.intl(int(AH294),0,"1000000",Holidays!A:A)+18/24,"")</f>
        <v/>
      </c>
      <c r="AJ294" s="64" t="str">
        <f t="shared" si="24"/>
        <v/>
      </c>
      <c r="AL294" s="66" t="str">
        <f t="shared" si="9"/>
        <v/>
      </c>
      <c r="AM294" s="66"/>
      <c r="AN294" s="63" t="str">
        <f>if(AJ294,if(and(hour(AJ294+AN$5)&gt;11,(hour(AJ294+AN$5)&lt;20)),AJ294+AN$5,_xlfn.workday.intl(int(AJ294),1,"1000000",Holidays!A:A)+hour(AJ294+AN$5-$B$1)/24+minute(AJ294)/1440),"")</f>
        <v/>
      </c>
      <c r="AO294" s="64" t="str">
        <f t="shared" si="15"/>
        <v/>
      </c>
      <c r="AQ294" s="66" t="str">
        <f t="shared" si="16"/>
        <v/>
      </c>
      <c r="AR294" s="66"/>
      <c r="AS294" s="63" t="str">
        <f>if(AJ294,if(and(hour(AJ294+AS$5)&gt;11,(hour(AJ294+AS$5)&lt;20)),AJ294+AS$5,_xlfn.workday.intl(int(AJ294),1,"1000000",Holidays!A:A)+hour(AJ294+AS$5-$B$1)/24+minute(AJ294)/1440),"")</f>
        <v/>
      </c>
      <c r="AT294" s="64" t="str">
        <f t="shared" si="21"/>
        <v/>
      </c>
      <c r="AV294" s="66" t="str">
        <f t="shared" si="25"/>
        <v/>
      </c>
      <c r="AW294" s="66"/>
      <c r="AX294" s="56"/>
    </row>
    <row r="295">
      <c r="A295" s="55">
        <v>45167.55873478009</v>
      </c>
      <c r="B295" s="56"/>
      <c r="C295" s="57"/>
      <c r="D295" s="57"/>
      <c r="E295" s="57"/>
      <c r="F295" s="57"/>
      <c r="G295" s="58">
        <f>if(A295,_xlfn.workday.intl(int(A295),1,"1000000",Holidays!A:A)+17/24,"")</f>
        <v>45168.70833</v>
      </c>
      <c r="H295" s="59" t="str">
        <f t="shared" si="23"/>
        <v/>
      </c>
      <c r="I295" s="60"/>
      <c r="J295" s="61">
        <f t="shared" si="2"/>
        <v>965.2755766</v>
      </c>
      <c r="K295" s="58">
        <f>if(G295,_xlfn.workday.intl(int(G295),0,"1000000",Holidays!A:A)+19/24,"")</f>
        <v>45168.79167</v>
      </c>
      <c r="L295" s="59" t="str">
        <f t="shared" si="3"/>
        <v/>
      </c>
      <c r="M295" s="60"/>
      <c r="N295" s="61">
        <f t="shared" si="4"/>
        <v>965.1922432</v>
      </c>
      <c r="O295" s="63">
        <f>if(A295,_xlfn.WORKDAY.INTL(A295,O$5,"1000000",Holidays!A:A)+hour(A295)/24+MINUTE(A295)/1440,"")</f>
        <v>45168.55833</v>
      </c>
      <c r="P295" s="64" t="s">
        <v>2718</v>
      </c>
      <c r="R295" s="66">
        <f t="shared" si="5"/>
        <v>965.4255766</v>
      </c>
      <c r="S295" s="66"/>
      <c r="T295" s="66"/>
      <c r="U295" s="64">
        <f>if(O295,_xlfn.WORKDAY.INTL(O295,U$5,"1000000",Holidays!A:A)+hour(O295)/24+MINUTE(O295)/1440,"")</f>
        <v>45169.55833</v>
      </c>
      <c r="V295" s="64" t="str">
        <f t="shared" si="6"/>
        <v/>
      </c>
      <c r="W295" s="66"/>
      <c r="X295" s="66">
        <f t="shared" si="7"/>
        <v>964.4255766</v>
      </c>
      <c r="Y295" s="66"/>
      <c r="Z295" s="66"/>
      <c r="AA295" s="66"/>
      <c r="AB295" s="63"/>
      <c r="AC295" s="63"/>
      <c r="AD295" s="63"/>
      <c r="AE295" s="63"/>
      <c r="AF295" s="63"/>
      <c r="AG295" s="63"/>
      <c r="AH295" s="63" t="str">
        <f t="shared" si="14"/>
        <v/>
      </c>
      <c r="AI295" s="63" t="str">
        <f>if(AH295,_xlfn.workday.intl(int(AH295),0,"1000000",Holidays!A:A)+18/24,"")</f>
        <v/>
      </c>
      <c r="AJ295" s="64" t="str">
        <f t="shared" si="24"/>
        <v/>
      </c>
      <c r="AL295" s="66" t="str">
        <f t="shared" si="9"/>
        <v/>
      </c>
      <c r="AM295" s="66"/>
      <c r="AN295" s="63" t="str">
        <f>if(AJ295,if(and(hour(AJ295+AN$5)&gt;11,(hour(AJ295+AN$5)&lt;20)),AJ295+AN$5,_xlfn.workday.intl(int(AJ295),1,"1000000",Holidays!A:A)+hour(AJ295+AN$5-$B$1)/24+minute(AJ295)/1440),"")</f>
        <v/>
      </c>
      <c r="AO295" s="64" t="str">
        <f t="shared" si="15"/>
        <v/>
      </c>
      <c r="AQ295" s="66" t="str">
        <f t="shared" si="16"/>
        <v/>
      </c>
      <c r="AR295" s="66"/>
      <c r="AS295" s="63" t="str">
        <f>if(AJ295,if(and(hour(AJ295+AS$5)&gt;11,(hour(AJ295+AS$5)&lt;20)),AJ295+AS$5,_xlfn.workday.intl(int(AJ295),1,"1000000",Holidays!A:A)+hour(AJ295+AS$5-$B$1)/24+minute(AJ295)/1440),"")</f>
        <v/>
      </c>
      <c r="AT295" s="64" t="str">
        <f t="shared" si="21"/>
        <v/>
      </c>
      <c r="AV295" s="66" t="str">
        <f t="shared" si="25"/>
        <v/>
      </c>
      <c r="AW295" s="66"/>
      <c r="AX295" s="56"/>
    </row>
    <row r="296">
      <c r="A296" s="55">
        <v>45168.52831042824</v>
      </c>
      <c r="B296" s="56"/>
      <c r="C296" s="57"/>
      <c r="D296" s="57"/>
      <c r="E296" s="57"/>
      <c r="F296" s="57"/>
      <c r="G296" s="58">
        <f>if(A296,_xlfn.workday.intl(int(A296),1,"1000000",Holidays!A:A)+17/24,"")</f>
        <v>45169.70833</v>
      </c>
      <c r="H296" s="59" t="str">
        <f t="shared" si="23"/>
        <v/>
      </c>
      <c r="I296" s="60"/>
      <c r="J296" s="61">
        <f t="shared" si="2"/>
        <v>964.2755766</v>
      </c>
      <c r="K296" s="58">
        <f>if(G296,_xlfn.workday.intl(int(G296),0,"1000000",Holidays!A:A)+19/24,"")</f>
        <v>45169.79167</v>
      </c>
      <c r="L296" s="59" t="str">
        <f t="shared" si="3"/>
        <v/>
      </c>
      <c r="M296" s="60"/>
      <c r="N296" s="61">
        <f t="shared" si="4"/>
        <v>964.1922432</v>
      </c>
      <c r="O296" s="63">
        <f>if(A296,_xlfn.WORKDAY.INTL(A296,O$5,"1000000",Holidays!A:A)+hour(A296)/24+MINUTE(A296)/1440,"")</f>
        <v>45169.52778</v>
      </c>
      <c r="P296" s="64" t="s">
        <v>2718</v>
      </c>
      <c r="R296" s="66">
        <f t="shared" si="5"/>
        <v>964.4561321</v>
      </c>
      <c r="S296" s="66"/>
      <c r="T296" s="66"/>
      <c r="U296" s="64">
        <f>if(O296,_xlfn.WORKDAY.INTL(O296,U$5,"1000000",Holidays!A:A)+hour(O296)/24+MINUTE(O296)/1440,"")</f>
        <v>45170.52778</v>
      </c>
      <c r="V296" s="64" t="str">
        <f t="shared" si="6"/>
        <v/>
      </c>
      <c r="W296" s="66"/>
      <c r="X296" s="66">
        <f t="shared" si="7"/>
        <v>963.4561321</v>
      </c>
      <c r="Y296" s="66"/>
      <c r="Z296" s="66"/>
      <c r="AA296" s="66"/>
      <c r="AB296" s="63"/>
      <c r="AC296" s="63"/>
      <c r="AD296" s="63"/>
      <c r="AE296" s="63"/>
      <c r="AF296" s="63"/>
      <c r="AG296" s="63"/>
      <c r="AH296" s="63" t="str">
        <f t="shared" si="14"/>
        <v/>
      </c>
      <c r="AI296" s="63" t="str">
        <f>if(AH296,_xlfn.workday.intl(int(AH296),0,"1000000",Holidays!A:A)+18/24,"")</f>
        <v/>
      </c>
      <c r="AJ296" s="64" t="str">
        <f t="shared" si="24"/>
        <v/>
      </c>
      <c r="AL296" s="66" t="str">
        <f t="shared" si="9"/>
        <v/>
      </c>
      <c r="AM296" s="66"/>
      <c r="AN296" s="63" t="str">
        <f>if(AJ296,if(and(hour(AJ296+AN$5)&gt;11,(hour(AJ296+AN$5)&lt;20)),AJ296+AN$5,_xlfn.workday.intl(int(AJ296),1,"1000000",Holidays!A:A)+hour(AJ296+AN$5-$B$1)/24+minute(AJ296)/1440),"")</f>
        <v/>
      </c>
      <c r="AO296" s="64" t="str">
        <f t="shared" si="15"/>
        <v/>
      </c>
      <c r="AQ296" s="66" t="str">
        <f t="shared" si="16"/>
        <v/>
      </c>
      <c r="AR296" s="66"/>
      <c r="AS296" s="63" t="str">
        <f>if(AJ296,if(and(hour(AJ296+AS$5)&gt;11,(hour(AJ296+AS$5)&lt;20)),AJ296+AS$5,_xlfn.workday.intl(int(AJ296),1,"1000000",Holidays!A:A)+hour(AJ296+AS$5-$B$1)/24+minute(AJ296)/1440),"")</f>
        <v/>
      </c>
      <c r="AT296" s="64" t="str">
        <f t="shared" si="21"/>
        <v/>
      </c>
      <c r="AV296" s="66" t="str">
        <f t="shared" si="25"/>
        <v/>
      </c>
      <c r="AW296" s="66"/>
      <c r="AX296" s="56"/>
    </row>
    <row r="297">
      <c r="A297" s="55">
        <v>45170.54131465278</v>
      </c>
      <c r="B297" s="56"/>
      <c r="C297" s="57"/>
      <c r="D297" s="57"/>
      <c r="E297" s="57"/>
      <c r="F297" s="57"/>
      <c r="G297" s="58">
        <f>if(A297,_xlfn.workday.intl(int(A297),1,"1000000",Holidays!A:A)+17/24,"")</f>
        <v>45171.70833</v>
      </c>
      <c r="H297" s="59" t="str">
        <f t="shared" si="23"/>
        <v/>
      </c>
      <c r="I297" s="60"/>
      <c r="J297" s="61">
        <f t="shared" si="2"/>
        <v>962.2755766</v>
      </c>
      <c r="K297" s="58">
        <f>if(G297,_xlfn.workday.intl(int(G297),0,"1000000",Holidays!A:A)+19/24,"")</f>
        <v>45171.79167</v>
      </c>
      <c r="L297" s="59" t="str">
        <f t="shared" si="3"/>
        <v/>
      </c>
      <c r="M297" s="60"/>
      <c r="N297" s="61">
        <f t="shared" si="4"/>
        <v>962.1922432</v>
      </c>
      <c r="O297" s="63">
        <f>if(A297,_xlfn.WORKDAY.INTL(A297,O$5,"1000000",Holidays!A:A)+hour(A297)/24+MINUTE(A297)/1440,"")</f>
        <v>45171.54097</v>
      </c>
      <c r="P297" s="64" t="s">
        <v>2718</v>
      </c>
      <c r="R297" s="66">
        <f t="shared" si="5"/>
        <v>962.4429377</v>
      </c>
      <c r="S297" s="66"/>
      <c r="T297" s="66"/>
      <c r="U297" s="64">
        <f>if(O297,_xlfn.WORKDAY.INTL(O297,U$5,"1000000",Holidays!A:A)+hour(O297)/24+MINUTE(O297)/1440,"")</f>
        <v>45172.54097</v>
      </c>
      <c r="V297" s="64" t="str">
        <f t="shared" si="6"/>
        <v/>
      </c>
      <c r="W297" s="66"/>
      <c r="X297" s="66">
        <f t="shared" si="7"/>
        <v>961.4429377</v>
      </c>
      <c r="Y297" s="66"/>
      <c r="Z297" s="66"/>
      <c r="AA297" s="66"/>
      <c r="AB297" s="63"/>
      <c r="AC297" s="63"/>
      <c r="AD297" s="63"/>
      <c r="AE297" s="63"/>
      <c r="AF297" s="63"/>
      <c r="AG297" s="63"/>
      <c r="AH297" s="63" t="str">
        <f t="shared" si="14"/>
        <v/>
      </c>
      <c r="AI297" s="63" t="str">
        <f>if(AH297,_xlfn.workday.intl(int(AH297),0,"1000000",Holidays!A:A)+18/24,"")</f>
        <v/>
      </c>
      <c r="AJ297" s="64" t="str">
        <f t="shared" si="24"/>
        <v/>
      </c>
      <c r="AL297" s="66" t="str">
        <f t="shared" si="9"/>
        <v/>
      </c>
      <c r="AM297" s="66"/>
      <c r="AN297" s="63" t="str">
        <f>if(AJ297,if(and(hour(AJ297+AN$5)&gt;11,(hour(AJ297+AN$5)&lt;20)),AJ297+AN$5,_xlfn.workday.intl(int(AJ297),1,"1000000",Holidays!A:A)+hour(AJ297+AN$5-$B$1)/24+minute(AJ297)/1440),"")</f>
        <v/>
      </c>
      <c r="AO297" s="64" t="str">
        <f t="shared" si="15"/>
        <v/>
      </c>
      <c r="AQ297" s="66" t="str">
        <f t="shared" si="16"/>
        <v/>
      </c>
      <c r="AR297" s="66"/>
      <c r="AS297" s="63" t="str">
        <f>if(AJ297,if(and(hour(AJ297+AS$5)&gt;11,(hour(AJ297+AS$5)&lt;20)),AJ297+AS$5,_xlfn.workday.intl(int(AJ297),1,"1000000",Holidays!A:A)+hour(AJ297+AS$5-$B$1)/24+minute(AJ297)/1440),"")</f>
        <v/>
      </c>
      <c r="AT297" s="64" t="str">
        <f t="shared" si="21"/>
        <v/>
      </c>
      <c r="AV297" s="66" t="str">
        <f t="shared" si="25"/>
        <v/>
      </c>
      <c r="AW297" s="66"/>
      <c r="AX297" s="56"/>
    </row>
    <row r="298">
      <c r="A298" s="55">
        <v>45174.7994840162</v>
      </c>
      <c r="B298" s="56"/>
      <c r="C298" s="57"/>
      <c r="D298" s="57"/>
      <c r="E298" s="57"/>
      <c r="F298" s="57"/>
      <c r="G298" s="58">
        <f>if(A298,_xlfn.workday.intl(int(A298),1,"1000000",Holidays!A:A)+17/24,"")</f>
        <v>45175.70833</v>
      </c>
      <c r="H298" s="59" t="str">
        <f t="shared" si="23"/>
        <v/>
      </c>
      <c r="I298" s="60"/>
      <c r="J298" s="61">
        <f t="shared" si="2"/>
        <v>958.2755766</v>
      </c>
      <c r="K298" s="58">
        <f>if(G298,_xlfn.workday.intl(int(G298),0,"1000000",Holidays!A:A)+19/24,"")</f>
        <v>45175.79167</v>
      </c>
      <c r="L298" s="59" t="str">
        <f t="shared" si="3"/>
        <v/>
      </c>
      <c r="M298" s="60"/>
      <c r="N298" s="61">
        <f t="shared" si="4"/>
        <v>958.1922432</v>
      </c>
      <c r="O298" s="63">
        <f>if(A298,_xlfn.WORKDAY.INTL(A298,O$5,"1000000",Holidays!A:A)+hour(A298)/24+MINUTE(A298)/1440,"")</f>
        <v>45175.79931</v>
      </c>
      <c r="P298" s="64" t="s">
        <v>2718</v>
      </c>
      <c r="R298" s="66">
        <f t="shared" si="5"/>
        <v>958.1846043</v>
      </c>
      <c r="S298" s="66"/>
      <c r="T298" s="66"/>
      <c r="U298" s="64">
        <f>if(O298,_xlfn.WORKDAY.INTL(O298,U$5,"1000000",Holidays!A:A)+hour(O298)/24+MINUTE(O298)/1440,"")</f>
        <v>45176.79931</v>
      </c>
      <c r="V298" s="64" t="str">
        <f t="shared" si="6"/>
        <v/>
      </c>
      <c r="W298" s="66"/>
      <c r="X298" s="66">
        <f t="shared" si="7"/>
        <v>957.1846043</v>
      </c>
      <c r="Y298" s="66"/>
      <c r="Z298" s="66"/>
      <c r="AA298" s="66"/>
      <c r="AB298" s="63"/>
      <c r="AC298" s="63"/>
      <c r="AD298" s="63"/>
      <c r="AE298" s="63"/>
      <c r="AF298" s="63"/>
      <c r="AG298" s="63"/>
      <c r="AH298" s="63" t="str">
        <f t="shared" si="14"/>
        <v/>
      </c>
      <c r="AI298" s="63" t="str">
        <f>if(AH298,_xlfn.workday.intl(int(AH298),0,"1000000",Holidays!A:A)+18/24,"")</f>
        <v/>
      </c>
      <c r="AJ298" s="64" t="str">
        <f t="shared" si="24"/>
        <v/>
      </c>
      <c r="AL298" s="66" t="str">
        <f t="shared" si="9"/>
        <v/>
      </c>
      <c r="AM298" s="66"/>
      <c r="AN298" s="63" t="str">
        <f>if(AJ298,if(and(hour(AJ298+AN$5)&gt;11,(hour(AJ298+AN$5)&lt;20)),AJ298+AN$5,_xlfn.workday.intl(int(AJ298),1,"1000000",Holidays!A:A)+hour(AJ298+AN$5-$B$1)/24+minute(AJ298)/1440),"")</f>
        <v/>
      </c>
      <c r="AO298" s="64" t="str">
        <f t="shared" si="15"/>
        <v/>
      </c>
      <c r="AQ298" s="66" t="str">
        <f t="shared" si="16"/>
        <v/>
      </c>
      <c r="AR298" s="66"/>
      <c r="AS298" s="63" t="str">
        <f>if(AJ298,if(and(hour(AJ298+AS$5)&gt;11,(hour(AJ298+AS$5)&lt;20)),AJ298+AS$5,_xlfn.workday.intl(int(AJ298),1,"1000000",Holidays!A:A)+hour(AJ298+AS$5-$B$1)/24+minute(AJ298)/1440),"")</f>
        <v/>
      </c>
      <c r="AT298" s="64" t="str">
        <f t="shared" si="21"/>
        <v/>
      </c>
      <c r="AV298" s="66" t="str">
        <f t="shared" si="25"/>
        <v/>
      </c>
      <c r="AW298" s="66"/>
      <c r="AX298" s="56"/>
    </row>
    <row r="299">
      <c r="A299" s="55">
        <v>45175.72137157407</v>
      </c>
      <c r="B299" s="56"/>
      <c r="C299" s="57"/>
      <c r="D299" s="57"/>
      <c r="E299" s="57"/>
      <c r="F299" s="57"/>
      <c r="G299" s="58">
        <f>if(A299,_xlfn.workday.intl(int(A299),1,"1000000",Holidays!A:A)+17/24,"")</f>
        <v>45176.70833</v>
      </c>
      <c r="H299" s="59" t="str">
        <f t="shared" si="23"/>
        <v/>
      </c>
      <c r="I299" s="60"/>
      <c r="J299" s="61">
        <f t="shared" si="2"/>
        <v>957.2755766</v>
      </c>
      <c r="K299" s="58">
        <f>if(G299,_xlfn.workday.intl(int(G299),0,"1000000",Holidays!A:A)+19/24,"")</f>
        <v>45176.79167</v>
      </c>
      <c r="L299" s="59" t="str">
        <f t="shared" si="3"/>
        <v/>
      </c>
      <c r="M299" s="60"/>
      <c r="N299" s="61">
        <f t="shared" si="4"/>
        <v>957.1922432</v>
      </c>
      <c r="O299" s="63">
        <f>if(A299,_xlfn.WORKDAY.INTL(A299,O$5,"1000000",Holidays!A:A)+hour(A299)/24+MINUTE(A299)/1440,"")</f>
        <v>45176.72083</v>
      </c>
      <c r="P299" s="64" t="s">
        <v>2718</v>
      </c>
      <c r="R299" s="66">
        <f t="shared" si="5"/>
        <v>957.2630766</v>
      </c>
      <c r="S299" s="66"/>
      <c r="T299" s="66"/>
      <c r="U299" s="64">
        <f>if(O299,_xlfn.WORKDAY.INTL(O299,U$5,"1000000",Holidays!A:A)+hour(O299)/24+MINUTE(O299)/1440,"")</f>
        <v>45177.72083</v>
      </c>
      <c r="V299" s="64" t="str">
        <f t="shared" si="6"/>
        <v/>
      </c>
      <c r="W299" s="66"/>
      <c r="X299" s="66">
        <f t="shared" si="7"/>
        <v>956.2630766</v>
      </c>
      <c r="Y299" s="66"/>
      <c r="Z299" s="66"/>
      <c r="AA299" s="66"/>
      <c r="AB299" s="63"/>
      <c r="AC299" s="63"/>
      <c r="AD299" s="63"/>
      <c r="AE299" s="63"/>
      <c r="AF299" s="63"/>
      <c r="AG299" s="63"/>
      <c r="AH299" s="63" t="str">
        <f t="shared" si="14"/>
        <v/>
      </c>
      <c r="AI299" s="63" t="str">
        <f>if(AH299,_xlfn.workday.intl(int(AH299),0,"1000000",Holidays!A:A)+18/24,"")</f>
        <v/>
      </c>
      <c r="AJ299" s="64" t="str">
        <f t="shared" si="24"/>
        <v/>
      </c>
      <c r="AL299" s="66" t="str">
        <f t="shared" si="9"/>
        <v/>
      </c>
      <c r="AM299" s="66"/>
      <c r="AN299" s="63" t="str">
        <f>if(AJ299,if(and(hour(AJ299+AN$5)&gt;11,(hour(AJ299+AN$5)&lt;20)),AJ299+AN$5,_xlfn.workday.intl(int(AJ299),1,"1000000",Holidays!A:A)+hour(AJ299+AN$5-$B$1)/24+minute(AJ299)/1440),"")</f>
        <v/>
      </c>
      <c r="AO299" s="64" t="str">
        <f t="shared" si="15"/>
        <v/>
      </c>
      <c r="AQ299" s="66" t="str">
        <f t="shared" si="16"/>
        <v/>
      </c>
      <c r="AR299" s="66"/>
      <c r="AS299" s="63" t="str">
        <f>if(AJ299,if(and(hour(AJ299+AS$5)&gt;11,(hour(AJ299+AS$5)&lt;20)),AJ299+AS$5,_xlfn.workday.intl(int(AJ299),1,"1000000",Holidays!A:A)+hour(AJ299+AS$5-$B$1)/24+minute(AJ299)/1440),"")</f>
        <v/>
      </c>
      <c r="AT299" s="64" t="str">
        <f t="shared" si="21"/>
        <v/>
      </c>
      <c r="AV299" s="66" t="str">
        <f t="shared" si="25"/>
        <v/>
      </c>
      <c r="AW299" s="66"/>
      <c r="AX299" s="56"/>
    </row>
    <row r="300">
      <c r="A300" s="55">
        <v>45184.5087656713</v>
      </c>
      <c r="B300" s="56"/>
      <c r="C300" s="57"/>
      <c r="D300" s="57"/>
      <c r="E300" s="57"/>
      <c r="F300" s="57"/>
      <c r="G300" s="58">
        <f>if(A300,_xlfn.workday.intl(int(A300),1,"1000000",Holidays!A:A)+17/24,"")</f>
        <v>45185.70833</v>
      </c>
      <c r="H300" s="59" t="str">
        <f t="shared" si="23"/>
        <v/>
      </c>
      <c r="I300" s="60"/>
      <c r="J300" s="61">
        <f t="shared" si="2"/>
        <v>948.2755766</v>
      </c>
      <c r="K300" s="58">
        <f>if(G300,_xlfn.workday.intl(int(G300),0,"1000000",Holidays!A:A)+19/24,"")</f>
        <v>45185.79167</v>
      </c>
      <c r="L300" s="59" t="str">
        <f t="shared" si="3"/>
        <v/>
      </c>
      <c r="M300" s="60"/>
      <c r="N300" s="61">
        <f t="shared" si="4"/>
        <v>948.1922432</v>
      </c>
      <c r="O300" s="63">
        <f>if(A300,_xlfn.WORKDAY.INTL(A300,O$5,"1000000",Holidays!A:A)+hour(A300)/24+MINUTE(A300)/1440,"")</f>
        <v>45185.50833</v>
      </c>
      <c r="P300" s="64" t="s">
        <v>2718</v>
      </c>
      <c r="R300" s="66">
        <f t="shared" si="5"/>
        <v>948.4755766</v>
      </c>
      <c r="S300" s="66"/>
      <c r="T300" s="66"/>
      <c r="U300" s="64">
        <f>if(O300,_xlfn.WORKDAY.INTL(O300,U$5,"1000000",Holidays!A:A)+hour(O300)/24+MINUTE(O300)/1440,"")</f>
        <v>45186.50833</v>
      </c>
      <c r="V300" s="64" t="str">
        <f t="shared" si="6"/>
        <v/>
      </c>
      <c r="W300" s="66"/>
      <c r="X300" s="66">
        <f t="shared" si="7"/>
        <v>947.4755766</v>
      </c>
      <c r="Y300" s="66"/>
      <c r="Z300" s="66"/>
      <c r="AA300" s="66"/>
      <c r="AB300" s="63"/>
      <c r="AC300" s="63"/>
      <c r="AD300" s="63"/>
      <c r="AE300" s="63"/>
      <c r="AF300" s="63"/>
      <c r="AG300" s="63"/>
      <c r="AH300" s="63" t="str">
        <f t="shared" si="14"/>
        <v/>
      </c>
      <c r="AI300" s="63" t="str">
        <f>if(AH300,_xlfn.workday.intl(int(AH300),0,"1000000",Holidays!A:A)+18/24,"")</f>
        <v/>
      </c>
      <c r="AJ300" s="64" t="str">
        <f t="shared" si="24"/>
        <v/>
      </c>
      <c r="AL300" s="66" t="str">
        <f t="shared" si="9"/>
        <v/>
      </c>
      <c r="AM300" s="66"/>
      <c r="AN300" s="63" t="str">
        <f>if(AJ300,if(and(hour(AJ300+AN$5)&gt;11,(hour(AJ300+AN$5)&lt;20)),AJ300+AN$5,_xlfn.workday.intl(int(AJ300),1,"1000000",Holidays!A:A)+hour(AJ300+AN$5-$B$1)/24+minute(AJ300)/1440),"")</f>
        <v/>
      </c>
      <c r="AO300" s="64" t="str">
        <f t="shared" si="15"/>
        <v/>
      </c>
      <c r="AQ300" s="66" t="str">
        <f t="shared" si="16"/>
        <v/>
      </c>
      <c r="AR300" s="66"/>
      <c r="AS300" s="63" t="str">
        <f>if(AJ300,if(and(hour(AJ300+AS$5)&gt;11,(hour(AJ300+AS$5)&lt;20)),AJ300+AS$5,_xlfn.workday.intl(int(AJ300),1,"1000000",Holidays!A:A)+hour(AJ300+AS$5-$B$1)/24+minute(AJ300)/1440),"")</f>
        <v/>
      </c>
      <c r="AT300" s="64" t="str">
        <f t="shared" si="21"/>
        <v/>
      </c>
      <c r="AV300" s="66" t="str">
        <f t="shared" si="25"/>
        <v/>
      </c>
      <c r="AW300" s="66"/>
      <c r="AX300" s="56"/>
    </row>
    <row r="301">
      <c r="A301" s="55">
        <v>45184.519578217594</v>
      </c>
      <c r="B301" s="56"/>
      <c r="C301" s="57"/>
      <c r="D301" s="57"/>
      <c r="E301" s="57"/>
      <c r="F301" s="57"/>
      <c r="G301" s="58">
        <f>if(A301,_xlfn.workday.intl(int(A301),1,"1000000",Holidays!A:A)+17/24,"")</f>
        <v>45185.70833</v>
      </c>
      <c r="H301" s="59" t="str">
        <f t="shared" si="23"/>
        <v/>
      </c>
      <c r="I301" s="60"/>
      <c r="J301" s="61">
        <f t="shared" si="2"/>
        <v>948.2755766</v>
      </c>
      <c r="K301" s="58">
        <f>if(G301,_xlfn.workday.intl(int(G301),0,"1000000",Holidays!A:A)+19/24,"")</f>
        <v>45185.79167</v>
      </c>
      <c r="L301" s="59" t="str">
        <f t="shared" si="3"/>
        <v/>
      </c>
      <c r="M301" s="60"/>
      <c r="N301" s="61">
        <f t="shared" si="4"/>
        <v>948.1922432</v>
      </c>
      <c r="O301" s="63">
        <f>if(A301,_xlfn.WORKDAY.INTL(A301,O$5,"1000000",Holidays!A:A)+hour(A301)/24+MINUTE(A301)/1440,"")</f>
        <v>45185.51944</v>
      </c>
      <c r="P301" s="64" t="s">
        <v>2718</v>
      </c>
      <c r="R301" s="66">
        <f t="shared" si="5"/>
        <v>948.4644655</v>
      </c>
      <c r="S301" s="66"/>
      <c r="T301" s="66"/>
      <c r="U301" s="64">
        <f>if(O301,_xlfn.WORKDAY.INTL(O301,U$5,"1000000",Holidays!A:A)+hour(O301)/24+MINUTE(O301)/1440,"")</f>
        <v>45186.51944</v>
      </c>
      <c r="V301" s="64" t="str">
        <f t="shared" si="6"/>
        <v/>
      </c>
      <c r="W301" s="66"/>
      <c r="X301" s="66">
        <f t="shared" si="7"/>
        <v>947.4644655</v>
      </c>
      <c r="Y301" s="66"/>
      <c r="Z301" s="66"/>
      <c r="AA301" s="66"/>
      <c r="AB301" s="63"/>
      <c r="AC301" s="63"/>
      <c r="AD301" s="63"/>
      <c r="AE301" s="63"/>
      <c r="AF301" s="63"/>
      <c r="AG301" s="63"/>
      <c r="AH301" s="63" t="str">
        <f t="shared" si="14"/>
        <v/>
      </c>
      <c r="AI301" s="63" t="str">
        <f>if(AH301,_xlfn.workday.intl(int(AH301),0,"1000000",Holidays!A:A)+18/24,"")</f>
        <v/>
      </c>
      <c r="AJ301" s="64" t="str">
        <f t="shared" si="24"/>
        <v/>
      </c>
      <c r="AL301" s="66" t="str">
        <f t="shared" si="9"/>
        <v/>
      </c>
      <c r="AM301" s="66"/>
      <c r="AN301" s="63" t="str">
        <f>if(AJ301,if(and(hour(AJ301+AN$5)&gt;11,(hour(AJ301+AN$5)&lt;20)),AJ301+AN$5,_xlfn.workday.intl(int(AJ301),1,"1000000",Holidays!A:A)+hour(AJ301+AN$5-$B$1)/24+minute(AJ301)/1440),"")</f>
        <v/>
      </c>
      <c r="AO301" s="64" t="str">
        <f t="shared" si="15"/>
        <v/>
      </c>
      <c r="AQ301" s="66" t="str">
        <f t="shared" si="16"/>
        <v/>
      </c>
      <c r="AR301" s="66"/>
      <c r="AS301" s="63" t="str">
        <f>if(AJ301,if(and(hour(AJ301+AS$5)&gt;11,(hour(AJ301+AS$5)&lt;20)),AJ301+AS$5,_xlfn.workday.intl(int(AJ301),1,"1000000",Holidays!A:A)+hour(AJ301+AS$5-$B$1)/24+minute(AJ301)/1440),"")</f>
        <v/>
      </c>
      <c r="AT301" s="64" t="str">
        <f t="shared" si="21"/>
        <v/>
      </c>
      <c r="AV301" s="66" t="str">
        <f t="shared" si="25"/>
        <v/>
      </c>
      <c r="AW301" s="66"/>
      <c r="AX301" s="56"/>
    </row>
    <row r="302">
      <c r="A302" s="55">
        <v>45184.52167609954</v>
      </c>
      <c r="B302" s="56"/>
      <c r="C302" s="57"/>
      <c r="D302" s="57"/>
      <c r="E302" s="57"/>
      <c r="F302" s="57"/>
      <c r="G302" s="58">
        <f>if(A302,_xlfn.workday.intl(int(A302),1,"1000000",Holidays!A:A)+17/24,"")</f>
        <v>45185.70833</v>
      </c>
      <c r="H302" s="59" t="str">
        <f t="shared" si="23"/>
        <v/>
      </c>
      <c r="I302" s="60"/>
      <c r="J302" s="61">
        <f t="shared" si="2"/>
        <v>948.2755766</v>
      </c>
      <c r="K302" s="58">
        <f>if(G302,_xlfn.workday.intl(int(G302),0,"1000000",Holidays!A:A)+19/24,"")</f>
        <v>45185.79167</v>
      </c>
      <c r="L302" s="59" t="str">
        <f t="shared" si="3"/>
        <v/>
      </c>
      <c r="M302" s="60"/>
      <c r="N302" s="61">
        <f t="shared" si="4"/>
        <v>948.1922432</v>
      </c>
      <c r="O302" s="63">
        <f>if(A302,_xlfn.WORKDAY.INTL(A302,O$5,"1000000",Holidays!A:A)+hour(A302)/24+MINUTE(A302)/1440,"")</f>
        <v>45185.52153</v>
      </c>
      <c r="P302" s="64" t="s">
        <v>2718</v>
      </c>
      <c r="R302" s="66">
        <f t="shared" si="5"/>
        <v>948.4623821</v>
      </c>
      <c r="S302" s="66"/>
      <c r="T302" s="66"/>
      <c r="U302" s="64">
        <f>if(O302,_xlfn.WORKDAY.INTL(O302,U$5,"1000000",Holidays!A:A)+hour(O302)/24+MINUTE(O302)/1440,"")</f>
        <v>45186.52153</v>
      </c>
      <c r="V302" s="64" t="str">
        <f t="shared" si="6"/>
        <v/>
      </c>
      <c r="W302" s="66"/>
      <c r="X302" s="66">
        <f t="shared" si="7"/>
        <v>947.4623821</v>
      </c>
      <c r="Y302" s="66"/>
      <c r="Z302" s="66"/>
      <c r="AA302" s="66"/>
      <c r="AB302" s="63"/>
      <c r="AC302" s="63"/>
      <c r="AD302" s="63"/>
      <c r="AE302" s="63"/>
      <c r="AF302" s="63"/>
      <c r="AG302" s="63"/>
      <c r="AH302" s="63" t="str">
        <f t="shared" si="14"/>
        <v/>
      </c>
      <c r="AI302" s="63" t="str">
        <f>if(AH302,_xlfn.workday.intl(int(AH302),0,"1000000",Holidays!A:A)+18/24,"")</f>
        <v/>
      </c>
      <c r="AJ302" s="64" t="str">
        <f t="shared" si="24"/>
        <v/>
      </c>
      <c r="AL302" s="66" t="str">
        <f t="shared" si="9"/>
        <v/>
      </c>
      <c r="AM302" s="66"/>
      <c r="AN302" s="63" t="str">
        <f>if(AJ302,if(and(hour(AJ302+AN$5)&gt;11,(hour(AJ302+AN$5)&lt;20)),AJ302+AN$5,_xlfn.workday.intl(int(AJ302),1,"1000000",Holidays!A:A)+hour(AJ302+AN$5-$B$1)/24+minute(AJ302)/1440),"")</f>
        <v/>
      </c>
      <c r="AO302" s="64" t="str">
        <f t="shared" si="15"/>
        <v/>
      </c>
      <c r="AQ302" s="66" t="str">
        <f t="shared" si="16"/>
        <v/>
      </c>
      <c r="AR302" s="66"/>
      <c r="AS302" s="63" t="str">
        <f>if(AJ302,if(and(hour(AJ302+AS$5)&gt;11,(hour(AJ302+AS$5)&lt;20)),AJ302+AS$5,_xlfn.workday.intl(int(AJ302),1,"1000000",Holidays!A:A)+hour(AJ302+AS$5-$B$1)/24+minute(AJ302)/1440),"")</f>
        <v/>
      </c>
      <c r="AT302" s="64" t="str">
        <f t="shared" si="21"/>
        <v/>
      </c>
      <c r="AV302" s="66" t="str">
        <f t="shared" si="25"/>
        <v/>
      </c>
      <c r="AW302" s="66"/>
      <c r="AX302" s="56"/>
    </row>
    <row r="303">
      <c r="A303" s="55">
        <v>45184.539257337965</v>
      </c>
      <c r="B303" s="56"/>
      <c r="C303" s="57"/>
      <c r="D303" s="57"/>
      <c r="E303" s="57"/>
      <c r="F303" s="57"/>
      <c r="G303" s="58">
        <f>if(A303,_xlfn.workday.intl(int(A303),1,"1000000",Holidays!A:A)+17/24,"")</f>
        <v>45185.70833</v>
      </c>
      <c r="H303" s="59" t="str">
        <f t="shared" si="23"/>
        <v/>
      </c>
      <c r="I303" s="60"/>
      <c r="J303" s="61">
        <f t="shared" si="2"/>
        <v>948.2755766</v>
      </c>
      <c r="K303" s="58">
        <f>if(G303,_xlfn.workday.intl(int(G303),0,"1000000",Holidays!A:A)+19/24,"")</f>
        <v>45185.79167</v>
      </c>
      <c r="L303" s="59" t="str">
        <f t="shared" si="3"/>
        <v/>
      </c>
      <c r="M303" s="60"/>
      <c r="N303" s="61">
        <f t="shared" si="4"/>
        <v>948.1922432</v>
      </c>
      <c r="O303" s="63">
        <f>if(A303,_xlfn.WORKDAY.INTL(A303,O$5,"1000000",Holidays!A:A)+hour(A303)/24+MINUTE(A303)/1440,"")</f>
        <v>45185.53889</v>
      </c>
      <c r="P303" s="64" t="s">
        <v>2718</v>
      </c>
      <c r="R303" s="66">
        <f t="shared" si="5"/>
        <v>948.445021</v>
      </c>
      <c r="S303" s="66"/>
      <c r="T303" s="66"/>
      <c r="U303" s="64">
        <f>if(O303,_xlfn.WORKDAY.INTL(O303,U$5,"1000000",Holidays!A:A)+hour(O303)/24+MINUTE(O303)/1440,"")</f>
        <v>45186.53889</v>
      </c>
      <c r="V303" s="64" t="str">
        <f t="shared" si="6"/>
        <v/>
      </c>
      <c r="W303" s="66"/>
      <c r="X303" s="66">
        <f t="shared" si="7"/>
        <v>947.445021</v>
      </c>
      <c r="Y303" s="66"/>
      <c r="Z303" s="66"/>
      <c r="AA303" s="66"/>
      <c r="AB303" s="63"/>
      <c r="AC303" s="63"/>
      <c r="AD303" s="63"/>
      <c r="AE303" s="63"/>
      <c r="AF303" s="63"/>
      <c r="AG303" s="63"/>
      <c r="AH303" s="63" t="str">
        <f t="shared" si="14"/>
        <v/>
      </c>
      <c r="AI303" s="63" t="str">
        <f>if(AH303,_xlfn.workday.intl(int(AH303),0,"1000000",Holidays!A:A)+18/24,"")</f>
        <v/>
      </c>
      <c r="AJ303" s="64" t="str">
        <f t="shared" si="24"/>
        <v/>
      </c>
      <c r="AL303" s="66" t="str">
        <f t="shared" si="9"/>
        <v/>
      </c>
      <c r="AM303" s="66"/>
      <c r="AN303" s="63" t="str">
        <f>if(AJ303,if(and(hour(AJ303+AN$5)&gt;11,(hour(AJ303+AN$5)&lt;20)),AJ303+AN$5,_xlfn.workday.intl(int(AJ303),1,"1000000",Holidays!A:A)+hour(AJ303+AN$5-$B$1)/24+minute(AJ303)/1440),"")</f>
        <v/>
      </c>
      <c r="AO303" s="64" t="str">
        <f t="shared" si="15"/>
        <v/>
      </c>
      <c r="AQ303" s="66" t="str">
        <f t="shared" si="16"/>
        <v/>
      </c>
      <c r="AR303" s="66"/>
      <c r="AS303" s="63" t="str">
        <f>if(AJ303,if(and(hour(AJ303+AS$5)&gt;11,(hour(AJ303+AS$5)&lt;20)),AJ303+AS$5,_xlfn.workday.intl(int(AJ303),1,"1000000",Holidays!A:A)+hour(AJ303+AS$5-$B$1)/24+minute(AJ303)/1440),"")</f>
        <v/>
      </c>
      <c r="AT303" s="64" t="str">
        <f t="shared" si="21"/>
        <v/>
      </c>
      <c r="AV303" s="66" t="str">
        <f t="shared" si="25"/>
        <v/>
      </c>
      <c r="AW303" s="66"/>
      <c r="AX303" s="56"/>
    </row>
    <row r="304">
      <c r="A304" s="55">
        <v>45184.555018680556</v>
      </c>
      <c r="B304" s="56"/>
      <c r="C304" s="57"/>
      <c r="D304" s="57"/>
      <c r="E304" s="57"/>
      <c r="F304" s="57"/>
      <c r="G304" s="58">
        <f>if(A304,_xlfn.workday.intl(int(A304),1,"1000000",Holidays!A:A)+17/24,"")</f>
        <v>45185.70833</v>
      </c>
      <c r="H304" s="59" t="str">
        <f t="shared" si="23"/>
        <v/>
      </c>
      <c r="I304" s="60"/>
      <c r="J304" s="61">
        <f t="shared" si="2"/>
        <v>948.2755766</v>
      </c>
      <c r="K304" s="58">
        <f>if(G304,_xlfn.workday.intl(int(G304),0,"1000000",Holidays!A:A)+19/24,"")</f>
        <v>45185.79167</v>
      </c>
      <c r="L304" s="59" t="str">
        <f t="shared" si="3"/>
        <v/>
      </c>
      <c r="M304" s="60"/>
      <c r="N304" s="61">
        <f t="shared" si="4"/>
        <v>948.1922432</v>
      </c>
      <c r="O304" s="63">
        <f>if(A304,_xlfn.WORKDAY.INTL(A304,O$5,"1000000",Holidays!A:A)+hour(A304)/24+MINUTE(A304)/1440,"")</f>
        <v>45185.55486</v>
      </c>
      <c r="P304" s="64" t="s">
        <v>2718</v>
      </c>
      <c r="R304" s="66">
        <f t="shared" si="5"/>
        <v>948.4290488</v>
      </c>
      <c r="S304" s="66"/>
      <c r="T304" s="66"/>
      <c r="U304" s="64">
        <f>if(O304,_xlfn.WORKDAY.INTL(O304,U$5,"1000000",Holidays!A:A)+hour(O304)/24+MINUTE(O304)/1440,"")</f>
        <v>45186.55486</v>
      </c>
      <c r="V304" s="64" t="str">
        <f t="shared" si="6"/>
        <v/>
      </c>
      <c r="W304" s="66"/>
      <c r="X304" s="66">
        <f t="shared" si="7"/>
        <v>947.4290488</v>
      </c>
      <c r="Y304" s="66"/>
      <c r="Z304" s="66"/>
      <c r="AA304" s="66"/>
      <c r="AB304" s="63"/>
      <c r="AC304" s="63"/>
      <c r="AD304" s="63"/>
      <c r="AE304" s="63"/>
      <c r="AF304" s="63"/>
      <c r="AG304" s="63"/>
      <c r="AH304" s="63" t="str">
        <f t="shared" si="14"/>
        <v/>
      </c>
      <c r="AI304" s="63" t="str">
        <f>if(AH304,_xlfn.workday.intl(int(AH304),0,"1000000",Holidays!A:A)+18/24,"")</f>
        <v/>
      </c>
      <c r="AJ304" s="64" t="str">
        <f t="shared" si="24"/>
        <v/>
      </c>
      <c r="AL304" s="66" t="str">
        <f t="shared" si="9"/>
        <v/>
      </c>
      <c r="AM304" s="66"/>
      <c r="AN304" s="63" t="str">
        <f>if(AJ304,if(and(hour(AJ304+AN$5)&gt;11,(hour(AJ304+AN$5)&lt;20)),AJ304+AN$5,_xlfn.workday.intl(int(AJ304),1,"1000000",Holidays!A:A)+hour(AJ304+AN$5-$B$1)/24+minute(AJ304)/1440),"")</f>
        <v/>
      </c>
      <c r="AO304" s="64" t="str">
        <f t="shared" si="15"/>
        <v/>
      </c>
      <c r="AQ304" s="66" t="str">
        <f t="shared" si="16"/>
        <v/>
      </c>
      <c r="AR304" s="66"/>
      <c r="AS304" s="63" t="str">
        <f>if(AJ304,if(and(hour(AJ304+AS$5)&gt;11,(hour(AJ304+AS$5)&lt;20)),AJ304+AS$5,_xlfn.workday.intl(int(AJ304),1,"1000000",Holidays!A:A)+hour(AJ304+AS$5-$B$1)/24+minute(AJ304)/1440),"")</f>
        <v/>
      </c>
      <c r="AT304" s="64" t="str">
        <f t="shared" si="21"/>
        <v/>
      </c>
      <c r="AV304" s="66" t="str">
        <f t="shared" si="25"/>
        <v/>
      </c>
      <c r="AW304" s="66"/>
      <c r="AX304" s="56"/>
    </row>
    <row r="305">
      <c r="A305" s="55">
        <v>45184.55929478009</v>
      </c>
      <c r="B305" s="56"/>
      <c r="C305" s="57"/>
      <c r="D305" s="57"/>
      <c r="E305" s="57"/>
      <c r="F305" s="57"/>
      <c r="G305" s="58">
        <f>if(A305,_xlfn.workday.intl(int(A305),1,"1000000",Holidays!A:A)+17/24,"")</f>
        <v>45185.70833</v>
      </c>
      <c r="H305" s="59" t="str">
        <f t="shared" si="23"/>
        <v/>
      </c>
      <c r="I305" s="60"/>
      <c r="J305" s="61">
        <f t="shared" si="2"/>
        <v>948.2755766</v>
      </c>
      <c r="K305" s="58">
        <f>if(G305,_xlfn.workday.intl(int(G305),0,"1000000",Holidays!A:A)+19/24,"")</f>
        <v>45185.79167</v>
      </c>
      <c r="L305" s="59" t="str">
        <f t="shared" si="3"/>
        <v/>
      </c>
      <c r="M305" s="60"/>
      <c r="N305" s="61">
        <f t="shared" si="4"/>
        <v>948.1922432</v>
      </c>
      <c r="O305" s="63">
        <f>if(A305,_xlfn.WORKDAY.INTL(A305,O$5,"1000000",Holidays!A:A)+hour(A305)/24+MINUTE(A305)/1440,"")</f>
        <v>45185.55903</v>
      </c>
      <c r="P305" s="64" t="s">
        <v>2718</v>
      </c>
      <c r="R305" s="66">
        <f t="shared" si="5"/>
        <v>948.4248821</v>
      </c>
      <c r="S305" s="66"/>
      <c r="T305" s="66"/>
      <c r="U305" s="64">
        <f>if(O305,_xlfn.WORKDAY.INTL(O305,U$5,"1000000",Holidays!A:A)+hour(O305)/24+MINUTE(O305)/1440,"")</f>
        <v>45186.55903</v>
      </c>
      <c r="V305" s="64" t="str">
        <f t="shared" si="6"/>
        <v/>
      </c>
      <c r="W305" s="66"/>
      <c r="X305" s="66">
        <f t="shared" si="7"/>
        <v>947.4248821</v>
      </c>
      <c r="Y305" s="66"/>
      <c r="Z305" s="66"/>
      <c r="AA305" s="66"/>
      <c r="AB305" s="63"/>
      <c r="AC305" s="63"/>
      <c r="AD305" s="63"/>
      <c r="AE305" s="63"/>
      <c r="AF305" s="63"/>
      <c r="AG305" s="63"/>
      <c r="AH305" s="63" t="str">
        <f t="shared" si="14"/>
        <v/>
      </c>
      <c r="AI305" s="63" t="str">
        <f>if(AH305,_xlfn.workday.intl(int(AH305),0,"1000000",Holidays!A:A)+18/24,"")</f>
        <v/>
      </c>
      <c r="AJ305" s="64" t="str">
        <f t="shared" si="24"/>
        <v/>
      </c>
      <c r="AL305" s="66" t="str">
        <f t="shared" si="9"/>
        <v/>
      </c>
      <c r="AM305" s="66"/>
      <c r="AN305" s="63" t="str">
        <f>if(AJ305,if(and(hour(AJ305+AN$5)&gt;11,(hour(AJ305+AN$5)&lt;20)),AJ305+AN$5,_xlfn.workday.intl(int(AJ305),1,"1000000",Holidays!A:A)+hour(AJ305+AN$5-$B$1)/24+minute(AJ305)/1440),"")</f>
        <v/>
      </c>
      <c r="AO305" s="64" t="str">
        <f t="shared" si="15"/>
        <v/>
      </c>
      <c r="AQ305" s="66" t="str">
        <f t="shared" si="16"/>
        <v/>
      </c>
      <c r="AR305" s="66"/>
      <c r="AS305" s="63" t="str">
        <f>if(AJ305,if(and(hour(AJ305+AS$5)&gt;11,(hour(AJ305+AS$5)&lt;20)),AJ305+AS$5,_xlfn.workday.intl(int(AJ305),1,"1000000",Holidays!A:A)+hour(AJ305+AS$5-$B$1)/24+minute(AJ305)/1440),"")</f>
        <v/>
      </c>
      <c r="AT305" s="64" t="str">
        <f t="shared" si="21"/>
        <v/>
      </c>
      <c r="AV305" s="66" t="str">
        <f t="shared" si="25"/>
        <v/>
      </c>
      <c r="AW305" s="66"/>
      <c r="AX305" s="56"/>
    </row>
    <row r="306">
      <c r="A306" s="55">
        <v>45212.826936006946</v>
      </c>
      <c r="B306" s="56"/>
      <c r="C306" s="57"/>
      <c r="D306" s="57"/>
      <c r="E306" s="57"/>
      <c r="F306" s="57"/>
      <c r="G306" s="58">
        <f>if(A306,_xlfn.workday.intl(int(A306),1,"1000000",Holidays!A:A)+17/24,"")</f>
        <v>45213.70833</v>
      </c>
      <c r="H306" s="59" t="str">
        <f t="shared" si="23"/>
        <v/>
      </c>
      <c r="I306" s="60"/>
      <c r="J306" s="61">
        <f t="shared" si="2"/>
        <v>920.2755766</v>
      </c>
      <c r="K306" s="58">
        <f>if(G306,_xlfn.workday.intl(int(G306),0,"1000000",Holidays!A:A)+19/24,"")</f>
        <v>45213.79167</v>
      </c>
      <c r="L306" s="59" t="str">
        <f t="shared" si="3"/>
        <v/>
      </c>
      <c r="M306" s="60"/>
      <c r="N306" s="61">
        <f t="shared" si="4"/>
        <v>920.1922432</v>
      </c>
      <c r="O306" s="63">
        <f>if(A306,_xlfn.WORKDAY.INTL(A306,O$5,"1000000",Holidays!A:A)+hour(A306)/24+MINUTE(A306)/1440,"")</f>
        <v>45213.82639</v>
      </c>
      <c r="P306" s="64" t="s">
        <v>2718</v>
      </c>
      <c r="R306" s="66">
        <f t="shared" si="5"/>
        <v>920.157521</v>
      </c>
      <c r="S306" s="66"/>
      <c r="T306" s="66"/>
      <c r="U306" s="64">
        <f>if(O306,_xlfn.WORKDAY.INTL(O306,U$5,"1000000",Holidays!A:A)+hour(O306)/24+MINUTE(O306)/1440,"")</f>
        <v>45214.82639</v>
      </c>
      <c r="V306" s="64" t="str">
        <f t="shared" si="6"/>
        <v/>
      </c>
      <c r="W306" s="66"/>
      <c r="X306" s="66">
        <f t="shared" si="7"/>
        <v>919.157521</v>
      </c>
      <c r="Y306" s="66"/>
      <c r="Z306" s="66"/>
      <c r="AA306" s="66"/>
      <c r="AB306" s="63"/>
      <c r="AC306" s="63"/>
      <c r="AD306" s="63"/>
      <c r="AE306" s="63"/>
      <c r="AF306" s="63"/>
      <c r="AG306" s="63"/>
      <c r="AH306" s="63" t="str">
        <f t="shared" si="14"/>
        <v/>
      </c>
      <c r="AI306" s="63" t="str">
        <f>if(AH306,_xlfn.workday.intl(int(AH306),0,"1000000",Holidays!A:A)+18/24,"")</f>
        <v/>
      </c>
      <c r="AJ306" s="64" t="str">
        <f t="shared" si="24"/>
        <v/>
      </c>
      <c r="AL306" s="66" t="str">
        <f t="shared" si="9"/>
        <v/>
      </c>
      <c r="AM306" s="66"/>
      <c r="AN306" s="63" t="str">
        <f>if(AJ306,if(and(hour(AJ306+AN$5)&gt;11,(hour(AJ306+AN$5)&lt;20)),AJ306+AN$5,_xlfn.workday.intl(int(AJ306),1,"1000000",Holidays!A:A)+hour(AJ306+AN$5-$B$1)/24+minute(AJ306)/1440),"")</f>
        <v/>
      </c>
      <c r="AO306" s="64" t="str">
        <f t="shared" si="15"/>
        <v/>
      </c>
      <c r="AQ306" s="66" t="str">
        <f t="shared" si="16"/>
        <v/>
      </c>
      <c r="AR306" s="66"/>
      <c r="AS306" s="63" t="str">
        <f>if(AJ306,if(and(hour(AJ306+AS$5)&gt;11,(hour(AJ306+AS$5)&lt;20)),AJ306+AS$5,_xlfn.workday.intl(int(AJ306),1,"1000000",Holidays!A:A)+hour(AJ306+AS$5-$B$1)/24+minute(AJ306)/1440),"")</f>
        <v/>
      </c>
      <c r="AT306" s="64" t="str">
        <f t="shared" si="21"/>
        <v/>
      </c>
      <c r="AV306" s="66" t="str">
        <f t="shared" si="25"/>
        <v/>
      </c>
      <c r="AW306" s="66"/>
      <c r="AX306" s="56"/>
    </row>
    <row r="307">
      <c r="A307" s="55">
        <v>45231.65193384259</v>
      </c>
      <c r="B307" s="56"/>
      <c r="C307" s="57"/>
      <c r="D307" s="57"/>
      <c r="E307" s="57"/>
      <c r="F307" s="57"/>
      <c r="G307" s="58">
        <f>if(A307,_xlfn.workday.intl(int(A307),1,"1000000",Holidays!A:A)+17/24,"")</f>
        <v>45232.70833</v>
      </c>
      <c r="H307" s="59" t="str">
        <f t="shared" si="23"/>
        <v/>
      </c>
      <c r="I307" s="60"/>
      <c r="J307" s="61">
        <f t="shared" si="2"/>
        <v>901.2755766</v>
      </c>
      <c r="K307" s="58">
        <f>if(G307,_xlfn.workday.intl(int(G307),0,"1000000",Holidays!A:A)+19/24,"")</f>
        <v>45232.79167</v>
      </c>
      <c r="L307" s="59" t="str">
        <f t="shared" si="3"/>
        <v/>
      </c>
      <c r="M307" s="60"/>
      <c r="N307" s="61">
        <f t="shared" si="4"/>
        <v>901.1922432</v>
      </c>
      <c r="O307" s="63">
        <f>if(A307,_xlfn.WORKDAY.INTL(A307,O$5,"1000000",Holidays!A:A)+hour(A307)/24+MINUTE(A307)/1440,"")</f>
        <v>45232.65139</v>
      </c>
      <c r="P307" s="64" t="s">
        <v>2718</v>
      </c>
      <c r="R307" s="66">
        <f t="shared" si="5"/>
        <v>901.332521</v>
      </c>
      <c r="S307" s="66"/>
      <c r="T307" s="66"/>
      <c r="U307" s="64">
        <f>if(O307,_xlfn.WORKDAY.INTL(O307,U$5,"1000000",Holidays!A:A)+hour(O307)/24+MINUTE(O307)/1440,"")</f>
        <v>45233.65139</v>
      </c>
      <c r="V307" s="64" t="str">
        <f t="shared" si="6"/>
        <v/>
      </c>
      <c r="W307" s="66"/>
      <c r="X307" s="66">
        <f t="shared" si="7"/>
        <v>900.332521</v>
      </c>
      <c r="Y307" s="66"/>
      <c r="Z307" s="66"/>
      <c r="AA307" s="66"/>
      <c r="AB307" s="63"/>
      <c r="AC307" s="63"/>
      <c r="AD307" s="63"/>
      <c r="AE307" s="63"/>
      <c r="AF307" s="63"/>
      <c r="AG307" s="63"/>
      <c r="AH307" s="63" t="str">
        <f t="shared" si="14"/>
        <v/>
      </c>
      <c r="AI307" s="63" t="str">
        <f>if(AH307,_xlfn.workday.intl(int(AH307),0,"1000000",Holidays!A:A)+18/24,"")</f>
        <v/>
      </c>
      <c r="AJ307" s="64" t="str">
        <f t="shared" si="24"/>
        <v/>
      </c>
      <c r="AL307" s="66" t="str">
        <f t="shared" si="9"/>
        <v/>
      </c>
      <c r="AM307" s="66"/>
      <c r="AN307" s="63" t="str">
        <f>if(AJ307,if(and(hour(AJ307+AN$5)&gt;11,(hour(AJ307+AN$5)&lt;20)),AJ307+AN$5,_xlfn.workday.intl(int(AJ307),1,"1000000",Holidays!A:A)+hour(AJ307+AN$5-$B$1)/24+minute(AJ307)/1440),"")</f>
        <v/>
      </c>
      <c r="AO307" s="64" t="str">
        <f t="shared" si="15"/>
        <v/>
      </c>
      <c r="AQ307" s="66" t="str">
        <f t="shared" si="16"/>
        <v/>
      </c>
      <c r="AR307" s="66"/>
      <c r="AS307" s="63" t="str">
        <f>if(AJ307,if(and(hour(AJ307+AS$5)&gt;11,(hour(AJ307+AS$5)&lt;20)),AJ307+AS$5,_xlfn.workday.intl(int(AJ307),1,"1000000",Holidays!A:A)+hour(AJ307+AS$5-$B$1)/24+minute(AJ307)/1440),"")</f>
        <v/>
      </c>
      <c r="AT307" s="64" t="str">
        <f t="shared" si="21"/>
        <v/>
      </c>
      <c r="AV307" s="66" t="str">
        <f t="shared" si="25"/>
        <v/>
      </c>
      <c r="AW307" s="66"/>
      <c r="AX307" s="56"/>
    </row>
    <row r="308">
      <c r="A308" s="55">
        <v>45231.66718464121</v>
      </c>
      <c r="B308" s="56"/>
      <c r="C308" s="57"/>
      <c r="D308" s="57"/>
      <c r="E308" s="57"/>
      <c r="F308" s="57"/>
      <c r="G308" s="58">
        <f>if(A308,_xlfn.workday.intl(int(A308),1,"1000000",Holidays!A:A)+17/24,"")</f>
        <v>45232.70833</v>
      </c>
      <c r="H308" s="59" t="str">
        <f t="shared" si="23"/>
        <v/>
      </c>
      <c r="I308" s="60"/>
      <c r="J308" s="61">
        <f t="shared" si="2"/>
        <v>901.2755766</v>
      </c>
      <c r="K308" s="58">
        <f>if(G308,_xlfn.workday.intl(int(G308),0,"1000000",Holidays!A:A)+19/24,"")</f>
        <v>45232.79167</v>
      </c>
      <c r="L308" s="59" t="str">
        <f t="shared" si="3"/>
        <v/>
      </c>
      <c r="M308" s="60"/>
      <c r="N308" s="61">
        <f t="shared" si="4"/>
        <v>901.1922432</v>
      </c>
      <c r="O308" s="63">
        <f>if(A308,_xlfn.WORKDAY.INTL(A308,O$5,"1000000",Holidays!A:A)+hour(A308)/24+MINUTE(A308)/1440,"")</f>
        <v>45232.66667</v>
      </c>
      <c r="P308" s="64" t="s">
        <v>2718</v>
      </c>
      <c r="R308" s="66">
        <f t="shared" si="5"/>
        <v>901.3172432</v>
      </c>
      <c r="S308" s="66"/>
      <c r="T308" s="66"/>
      <c r="U308" s="64">
        <f>if(O308,_xlfn.WORKDAY.INTL(O308,U$5,"1000000",Holidays!A:A)+hour(O308)/24+MINUTE(O308)/1440,"")</f>
        <v>45233.66667</v>
      </c>
      <c r="V308" s="64" t="str">
        <f t="shared" si="6"/>
        <v/>
      </c>
      <c r="W308" s="66"/>
      <c r="X308" s="66">
        <f t="shared" si="7"/>
        <v>900.3172432</v>
      </c>
      <c r="Y308" s="66"/>
      <c r="Z308" s="66"/>
      <c r="AA308" s="66"/>
      <c r="AB308" s="63"/>
      <c r="AC308" s="63"/>
      <c r="AD308" s="63"/>
      <c r="AE308" s="63"/>
      <c r="AF308" s="63"/>
      <c r="AG308" s="63"/>
      <c r="AH308" s="63" t="str">
        <f t="shared" si="14"/>
        <v/>
      </c>
      <c r="AI308" s="63" t="str">
        <f>if(AH308,_xlfn.workday.intl(int(AH308),0,"1000000",Holidays!A:A)+18/24,"")</f>
        <v/>
      </c>
      <c r="AJ308" s="64" t="str">
        <f t="shared" si="24"/>
        <v/>
      </c>
      <c r="AL308" s="66" t="str">
        <f t="shared" si="9"/>
        <v/>
      </c>
      <c r="AM308" s="66"/>
      <c r="AN308" s="63" t="str">
        <f>if(AJ308,if(and(hour(AJ308+AN$5)&gt;11,(hour(AJ308+AN$5)&lt;20)),AJ308+AN$5,_xlfn.workday.intl(int(AJ308),1,"1000000",Holidays!A:A)+hour(AJ308+AN$5-$B$1)/24+minute(AJ308)/1440),"")</f>
        <v/>
      </c>
      <c r="AO308" s="64" t="str">
        <f t="shared" si="15"/>
        <v/>
      </c>
      <c r="AQ308" s="66" t="str">
        <f t="shared" si="16"/>
        <v/>
      </c>
      <c r="AR308" s="66"/>
      <c r="AS308" s="63" t="str">
        <f>if(AJ308,if(and(hour(AJ308+AS$5)&gt;11,(hour(AJ308+AS$5)&lt;20)),AJ308+AS$5,_xlfn.workday.intl(int(AJ308),1,"1000000",Holidays!A:A)+hour(AJ308+AS$5-$B$1)/24+minute(AJ308)/1440),"")</f>
        <v/>
      </c>
      <c r="AT308" s="64" t="str">
        <f t="shared" si="21"/>
        <v/>
      </c>
      <c r="AV308" s="66" t="str">
        <f t="shared" si="25"/>
        <v/>
      </c>
      <c r="AW308" s="66"/>
      <c r="AX308" s="56"/>
    </row>
    <row r="309">
      <c r="A309" s="55">
        <v>45231.67400883102</v>
      </c>
      <c r="B309" s="56"/>
      <c r="C309" s="57"/>
      <c r="D309" s="57"/>
      <c r="E309" s="57"/>
      <c r="F309" s="57"/>
      <c r="G309" s="58">
        <f>if(A309,_xlfn.workday.intl(int(A309),1,"1000000",Holidays!A:A)+17/24,"")</f>
        <v>45232.70833</v>
      </c>
      <c r="H309" s="59" t="str">
        <f t="shared" si="23"/>
        <v/>
      </c>
      <c r="I309" s="60"/>
      <c r="J309" s="61">
        <f t="shared" si="2"/>
        <v>901.2755766</v>
      </c>
      <c r="K309" s="58">
        <f>if(G309,_xlfn.workday.intl(int(G309),0,"1000000",Holidays!A:A)+19/24,"")</f>
        <v>45232.79167</v>
      </c>
      <c r="L309" s="59" t="str">
        <f t="shared" si="3"/>
        <v/>
      </c>
      <c r="M309" s="60"/>
      <c r="N309" s="61">
        <f t="shared" si="4"/>
        <v>901.1922432</v>
      </c>
      <c r="O309" s="63">
        <f>if(A309,_xlfn.WORKDAY.INTL(A309,O$5,"1000000",Holidays!A:A)+hour(A309)/24+MINUTE(A309)/1440,"")</f>
        <v>45232.67361</v>
      </c>
      <c r="P309" s="64" t="s">
        <v>2718</v>
      </c>
      <c r="R309" s="66">
        <f t="shared" si="5"/>
        <v>901.3102988</v>
      </c>
      <c r="S309" s="66"/>
      <c r="T309" s="66"/>
      <c r="U309" s="64">
        <f>if(O309,_xlfn.WORKDAY.INTL(O309,U$5,"1000000",Holidays!A:A)+hour(O309)/24+MINUTE(O309)/1440,"")</f>
        <v>45233.67361</v>
      </c>
      <c r="V309" s="64" t="str">
        <f t="shared" si="6"/>
        <v/>
      </c>
      <c r="W309" s="66"/>
      <c r="X309" s="66">
        <f t="shared" si="7"/>
        <v>900.3102988</v>
      </c>
      <c r="Y309" s="66"/>
      <c r="Z309" s="66"/>
      <c r="AA309" s="66"/>
      <c r="AB309" s="63"/>
      <c r="AC309" s="63"/>
      <c r="AD309" s="63"/>
      <c r="AE309" s="63"/>
      <c r="AF309" s="63"/>
      <c r="AG309" s="63"/>
      <c r="AH309" s="63" t="str">
        <f t="shared" si="14"/>
        <v/>
      </c>
      <c r="AI309" s="63" t="str">
        <f>if(AH309,_xlfn.workday.intl(int(AH309),0,"1000000",Holidays!A:A)+18/24,"")</f>
        <v/>
      </c>
      <c r="AJ309" s="64" t="str">
        <f t="shared" si="24"/>
        <v/>
      </c>
      <c r="AL309" s="66" t="str">
        <f t="shared" si="9"/>
        <v/>
      </c>
      <c r="AM309" s="66"/>
      <c r="AN309" s="63" t="str">
        <f>if(AJ309,if(and(hour(AJ309+AN$5)&gt;11,(hour(AJ309+AN$5)&lt;20)),AJ309+AN$5,_xlfn.workday.intl(int(AJ309),1,"1000000",Holidays!A:A)+hour(AJ309+AN$5-$B$1)/24+minute(AJ309)/1440),"")</f>
        <v/>
      </c>
      <c r="AO309" s="64" t="str">
        <f t="shared" si="15"/>
        <v/>
      </c>
      <c r="AQ309" s="66" t="str">
        <f t="shared" si="16"/>
        <v/>
      </c>
      <c r="AR309" s="66"/>
      <c r="AS309" s="63" t="str">
        <f>if(AJ309,if(and(hour(AJ309+AS$5)&gt;11,(hour(AJ309+AS$5)&lt;20)),AJ309+AS$5,_xlfn.workday.intl(int(AJ309),1,"1000000",Holidays!A:A)+hour(AJ309+AS$5-$B$1)/24+minute(AJ309)/1440),"")</f>
        <v/>
      </c>
      <c r="AT309" s="64" t="str">
        <f t="shared" si="21"/>
        <v/>
      </c>
      <c r="AV309" s="66" t="str">
        <f t="shared" si="25"/>
        <v/>
      </c>
      <c r="AW309" s="66"/>
      <c r="AX309" s="56"/>
    </row>
    <row r="310">
      <c r="A310" s="55">
        <v>45231.69381135417</v>
      </c>
      <c r="B310" s="56"/>
      <c r="C310" s="57"/>
      <c r="D310" s="57"/>
      <c r="E310" s="57"/>
      <c r="F310" s="57"/>
      <c r="G310" s="58">
        <f>if(A310,_xlfn.workday.intl(int(A310),1,"1000000",Holidays!A:A)+17/24,"")</f>
        <v>45232.70833</v>
      </c>
      <c r="H310" s="59" t="str">
        <f t="shared" si="23"/>
        <v/>
      </c>
      <c r="I310" s="60"/>
      <c r="J310" s="61">
        <f t="shared" si="2"/>
        <v>901.2755766</v>
      </c>
      <c r="K310" s="58">
        <f>if(G310,_xlfn.workday.intl(int(G310),0,"1000000",Holidays!A:A)+19/24,"")</f>
        <v>45232.79167</v>
      </c>
      <c r="L310" s="59" t="str">
        <f t="shared" si="3"/>
        <v/>
      </c>
      <c r="M310" s="60"/>
      <c r="N310" s="61">
        <f t="shared" si="4"/>
        <v>901.1922432</v>
      </c>
      <c r="O310" s="63">
        <f>if(A310,_xlfn.WORKDAY.INTL(A310,O$5,"1000000",Holidays!A:A)+hour(A310)/24+MINUTE(A310)/1440,"")</f>
        <v>45232.69375</v>
      </c>
      <c r="P310" s="64" t="s">
        <v>2718</v>
      </c>
      <c r="R310" s="66">
        <f t="shared" si="5"/>
        <v>901.2901599</v>
      </c>
      <c r="S310" s="66"/>
      <c r="T310" s="66"/>
      <c r="U310" s="64">
        <f>if(O310,_xlfn.WORKDAY.INTL(O310,U$5,"1000000",Holidays!A:A)+hour(O310)/24+MINUTE(O310)/1440,"")</f>
        <v>45233.69375</v>
      </c>
      <c r="V310" s="64" t="str">
        <f t="shared" si="6"/>
        <v/>
      </c>
      <c r="W310" s="66"/>
      <c r="X310" s="66">
        <f t="shared" si="7"/>
        <v>900.2901599</v>
      </c>
      <c r="Y310" s="66"/>
      <c r="Z310" s="66"/>
      <c r="AA310" s="66"/>
      <c r="AB310" s="63"/>
      <c r="AC310" s="63"/>
      <c r="AD310" s="63"/>
      <c r="AE310" s="63"/>
      <c r="AF310" s="63"/>
      <c r="AG310" s="63"/>
      <c r="AH310" s="63" t="str">
        <f t="shared" si="14"/>
        <v/>
      </c>
      <c r="AI310" s="63" t="str">
        <f>if(AH310,_xlfn.workday.intl(int(AH310),0,"1000000",Holidays!A:A)+18/24,"")</f>
        <v/>
      </c>
      <c r="AJ310" s="64" t="str">
        <f t="shared" si="24"/>
        <v/>
      </c>
      <c r="AL310" s="66" t="str">
        <f t="shared" si="9"/>
        <v/>
      </c>
      <c r="AM310" s="66"/>
      <c r="AN310" s="63" t="str">
        <f>if(AJ310,if(and(hour(AJ310+AN$5)&gt;11,(hour(AJ310+AN$5)&lt;20)),AJ310+AN$5,_xlfn.workday.intl(int(AJ310),1,"1000000",Holidays!A:A)+hour(AJ310+AN$5-$B$1)/24+minute(AJ310)/1440),"")</f>
        <v/>
      </c>
      <c r="AO310" s="64" t="str">
        <f t="shared" si="15"/>
        <v/>
      </c>
      <c r="AQ310" s="66" t="str">
        <f t="shared" si="16"/>
        <v/>
      </c>
      <c r="AR310" s="66"/>
      <c r="AS310" s="63" t="str">
        <f>if(AJ310,if(and(hour(AJ310+AS$5)&gt;11,(hour(AJ310+AS$5)&lt;20)),AJ310+AS$5,_xlfn.workday.intl(int(AJ310),1,"1000000",Holidays!A:A)+hour(AJ310+AS$5-$B$1)/24+minute(AJ310)/1440),"")</f>
        <v/>
      </c>
      <c r="AT310" s="64" t="str">
        <f t="shared" si="21"/>
        <v/>
      </c>
      <c r="AV310" s="66" t="str">
        <f t="shared" si="25"/>
        <v/>
      </c>
      <c r="AW310" s="66"/>
      <c r="AX310" s="56"/>
    </row>
    <row r="311">
      <c r="A311" s="55">
        <v>45232.70373228009</v>
      </c>
      <c r="B311" s="56"/>
      <c r="C311" s="57"/>
      <c r="D311" s="57"/>
      <c r="E311" s="57"/>
      <c r="F311" s="57"/>
      <c r="G311" s="58">
        <f>if(A311,_xlfn.workday.intl(int(A311),1,"1000000",Holidays!A:A)+17/24,"")</f>
        <v>45233.70833</v>
      </c>
      <c r="H311" s="59" t="str">
        <f t="shared" si="23"/>
        <v/>
      </c>
      <c r="I311" s="60"/>
      <c r="J311" s="61">
        <f t="shared" si="2"/>
        <v>900.2755766</v>
      </c>
      <c r="K311" s="58">
        <f>if(G311,_xlfn.workday.intl(int(G311),0,"1000000",Holidays!A:A)+19/24,"")</f>
        <v>45233.79167</v>
      </c>
      <c r="L311" s="59" t="str">
        <f t="shared" si="3"/>
        <v/>
      </c>
      <c r="M311" s="60"/>
      <c r="N311" s="61">
        <f t="shared" si="4"/>
        <v>900.1922432</v>
      </c>
      <c r="O311" s="63">
        <f>if(A311,_xlfn.WORKDAY.INTL(A311,O$5,"1000000",Holidays!A:A)+hour(A311)/24+MINUTE(A311)/1440,"")</f>
        <v>45233.70347</v>
      </c>
      <c r="P311" s="64" t="s">
        <v>2718</v>
      </c>
      <c r="R311" s="66">
        <f t="shared" si="5"/>
        <v>900.2804377</v>
      </c>
      <c r="S311" s="66"/>
      <c r="T311" s="66"/>
      <c r="U311" s="64">
        <f>if(O311,_xlfn.WORKDAY.INTL(O311,U$5,"1000000",Holidays!A:A)+hour(O311)/24+MINUTE(O311)/1440,"")</f>
        <v>45234.70347</v>
      </c>
      <c r="V311" s="64" t="str">
        <f t="shared" si="6"/>
        <v/>
      </c>
      <c r="W311" s="66"/>
      <c r="X311" s="66">
        <f t="shared" si="7"/>
        <v>899.2804377</v>
      </c>
      <c r="Y311" s="66"/>
      <c r="Z311" s="66"/>
      <c r="AA311" s="66"/>
      <c r="AB311" s="63"/>
      <c r="AC311" s="63"/>
      <c r="AD311" s="63"/>
      <c r="AE311" s="63"/>
      <c r="AF311" s="63"/>
      <c r="AG311" s="63"/>
      <c r="AH311" s="63" t="str">
        <f t="shared" si="14"/>
        <v/>
      </c>
      <c r="AI311" s="63" t="str">
        <f>if(AH311,_xlfn.workday.intl(int(AH311),0,"1000000",Holidays!A:A)+18/24,"")</f>
        <v/>
      </c>
      <c r="AJ311" s="64" t="str">
        <f t="shared" si="24"/>
        <v/>
      </c>
      <c r="AL311" s="66" t="str">
        <f t="shared" si="9"/>
        <v/>
      </c>
      <c r="AM311" s="66"/>
      <c r="AN311" s="63" t="str">
        <f>if(AJ311,if(and(hour(AJ311+AN$5)&gt;11,(hour(AJ311+AN$5)&lt;20)),AJ311+AN$5,_xlfn.workday.intl(int(AJ311),1,"1000000",Holidays!A:A)+hour(AJ311+AN$5-$B$1)/24+minute(AJ311)/1440),"")</f>
        <v/>
      </c>
      <c r="AO311" s="64" t="str">
        <f t="shared" si="15"/>
        <v/>
      </c>
      <c r="AQ311" s="66" t="str">
        <f t="shared" si="16"/>
        <v/>
      </c>
      <c r="AR311" s="66"/>
      <c r="AS311" s="63" t="str">
        <f>if(AJ311,if(and(hour(AJ311+AS$5)&gt;11,(hour(AJ311+AS$5)&lt;20)),AJ311+AS$5,_xlfn.workday.intl(int(AJ311),1,"1000000",Holidays!A:A)+hour(AJ311+AS$5-$B$1)/24+minute(AJ311)/1440),"")</f>
        <v/>
      </c>
      <c r="AT311" s="64" t="str">
        <f t="shared" si="21"/>
        <v/>
      </c>
      <c r="AV311" s="66" t="str">
        <f t="shared" si="25"/>
        <v/>
      </c>
      <c r="AW311" s="66"/>
      <c r="AX311" s="56"/>
    </row>
    <row r="312">
      <c r="A312" s="55">
        <v>45232.76113398148</v>
      </c>
      <c r="B312" s="56"/>
      <c r="C312" s="57"/>
      <c r="D312" s="57"/>
      <c r="E312" s="57"/>
      <c r="F312" s="57"/>
      <c r="G312" s="58">
        <f>if(A312,_xlfn.workday.intl(int(A312),1,"1000000",Holidays!A:A)+17/24,"")</f>
        <v>45233.70833</v>
      </c>
      <c r="H312" s="59" t="str">
        <f t="shared" si="23"/>
        <v/>
      </c>
      <c r="I312" s="60"/>
      <c r="J312" s="61">
        <f t="shared" si="2"/>
        <v>900.2755766</v>
      </c>
      <c r="K312" s="58">
        <f>if(G312,_xlfn.workday.intl(int(G312),0,"1000000",Holidays!A:A)+19/24,"")</f>
        <v>45233.79167</v>
      </c>
      <c r="L312" s="59" t="str">
        <f t="shared" si="3"/>
        <v/>
      </c>
      <c r="M312" s="60"/>
      <c r="N312" s="61">
        <f t="shared" si="4"/>
        <v>900.1922432</v>
      </c>
      <c r="O312" s="63">
        <f>if(A312,_xlfn.WORKDAY.INTL(A312,O$5,"1000000",Holidays!A:A)+hour(A312)/24+MINUTE(A312)/1440,"")</f>
        <v>45233.76111</v>
      </c>
      <c r="P312" s="64" t="s">
        <v>2718</v>
      </c>
      <c r="R312" s="66">
        <f t="shared" si="5"/>
        <v>900.2227988</v>
      </c>
      <c r="S312" s="66"/>
      <c r="T312" s="66"/>
      <c r="U312" s="64">
        <f>if(O312,_xlfn.WORKDAY.INTL(O312,U$5,"1000000",Holidays!A:A)+hour(O312)/24+MINUTE(O312)/1440,"")</f>
        <v>45234.76111</v>
      </c>
      <c r="V312" s="64" t="str">
        <f t="shared" si="6"/>
        <v/>
      </c>
      <c r="W312" s="66"/>
      <c r="X312" s="66">
        <f t="shared" si="7"/>
        <v>899.2227988</v>
      </c>
      <c r="Y312" s="66"/>
      <c r="Z312" s="66"/>
      <c r="AA312" s="66"/>
      <c r="AB312" s="63"/>
      <c r="AC312" s="63"/>
      <c r="AD312" s="63"/>
      <c r="AE312" s="63"/>
      <c r="AF312" s="63"/>
      <c r="AG312" s="63"/>
      <c r="AH312" s="63" t="str">
        <f t="shared" si="14"/>
        <v/>
      </c>
      <c r="AI312" s="63" t="str">
        <f>if(AH312,_xlfn.workday.intl(int(AH312),0,"1000000",Holidays!A:A)+18/24,"")</f>
        <v/>
      </c>
      <c r="AJ312" s="64" t="str">
        <f t="shared" si="24"/>
        <v/>
      </c>
      <c r="AL312" s="66" t="str">
        <f t="shared" si="9"/>
        <v/>
      </c>
      <c r="AM312" s="66"/>
      <c r="AN312" s="63" t="str">
        <f>if(AJ312,if(and(hour(AJ312+AN$5)&gt;11,(hour(AJ312+AN$5)&lt;20)),AJ312+AN$5,_xlfn.workday.intl(int(AJ312),1,"1000000",Holidays!A:A)+hour(AJ312+AN$5-$B$1)/24+minute(AJ312)/1440),"")</f>
        <v/>
      </c>
      <c r="AO312" s="64" t="str">
        <f t="shared" si="15"/>
        <v/>
      </c>
      <c r="AQ312" s="66" t="str">
        <f t="shared" si="16"/>
        <v/>
      </c>
      <c r="AR312" s="66"/>
      <c r="AS312" s="63" t="str">
        <f>if(AJ312,if(and(hour(AJ312+AS$5)&gt;11,(hour(AJ312+AS$5)&lt;20)),AJ312+AS$5,_xlfn.workday.intl(int(AJ312),1,"1000000",Holidays!A:A)+hour(AJ312+AS$5-$B$1)/24+minute(AJ312)/1440),"")</f>
        <v/>
      </c>
      <c r="AT312" s="64" t="str">
        <f t="shared" si="21"/>
        <v/>
      </c>
      <c r="AV312" s="66" t="str">
        <f t="shared" si="25"/>
        <v/>
      </c>
      <c r="AW312" s="66"/>
      <c r="AX312" s="56"/>
    </row>
    <row r="313">
      <c r="A313" s="55">
        <v>45233.49117302083</v>
      </c>
      <c r="B313" s="56"/>
      <c r="C313" s="57"/>
      <c r="D313" s="57"/>
      <c r="E313" s="57"/>
      <c r="F313" s="57"/>
      <c r="G313" s="58">
        <f>if(A313,_xlfn.workday.intl(int(A313),1,"1000000",Holidays!A:A)+17/24,"")</f>
        <v>45234.70833</v>
      </c>
      <c r="H313" s="59" t="str">
        <f t="shared" si="23"/>
        <v/>
      </c>
      <c r="I313" s="60"/>
      <c r="J313" s="61">
        <f t="shared" si="2"/>
        <v>899.2755766</v>
      </c>
      <c r="K313" s="58">
        <f>if(G313,_xlfn.workday.intl(int(G313),0,"1000000",Holidays!A:A)+19/24,"")</f>
        <v>45234.79167</v>
      </c>
      <c r="L313" s="59" t="str">
        <f t="shared" si="3"/>
        <v/>
      </c>
      <c r="M313" s="60"/>
      <c r="N313" s="61">
        <f t="shared" si="4"/>
        <v>899.1922432</v>
      </c>
      <c r="O313" s="63">
        <f>if(A313,_xlfn.WORKDAY.INTL(A313,O$5,"1000000",Holidays!A:A)+hour(A313)/24+MINUTE(A313)/1440,"")</f>
        <v>45234.49097</v>
      </c>
      <c r="P313" s="64" t="s">
        <v>2718</v>
      </c>
      <c r="R313" s="66">
        <f t="shared" si="5"/>
        <v>899.4929377</v>
      </c>
      <c r="S313" s="66"/>
      <c r="T313" s="66"/>
      <c r="U313" s="64">
        <f>if(O313,_xlfn.WORKDAY.INTL(O313,U$5,"1000000",Holidays!A:A)+hour(O313)/24+MINUTE(O313)/1440,"")</f>
        <v>45235.49097</v>
      </c>
      <c r="V313" s="64" t="str">
        <f t="shared" si="6"/>
        <v/>
      </c>
      <c r="W313" s="66"/>
      <c r="X313" s="66">
        <f t="shared" si="7"/>
        <v>898.4929377</v>
      </c>
      <c r="Y313" s="66"/>
      <c r="Z313" s="66"/>
      <c r="AA313" s="66"/>
      <c r="AB313" s="63"/>
      <c r="AC313" s="63"/>
      <c r="AD313" s="63"/>
      <c r="AE313" s="63"/>
      <c r="AF313" s="63"/>
      <c r="AG313" s="63"/>
      <c r="AH313" s="63" t="str">
        <f t="shared" si="14"/>
        <v/>
      </c>
      <c r="AI313" s="63" t="str">
        <f>if(AH313,_xlfn.workday.intl(int(AH313),0,"1000000",Holidays!A:A)+18/24,"")</f>
        <v/>
      </c>
      <c r="AJ313" s="64" t="str">
        <f t="shared" si="24"/>
        <v/>
      </c>
      <c r="AL313" s="66" t="str">
        <f t="shared" si="9"/>
        <v/>
      </c>
      <c r="AM313" s="66"/>
      <c r="AN313" s="63" t="str">
        <f>if(AJ313,if(and(hour(AJ313+AN$5)&gt;11,(hour(AJ313+AN$5)&lt;20)),AJ313+AN$5,_xlfn.workday.intl(int(AJ313),1,"1000000",Holidays!A:A)+hour(AJ313+AN$5-$B$1)/24+minute(AJ313)/1440),"")</f>
        <v/>
      </c>
      <c r="AO313" s="64" t="str">
        <f t="shared" si="15"/>
        <v/>
      </c>
      <c r="AQ313" s="66" t="str">
        <f t="shared" si="16"/>
        <v/>
      </c>
      <c r="AR313" s="66"/>
      <c r="AS313" s="63" t="str">
        <f>if(AJ313,if(and(hour(AJ313+AS$5)&gt;11,(hour(AJ313+AS$5)&lt;20)),AJ313+AS$5,_xlfn.workday.intl(int(AJ313),1,"1000000",Holidays!A:A)+hour(AJ313+AS$5-$B$1)/24+minute(AJ313)/1440),"")</f>
        <v/>
      </c>
      <c r="AT313" s="64" t="str">
        <f t="shared" si="21"/>
        <v/>
      </c>
      <c r="AV313" s="66" t="str">
        <f t="shared" si="25"/>
        <v/>
      </c>
      <c r="AW313" s="66"/>
      <c r="AX313" s="56"/>
    </row>
    <row r="314">
      <c r="A314" s="55">
        <v>45233.4942599537</v>
      </c>
      <c r="B314" s="56"/>
      <c r="C314" s="57"/>
      <c r="D314" s="57"/>
      <c r="E314" s="57"/>
      <c r="F314" s="57"/>
      <c r="G314" s="58">
        <f>if(A314,_xlfn.workday.intl(int(A314),1,"1000000",Holidays!A:A)+17/24,"")</f>
        <v>45234.70833</v>
      </c>
      <c r="H314" s="59" t="str">
        <f t="shared" si="23"/>
        <v/>
      </c>
      <c r="I314" s="60"/>
      <c r="J314" s="61">
        <f t="shared" si="2"/>
        <v>899.2755766</v>
      </c>
      <c r="K314" s="58">
        <f>if(G314,_xlfn.workday.intl(int(G314),0,"1000000",Holidays!A:A)+19/24,"")</f>
        <v>45234.79167</v>
      </c>
      <c r="L314" s="59" t="str">
        <f t="shared" si="3"/>
        <v/>
      </c>
      <c r="M314" s="60"/>
      <c r="N314" s="61">
        <f t="shared" si="4"/>
        <v>899.1922432</v>
      </c>
      <c r="O314" s="63">
        <f>if(A314,_xlfn.WORKDAY.INTL(A314,O$5,"1000000",Holidays!A:A)+hour(A314)/24+MINUTE(A314)/1440,"")</f>
        <v>45234.49375</v>
      </c>
      <c r="P314" s="64" t="s">
        <v>2718</v>
      </c>
      <c r="R314" s="66">
        <f t="shared" si="5"/>
        <v>899.4901599</v>
      </c>
      <c r="S314" s="66"/>
      <c r="T314" s="66"/>
      <c r="U314" s="64">
        <f>if(O314,_xlfn.WORKDAY.INTL(O314,U$5,"1000000",Holidays!A:A)+hour(O314)/24+MINUTE(O314)/1440,"")</f>
        <v>45235.49375</v>
      </c>
      <c r="V314" s="64" t="str">
        <f t="shared" si="6"/>
        <v/>
      </c>
      <c r="W314" s="66"/>
      <c r="X314" s="66">
        <f t="shared" si="7"/>
        <v>898.4901599</v>
      </c>
      <c r="Y314" s="66"/>
      <c r="Z314" s="66"/>
      <c r="AA314" s="66"/>
      <c r="AB314" s="63"/>
      <c r="AC314" s="63"/>
      <c r="AD314" s="63"/>
      <c r="AE314" s="63"/>
      <c r="AF314" s="63"/>
      <c r="AG314" s="63"/>
      <c r="AH314" s="63" t="str">
        <f t="shared" si="14"/>
        <v/>
      </c>
      <c r="AI314" s="63" t="str">
        <f>if(AH314,_xlfn.workday.intl(int(AH314),0,"1000000",Holidays!A:A)+18/24,"")</f>
        <v/>
      </c>
      <c r="AJ314" s="64" t="str">
        <f t="shared" si="24"/>
        <v/>
      </c>
      <c r="AL314" s="66" t="str">
        <f t="shared" si="9"/>
        <v/>
      </c>
      <c r="AM314" s="66"/>
      <c r="AN314" s="63" t="str">
        <f>if(AJ314,if(and(hour(AJ314+AN$5)&gt;11,(hour(AJ314+AN$5)&lt;20)),AJ314+AN$5,_xlfn.workday.intl(int(AJ314),1,"1000000",Holidays!A:A)+hour(AJ314+AN$5-$B$1)/24+minute(AJ314)/1440),"")</f>
        <v/>
      </c>
      <c r="AO314" s="64" t="str">
        <f t="shared" si="15"/>
        <v/>
      </c>
      <c r="AQ314" s="66" t="str">
        <f t="shared" si="16"/>
        <v/>
      </c>
      <c r="AR314" s="66"/>
      <c r="AS314" s="63" t="str">
        <f>if(AJ314,if(and(hour(AJ314+AS$5)&gt;11,(hour(AJ314+AS$5)&lt;20)),AJ314+AS$5,_xlfn.workday.intl(int(AJ314),1,"1000000",Holidays!A:A)+hour(AJ314+AS$5-$B$1)/24+minute(AJ314)/1440),"")</f>
        <v/>
      </c>
      <c r="AT314" s="64" t="str">
        <f t="shared" si="21"/>
        <v/>
      </c>
      <c r="AV314" s="66" t="str">
        <f t="shared" si="25"/>
        <v/>
      </c>
      <c r="AW314" s="66"/>
      <c r="AX314" s="56"/>
    </row>
    <row r="315">
      <c r="A315" s="55">
        <v>45233.49948655092</v>
      </c>
      <c r="B315" s="56"/>
      <c r="C315" s="57"/>
      <c r="D315" s="57"/>
      <c r="E315" s="57"/>
      <c r="F315" s="57"/>
      <c r="G315" s="58">
        <f>if(A315,_xlfn.workday.intl(int(A315),1,"1000000",Holidays!A:A)+17/24,"")</f>
        <v>45234.70833</v>
      </c>
      <c r="H315" s="59" t="str">
        <f t="shared" si="23"/>
        <v/>
      </c>
      <c r="I315" s="60"/>
      <c r="J315" s="61">
        <f t="shared" si="2"/>
        <v>899.2755766</v>
      </c>
      <c r="K315" s="58">
        <f>if(G315,_xlfn.workday.intl(int(G315),0,"1000000",Holidays!A:A)+19/24,"")</f>
        <v>45234.79167</v>
      </c>
      <c r="L315" s="59" t="str">
        <f t="shared" si="3"/>
        <v/>
      </c>
      <c r="M315" s="60"/>
      <c r="N315" s="61">
        <f t="shared" si="4"/>
        <v>899.1922432</v>
      </c>
      <c r="O315" s="63">
        <f>if(A315,_xlfn.WORKDAY.INTL(A315,O$5,"1000000",Holidays!A:A)+hour(A315)/24+MINUTE(A315)/1440,"")</f>
        <v>45234.49931</v>
      </c>
      <c r="P315" s="64" t="s">
        <v>2718</v>
      </c>
      <c r="R315" s="66">
        <f t="shared" si="5"/>
        <v>899.4846043</v>
      </c>
      <c r="S315" s="66"/>
      <c r="T315" s="66"/>
      <c r="U315" s="64">
        <f>if(O315,_xlfn.WORKDAY.INTL(O315,U$5,"1000000",Holidays!A:A)+hour(O315)/24+MINUTE(O315)/1440,"")</f>
        <v>45235.49931</v>
      </c>
      <c r="V315" s="64" t="str">
        <f t="shared" si="6"/>
        <v/>
      </c>
      <c r="W315" s="66"/>
      <c r="X315" s="66">
        <f t="shared" si="7"/>
        <v>898.4846043</v>
      </c>
      <c r="Y315" s="66"/>
      <c r="Z315" s="66"/>
      <c r="AA315" s="66"/>
      <c r="AB315" s="63"/>
      <c r="AC315" s="63"/>
      <c r="AD315" s="63"/>
      <c r="AE315" s="63"/>
      <c r="AF315" s="63"/>
      <c r="AG315" s="63"/>
      <c r="AH315" s="63" t="str">
        <f t="shared" si="14"/>
        <v/>
      </c>
      <c r="AI315" s="63" t="str">
        <f>if(AH315,_xlfn.workday.intl(int(AH315),0,"1000000",Holidays!A:A)+18/24,"")</f>
        <v/>
      </c>
      <c r="AJ315" s="64" t="str">
        <f t="shared" si="24"/>
        <v/>
      </c>
      <c r="AL315" s="66" t="str">
        <f t="shared" si="9"/>
        <v/>
      </c>
      <c r="AM315" s="66"/>
      <c r="AN315" s="63" t="str">
        <f>if(AJ315,if(and(hour(AJ315+AN$5)&gt;11,(hour(AJ315+AN$5)&lt;20)),AJ315+AN$5,_xlfn.workday.intl(int(AJ315),1,"1000000",Holidays!A:A)+hour(AJ315+AN$5-$B$1)/24+minute(AJ315)/1440),"")</f>
        <v/>
      </c>
      <c r="AO315" s="64" t="str">
        <f t="shared" si="15"/>
        <v/>
      </c>
      <c r="AQ315" s="66" t="str">
        <f t="shared" si="16"/>
        <v/>
      </c>
      <c r="AR315" s="66"/>
      <c r="AS315" s="63" t="str">
        <f>if(AJ315,if(and(hour(AJ315+AS$5)&gt;11,(hour(AJ315+AS$5)&lt;20)),AJ315+AS$5,_xlfn.workday.intl(int(AJ315),1,"1000000",Holidays!A:A)+hour(AJ315+AS$5-$B$1)/24+minute(AJ315)/1440),"")</f>
        <v/>
      </c>
      <c r="AT315" s="64" t="str">
        <f t="shared" si="21"/>
        <v/>
      </c>
      <c r="AV315" s="66" t="str">
        <f t="shared" si="25"/>
        <v/>
      </c>
      <c r="AW315" s="66"/>
      <c r="AX315" s="56"/>
    </row>
    <row r="316">
      <c r="A316" s="55">
        <v>45233.57308179398</v>
      </c>
      <c r="B316" s="56"/>
      <c r="C316" s="57"/>
      <c r="D316" s="57"/>
      <c r="E316" s="57"/>
      <c r="F316" s="57"/>
      <c r="G316" s="58">
        <f>if(A316,_xlfn.workday.intl(int(A316),1,"1000000",Holidays!A:A)+17/24,"")</f>
        <v>45234.70833</v>
      </c>
      <c r="H316" s="59" t="str">
        <f t="shared" si="23"/>
        <v/>
      </c>
      <c r="I316" s="60"/>
      <c r="J316" s="61">
        <f t="shared" si="2"/>
        <v>899.2755766</v>
      </c>
      <c r="K316" s="58">
        <f>if(G316,_xlfn.workday.intl(int(G316),0,"1000000",Holidays!A:A)+19/24,"")</f>
        <v>45234.79167</v>
      </c>
      <c r="L316" s="59" t="str">
        <f t="shared" si="3"/>
        <v/>
      </c>
      <c r="M316" s="60"/>
      <c r="N316" s="61">
        <f t="shared" si="4"/>
        <v>899.1922432</v>
      </c>
      <c r="O316" s="63">
        <f>if(A316,_xlfn.WORKDAY.INTL(A316,O$5,"1000000",Holidays!A:A)+hour(A316)/24+MINUTE(A316)/1440,"")</f>
        <v>45234.57292</v>
      </c>
      <c r="P316" s="64" t="s">
        <v>2718</v>
      </c>
      <c r="R316" s="66">
        <f t="shared" si="5"/>
        <v>899.4109932</v>
      </c>
      <c r="S316" s="66"/>
      <c r="T316" s="66"/>
      <c r="U316" s="64">
        <f>if(O316,_xlfn.WORKDAY.INTL(O316,U$5,"1000000",Holidays!A:A)+hour(O316)/24+MINUTE(O316)/1440,"")</f>
        <v>45235.57292</v>
      </c>
      <c r="V316" s="64" t="str">
        <f t="shared" si="6"/>
        <v/>
      </c>
      <c r="W316" s="66"/>
      <c r="X316" s="66">
        <f t="shared" si="7"/>
        <v>898.4109932</v>
      </c>
      <c r="Y316" s="66"/>
      <c r="Z316" s="66"/>
      <c r="AA316" s="66"/>
      <c r="AB316" s="63"/>
      <c r="AC316" s="63"/>
      <c r="AD316" s="63"/>
      <c r="AE316" s="63"/>
      <c r="AF316" s="63"/>
      <c r="AG316" s="63"/>
      <c r="AH316" s="63" t="str">
        <f t="shared" si="14"/>
        <v/>
      </c>
      <c r="AI316" s="63" t="str">
        <f>if(AH316,_xlfn.workday.intl(int(AH316),0,"1000000",Holidays!A:A)+18/24,"")</f>
        <v/>
      </c>
      <c r="AJ316" s="64" t="str">
        <f t="shared" si="24"/>
        <v/>
      </c>
      <c r="AL316" s="66" t="str">
        <f t="shared" si="9"/>
        <v/>
      </c>
      <c r="AM316" s="66"/>
      <c r="AN316" s="63" t="str">
        <f>if(AJ316,if(and(hour(AJ316+AN$5)&gt;11,(hour(AJ316+AN$5)&lt;20)),AJ316+AN$5,_xlfn.workday.intl(int(AJ316),1,"1000000",Holidays!A:A)+hour(AJ316+AN$5-$B$1)/24+minute(AJ316)/1440),"")</f>
        <v/>
      </c>
      <c r="AO316" s="64" t="str">
        <f t="shared" si="15"/>
        <v/>
      </c>
      <c r="AQ316" s="66" t="str">
        <f t="shared" si="16"/>
        <v/>
      </c>
      <c r="AR316" s="66"/>
      <c r="AS316" s="63" t="str">
        <f>if(AJ316,if(and(hour(AJ316+AS$5)&gt;11,(hour(AJ316+AS$5)&lt;20)),AJ316+AS$5,_xlfn.workday.intl(int(AJ316),1,"1000000",Holidays!A:A)+hour(AJ316+AS$5-$B$1)/24+minute(AJ316)/1440),"")</f>
        <v/>
      </c>
      <c r="AT316" s="64" t="str">
        <f t="shared" si="21"/>
        <v/>
      </c>
      <c r="AV316" s="66" t="str">
        <f t="shared" si="25"/>
        <v/>
      </c>
      <c r="AW316" s="66"/>
      <c r="AX316" s="56"/>
    </row>
    <row r="317">
      <c r="A317" s="55">
        <v>45233.647371018524</v>
      </c>
      <c r="B317" s="56"/>
      <c r="C317" s="57"/>
      <c r="D317" s="57"/>
      <c r="E317" s="57"/>
      <c r="F317" s="57"/>
      <c r="G317" s="58">
        <f>if(A317,_xlfn.workday.intl(int(A317),1,"1000000",Holidays!A:A)+17/24,"")</f>
        <v>45234.70833</v>
      </c>
      <c r="H317" s="59" t="str">
        <f t="shared" si="23"/>
        <v/>
      </c>
      <c r="I317" s="60"/>
      <c r="J317" s="61">
        <f t="shared" si="2"/>
        <v>899.2755766</v>
      </c>
      <c r="K317" s="58">
        <f>if(G317,_xlfn.workday.intl(int(G317),0,"1000000",Holidays!A:A)+19/24,"")</f>
        <v>45234.79167</v>
      </c>
      <c r="L317" s="59" t="str">
        <f t="shared" si="3"/>
        <v/>
      </c>
      <c r="M317" s="60"/>
      <c r="N317" s="61">
        <f t="shared" si="4"/>
        <v>899.1922432</v>
      </c>
      <c r="O317" s="63">
        <f>if(A317,_xlfn.WORKDAY.INTL(A317,O$5,"1000000",Holidays!A:A)+hour(A317)/24+MINUTE(A317)/1440,"")</f>
        <v>45234.64722</v>
      </c>
      <c r="P317" s="64" t="s">
        <v>2718</v>
      </c>
      <c r="R317" s="66">
        <f t="shared" si="5"/>
        <v>899.3366877</v>
      </c>
      <c r="S317" s="66"/>
      <c r="T317" s="66"/>
      <c r="U317" s="64">
        <f>if(O317,_xlfn.WORKDAY.INTL(O317,U$5,"1000000",Holidays!A:A)+hour(O317)/24+MINUTE(O317)/1440,"")</f>
        <v>45235.64722</v>
      </c>
      <c r="V317" s="64" t="str">
        <f t="shared" si="6"/>
        <v/>
      </c>
      <c r="W317" s="66"/>
      <c r="X317" s="66">
        <f t="shared" si="7"/>
        <v>898.3366877</v>
      </c>
      <c r="Y317" s="66"/>
      <c r="Z317" s="66"/>
      <c r="AA317" s="66"/>
      <c r="AB317" s="63"/>
      <c r="AC317" s="63"/>
      <c r="AD317" s="63"/>
      <c r="AE317" s="63"/>
      <c r="AF317" s="63"/>
      <c r="AG317" s="63"/>
      <c r="AH317" s="63" t="str">
        <f t="shared" si="14"/>
        <v/>
      </c>
      <c r="AI317" s="63" t="str">
        <f>if(AH317,_xlfn.workday.intl(int(AH317),0,"1000000",Holidays!A:A)+18/24,"")</f>
        <v/>
      </c>
      <c r="AJ317" s="64" t="str">
        <f t="shared" si="24"/>
        <v/>
      </c>
      <c r="AL317" s="66" t="str">
        <f t="shared" si="9"/>
        <v/>
      </c>
      <c r="AM317" s="66"/>
      <c r="AN317" s="63" t="str">
        <f>if(AJ317,if(and(hour(AJ317+AN$5)&gt;11,(hour(AJ317+AN$5)&lt;20)),AJ317+AN$5,_xlfn.workday.intl(int(AJ317),1,"1000000",Holidays!A:A)+hour(AJ317+AN$5-$B$1)/24+minute(AJ317)/1440),"")</f>
        <v/>
      </c>
      <c r="AO317" s="64" t="str">
        <f t="shared" si="15"/>
        <v/>
      </c>
      <c r="AQ317" s="66" t="str">
        <f t="shared" si="16"/>
        <v/>
      </c>
      <c r="AR317" s="66"/>
      <c r="AS317" s="63" t="str">
        <f>if(AJ317,if(and(hour(AJ317+AS$5)&gt;11,(hour(AJ317+AS$5)&lt;20)),AJ317+AS$5,_xlfn.workday.intl(int(AJ317),1,"1000000",Holidays!A:A)+hour(AJ317+AS$5-$B$1)/24+minute(AJ317)/1440),"")</f>
        <v/>
      </c>
      <c r="AT317" s="64" t="str">
        <f t="shared" si="21"/>
        <v/>
      </c>
      <c r="AV317" s="66" t="str">
        <f t="shared" si="25"/>
        <v/>
      </c>
      <c r="AW317" s="66"/>
      <c r="AX317" s="56"/>
    </row>
    <row r="318">
      <c r="A318" s="55">
        <v>45233.64960077546</v>
      </c>
      <c r="B318" s="56"/>
      <c r="C318" s="57"/>
      <c r="D318" s="57"/>
      <c r="E318" s="57"/>
      <c r="F318" s="57"/>
      <c r="G318" s="58">
        <f>if(A318,_xlfn.workday.intl(int(A318),1,"1000000",Holidays!A:A)+17/24,"")</f>
        <v>45234.70833</v>
      </c>
      <c r="H318" s="59" t="str">
        <f t="shared" si="23"/>
        <v/>
      </c>
      <c r="I318" s="60"/>
      <c r="J318" s="61">
        <f t="shared" si="2"/>
        <v>899.2755766</v>
      </c>
      <c r="K318" s="58">
        <f>if(G318,_xlfn.workday.intl(int(G318),0,"1000000",Holidays!A:A)+19/24,"")</f>
        <v>45234.79167</v>
      </c>
      <c r="L318" s="59" t="str">
        <f t="shared" si="3"/>
        <v/>
      </c>
      <c r="M318" s="60"/>
      <c r="N318" s="61">
        <f t="shared" si="4"/>
        <v>899.1922432</v>
      </c>
      <c r="O318" s="63">
        <f>if(A318,_xlfn.WORKDAY.INTL(A318,O$5,"1000000",Holidays!A:A)+hour(A318)/24+MINUTE(A318)/1440,"")</f>
        <v>45234.64931</v>
      </c>
      <c r="P318" s="64" t="s">
        <v>2718</v>
      </c>
      <c r="R318" s="66">
        <f t="shared" si="5"/>
        <v>899.3346043</v>
      </c>
      <c r="S318" s="66"/>
      <c r="T318" s="66"/>
      <c r="U318" s="64">
        <f>if(O318,_xlfn.WORKDAY.INTL(O318,U$5,"1000000",Holidays!A:A)+hour(O318)/24+MINUTE(O318)/1440,"")</f>
        <v>45235.64931</v>
      </c>
      <c r="V318" s="64" t="str">
        <f t="shared" si="6"/>
        <v/>
      </c>
      <c r="W318" s="66"/>
      <c r="X318" s="66">
        <f t="shared" si="7"/>
        <v>898.3346043</v>
      </c>
      <c r="Y318" s="66"/>
      <c r="Z318" s="66"/>
      <c r="AA318" s="66"/>
      <c r="AB318" s="63"/>
      <c r="AC318" s="63"/>
      <c r="AD318" s="63"/>
      <c r="AE318" s="63"/>
      <c r="AF318" s="63"/>
      <c r="AG318" s="63"/>
      <c r="AH318" s="63" t="str">
        <f t="shared" si="14"/>
        <v/>
      </c>
      <c r="AI318" s="63" t="str">
        <f>if(AH318,_xlfn.workday.intl(int(AH318),0,"1000000",Holidays!A:A)+18/24,"")</f>
        <v/>
      </c>
      <c r="AJ318" s="64" t="str">
        <f t="shared" si="24"/>
        <v/>
      </c>
      <c r="AL318" s="66" t="str">
        <f t="shared" si="9"/>
        <v/>
      </c>
      <c r="AM318" s="66"/>
      <c r="AN318" s="63" t="str">
        <f>if(AJ318,if(and(hour(AJ318+AN$5)&gt;11,(hour(AJ318+AN$5)&lt;20)),AJ318+AN$5,_xlfn.workday.intl(int(AJ318),1,"1000000",Holidays!A:A)+hour(AJ318+AN$5-$B$1)/24+minute(AJ318)/1440),"")</f>
        <v/>
      </c>
      <c r="AO318" s="64" t="str">
        <f t="shared" si="15"/>
        <v/>
      </c>
      <c r="AQ318" s="66" t="str">
        <f t="shared" si="16"/>
        <v/>
      </c>
      <c r="AR318" s="66"/>
      <c r="AS318" s="63" t="str">
        <f>if(AJ318,if(and(hour(AJ318+AS$5)&gt;11,(hour(AJ318+AS$5)&lt;20)),AJ318+AS$5,_xlfn.workday.intl(int(AJ318),1,"1000000",Holidays!A:A)+hour(AJ318+AS$5-$B$1)/24+minute(AJ318)/1440),"")</f>
        <v/>
      </c>
      <c r="AT318" s="64" t="str">
        <f t="shared" si="21"/>
        <v/>
      </c>
      <c r="AV318" s="66" t="str">
        <f t="shared" si="25"/>
        <v/>
      </c>
      <c r="AW318" s="66"/>
      <c r="AX318" s="56"/>
    </row>
    <row r="319">
      <c r="A319" s="55">
        <v>45233.65159188658</v>
      </c>
      <c r="B319" s="56"/>
      <c r="C319" s="57"/>
      <c r="D319" s="57"/>
      <c r="E319" s="57"/>
      <c r="F319" s="57"/>
      <c r="G319" s="58">
        <f>if(A319,_xlfn.workday.intl(int(A319),1,"1000000",Holidays!A:A)+17/24,"")</f>
        <v>45234.70833</v>
      </c>
      <c r="H319" s="59" t="str">
        <f t="shared" si="23"/>
        <v/>
      </c>
      <c r="I319" s="60"/>
      <c r="J319" s="61">
        <f t="shared" si="2"/>
        <v>899.2755766</v>
      </c>
      <c r="K319" s="58">
        <f>if(G319,_xlfn.workday.intl(int(G319),0,"1000000",Holidays!A:A)+19/24,"")</f>
        <v>45234.79167</v>
      </c>
      <c r="L319" s="59" t="str">
        <f t="shared" si="3"/>
        <v/>
      </c>
      <c r="M319" s="60"/>
      <c r="N319" s="61">
        <f t="shared" si="4"/>
        <v>899.1922432</v>
      </c>
      <c r="O319" s="63">
        <f>if(A319,_xlfn.WORKDAY.INTL(A319,O$5,"1000000",Holidays!A:A)+hour(A319)/24+MINUTE(A319)/1440,"")</f>
        <v>45234.65139</v>
      </c>
      <c r="P319" s="64" t="s">
        <v>2718</v>
      </c>
      <c r="R319" s="66">
        <f t="shared" si="5"/>
        <v>899.332521</v>
      </c>
      <c r="S319" s="66"/>
      <c r="T319" s="66"/>
      <c r="U319" s="64">
        <f>if(O319,_xlfn.WORKDAY.INTL(O319,U$5,"1000000",Holidays!A:A)+hour(O319)/24+MINUTE(O319)/1440,"")</f>
        <v>45235.65139</v>
      </c>
      <c r="V319" s="64" t="str">
        <f t="shared" si="6"/>
        <v/>
      </c>
      <c r="W319" s="66"/>
      <c r="X319" s="66">
        <f t="shared" si="7"/>
        <v>898.332521</v>
      </c>
      <c r="Y319" s="66"/>
      <c r="Z319" s="66"/>
      <c r="AA319" s="66"/>
      <c r="AB319" s="63"/>
      <c r="AC319" s="63"/>
      <c r="AD319" s="63"/>
      <c r="AE319" s="63"/>
      <c r="AF319" s="63"/>
      <c r="AG319" s="63"/>
      <c r="AH319" s="63" t="str">
        <f t="shared" si="14"/>
        <v/>
      </c>
      <c r="AI319" s="63" t="str">
        <f>if(AH319,_xlfn.workday.intl(int(AH319),0,"1000000",Holidays!A:A)+18/24,"")</f>
        <v/>
      </c>
      <c r="AJ319" s="64" t="str">
        <f t="shared" si="24"/>
        <v/>
      </c>
      <c r="AL319" s="66" t="str">
        <f t="shared" si="9"/>
        <v/>
      </c>
      <c r="AM319" s="66"/>
      <c r="AN319" s="63" t="str">
        <f>if(AJ319,if(and(hour(AJ319+AN$5)&gt;11,(hour(AJ319+AN$5)&lt;20)),AJ319+AN$5,_xlfn.workday.intl(int(AJ319),1,"1000000",Holidays!A:A)+hour(AJ319+AN$5-$B$1)/24+minute(AJ319)/1440),"")</f>
        <v/>
      </c>
      <c r="AO319" s="64" t="str">
        <f t="shared" si="15"/>
        <v/>
      </c>
      <c r="AQ319" s="66" t="str">
        <f t="shared" si="16"/>
        <v/>
      </c>
      <c r="AR319" s="66"/>
      <c r="AS319" s="63" t="str">
        <f>if(AJ319,if(and(hour(AJ319+AS$5)&gt;11,(hour(AJ319+AS$5)&lt;20)),AJ319+AS$5,_xlfn.workday.intl(int(AJ319),1,"1000000",Holidays!A:A)+hour(AJ319+AS$5-$B$1)/24+minute(AJ319)/1440),"")</f>
        <v/>
      </c>
      <c r="AT319" s="64" t="str">
        <f t="shared" si="21"/>
        <v/>
      </c>
      <c r="AV319" s="66" t="str">
        <f t="shared" si="25"/>
        <v/>
      </c>
      <c r="AW319" s="66"/>
      <c r="AX319" s="56"/>
    </row>
    <row r="320">
      <c r="A320" s="55">
        <v>45233.65308631945</v>
      </c>
      <c r="B320" s="56"/>
      <c r="C320" s="57"/>
      <c r="D320" s="57"/>
      <c r="E320" s="57"/>
      <c r="F320" s="57"/>
      <c r="G320" s="58">
        <f>if(A320,_xlfn.workday.intl(int(A320),1,"1000000",Holidays!A:A)+17/24,"")</f>
        <v>45234.70833</v>
      </c>
      <c r="H320" s="59" t="str">
        <f t="shared" si="23"/>
        <v/>
      </c>
      <c r="I320" s="60"/>
      <c r="J320" s="61">
        <f t="shared" si="2"/>
        <v>899.2755766</v>
      </c>
      <c r="K320" s="58">
        <f>if(G320,_xlfn.workday.intl(int(G320),0,"1000000",Holidays!A:A)+19/24,"")</f>
        <v>45234.79167</v>
      </c>
      <c r="L320" s="59" t="str">
        <f t="shared" si="3"/>
        <v/>
      </c>
      <c r="M320" s="60"/>
      <c r="N320" s="61">
        <f t="shared" si="4"/>
        <v>899.1922432</v>
      </c>
      <c r="O320" s="63">
        <f>if(A320,_xlfn.WORKDAY.INTL(A320,O$5,"1000000",Holidays!A:A)+hour(A320)/24+MINUTE(A320)/1440,"")</f>
        <v>45234.65278</v>
      </c>
      <c r="P320" s="64" t="s">
        <v>2718</v>
      </c>
      <c r="R320" s="66">
        <f t="shared" si="5"/>
        <v>899.3311321</v>
      </c>
      <c r="S320" s="66"/>
      <c r="T320" s="66"/>
      <c r="U320" s="64">
        <f>if(O320,_xlfn.WORKDAY.INTL(O320,U$5,"1000000",Holidays!A:A)+hour(O320)/24+MINUTE(O320)/1440,"")</f>
        <v>45235.65278</v>
      </c>
      <c r="V320" s="64" t="str">
        <f t="shared" si="6"/>
        <v/>
      </c>
      <c r="W320" s="66"/>
      <c r="X320" s="66">
        <f t="shared" si="7"/>
        <v>898.3311321</v>
      </c>
      <c r="Y320" s="66"/>
      <c r="Z320" s="66"/>
      <c r="AA320" s="66"/>
      <c r="AB320" s="63"/>
      <c r="AC320" s="63"/>
      <c r="AD320" s="63"/>
      <c r="AE320" s="63"/>
      <c r="AF320" s="63"/>
      <c r="AG320" s="63"/>
      <c r="AH320" s="63" t="str">
        <f t="shared" si="14"/>
        <v/>
      </c>
      <c r="AI320" s="63" t="str">
        <f>if(AH320,_xlfn.workday.intl(int(AH320),0,"1000000",Holidays!A:A)+18/24,"")</f>
        <v/>
      </c>
      <c r="AJ320" s="64" t="str">
        <f t="shared" si="24"/>
        <v/>
      </c>
      <c r="AL320" s="66" t="str">
        <f t="shared" si="9"/>
        <v/>
      </c>
      <c r="AM320" s="66"/>
      <c r="AN320" s="63" t="str">
        <f>if(AJ320,if(and(hour(AJ320+AN$5)&gt;11,(hour(AJ320+AN$5)&lt;20)),AJ320+AN$5,_xlfn.workday.intl(int(AJ320),1,"1000000",Holidays!A:A)+hour(AJ320+AN$5-$B$1)/24+minute(AJ320)/1440),"")</f>
        <v/>
      </c>
      <c r="AO320" s="64" t="str">
        <f t="shared" si="15"/>
        <v/>
      </c>
      <c r="AQ320" s="66" t="str">
        <f t="shared" si="16"/>
        <v/>
      </c>
      <c r="AR320" s="66"/>
      <c r="AS320" s="63" t="str">
        <f>if(AJ320,if(and(hour(AJ320+AS$5)&gt;11,(hour(AJ320+AS$5)&lt;20)),AJ320+AS$5,_xlfn.workday.intl(int(AJ320),1,"1000000",Holidays!A:A)+hour(AJ320+AS$5-$B$1)/24+minute(AJ320)/1440),"")</f>
        <v/>
      </c>
      <c r="AT320" s="64" t="str">
        <f t="shared" si="21"/>
        <v/>
      </c>
      <c r="AV320" s="66" t="str">
        <f t="shared" si="25"/>
        <v/>
      </c>
      <c r="AW320" s="66"/>
      <c r="AX320" s="56"/>
    </row>
    <row r="321">
      <c r="A321" s="55">
        <v>45233.668798391205</v>
      </c>
      <c r="B321" s="56"/>
      <c r="C321" s="57"/>
      <c r="D321" s="57"/>
      <c r="E321" s="57"/>
      <c r="F321" s="57"/>
      <c r="G321" s="58">
        <f>if(A321,_xlfn.workday.intl(int(A321),1,"1000000",Holidays!A:A)+17/24,"")</f>
        <v>45234.70833</v>
      </c>
      <c r="H321" s="59" t="str">
        <f t="shared" si="23"/>
        <v/>
      </c>
      <c r="I321" s="60"/>
      <c r="J321" s="61">
        <f t="shared" si="2"/>
        <v>899.2755766</v>
      </c>
      <c r="K321" s="58">
        <f>if(G321,_xlfn.workday.intl(int(G321),0,"1000000",Holidays!A:A)+19/24,"")</f>
        <v>45234.79167</v>
      </c>
      <c r="L321" s="59" t="str">
        <f t="shared" si="3"/>
        <v/>
      </c>
      <c r="M321" s="60"/>
      <c r="N321" s="61">
        <f t="shared" si="4"/>
        <v>899.1922432</v>
      </c>
      <c r="O321" s="63">
        <f>if(A321,_xlfn.WORKDAY.INTL(A321,O$5,"1000000",Holidays!A:A)+hour(A321)/24+MINUTE(A321)/1440,"")</f>
        <v>45234.66875</v>
      </c>
      <c r="P321" s="64" t="s">
        <v>2718</v>
      </c>
      <c r="R321" s="66">
        <f t="shared" si="5"/>
        <v>899.3151599</v>
      </c>
      <c r="S321" s="66"/>
      <c r="T321" s="66"/>
      <c r="U321" s="64">
        <f>if(O321,_xlfn.WORKDAY.INTL(O321,U$5,"1000000",Holidays!A:A)+hour(O321)/24+MINUTE(O321)/1440,"")</f>
        <v>45235.66875</v>
      </c>
      <c r="V321" s="64" t="str">
        <f t="shared" si="6"/>
        <v/>
      </c>
      <c r="W321" s="66"/>
      <c r="X321" s="66">
        <f t="shared" si="7"/>
        <v>898.3151599</v>
      </c>
      <c r="Y321" s="66"/>
      <c r="Z321" s="66"/>
      <c r="AA321" s="66"/>
      <c r="AB321" s="63"/>
      <c r="AC321" s="63"/>
      <c r="AD321" s="63"/>
      <c r="AE321" s="63"/>
      <c r="AF321" s="63"/>
      <c r="AG321" s="63"/>
      <c r="AH321" s="63" t="str">
        <f t="shared" si="14"/>
        <v/>
      </c>
      <c r="AI321" s="63" t="str">
        <f>if(AH321,_xlfn.workday.intl(int(AH321),0,"1000000",Holidays!A:A)+18/24,"")</f>
        <v/>
      </c>
      <c r="AJ321" s="64" t="str">
        <f t="shared" si="24"/>
        <v/>
      </c>
      <c r="AL321" s="66" t="str">
        <f t="shared" si="9"/>
        <v/>
      </c>
      <c r="AM321" s="66"/>
      <c r="AN321" s="63" t="str">
        <f>if(AJ321,if(and(hour(AJ321+AN$5)&gt;11,(hour(AJ321+AN$5)&lt;20)),AJ321+AN$5,_xlfn.workday.intl(int(AJ321),1,"1000000",Holidays!A:A)+hour(AJ321+AN$5-$B$1)/24+minute(AJ321)/1440),"")</f>
        <v/>
      </c>
      <c r="AO321" s="64" t="str">
        <f t="shared" si="15"/>
        <v/>
      </c>
      <c r="AQ321" s="66" t="str">
        <f t="shared" si="16"/>
        <v/>
      </c>
      <c r="AR321" s="66"/>
      <c r="AS321" s="63" t="str">
        <f>if(AJ321,if(and(hour(AJ321+AS$5)&gt;11,(hour(AJ321+AS$5)&lt;20)),AJ321+AS$5,_xlfn.workday.intl(int(AJ321),1,"1000000",Holidays!A:A)+hour(AJ321+AS$5-$B$1)/24+minute(AJ321)/1440),"")</f>
        <v/>
      </c>
      <c r="AT321" s="64" t="str">
        <f t="shared" si="21"/>
        <v/>
      </c>
      <c r="AV321" s="66" t="str">
        <f t="shared" si="25"/>
        <v/>
      </c>
      <c r="AW321" s="66"/>
      <c r="AX321" s="56"/>
    </row>
    <row r="322">
      <c r="A322" s="55">
        <v>45233.67780953704</v>
      </c>
      <c r="B322" s="56"/>
      <c r="C322" s="57"/>
      <c r="D322" s="57"/>
      <c r="E322" s="57"/>
      <c r="F322" s="57"/>
      <c r="G322" s="58">
        <f>if(A322,_xlfn.workday.intl(int(A322),1,"1000000",Holidays!A:A)+17/24,"")</f>
        <v>45234.70833</v>
      </c>
      <c r="H322" s="59" t="str">
        <f t="shared" si="23"/>
        <v/>
      </c>
      <c r="I322" s="60"/>
      <c r="J322" s="61">
        <f t="shared" si="2"/>
        <v>899.2755766</v>
      </c>
      <c r="K322" s="58">
        <f>if(G322,_xlfn.workday.intl(int(G322),0,"1000000",Holidays!A:A)+19/24,"")</f>
        <v>45234.79167</v>
      </c>
      <c r="L322" s="59" t="str">
        <f t="shared" si="3"/>
        <v/>
      </c>
      <c r="M322" s="60"/>
      <c r="N322" s="61">
        <f t="shared" si="4"/>
        <v>899.1922432</v>
      </c>
      <c r="O322" s="63">
        <f>if(A322,_xlfn.WORKDAY.INTL(A322,O$5,"1000000",Holidays!A:A)+hour(A322)/24+MINUTE(A322)/1440,"")</f>
        <v>45234.67778</v>
      </c>
      <c r="P322" s="64" t="s">
        <v>2718</v>
      </c>
      <c r="R322" s="66">
        <f t="shared" si="5"/>
        <v>899.3061321</v>
      </c>
      <c r="S322" s="66"/>
      <c r="T322" s="66"/>
      <c r="U322" s="64">
        <f>if(O322,_xlfn.WORKDAY.INTL(O322,U$5,"1000000",Holidays!A:A)+hour(O322)/24+MINUTE(O322)/1440,"")</f>
        <v>45235.67778</v>
      </c>
      <c r="V322" s="64" t="str">
        <f t="shared" si="6"/>
        <v/>
      </c>
      <c r="W322" s="66"/>
      <c r="X322" s="66">
        <f t="shared" si="7"/>
        <v>898.3061321</v>
      </c>
      <c r="Y322" s="66"/>
      <c r="Z322" s="66"/>
      <c r="AA322" s="66"/>
      <c r="AB322" s="63"/>
      <c r="AC322" s="63"/>
      <c r="AD322" s="63"/>
      <c r="AE322" s="63"/>
      <c r="AF322" s="63"/>
      <c r="AG322" s="63"/>
      <c r="AH322" s="63" t="str">
        <f t="shared" si="14"/>
        <v/>
      </c>
      <c r="AI322" s="63" t="str">
        <f>if(AH322,_xlfn.workday.intl(int(AH322),0,"1000000",Holidays!A:A)+18/24,"")</f>
        <v/>
      </c>
      <c r="AJ322" s="64" t="str">
        <f t="shared" si="24"/>
        <v/>
      </c>
      <c r="AL322" s="66" t="str">
        <f t="shared" si="9"/>
        <v/>
      </c>
      <c r="AM322" s="66"/>
      <c r="AN322" s="63" t="str">
        <f>if(AJ322,if(and(hour(AJ322+AN$5)&gt;11,(hour(AJ322+AN$5)&lt;20)),AJ322+AN$5,_xlfn.workday.intl(int(AJ322),1,"1000000",Holidays!A:A)+hour(AJ322+AN$5-$B$1)/24+minute(AJ322)/1440),"")</f>
        <v/>
      </c>
      <c r="AO322" s="64" t="str">
        <f t="shared" si="15"/>
        <v/>
      </c>
      <c r="AQ322" s="66" t="str">
        <f t="shared" si="16"/>
        <v/>
      </c>
      <c r="AR322" s="66"/>
      <c r="AS322" s="63" t="str">
        <f>if(AJ322,if(and(hour(AJ322+AS$5)&gt;11,(hour(AJ322+AS$5)&lt;20)),AJ322+AS$5,_xlfn.workday.intl(int(AJ322),1,"1000000",Holidays!A:A)+hour(AJ322+AS$5-$B$1)/24+minute(AJ322)/1440),"")</f>
        <v/>
      </c>
      <c r="AT322" s="64" t="str">
        <f t="shared" si="21"/>
        <v/>
      </c>
      <c r="AV322" s="66" t="str">
        <f t="shared" si="25"/>
        <v/>
      </c>
      <c r="AW322" s="66"/>
      <c r="AX322" s="56"/>
    </row>
    <row r="323">
      <c r="A323" s="55">
        <v>45233.68164461806</v>
      </c>
      <c r="B323" s="56"/>
      <c r="C323" s="57"/>
      <c r="D323" s="57"/>
      <c r="E323" s="57"/>
      <c r="F323" s="57"/>
      <c r="G323" s="58">
        <f>if(A323,_xlfn.workday.intl(int(A323),1,"1000000",Holidays!A:A)+17/24,"")</f>
        <v>45234.70833</v>
      </c>
      <c r="H323" s="59" t="str">
        <f t="shared" si="23"/>
        <v/>
      </c>
      <c r="I323" s="60"/>
      <c r="J323" s="61">
        <f t="shared" si="2"/>
        <v>899.2755766</v>
      </c>
      <c r="K323" s="58">
        <f>if(G323,_xlfn.workday.intl(int(G323),0,"1000000",Holidays!A:A)+19/24,"")</f>
        <v>45234.79167</v>
      </c>
      <c r="L323" s="59" t="str">
        <f t="shared" si="3"/>
        <v/>
      </c>
      <c r="M323" s="60"/>
      <c r="N323" s="61">
        <f t="shared" si="4"/>
        <v>899.1922432</v>
      </c>
      <c r="O323" s="63">
        <f>if(A323,_xlfn.WORKDAY.INTL(A323,O$5,"1000000",Holidays!A:A)+hour(A323)/24+MINUTE(A323)/1440,"")</f>
        <v>45234.68125</v>
      </c>
      <c r="P323" s="64" t="s">
        <v>2718</v>
      </c>
      <c r="R323" s="66">
        <f t="shared" si="5"/>
        <v>899.3026599</v>
      </c>
      <c r="S323" s="66"/>
      <c r="T323" s="66"/>
      <c r="U323" s="64">
        <f>if(O323,_xlfn.WORKDAY.INTL(O323,U$5,"1000000",Holidays!A:A)+hour(O323)/24+MINUTE(O323)/1440,"")</f>
        <v>45235.68125</v>
      </c>
      <c r="V323" s="64" t="str">
        <f t="shared" si="6"/>
        <v/>
      </c>
      <c r="W323" s="66"/>
      <c r="X323" s="66">
        <f t="shared" si="7"/>
        <v>898.3026599</v>
      </c>
      <c r="Y323" s="66"/>
      <c r="Z323" s="66"/>
      <c r="AA323" s="66"/>
      <c r="AB323" s="63"/>
      <c r="AC323" s="63"/>
      <c r="AD323" s="63"/>
      <c r="AE323" s="63"/>
      <c r="AF323" s="63"/>
      <c r="AG323" s="63"/>
      <c r="AH323" s="63" t="str">
        <f t="shared" si="14"/>
        <v/>
      </c>
      <c r="AI323" s="63" t="str">
        <f>if(AH323,_xlfn.workday.intl(int(AH323),0,"1000000",Holidays!A:A)+18/24,"")</f>
        <v/>
      </c>
      <c r="AJ323" s="64" t="str">
        <f t="shared" si="24"/>
        <v/>
      </c>
      <c r="AL323" s="66" t="str">
        <f t="shared" si="9"/>
        <v/>
      </c>
      <c r="AM323" s="66"/>
      <c r="AN323" s="63" t="str">
        <f>if(AJ323,if(and(hour(AJ323+AN$5)&gt;11,(hour(AJ323+AN$5)&lt;20)),AJ323+AN$5,_xlfn.workday.intl(int(AJ323),1,"1000000",Holidays!A:A)+hour(AJ323+AN$5-$B$1)/24+minute(AJ323)/1440),"")</f>
        <v/>
      </c>
      <c r="AO323" s="64" t="str">
        <f t="shared" si="15"/>
        <v/>
      </c>
      <c r="AQ323" s="66" t="str">
        <f t="shared" si="16"/>
        <v/>
      </c>
      <c r="AR323" s="66"/>
      <c r="AS323" s="63" t="str">
        <f>if(AJ323,if(and(hour(AJ323+AS$5)&gt;11,(hour(AJ323+AS$5)&lt;20)),AJ323+AS$5,_xlfn.workday.intl(int(AJ323),1,"1000000",Holidays!A:A)+hour(AJ323+AS$5-$B$1)/24+minute(AJ323)/1440),"")</f>
        <v/>
      </c>
      <c r="AT323" s="64" t="str">
        <f t="shared" si="21"/>
        <v/>
      </c>
      <c r="AV323" s="66" t="str">
        <f t="shared" si="25"/>
        <v/>
      </c>
      <c r="AW323" s="66"/>
      <c r="AX323" s="56"/>
    </row>
    <row r="324">
      <c r="A324" s="55">
        <v>45235.679489525464</v>
      </c>
      <c r="B324" s="56"/>
      <c r="C324" s="57"/>
      <c r="D324" s="57"/>
      <c r="E324" s="57"/>
      <c r="F324" s="57"/>
      <c r="G324" s="58">
        <f>if(A324,_xlfn.workday.intl(int(A324),1,"1000000",Holidays!A:A)+17/24,"")</f>
        <v>45237.70833</v>
      </c>
      <c r="H324" s="59" t="str">
        <f t="shared" si="23"/>
        <v/>
      </c>
      <c r="I324" s="60"/>
      <c r="J324" s="61">
        <f t="shared" si="2"/>
        <v>896.2755766</v>
      </c>
      <c r="K324" s="58">
        <f>if(G324,_xlfn.workday.intl(int(G324),0,"1000000",Holidays!A:A)+19/24,"")</f>
        <v>45237.79167</v>
      </c>
      <c r="L324" s="59" t="str">
        <f t="shared" si="3"/>
        <v/>
      </c>
      <c r="M324" s="60"/>
      <c r="N324" s="61">
        <f t="shared" si="4"/>
        <v>896.1922432</v>
      </c>
      <c r="O324" s="63">
        <f>if(A324,_xlfn.WORKDAY.INTL(A324,O$5,"1000000",Holidays!A:A)+hour(A324)/24+MINUTE(A324)/1440,"")</f>
        <v>45237.67917</v>
      </c>
      <c r="P324" s="64" t="s">
        <v>2718</v>
      </c>
      <c r="R324" s="66">
        <f t="shared" si="5"/>
        <v>896.3047432</v>
      </c>
      <c r="S324" s="66"/>
      <c r="T324" s="66"/>
      <c r="U324" s="64">
        <f>if(O324,_xlfn.WORKDAY.INTL(O324,U$5,"1000000",Holidays!A:A)+hour(O324)/24+MINUTE(O324)/1440,"")</f>
        <v>45238.67917</v>
      </c>
      <c r="V324" s="64" t="str">
        <f t="shared" si="6"/>
        <v/>
      </c>
      <c r="W324" s="66"/>
      <c r="X324" s="66">
        <f t="shared" si="7"/>
        <v>895.3047432</v>
      </c>
      <c r="Y324" s="66"/>
      <c r="Z324" s="66"/>
      <c r="AA324" s="66"/>
      <c r="AB324" s="63"/>
      <c r="AC324" s="63"/>
      <c r="AD324" s="63"/>
      <c r="AE324" s="63"/>
      <c r="AF324" s="63"/>
      <c r="AG324" s="63"/>
      <c r="AH324" s="63" t="str">
        <f t="shared" si="14"/>
        <v/>
      </c>
      <c r="AI324" s="63" t="str">
        <f>if(AH324,_xlfn.workday.intl(int(AH324),0,"1000000",Holidays!A:A)+18/24,"")</f>
        <v/>
      </c>
      <c r="AJ324" s="64" t="str">
        <f t="shared" si="24"/>
        <v/>
      </c>
      <c r="AL324" s="66" t="str">
        <f t="shared" si="9"/>
        <v/>
      </c>
      <c r="AM324" s="66"/>
      <c r="AN324" s="63" t="str">
        <f>if(AJ324,if(and(hour(AJ324+AN$5)&gt;11,(hour(AJ324+AN$5)&lt;20)),AJ324+AN$5,_xlfn.workday.intl(int(AJ324),1,"1000000",Holidays!A:A)+hour(AJ324+AN$5-$B$1)/24+minute(AJ324)/1440),"")</f>
        <v/>
      </c>
      <c r="AO324" s="64" t="str">
        <f t="shared" si="15"/>
        <v/>
      </c>
      <c r="AQ324" s="66" t="str">
        <f t="shared" si="16"/>
        <v/>
      </c>
      <c r="AR324" s="66"/>
      <c r="AS324" s="63" t="str">
        <f>if(AJ324,if(and(hour(AJ324+AS$5)&gt;11,(hour(AJ324+AS$5)&lt;20)),AJ324+AS$5,_xlfn.workday.intl(int(AJ324),1,"1000000",Holidays!A:A)+hour(AJ324+AS$5-$B$1)/24+minute(AJ324)/1440),"")</f>
        <v/>
      </c>
      <c r="AT324" s="64" t="str">
        <f t="shared" si="21"/>
        <v/>
      </c>
      <c r="AV324" s="66" t="str">
        <f t="shared" si="25"/>
        <v/>
      </c>
      <c r="AW324" s="66"/>
      <c r="AX324" s="56"/>
    </row>
    <row r="325">
      <c r="A325" s="55">
        <v>45237.572420798606</v>
      </c>
      <c r="B325" s="56"/>
      <c r="C325" s="57"/>
      <c r="D325" s="57"/>
      <c r="E325" s="57"/>
      <c r="F325" s="57"/>
      <c r="G325" s="58">
        <f>if(A325,_xlfn.workday.intl(int(A325),1,"1000000",Holidays!A:A)+17/24,"")</f>
        <v>45238.70833</v>
      </c>
      <c r="H325" s="59" t="str">
        <f t="shared" si="23"/>
        <v/>
      </c>
      <c r="I325" s="60"/>
      <c r="J325" s="61">
        <f t="shared" si="2"/>
        <v>895.2755766</v>
      </c>
      <c r="K325" s="58">
        <f>if(G325,_xlfn.workday.intl(int(G325),0,"1000000",Holidays!A:A)+19/24,"")</f>
        <v>45238.79167</v>
      </c>
      <c r="L325" s="59" t="str">
        <f t="shared" si="3"/>
        <v/>
      </c>
      <c r="M325" s="60"/>
      <c r="N325" s="61">
        <f t="shared" si="4"/>
        <v>895.1922432</v>
      </c>
      <c r="O325" s="63">
        <f>if(A325,_xlfn.WORKDAY.INTL(A325,O$5,"1000000",Holidays!A:A)+hour(A325)/24+MINUTE(A325)/1440,"")</f>
        <v>45238.57222</v>
      </c>
      <c r="P325" s="64" t="s">
        <v>2718</v>
      </c>
      <c r="R325" s="66">
        <f t="shared" si="5"/>
        <v>895.4116877</v>
      </c>
      <c r="S325" s="66"/>
      <c r="T325" s="66"/>
      <c r="U325" s="64">
        <f>if(O325,_xlfn.WORKDAY.INTL(O325,U$5,"1000000",Holidays!A:A)+hour(O325)/24+MINUTE(O325)/1440,"")</f>
        <v>45239.57222</v>
      </c>
      <c r="V325" s="64" t="str">
        <f t="shared" si="6"/>
        <v/>
      </c>
      <c r="W325" s="66"/>
      <c r="X325" s="66">
        <f t="shared" si="7"/>
        <v>894.4116877</v>
      </c>
      <c r="Y325" s="66"/>
      <c r="Z325" s="66"/>
      <c r="AA325" s="66"/>
      <c r="AB325" s="63"/>
      <c r="AC325" s="63"/>
      <c r="AD325" s="63"/>
      <c r="AE325" s="63"/>
      <c r="AF325" s="63"/>
      <c r="AG325" s="63"/>
      <c r="AH325" s="63" t="str">
        <f t="shared" si="14"/>
        <v/>
      </c>
      <c r="AI325" s="63" t="str">
        <f>if(AH325,_xlfn.workday.intl(int(AH325),0,"1000000",Holidays!A:A)+18/24,"")</f>
        <v/>
      </c>
      <c r="AJ325" s="64" t="str">
        <f t="shared" si="24"/>
        <v/>
      </c>
      <c r="AL325" s="66" t="str">
        <f t="shared" si="9"/>
        <v/>
      </c>
      <c r="AM325" s="66"/>
      <c r="AN325" s="63" t="str">
        <f>if(AJ325,if(and(hour(AJ325+AN$5)&gt;11,(hour(AJ325+AN$5)&lt;20)),AJ325+AN$5,_xlfn.workday.intl(int(AJ325),1,"1000000",Holidays!A:A)+hour(AJ325+AN$5-$B$1)/24+minute(AJ325)/1440),"")</f>
        <v/>
      </c>
      <c r="AO325" s="64" t="str">
        <f t="shared" si="15"/>
        <v/>
      </c>
      <c r="AQ325" s="66" t="str">
        <f t="shared" si="16"/>
        <v/>
      </c>
      <c r="AR325" s="66"/>
      <c r="AS325" s="63" t="str">
        <f>if(AJ325,if(and(hour(AJ325+AS$5)&gt;11,(hour(AJ325+AS$5)&lt;20)),AJ325+AS$5,_xlfn.workday.intl(int(AJ325),1,"1000000",Holidays!A:A)+hour(AJ325+AS$5-$B$1)/24+minute(AJ325)/1440),"")</f>
        <v/>
      </c>
      <c r="AT325" s="64" t="str">
        <f t="shared" si="21"/>
        <v/>
      </c>
      <c r="AV325" s="66" t="str">
        <f t="shared" si="25"/>
        <v/>
      </c>
      <c r="AW325" s="66"/>
      <c r="AX325" s="56"/>
    </row>
    <row r="326">
      <c r="A326" s="55">
        <v>45239.52630586806</v>
      </c>
      <c r="B326" s="56"/>
      <c r="C326" s="57"/>
      <c r="D326" s="57"/>
      <c r="E326" s="57"/>
      <c r="F326" s="57"/>
      <c r="G326" s="58">
        <f>if(A326,_xlfn.workday.intl(int(A326),1,"1000000",Holidays!A:A)+17/24,"")</f>
        <v>45240.70833</v>
      </c>
      <c r="H326" s="59" t="str">
        <f t="shared" si="23"/>
        <v/>
      </c>
      <c r="I326" s="60"/>
      <c r="J326" s="61">
        <f t="shared" si="2"/>
        <v>893.2755766</v>
      </c>
      <c r="K326" s="58">
        <f>if(G326,_xlfn.workday.intl(int(G326),0,"1000000",Holidays!A:A)+19/24,"")</f>
        <v>45240.79167</v>
      </c>
      <c r="L326" s="59" t="str">
        <f t="shared" si="3"/>
        <v/>
      </c>
      <c r="M326" s="60"/>
      <c r="N326" s="61">
        <f t="shared" si="4"/>
        <v>893.1922432</v>
      </c>
      <c r="O326" s="63">
        <f>if(A326,_xlfn.WORKDAY.INTL(A326,O$5,"1000000",Holidays!A:A)+hour(A326)/24+MINUTE(A326)/1440,"")</f>
        <v>45240.52569</v>
      </c>
      <c r="P326" s="64" t="s">
        <v>2718</v>
      </c>
      <c r="R326" s="66">
        <f t="shared" si="5"/>
        <v>893.4582155</v>
      </c>
      <c r="S326" s="66"/>
      <c r="T326" s="66"/>
      <c r="U326" s="64">
        <f>if(O326,_xlfn.WORKDAY.INTL(O326,U$5,"1000000",Holidays!A:A)+hour(O326)/24+MINUTE(O326)/1440,"")</f>
        <v>45241.52569</v>
      </c>
      <c r="V326" s="64" t="str">
        <f t="shared" si="6"/>
        <v/>
      </c>
      <c r="W326" s="66"/>
      <c r="X326" s="66">
        <f t="shared" si="7"/>
        <v>892.4582155</v>
      </c>
      <c r="Y326" s="66"/>
      <c r="Z326" s="66"/>
      <c r="AA326" s="66"/>
      <c r="AB326" s="63"/>
      <c r="AC326" s="63"/>
      <c r="AD326" s="63"/>
      <c r="AE326" s="63"/>
      <c r="AF326" s="63"/>
      <c r="AG326" s="63"/>
      <c r="AH326" s="63" t="str">
        <f t="shared" si="14"/>
        <v/>
      </c>
      <c r="AI326" s="63" t="str">
        <f>if(AH326,_xlfn.workday.intl(int(AH326),0,"1000000",Holidays!A:A)+18/24,"")</f>
        <v/>
      </c>
      <c r="AJ326" s="64" t="str">
        <f t="shared" si="24"/>
        <v/>
      </c>
      <c r="AL326" s="66" t="str">
        <f t="shared" si="9"/>
        <v/>
      </c>
      <c r="AM326" s="66"/>
      <c r="AN326" s="63" t="str">
        <f>if(AJ326,if(and(hour(AJ326+AN$5)&gt;11,(hour(AJ326+AN$5)&lt;20)),AJ326+AN$5,_xlfn.workday.intl(int(AJ326),1,"1000000",Holidays!A:A)+hour(AJ326+AN$5-$B$1)/24+minute(AJ326)/1440),"")</f>
        <v/>
      </c>
      <c r="AO326" s="64" t="str">
        <f t="shared" si="15"/>
        <v/>
      </c>
      <c r="AQ326" s="66" t="str">
        <f t="shared" si="16"/>
        <v/>
      </c>
      <c r="AR326" s="66"/>
      <c r="AS326" s="63" t="str">
        <f>if(AJ326,if(and(hour(AJ326+AS$5)&gt;11,(hour(AJ326+AS$5)&lt;20)),AJ326+AS$5,_xlfn.workday.intl(int(AJ326),1,"1000000",Holidays!A:A)+hour(AJ326+AS$5-$B$1)/24+minute(AJ326)/1440),"")</f>
        <v/>
      </c>
      <c r="AT326" s="64" t="str">
        <f t="shared" si="21"/>
        <v/>
      </c>
      <c r="AV326" s="66" t="str">
        <f t="shared" si="25"/>
        <v/>
      </c>
      <c r="AW326" s="66"/>
      <c r="AX326" s="56"/>
    </row>
    <row r="327">
      <c r="A327" s="55">
        <v>45239.52842027778</v>
      </c>
      <c r="B327" s="56"/>
      <c r="C327" s="57"/>
      <c r="D327" s="57"/>
      <c r="E327" s="57"/>
      <c r="F327" s="57"/>
      <c r="G327" s="58">
        <f>if(A327,_xlfn.workday.intl(int(A327),1,"1000000",Holidays!A:A)+17/24,"")</f>
        <v>45240.70833</v>
      </c>
      <c r="H327" s="59" t="str">
        <f t="shared" si="23"/>
        <v/>
      </c>
      <c r="I327" s="60"/>
      <c r="J327" s="61">
        <f t="shared" si="2"/>
        <v>893.2755766</v>
      </c>
      <c r="K327" s="58">
        <f>if(G327,_xlfn.workday.intl(int(G327),0,"1000000",Holidays!A:A)+19/24,"")</f>
        <v>45240.79167</v>
      </c>
      <c r="L327" s="59" t="str">
        <f t="shared" si="3"/>
        <v/>
      </c>
      <c r="M327" s="60"/>
      <c r="N327" s="61">
        <f t="shared" si="4"/>
        <v>893.1922432</v>
      </c>
      <c r="O327" s="63">
        <f>if(A327,_xlfn.WORKDAY.INTL(A327,O$5,"1000000",Holidays!A:A)+hour(A327)/24+MINUTE(A327)/1440,"")</f>
        <v>45240.52778</v>
      </c>
      <c r="P327" s="64" t="s">
        <v>2718</v>
      </c>
      <c r="R327" s="66">
        <f t="shared" si="5"/>
        <v>893.4561321</v>
      </c>
      <c r="S327" s="66"/>
      <c r="T327" s="66"/>
      <c r="U327" s="64">
        <f>if(O327,_xlfn.WORKDAY.INTL(O327,U$5,"1000000",Holidays!A:A)+hour(O327)/24+MINUTE(O327)/1440,"")</f>
        <v>45241.52778</v>
      </c>
      <c r="V327" s="64" t="str">
        <f t="shared" si="6"/>
        <v/>
      </c>
      <c r="W327" s="66"/>
      <c r="X327" s="66">
        <f t="shared" si="7"/>
        <v>892.4561321</v>
      </c>
      <c r="Y327" s="66"/>
      <c r="Z327" s="66"/>
      <c r="AA327" s="66"/>
      <c r="AB327" s="63"/>
      <c r="AC327" s="63"/>
      <c r="AD327" s="63"/>
      <c r="AE327" s="63"/>
      <c r="AF327" s="63"/>
      <c r="AG327" s="63"/>
      <c r="AH327" s="63" t="str">
        <f t="shared" si="14"/>
        <v/>
      </c>
      <c r="AI327" s="63" t="str">
        <f>if(AH327,_xlfn.workday.intl(int(AH327),0,"1000000",Holidays!A:A)+18/24,"")</f>
        <v/>
      </c>
      <c r="AJ327" s="64" t="str">
        <f t="shared" si="24"/>
        <v/>
      </c>
      <c r="AL327" s="66" t="str">
        <f t="shared" si="9"/>
        <v/>
      </c>
      <c r="AM327" s="66"/>
      <c r="AN327" s="63" t="str">
        <f>if(AJ327,if(and(hour(AJ327+AN$5)&gt;11,(hour(AJ327+AN$5)&lt;20)),AJ327+AN$5,_xlfn.workday.intl(int(AJ327),1,"1000000",Holidays!A:A)+hour(AJ327+AN$5-$B$1)/24+minute(AJ327)/1440),"")</f>
        <v/>
      </c>
      <c r="AO327" s="64" t="str">
        <f t="shared" si="15"/>
        <v/>
      </c>
      <c r="AQ327" s="66" t="str">
        <f t="shared" si="16"/>
        <v/>
      </c>
      <c r="AR327" s="66"/>
      <c r="AS327" s="63" t="str">
        <f>if(AJ327,if(and(hour(AJ327+AS$5)&gt;11,(hour(AJ327+AS$5)&lt;20)),AJ327+AS$5,_xlfn.workday.intl(int(AJ327),1,"1000000",Holidays!A:A)+hour(AJ327+AS$5-$B$1)/24+minute(AJ327)/1440),"")</f>
        <v/>
      </c>
      <c r="AT327" s="64" t="str">
        <f t="shared" si="21"/>
        <v/>
      </c>
      <c r="AV327" s="66" t="str">
        <f t="shared" si="25"/>
        <v/>
      </c>
      <c r="AW327" s="66"/>
      <c r="AX327" s="56"/>
    </row>
    <row r="328">
      <c r="A328" s="55">
        <v>45239.53191921297</v>
      </c>
      <c r="B328" s="56"/>
      <c r="C328" s="57"/>
      <c r="D328" s="57"/>
      <c r="E328" s="57"/>
      <c r="F328" s="57"/>
      <c r="G328" s="58">
        <f>if(A328,_xlfn.workday.intl(int(A328),1,"1000000",Holidays!A:A)+17/24,"")</f>
        <v>45240.70833</v>
      </c>
      <c r="H328" s="59" t="str">
        <f t="shared" si="23"/>
        <v/>
      </c>
      <c r="I328" s="60"/>
      <c r="J328" s="61">
        <f t="shared" si="2"/>
        <v>893.2755766</v>
      </c>
      <c r="K328" s="58">
        <f>if(G328,_xlfn.workday.intl(int(G328),0,"1000000",Holidays!A:A)+19/24,"")</f>
        <v>45240.79167</v>
      </c>
      <c r="L328" s="59" t="str">
        <f t="shared" si="3"/>
        <v/>
      </c>
      <c r="M328" s="60"/>
      <c r="N328" s="61">
        <f t="shared" si="4"/>
        <v>893.1922432</v>
      </c>
      <c r="O328" s="63">
        <f>if(A328,_xlfn.WORKDAY.INTL(A328,O$5,"1000000",Holidays!A:A)+hour(A328)/24+MINUTE(A328)/1440,"")</f>
        <v>45240.53125</v>
      </c>
      <c r="P328" s="64" t="s">
        <v>2718</v>
      </c>
      <c r="R328" s="66">
        <f t="shared" si="5"/>
        <v>893.4526599</v>
      </c>
      <c r="S328" s="66"/>
      <c r="T328" s="66"/>
      <c r="U328" s="64">
        <f>if(O328,_xlfn.WORKDAY.INTL(O328,U$5,"1000000",Holidays!A:A)+hour(O328)/24+MINUTE(O328)/1440,"")</f>
        <v>45241.53125</v>
      </c>
      <c r="V328" s="64" t="str">
        <f t="shared" si="6"/>
        <v/>
      </c>
      <c r="W328" s="66"/>
      <c r="X328" s="66">
        <f t="shared" si="7"/>
        <v>892.4526599</v>
      </c>
      <c r="Y328" s="66"/>
      <c r="Z328" s="66"/>
      <c r="AA328" s="66"/>
      <c r="AB328" s="63"/>
      <c r="AC328" s="63"/>
      <c r="AD328" s="63"/>
      <c r="AE328" s="63"/>
      <c r="AF328" s="63"/>
      <c r="AG328" s="63"/>
      <c r="AH328" s="63" t="str">
        <f t="shared" si="14"/>
        <v/>
      </c>
      <c r="AI328" s="63" t="str">
        <f>if(AH328,_xlfn.workday.intl(int(AH328),0,"1000000",Holidays!A:A)+18/24,"")</f>
        <v/>
      </c>
      <c r="AJ328" s="64" t="str">
        <f t="shared" si="24"/>
        <v/>
      </c>
      <c r="AL328" s="66" t="str">
        <f t="shared" si="9"/>
        <v/>
      </c>
      <c r="AM328" s="66"/>
      <c r="AN328" s="63" t="str">
        <f>if(AJ328,if(and(hour(AJ328+AN$5)&gt;11,(hour(AJ328+AN$5)&lt;20)),AJ328+AN$5,_xlfn.workday.intl(int(AJ328),1,"1000000",Holidays!A:A)+hour(AJ328+AN$5-$B$1)/24+minute(AJ328)/1440),"")</f>
        <v/>
      </c>
      <c r="AO328" s="64" t="str">
        <f t="shared" si="15"/>
        <v/>
      </c>
      <c r="AQ328" s="66" t="str">
        <f t="shared" si="16"/>
        <v/>
      </c>
      <c r="AR328" s="66"/>
      <c r="AS328" s="63" t="str">
        <f>if(AJ328,if(and(hour(AJ328+AS$5)&gt;11,(hour(AJ328+AS$5)&lt;20)),AJ328+AS$5,_xlfn.workday.intl(int(AJ328),1,"1000000",Holidays!A:A)+hour(AJ328+AS$5-$B$1)/24+minute(AJ328)/1440),"")</f>
        <v/>
      </c>
      <c r="AT328" s="64" t="str">
        <f t="shared" si="21"/>
        <v/>
      </c>
      <c r="AV328" s="66" t="str">
        <f t="shared" si="25"/>
        <v/>
      </c>
      <c r="AW328" s="66"/>
      <c r="AX328" s="56"/>
    </row>
    <row r="329">
      <c r="A329" s="55">
        <v>45239.53466027778</v>
      </c>
      <c r="B329" s="56"/>
      <c r="C329" s="57"/>
      <c r="D329" s="57"/>
      <c r="E329" s="57"/>
      <c r="F329" s="57"/>
      <c r="G329" s="58">
        <f>if(A329,_xlfn.workday.intl(int(A329),1,"1000000",Holidays!A:A)+17/24,"")</f>
        <v>45240.70833</v>
      </c>
      <c r="H329" s="59" t="str">
        <f t="shared" si="23"/>
        <v/>
      </c>
      <c r="I329" s="60"/>
      <c r="J329" s="61">
        <f t="shared" si="2"/>
        <v>893.2755766</v>
      </c>
      <c r="K329" s="58">
        <f>if(G329,_xlfn.workday.intl(int(G329),0,"1000000",Holidays!A:A)+19/24,"")</f>
        <v>45240.79167</v>
      </c>
      <c r="L329" s="59" t="str">
        <f t="shared" si="3"/>
        <v/>
      </c>
      <c r="M329" s="60"/>
      <c r="N329" s="61">
        <f t="shared" si="4"/>
        <v>893.1922432</v>
      </c>
      <c r="O329" s="63">
        <f>if(A329,_xlfn.WORKDAY.INTL(A329,O$5,"1000000",Holidays!A:A)+hour(A329)/24+MINUTE(A329)/1440,"")</f>
        <v>45240.53403</v>
      </c>
      <c r="P329" s="64" t="s">
        <v>2718</v>
      </c>
      <c r="R329" s="66">
        <f t="shared" si="5"/>
        <v>893.4498821</v>
      </c>
      <c r="S329" s="66"/>
      <c r="T329" s="66"/>
      <c r="U329" s="64">
        <f>if(O329,_xlfn.WORKDAY.INTL(O329,U$5,"1000000",Holidays!A:A)+hour(O329)/24+MINUTE(O329)/1440,"")</f>
        <v>45241.53403</v>
      </c>
      <c r="V329" s="64" t="str">
        <f t="shared" si="6"/>
        <v/>
      </c>
      <c r="W329" s="66"/>
      <c r="X329" s="66">
        <f t="shared" si="7"/>
        <v>892.4498821</v>
      </c>
      <c r="Y329" s="66"/>
      <c r="Z329" s="66"/>
      <c r="AA329" s="66"/>
      <c r="AB329" s="63"/>
      <c r="AC329" s="63"/>
      <c r="AD329" s="63"/>
      <c r="AE329" s="63"/>
      <c r="AF329" s="63"/>
      <c r="AG329" s="63"/>
      <c r="AH329" s="63" t="str">
        <f t="shared" si="14"/>
        <v/>
      </c>
      <c r="AI329" s="63" t="str">
        <f>if(AH329,_xlfn.workday.intl(int(AH329),0,"1000000",Holidays!A:A)+18/24,"")</f>
        <v/>
      </c>
      <c r="AJ329" s="64" t="str">
        <f t="shared" si="24"/>
        <v/>
      </c>
      <c r="AL329" s="66" t="str">
        <f t="shared" si="9"/>
        <v/>
      </c>
      <c r="AM329" s="66"/>
      <c r="AN329" s="63" t="str">
        <f>if(AJ329,if(and(hour(AJ329+AN$5)&gt;11,(hour(AJ329+AN$5)&lt;20)),AJ329+AN$5,_xlfn.workday.intl(int(AJ329),1,"1000000",Holidays!A:A)+hour(AJ329+AN$5-$B$1)/24+minute(AJ329)/1440),"")</f>
        <v/>
      </c>
      <c r="AO329" s="64" t="str">
        <f t="shared" si="15"/>
        <v/>
      </c>
      <c r="AQ329" s="66" t="str">
        <f t="shared" si="16"/>
        <v/>
      </c>
      <c r="AR329" s="66"/>
      <c r="AS329" s="63" t="str">
        <f>if(AJ329,if(and(hour(AJ329+AS$5)&gt;11,(hour(AJ329+AS$5)&lt;20)),AJ329+AS$5,_xlfn.workday.intl(int(AJ329),1,"1000000",Holidays!A:A)+hour(AJ329+AS$5-$B$1)/24+minute(AJ329)/1440),"")</f>
        <v/>
      </c>
      <c r="AT329" s="64" t="str">
        <f t="shared" si="21"/>
        <v/>
      </c>
      <c r="AV329" s="66" t="str">
        <f t="shared" si="25"/>
        <v/>
      </c>
      <c r="AW329" s="66"/>
      <c r="AX329" s="56"/>
    </row>
    <row r="330">
      <c r="A330" s="55">
        <v>45239.5534047338</v>
      </c>
      <c r="B330" s="56"/>
      <c r="C330" s="57"/>
      <c r="D330" s="57"/>
      <c r="E330" s="57"/>
      <c r="F330" s="57"/>
      <c r="G330" s="58">
        <f>if(A330,_xlfn.workday.intl(int(A330),1,"1000000",Holidays!A:A)+17/24,"")</f>
        <v>45240.70833</v>
      </c>
      <c r="H330" s="59" t="str">
        <f t="shared" si="23"/>
        <v/>
      </c>
      <c r="I330" s="60"/>
      <c r="J330" s="61">
        <f t="shared" si="2"/>
        <v>893.2755766</v>
      </c>
      <c r="K330" s="58">
        <f>if(G330,_xlfn.workday.intl(int(G330),0,"1000000",Holidays!A:A)+19/24,"")</f>
        <v>45240.79167</v>
      </c>
      <c r="L330" s="59" t="str">
        <f t="shared" si="3"/>
        <v/>
      </c>
      <c r="M330" s="60"/>
      <c r="N330" s="61">
        <f t="shared" si="4"/>
        <v>893.1922432</v>
      </c>
      <c r="O330" s="63">
        <f>if(A330,_xlfn.WORKDAY.INTL(A330,O$5,"1000000",Holidays!A:A)+hour(A330)/24+MINUTE(A330)/1440,"")</f>
        <v>45240.55278</v>
      </c>
      <c r="P330" s="64" t="s">
        <v>2718</v>
      </c>
      <c r="R330" s="66">
        <f t="shared" si="5"/>
        <v>893.4311321</v>
      </c>
      <c r="S330" s="66"/>
      <c r="T330" s="66"/>
      <c r="U330" s="64">
        <f>if(O330,_xlfn.WORKDAY.INTL(O330,U$5,"1000000",Holidays!A:A)+hour(O330)/24+MINUTE(O330)/1440,"")</f>
        <v>45241.55278</v>
      </c>
      <c r="V330" s="64" t="str">
        <f t="shared" si="6"/>
        <v/>
      </c>
      <c r="W330" s="66"/>
      <c r="X330" s="66">
        <f t="shared" si="7"/>
        <v>892.4311321</v>
      </c>
      <c r="Y330" s="66"/>
      <c r="Z330" s="66"/>
      <c r="AA330" s="66"/>
      <c r="AB330" s="63"/>
      <c r="AC330" s="63"/>
      <c r="AD330" s="63"/>
      <c r="AE330" s="63"/>
      <c r="AF330" s="63"/>
      <c r="AG330" s="63"/>
      <c r="AH330" s="63" t="str">
        <f t="shared" si="14"/>
        <v/>
      </c>
      <c r="AI330" s="63" t="str">
        <f>if(AH330,_xlfn.workday.intl(int(AH330),0,"1000000",Holidays!A:A)+18/24,"")</f>
        <v/>
      </c>
      <c r="AJ330" s="64" t="str">
        <f t="shared" si="24"/>
        <v/>
      </c>
      <c r="AL330" s="66" t="str">
        <f t="shared" si="9"/>
        <v/>
      </c>
      <c r="AM330" s="66"/>
      <c r="AN330" s="63" t="str">
        <f>if(AJ330,if(and(hour(AJ330+AN$5)&gt;11,(hour(AJ330+AN$5)&lt;20)),AJ330+AN$5,_xlfn.workday.intl(int(AJ330),1,"1000000",Holidays!A:A)+hour(AJ330+AN$5-$B$1)/24+minute(AJ330)/1440),"")</f>
        <v/>
      </c>
      <c r="AO330" s="64" t="str">
        <f t="shared" si="15"/>
        <v/>
      </c>
      <c r="AQ330" s="66" t="str">
        <f t="shared" si="16"/>
        <v/>
      </c>
      <c r="AR330" s="66"/>
      <c r="AS330" s="63" t="str">
        <f>if(AJ330,if(and(hour(AJ330+AS$5)&gt;11,(hour(AJ330+AS$5)&lt;20)),AJ330+AS$5,_xlfn.workday.intl(int(AJ330),1,"1000000",Holidays!A:A)+hour(AJ330+AS$5-$B$1)/24+minute(AJ330)/1440),"")</f>
        <v/>
      </c>
      <c r="AT330" s="64" t="str">
        <f t="shared" si="21"/>
        <v/>
      </c>
      <c r="AV330" s="66" t="str">
        <f t="shared" si="25"/>
        <v/>
      </c>
      <c r="AW330" s="66"/>
      <c r="AX330" s="56"/>
    </row>
    <row r="331">
      <c r="A331" s="55">
        <v>45246.64393061343</v>
      </c>
      <c r="B331" s="56"/>
      <c r="C331" s="57"/>
      <c r="D331" s="57"/>
      <c r="E331" s="57"/>
      <c r="F331" s="57"/>
      <c r="G331" s="58">
        <f>if(A331,_xlfn.workday.intl(int(A331),1,"1000000",Holidays!A:A)+17/24,"")</f>
        <v>45247.70833</v>
      </c>
      <c r="H331" s="59" t="str">
        <f t="shared" si="23"/>
        <v/>
      </c>
      <c r="I331" s="60"/>
      <c r="J331" s="61">
        <f t="shared" si="2"/>
        <v>886.2755766</v>
      </c>
      <c r="K331" s="58">
        <f>if(G331,_xlfn.workday.intl(int(G331),0,"1000000",Holidays!A:A)+19/24,"")</f>
        <v>45247.79167</v>
      </c>
      <c r="L331" s="59" t="str">
        <f t="shared" si="3"/>
        <v/>
      </c>
      <c r="M331" s="60"/>
      <c r="N331" s="61">
        <f t="shared" si="4"/>
        <v>886.1922432</v>
      </c>
      <c r="O331" s="63">
        <f>if(A331,_xlfn.WORKDAY.INTL(A331,O$5,"1000000",Holidays!A:A)+hour(A331)/24+MINUTE(A331)/1440,"")</f>
        <v>45247.64375</v>
      </c>
      <c r="P331" s="64" t="s">
        <v>2718</v>
      </c>
      <c r="R331" s="66">
        <f t="shared" si="5"/>
        <v>886.3401599</v>
      </c>
      <c r="S331" s="66"/>
      <c r="T331" s="66"/>
      <c r="U331" s="64">
        <f>if(O331,_xlfn.WORKDAY.INTL(O331,U$5,"1000000",Holidays!A:A)+hour(O331)/24+MINUTE(O331)/1440,"")</f>
        <v>45248.64375</v>
      </c>
      <c r="V331" s="64" t="str">
        <f t="shared" si="6"/>
        <v/>
      </c>
      <c r="W331" s="66"/>
      <c r="X331" s="66">
        <f t="shared" si="7"/>
        <v>885.3401599</v>
      </c>
      <c r="Y331" s="66"/>
      <c r="Z331" s="66"/>
      <c r="AA331" s="66"/>
      <c r="AB331" s="63"/>
      <c r="AC331" s="63"/>
      <c r="AD331" s="63"/>
      <c r="AE331" s="63"/>
      <c r="AF331" s="63"/>
      <c r="AG331" s="63"/>
      <c r="AH331" s="63" t="str">
        <f t="shared" si="14"/>
        <v/>
      </c>
      <c r="AI331" s="63" t="str">
        <f>if(AH331,_xlfn.workday.intl(int(AH331),0,"1000000",Holidays!A:A)+18/24,"")</f>
        <v/>
      </c>
      <c r="AJ331" s="64" t="str">
        <f t="shared" si="24"/>
        <v/>
      </c>
      <c r="AL331" s="66" t="str">
        <f t="shared" si="9"/>
        <v/>
      </c>
      <c r="AM331" s="66"/>
      <c r="AN331" s="63" t="str">
        <f>if(AJ331,if(and(hour(AJ331+AN$5)&gt;11,(hour(AJ331+AN$5)&lt;20)),AJ331+AN$5,_xlfn.workday.intl(int(AJ331),1,"1000000",Holidays!A:A)+hour(AJ331+AN$5-$B$1)/24+minute(AJ331)/1440),"")</f>
        <v/>
      </c>
      <c r="AO331" s="64" t="str">
        <f t="shared" si="15"/>
        <v/>
      </c>
      <c r="AQ331" s="66" t="str">
        <f t="shared" si="16"/>
        <v/>
      </c>
      <c r="AR331" s="66"/>
      <c r="AS331" s="63" t="str">
        <f>if(AJ331,if(and(hour(AJ331+AS$5)&gt;11,(hour(AJ331+AS$5)&lt;20)),AJ331+AS$5,_xlfn.workday.intl(int(AJ331),1,"1000000",Holidays!A:A)+hour(AJ331+AS$5-$B$1)/24+minute(AJ331)/1440),"")</f>
        <v/>
      </c>
      <c r="AT331" s="64" t="str">
        <f t="shared" si="21"/>
        <v/>
      </c>
      <c r="AV331" s="66" t="str">
        <f t="shared" si="25"/>
        <v/>
      </c>
      <c r="AW331" s="66"/>
      <c r="AX331" s="56"/>
    </row>
    <row r="332">
      <c r="A332" s="55">
        <v>45246.706224375</v>
      </c>
      <c r="B332" s="56"/>
      <c r="C332" s="57"/>
      <c r="D332" s="57"/>
      <c r="E332" s="57"/>
      <c r="F332" s="57"/>
      <c r="G332" s="58">
        <f>if(A332,_xlfn.workday.intl(int(A332),1,"1000000",Holidays!A:A)+17/24,"")</f>
        <v>45247.70833</v>
      </c>
      <c r="H332" s="59" t="str">
        <f t="shared" si="23"/>
        <v/>
      </c>
      <c r="I332" s="60"/>
      <c r="J332" s="61">
        <f t="shared" si="2"/>
        <v>886.2755766</v>
      </c>
      <c r="K332" s="58">
        <f>if(G332,_xlfn.workday.intl(int(G332),0,"1000000",Holidays!A:A)+19/24,"")</f>
        <v>45247.79167</v>
      </c>
      <c r="L332" s="59" t="str">
        <f t="shared" si="3"/>
        <v/>
      </c>
      <c r="M332" s="60"/>
      <c r="N332" s="61">
        <f t="shared" si="4"/>
        <v>886.1922432</v>
      </c>
      <c r="O332" s="63">
        <f>if(A332,_xlfn.WORKDAY.INTL(A332,O$5,"1000000",Holidays!A:A)+hour(A332)/24+MINUTE(A332)/1440,"")</f>
        <v>45247.70556</v>
      </c>
      <c r="P332" s="64" t="s">
        <v>2718</v>
      </c>
      <c r="R332" s="66">
        <f t="shared" si="5"/>
        <v>886.2783543</v>
      </c>
      <c r="S332" s="66"/>
      <c r="T332" s="66"/>
      <c r="U332" s="64">
        <f>if(O332,_xlfn.WORKDAY.INTL(O332,U$5,"1000000",Holidays!A:A)+hour(O332)/24+MINUTE(O332)/1440,"")</f>
        <v>45248.70556</v>
      </c>
      <c r="V332" s="64" t="str">
        <f t="shared" si="6"/>
        <v/>
      </c>
      <c r="W332" s="66"/>
      <c r="X332" s="66">
        <f t="shared" si="7"/>
        <v>885.2783543</v>
      </c>
      <c r="Y332" s="66"/>
      <c r="Z332" s="66"/>
      <c r="AA332" s="66"/>
      <c r="AB332" s="63"/>
      <c r="AC332" s="63"/>
      <c r="AD332" s="63"/>
      <c r="AE332" s="63"/>
      <c r="AF332" s="63"/>
      <c r="AG332" s="63"/>
      <c r="AH332" s="63" t="str">
        <f t="shared" si="14"/>
        <v/>
      </c>
      <c r="AI332" s="63" t="str">
        <f>if(AH332,_xlfn.workday.intl(int(AH332),0,"1000000",Holidays!A:A)+18/24,"")</f>
        <v/>
      </c>
      <c r="AJ332" s="64" t="str">
        <f t="shared" si="24"/>
        <v/>
      </c>
      <c r="AL332" s="66" t="str">
        <f t="shared" si="9"/>
        <v/>
      </c>
      <c r="AM332" s="66"/>
      <c r="AN332" s="63" t="str">
        <f>if(AJ332,if(and(hour(AJ332+AN$5)&gt;11,(hour(AJ332+AN$5)&lt;20)),AJ332+AN$5,_xlfn.workday.intl(int(AJ332),1,"1000000",Holidays!A:A)+hour(AJ332+AN$5-$B$1)/24+minute(AJ332)/1440),"")</f>
        <v/>
      </c>
      <c r="AO332" s="64" t="str">
        <f t="shared" si="15"/>
        <v/>
      </c>
      <c r="AQ332" s="66" t="str">
        <f t="shared" si="16"/>
        <v/>
      </c>
      <c r="AR332" s="66"/>
      <c r="AS332" s="63" t="str">
        <f>if(AJ332,if(and(hour(AJ332+AS$5)&gt;11,(hour(AJ332+AS$5)&lt;20)),AJ332+AS$5,_xlfn.workday.intl(int(AJ332),1,"1000000",Holidays!A:A)+hour(AJ332+AS$5-$B$1)/24+minute(AJ332)/1440),"")</f>
        <v/>
      </c>
      <c r="AT332" s="64" t="str">
        <f t="shared" si="21"/>
        <v/>
      </c>
      <c r="AV332" s="66" t="str">
        <f t="shared" si="25"/>
        <v/>
      </c>
      <c r="AW332" s="66"/>
      <c r="AX332" s="56"/>
    </row>
    <row r="333">
      <c r="A333" s="55">
        <v>45246.71356912037</v>
      </c>
      <c r="B333" s="56"/>
      <c r="C333" s="57"/>
      <c r="D333" s="57"/>
      <c r="E333" s="57"/>
      <c r="F333" s="57"/>
      <c r="G333" s="58">
        <f>if(A333,_xlfn.workday.intl(int(A333),1,"1000000",Holidays!A:A)+17/24,"")</f>
        <v>45247.70833</v>
      </c>
      <c r="H333" s="59" t="str">
        <f t="shared" si="23"/>
        <v/>
      </c>
      <c r="I333" s="60"/>
      <c r="J333" s="61">
        <f t="shared" si="2"/>
        <v>886.2755766</v>
      </c>
      <c r="K333" s="58">
        <f>if(G333,_xlfn.workday.intl(int(G333),0,"1000000",Holidays!A:A)+19/24,"")</f>
        <v>45247.79167</v>
      </c>
      <c r="L333" s="59" t="str">
        <f t="shared" si="3"/>
        <v/>
      </c>
      <c r="M333" s="60"/>
      <c r="N333" s="61">
        <f t="shared" si="4"/>
        <v>886.1922432</v>
      </c>
      <c r="O333" s="63">
        <f>if(A333,_xlfn.WORKDAY.INTL(A333,O$5,"1000000",Holidays!A:A)+hour(A333)/24+MINUTE(A333)/1440,"")</f>
        <v>45247.71319</v>
      </c>
      <c r="P333" s="64" t="s">
        <v>2718</v>
      </c>
      <c r="R333" s="66">
        <f t="shared" si="5"/>
        <v>886.2707155</v>
      </c>
      <c r="S333" s="66"/>
      <c r="T333" s="66"/>
      <c r="U333" s="64">
        <f>if(O333,_xlfn.WORKDAY.INTL(O333,U$5,"1000000",Holidays!A:A)+hour(O333)/24+MINUTE(O333)/1440,"")</f>
        <v>45248.71319</v>
      </c>
      <c r="V333" s="64" t="str">
        <f t="shared" si="6"/>
        <v/>
      </c>
      <c r="W333" s="66"/>
      <c r="X333" s="66">
        <f t="shared" si="7"/>
        <v>885.2707155</v>
      </c>
      <c r="Y333" s="66"/>
      <c r="Z333" s="66"/>
      <c r="AA333" s="66"/>
      <c r="AB333" s="63"/>
      <c r="AC333" s="63"/>
      <c r="AD333" s="63"/>
      <c r="AE333" s="63"/>
      <c r="AF333" s="63"/>
      <c r="AG333" s="63"/>
      <c r="AH333" s="63" t="str">
        <f t="shared" si="14"/>
        <v/>
      </c>
      <c r="AI333" s="63" t="str">
        <f>if(AH333,_xlfn.workday.intl(int(AH333),0,"1000000",Holidays!A:A)+18/24,"")</f>
        <v/>
      </c>
      <c r="AJ333" s="64" t="str">
        <f t="shared" si="24"/>
        <v/>
      </c>
      <c r="AL333" s="66" t="str">
        <f t="shared" si="9"/>
        <v/>
      </c>
      <c r="AM333" s="66"/>
      <c r="AN333" s="63" t="str">
        <f>if(AJ333,if(and(hour(AJ333+AN$5)&gt;11,(hour(AJ333+AN$5)&lt;20)),AJ333+AN$5,_xlfn.workday.intl(int(AJ333),1,"1000000",Holidays!A:A)+hour(AJ333+AN$5-$B$1)/24+minute(AJ333)/1440),"")</f>
        <v/>
      </c>
      <c r="AO333" s="64" t="str">
        <f t="shared" si="15"/>
        <v/>
      </c>
      <c r="AQ333" s="66" t="str">
        <f t="shared" si="16"/>
        <v/>
      </c>
      <c r="AR333" s="66"/>
      <c r="AS333" s="63" t="str">
        <f>if(AJ333,if(and(hour(AJ333+AS$5)&gt;11,(hour(AJ333+AS$5)&lt;20)),AJ333+AS$5,_xlfn.workday.intl(int(AJ333),1,"1000000",Holidays!A:A)+hour(AJ333+AS$5-$B$1)/24+minute(AJ333)/1440),"")</f>
        <v/>
      </c>
      <c r="AT333" s="64" t="str">
        <f t="shared" si="21"/>
        <v/>
      </c>
      <c r="AV333" s="66" t="str">
        <f t="shared" si="25"/>
        <v/>
      </c>
      <c r="AW333" s="66"/>
      <c r="AX333" s="56"/>
    </row>
    <row r="334">
      <c r="A334" s="55">
        <v>45246.71487541667</v>
      </c>
      <c r="B334" s="56"/>
      <c r="C334" s="57"/>
      <c r="D334" s="57"/>
      <c r="E334" s="57"/>
      <c r="F334" s="57"/>
      <c r="G334" s="58">
        <f>if(A334,_xlfn.workday.intl(int(A334),1,"1000000",Holidays!A:A)+17/24,"")</f>
        <v>45247.70833</v>
      </c>
      <c r="H334" s="59" t="str">
        <f t="shared" si="23"/>
        <v/>
      </c>
      <c r="I334" s="60"/>
      <c r="J334" s="61">
        <f t="shared" si="2"/>
        <v>886.2755766</v>
      </c>
      <c r="K334" s="58">
        <f>if(G334,_xlfn.workday.intl(int(G334),0,"1000000",Holidays!A:A)+19/24,"")</f>
        <v>45247.79167</v>
      </c>
      <c r="L334" s="59" t="str">
        <f t="shared" si="3"/>
        <v/>
      </c>
      <c r="M334" s="60"/>
      <c r="N334" s="61">
        <f t="shared" si="4"/>
        <v>886.1922432</v>
      </c>
      <c r="O334" s="63">
        <f>if(A334,_xlfn.WORKDAY.INTL(A334,O$5,"1000000",Holidays!A:A)+hour(A334)/24+MINUTE(A334)/1440,"")</f>
        <v>45247.71458</v>
      </c>
      <c r="P334" s="64" t="s">
        <v>2718</v>
      </c>
      <c r="R334" s="66">
        <f t="shared" si="5"/>
        <v>886.2693266</v>
      </c>
      <c r="S334" s="66"/>
      <c r="T334" s="66"/>
      <c r="U334" s="64">
        <f>if(O334,_xlfn.WORKDAY.INTL(O334,U$5,"1000000",Holidays!A:A)+hour(O334)/24+MINUTE(O334)/1440,"")</f>
        <v>45248.71458</v>
      </c>
      <c r="V334" s="64" t="str">
        <f t="shared" si="6"/>
        <v/>
      </c>
      <c r="W334" s="66"/>
      <c r="X334" s="66">
        <f t="shared" si="7"/>
        <v>885.2693266</v>
      </c>
      <c r="Y334" s="66"/>
      <c r="Z334" s="66"/>
      <c r="AA334" s="66"/>
      <c r="AB334" s="63"/>
      <c r="AC334" s="63"/>
      <c r="AD334" s="63"/>
      <c r="AE334" s="63"/>
      <c r="AF334" s="63"/>
      <c r="AG334" s="63"/>
      <c r="AH334" s="63" t="str">
        <f t="shared" si="14"/>
        <v/>
      </c>
      <c r="AI334" s="63" t="str">
        <f>if(AH334,_xlfn.workday.intl(int(AH334),0,"1000000",Holidays!A:A)+18/24,"")</f>
        <v/>
      </c>
      <c r="AJ334" s="64" t="str">
        <f t="shared" si="24"/>
        <v/>
      </c>
      <c r="AL334" s="66" t="str">
        <f t="shared" si="9"/>
        <v/>
      </c>
      <c r="AM334" s="66"/>
      <c r="AN334" s="63" t="str">
        <f>if(AJ334,if(and(hour(AJ334+AN$5)&gt;11,(hour(AJ334+AN$5)&lt;20)),AJ334+AN$5,_xlfn.workday.intl(int(AJ334),1,"1000000",Holidays!A:A)+hour(AJ334+AN$5-$B$1)/24+minute(AJ334)/1440),"")</f>
        <v/>
      </c>
      <c r="AO334" s="64" t="str">
        <f t="shared" si="15"/>
        <v/>
      </c>
      <c r="AQ334" s="66" t="str">
        <f t="shared" si="16"/>
        <v/>
      </c>
      <c r="AR334" s="66"/>
      <c r="AS334" s="63" t="str">
        <f>if(AJ334,if(and(hour(AJ334+AS$5)&gt;11,(hour(AJ334+AS$5)&lt;20)),AJ334+AS$5,_xlfn.workday.intl(int(AJ334),1,"1000000",Holidays!A:A)+hour(AJ334+AS$5-$B$1)/24+minute(AJ334)/1440),"")</f>
        <v/>
      </c>
      <c r="AT334" s="64" t="str">
        <f t="shared" si="21"/>
        <v/>
      </c>
      <c r="AV334" s="66" t="str">
        <f t="shared" si="25"/>
        <v/>
      </c>
      <c r="AW334" s="66"/>
      <c r="AX334" s="56"/>
    </row>
    <row r="335">
      <c r="A335" s="55">
        <v>45253.5247049537</v>
      </c>
      <c r="B335" s="56"/>
      <c r="C335" s="57"/>
      <c r="D335" s="57"/>
      <c r="E335" s="57"/>
      <c r="F335" s="57"/>
      <c r="G335" s="58">
        <f>if(A335,_xlfn.workday.intl(int(A335),1,"1000000",Holidays!A:A)+17/24,"")</f>
        <v>45254.70833</v>
      </c>
      <c r="H335" s="59" t="str">
        <f t="shared" si="23"/>
        <v/>
      </c>
      <c r="I335" s="60"/>
      <c r="J335" s="61">
        <f t="shared" si="2"/>
        <v>879.2755766</v>
      </c>
      <c r="K335" s="58">
        <f>if(G335,_xlfn.workday.intl(int(G335),0,"1000000",Holidays!A:A)+19/24,"")</f>
        <v>45254.79167</v>
      </c>
      <c r="L335" s="59" t="str">
        <f t="shared" si="3"/>
        <v/>
      </c>
      <c r="M335" s="60"/>
      <c r="N335" s="61">
        <f t="shared" si="4"/>
        <v>879.1922432</v>
      </c>
      <c r="O335" s="63">
        <f>if(A335,_xlfn.WORKDAY.INTL(A335,O$5,"1000000",Holidays!A:A)+hour(A335)/24+MINUTE(A335)/1440,"")</f>
        <v>45254.52431</v>
      </c>
      <c r="P335" s="64" t="s">
        <v>2718</v>
      </c>
      <c r="R335" s="66">
        <f t="shared" si="5"/>
        <v>879.4596043</v>
      </c>
      <c r="S335" s="66"/>
      <c r="T335" s="66"/>
      <c r="U335" s="64">
        <f>if(O335,_xlfn.WORKDAY.INTL(O335,U$5,"1000000",Holidays!A:A)+hour(O335)/24+MINUTE(O335)/1440,"")</f>
        <v>45255.52431</v>
      </c>
      <c r="V335" s="64" t="str">
        <f t="shared" si="6"/>
        <v/>
      </c>
      <c r="W335" s="66"/>
      <c r="X335" s="66">
        <f t="shared" si="7"/>
        <v>878.4596043</v>
      </c>
      <c r="Y335" s="66"/>
      <c r="Z335" s="66"/>
      <c r="AA335" s="66"/>
      <c r="AB335" s="63"/>
      <c r="AC335" s="63"/>
      <c r="AD335" s="63"/>
      <c r="AE335" s="63"/>
      <c r="AF335" s="63"/>
      <c r="AG335" s="63"/>
      <c r="AH335" s="63" t="str">
        <f t="shared" si="14"/>
        <v/>
      </c>
      <c r="AI335" s="63" t="str">
        <f>if(AH335,_xlfn.workday.intl(int(AH335),0,"1000000",Holidays!A:A)+18/24,"")</f>
        <v/>
      </c>
      <c r="AJ335" s="64" t="str">
        <f t="shared" si="24"/>
        <v/>
      </c>
      <c r="AL335" s="66" t="str">
        <f t="shared" si="9"/>
        <v/>
      </c>
      <c r="AM335" s="66"/>
      <c r="AN335" s="63" t="str">
        <f>if(AJ335,if(and(hour(AJ335+AN$5)&gt;11,(hour(AJ335+AN$5)&lt;20)),AJ335+AN$5,_xlfn.workday.intl(int(AJ335),1,"1000000",Holidays!A:A)+hour(AJ335+AN$5-$B$1)/24+minute(AJ335)/1440),"")</f>
        <v/>
      </c>
      <c r="AO335" s="64" t="str">
        <f t="shared" si="15"/>
        <v/>
      </c>
      <c r="AQ335" s="66" t="str">
        <f t="shared" si="16"/>
        <v/>
      </c>
      <c r="AR335" s="66"/>
      <c r="AS335" s="63" t="str">
        <f>if(AJ335,if(and(hour(AJ335+AS$5)&gt;11,(hour(AJ335+AS$5)&lt;20)),AJ335+AS$5,_xlfn.workday.intl(int(AJ335),1,"1000000",Holidays!A:A)+hour(AJ335+AS$5-$B$1)/24+minute(AJ335)/1440),"")</f>
        <v/>
      </c>
      <c r="AT335" s="64" t="str">
        <f t="shared" si="21"/>
        <v/>
      </c>
      <c r="AV335" s="66" t="str">
        <f t="shared" si="25"/>
        <v/>
      </c>
      <c r="AW335" s="66"/>
      <c r="AX335" s="56"/>
    </row>
    <row r="336">
      <c r="A336" s="55">
        <v>45253.52654855324</v>
      </c>
      <c r="B336" s="56"/>
      <c r="C336" s="57"/>
      <c r="D336" s="57"/>
      <c r="E336" s="57"/>
      <c r="F336" s="57"/>
      <c r="G336" s="58">
        <f>if(A336,_xlfn.workday.intl(int(A336),1,"1000000",Holidays!A:A)+17/24,"")</f>
        <v>45254.70833</v>
      </c>
      <c r="H336" s="59" t="str">
        <f t="shared" si="23"/>
        <v/>
      </c>
      <c r="I336" s="60"/>
      <c r="J336" s="61">
        <f t="shared" si="2"/>
        <v>879.2755766</v>
      </c>
      <c r="K336" s="58">
        <f>if(G336,_xlfn.workday.intl(int(G336),0,"1000000",Holidays!A:A)+19/24,"")</f>
        <v>45254.79167</v>
      </c>
      <c r="L336" s="59" t="str">
        <f t="shared" si="3"/>
        <v/>
      </c>
      <c r="M336" s="60"/>
      <c r="N336" s="61">
        <f t="shared" si="4"/>
        <v>879.1922432</v>
      </c>
      <c r="O336" s="63">
        <f>if(A336,_xlfn.WORKDAY.INTL(A336,O$5,"1000000",Holidays!A:A)+hour(A336)/24+MINUTE(A336)/1440,"")</f>
        <v>45254.52639</v>
      </c>
      <c r="P336" s="64" t="s">
        <v>2718</v>
      </c>
      <c r="R336" s="66">
        <f t="shared" si="5"/>
        <v>879.457521</v>
      </c>
      <c r="S336" s="66"/>
      <c r="T336" s="66"/>
      <c r="U336" s="64">
        <f>if(O336,_xlfn.WORKDAY.INTL(O336,U$5,"1000000",Holidays!A:A)+hour(O336)/24+MINUTE(O336)/1440,"")</f>
        <v>45255.52639</v>
      </c>
      <c r="V336" s="64" t="str">
        <f t="shared" si="6"/>
        <v/>
      </c>
      <c r="W336" s="66"/>
      <c r="X336" s="66">
        <f t="shared" si="7"/>
        <v>878.457521</v>
      </c>
      <c r="Y336" s="66"/>
      <c r="Z336" s="66"/>
      <c r="AA336" s="66"/>
      <c r="AB336" s="63"/>
      <c r="AC336" s="63"/>
      <c r="AD336" s="63"/>
      <c r="AE336" s="63"/>
      <c r="AF336" s="63"/>
      <c r="AG336" s="63"/>
      <c r="AH336" s="63" t="str">
        <f t="shared" si="14"/>
        <v/>
      </c>
      <c r="AI336" s="63" t="str">
        <f>if(AH336,_xlfn.workday.intl(int(AH336),0,"1000000",Holidays!A:A)+18/24,"")</f>
        <v/>
      </c>
      <c r="AJ336" s="64" t="str">
        <f t="shared" si="24"/>
        <v/>
      </c>
      <c r="AL336" s="66" t="str">
        <f t="shared" si="9"/>
        <v/>
      </c>
      <c r="AM336" s="66"/>
      <c r="AN336" s="63" t="str">
        <f>if(AJ336,if(and(hour(AJ336+AN$5)&gt;11,(hour(AJ336+AN$5)&lt;20)),AJ336+AN$5,_xlfn.workday.intl(int(AJ336),1,"1000000",Holidays!A:A)+hour(AJ336+AN$5-$B$1)/24+minute(AJ336)/1440),"")</f>
        <v/>
      </c>
      <c r="AO336" s="64" t="str">
        <f t="shared" si="15"/>
        <v/>
      </c>
      <c r="AQ336" s="66" t="str">
        <f t="shared" si="16"/>
        <v/>
      </c>
      <c r="AR336" s="66"/>
      <c r="AS336" s="63" t="str">
        <f>if(AJ336,if(and(hour(AJ336+AS$5)&gt;11,(hour(AJ336+AS$5)&lt;20)),AJ336+AS$5,_xlfn.workday.intl(int(AJ336),1,"1000000",Holidays!A:A)+hour(AJ336+AS$5-$B$1)/24+minute(AJ336)/1440),"")</f>
        <v/>
      </c>
      <c r="AT336" s="64" t="str">
        <f t="shared" si="21"/>
        <v/>
      </c>
      <c r="AV336" s="66" t="str">
        <f t="shared" si="25"/>
        <v/>
      </c>
      <c r="AW336" s="66"/>
      <c r="AX336" s="56"/>
    </row>
    <row r="337">
      <c r="A337" s="55">
        <v>45253.580052743055</v>
      </c>
      <c r="B337" s="56"/>
      <c r="C337" s="57"/>
      <c r="D337" s="57"/>
      <c r="E337" s="57"/>
      <c r="F337" s="57"/>
      <c r="G337" s="58">
        <f>if(A337,_xlfn.workday.intl(int(A337),1,"1000000",Holidays!A:A)+17/24,"")</f>
        <v>45254.70833</v>
      </c>
      <c r="H337" s="59" t="str">
        <f t="shared" si="23"/>
        <v/>
      </c>
      <c r="I337" s="60"/>
      <c r="J337" s="61">
        <f t="shared" si="2"/>
        <v>879.2755766</v>
      </c>
      <c r="K337" s="58">
        <f>if(G337,_xlfn.workday.intl(int(G337),0,"1000000",Holidays!A:A)+19/24,"")</f>
        <v>45254.79167</v>
      </c>
      <c r="L337" s="59" t="str">
        <f t="shared" si="3"/>
        <v/>
      </c>
      <c r="M337" s="60"/>
      <c r="N337" s="61">
        <f t="shared" si="4"/>
        <v>879.1922432</v>
      </c>
      <c r="O337" s="63">
        <f>if(A337,_xlfn.WORKDAY.INTL(A337,O$5,"1000000",Holidays!A:A)+hour(A337)/24+MINUTE(A337)/1440,"")</f>
        <v>45254.57986</v>
      </c>
      <c r="P337" s="64" t="s">
        <v>2718</v>
      </c>
      <c r="R337" s="66">
        <f t="shared" si="5"/>
        <v>879.4040488</v>
      </c>
      <c r="S337" s="66"/>
      <c r="T337" s="66"/>
      <c r="U337" s="64">
        <f>if(O337,_xlfn.WORKDAY.INTL(O337,U$5,"1000000",Holidays!A:A)+hour(O337)/24+MINUTE(O337)/1440,"")</f>
        <v>45255.57986</v>
      </c>
      <c r="V337" s="64" t="str">
        <f t="shared" si="6"/>
        <v/>
      </c>
      <c r="W337" s="66"/>
      <c r="X337" s="66">
        <f t="shared" si="7"/>
        <v>878.4040488</v>
      </c>
      <c r="Y337" s="66"/>
      <c r="Z337" s="66"/>
      <c r="AA337" s="66"/>
      <c r="AB337" s="63"/>
      <c r="AC337" s="63"/>
      <c r="AD337" s="63"/>
      <c r="AE337" s="63"/>
      <c r="AF337" s="63"/>
      <c r="AG337" s="63"/>
      <c r="AH337" s="63" t="str">
        <f t="shared" si="14"/>
        <v/>
      </c>
      <c r="AI337" s="63" t="str">
        <f>if(AH337,_xlfn.workday.intl(int(AH337),0,"1000000",Holidays!A:A)+18/24,"")</f>
        <v/>
      </c>
      <c r="AJ337" s="64" t="str">
        <f t="shared" si="24"/>
        <v/>
      </c>
      <c r="AL337" s="66" t="str">
        <f t="shared" si="9"/>
        <v/>
      </c>
      <c r="AM337" s="66"/>
      <c r="AN337" s="63" t="str">
        <f>if(AJ337,if(and(hour(AJ337+AN$5)&gt;11,(hour(AJ337+AN$5)&lt;20)),AJ337+AN$5,_xlfn.workday.intl(int(AJ337),1,"1000000",Holidays!A:A)+hour(AJ337+AN$5-$B$1)/24+minute(AJ337)/1440),"")</f>
        <v/>
      </c>
      <c r="AO337" s="64" t="str">
        <f t="shared" si="15"/>
        <v/>
      </c>
      <c r="AQ337" s="66" t="str">
        <f t="shared" si="16"/>
        <v/>
      </c>
      <c r="AR337" s="66"/>
      <c r="AS337" s="63" t="str">
        <f>if(AJ337,if(and(hour(AJ337+AS$5)&gt;11,(hour(AJ337+AS$5)&lt;20)),AJ337+AS$5,_xlfn.workday.intl(int(AJ337),1,"1000000",Holidays!A:A)+hour(AJ337+AS$5-$B$1)/24+minute(AJ337)/1440),"")</f>
        <v/>
      </c>
      <c r="AT337" s="64" t="str">
        <f t="shared" si="21"/>
        <v/>
      </c>
      <c r="AV337" s="66" t="str">
        <f t="shared" si="25"/>
        <v/>
      </c>
      <c r="AW337" s="66"/>
      <c r="AX337" s="56"/>
    </row>
    <row r="338">
      <c r="A338" s="55">
        <v>45253.58287958334</v>
      </c>
      <c r="B338" s="56"/>
      <c r="C338" s="57"/>
      <c r="D338" s="57"/>
      <c r="E338" s="57"/>
      <c r="F338" s="57"/>
      <c r="G338" s="58">
        <f>if(A338,_xlfn.workday.intl(int(A338),1,"1000000",Holidays!A:A)+17/24,"")</f>
        <v>45254.70833</v>
      </c>
      <c r="H338" s="59" t="str">
        <f t="shared" si="23"/>
        <v/>
      </c>
      <c r="I338" s="60"/>
      <c r="J338" s="61">
        <f t="shared" si="2"/>
        <v>879.2755766</v>
      </c>
      <c r="K338" s="58">
        <f>if(G338,_xlfn.workday.intl(int(G338),0,"1000000",Holidays!A:A)+19/24,"")</f>
        <v>45254.79167</v>
      </c>
      <c r="L338" s="59" t="str">
        <f t="shared" si="3"/>
        <v/>
      </c>
      <c r="M338" s="60"/>
      <c r="N338" s="61">
        <f t="shared" si="4"/>
        <v>879.1922432</v>
      </c>
      <c r="O338" s="63">
        <f>if(A338,_xlfn.WORKDAY.INTL(A338,O$5,"1000000",Holidays!A:A)+hour(A338)/24+MINUTE(A338)/1440,"")</f>
        <v>45254.58264</v>
      </c>
      <c r="P338" s="64" t="s">
        <v>2718</v>
      </c>
      <c r="R338" s="66">
        <f t="shared" si="5"/>
        <v>879.401271</v>
      </c>
      <c r="S338" s="66"/>
      <c r="T338" s="66"/>
      <c r="U338" s="64">
        <f>if(O338,_xlfn.WORKDAY.INTL(O338,U$5,"1000000",Holidays!A:A)+hour(O338)/24+MINUTE(O338)/1440,"")</f>
        <v>45255.58264</v>
      </c>
      <c r="V338" s="64" t="str">
        <f t="shared" si="6"/>
        <v/>
      </c>
      <c r="W338" s="66"/>
      <c r="X338" s="66">
        <f t="shared" si="7"/>
        <v>878.401271</v>
      </c>
      <c r="Y338" s="66"/>
      <c r="Z338" s="66"/>
      <c r="AA338" s="66"/>
      <c r="AB338" s="63"/>
      <c r="AC338" s="63"/>
      <c r="AD338" s="63"/>
      <c r="AE338" s="63"/>
      <c r="AF338" s="63"/>
      <c r="AG338" s="63"/>
      <c r="AH338" s="63" t="str">
        <f t="shared" si="14"/>
        <v/>
      </c>
      <c r="AI338" s="63" t="str">
        <f>if(AH338,_xlfn.workday.intl(int(AH338),0,"1000000",Holidays!A:A)+18/24,"")</f>
        <v/>
      </c>
      <c r="AJ338" s="64" t="str">
        <f t="shared" si="24"/>
        <v/>
      </c>
      <c r="AL338" s="66" t="str">
        <f t="shared" si="9"/>
        <v/>
      </c>
      <c r="AM338" s="66"/>
      <c r="AN338" s="63" t="str">
        <f>if(AJ338,if(and(hour(AJ338+AN$5)&gt;11,(hour(AJ338+AN$5)&lt;20)),AJ338+AN$5,_xlfn.workday.intl(int(AJ338),1,"1000000",Holidays!A:A)+hour(AJ338+AN$5-$B$1)/24+minute(AJ338)/1440),"")</f>
        <v/>
      </c>
      <c r="AO338" s="64" t="str">
        <f t="shared" si="15"/>
        <v/>
      </c>
      <c r="AQ338" s="66" t="str">
        <f t="shared" si="16"/>
        <v/>
      </c>
      <c r="AR338" s="66"/>
      <c r="AS338" s="63" t="str">
        <f>if(AJ338,if(and(hour(AJ338+AS$5)&gt;11,(hour(AJ338+AS$5)&lt;20)),AJ338+AS$5,_xlfn.workday.intl(int(AJ338),1,"1000000",Holidays!A:A)+hour(AJ338+AS$5-$B$1)/24+minute(AJ338)/1440),"")</f>
        <v/>
      </c>
      <c r="AT338" s="64" t="str">
        <f t="shared" si="21"/>
        <v/>
      </c>
      <c r="AV338" s="66" t="str">
        <f t="shared" si="25"/>
        <v/>
      </c>
      <c r="AW338" s="66"/>
      <c r="AX338" s="56"/>
    </row>
    <row r="339">
      <c r="A339" s="55">
        <v>45304.56911256944</v>
      </c>
      <c r="B339" s="56"/>
      <c r="C339" s="57"/>
      <c r="D339" s="57"/>
      <c r="E339" s="57"/>
      <c r="F339" s="57"/>
      <c r="G339" s="58">
        <f>if(A339,_xlfn.workday.intl(int(A339),1,"1000000",Holidays!A:A)+17/24,"")</f>
        <v>45305.70833</v>
      </c>
      <c r="H339" s="59" t="str">
        <f t="shared" si="23"/>
        <v/>
      </c>
      <c r="I339" s="60"/>
      <c r="J339" s="61">
        <f t="shared" si="2"/>
        <v>828.2755766</v>
      </c>
      <c r="K339" s="58">
        <f>if(G339,_xlfn.workday.intl(int(G339),0,"1000000",Holidays!A:A)+19/24,"")</f>
        <v>45305.79167</v>
      </c>
      <c r="L339" s="59" t="str">
        <f t="shared" si="3"/>
        <v/>
      </c>
      <c r="M339" s="60"/>
      <c r="N339" s="61">
        <f t="shared" si="4"/>
        <v>828.1922432</v>
      </c>
      <c r="O339" s="63">
        <f>if(A339,_xlfn.WORKDAY.INTL(A339,O$5,"1000000",Holidays!A:A)+hour(A339)/24+MINUTE(A339)/1440,"")</f>
        <v>45305.56875</v>
      </c>
      <c r="P339" s="64" t="s">
        <v>2718</v>
      </c>
      <c r="R339" s="66">
        <f t="shared" si="5"/>
        <v>828.4151599</v>
      </c>
      <c r="S339" s="66"/>
      <c r="T339" s="66"/>
      <c r="U339" s="64">
        <f>if(O339,_xlfn.WORKDAY.INTL(O339,U$5,"1000000",Holidays!A:A)+hour(O339)/24+MINUTE(O339)/1440,"")</f>
        <v>45307.56875</v>
      </c>
      <c r="V339" s="64" t="str">
        <f t="shared" si="6"/>
        <v/>
      </c>
      <c r="W339" s="66"/>
      <c r="X339" s="66">
        <f t="shared" si="7"/>
        <v>826.4151599</v>
      </c>
      <c r="Y339" s="66"/>
      <c r="Z339" s="66"/>
      <c r="AA339" s="66"/>
      <c r="AB339" s="63"/>
      <c r="AC339" s="63"/>
      <c r="AD339" s="63"/>
      <c r="AE339" s="63"/>
      <c r="AF339" s="63"/>
      <c r="AG339" s="63"/>
      <c r="AH339" s="63" t="str">
        <f t="shared" si="14"/>
        <v/>
      </c>
      <c r="AI339" s="63" t="str">
        <f>if(AH339,_xlfn.workday.intl(int(AH339),0,"1000000",Holidays!A:A)+18/24,"")</f>
        <v/>
      </c>
      <c r="AJ339" s="64" t="str">
        <f t="shared" si="24"/>
        <v/>
      </c>
      <c r="AL339" s="66" t="str">
        <f t="shared" si="9"/>
        <v/>
      </c>
      <c r="AM339" s="66"/>
      <c r="AN339" s="63" t="str">
        <f>if(AJ339,if(and(hour(AJ339+AN$5)&gt;11,(hour(AJ339+AN$5)&lt;20)),AJ339+AN$5,_xlfn.workday.intl(int(AJ339),1,"1000000",Holidays!A:A)+hour(AJ339+AN$5-$B$1)/24+minute(AJ339)/1440),"")</f>
        <v/>
      </c>
      <c r="AO339" s="64" t="str">
        <f t="shared" si="15"/>
        <v/>
      </c>
      <c r="AQ339" s="66" t="str">
        <f t="shared" si="16"/>
        <v/>
      </c>
      <c r="AR339" s="66"/>
      <c r="AS339" s="63" t="str">
        <f>if(AJ339,if(and(hour(AJ339+AS$5)&gt;11,(hour(AJ339+AS$5)&lt;20)),AJ339+AS$5,_xlfn.workday.intl(int(AJ339),1,"1000000",Holidays!A:A)+hour(AJ339+AS$5-$B$1)/24+minute(AJ339)/1440),"")</f>
        <v/>
      </c>
      <c r="AT339" s="64" t="str">
        <f t="shared" si="21"/>
        <v/>
      </c>
      <c r="AV339" s="66" t="str">
        <f t="shared" si="25"/>
        <v/>
      </c>
      <c r="AW339" s="66"/>
      <c r="AX339" s="56"/>
    </row>
    <row r="340">
      <c r="A340" s="55">
        <v>45304.61002744213</v>
      </c>
      <c r="B340" s="56"/>
      <c r="C340" s="57"/>
      <c r="D340" s="57"/>
      <c r="E340" s="57"/>
      <c r="F340" s="57"/>
      <c r="G340" s="58">
        <f>if(A340,_xlfn.workday.intl(int(A340),1,"1000000",Holidays!A:A)+17/24,"")</f>
        <v>45305.70833</v>
      </c>
      <c r="H340" s="59" t="str">
        <f t="shared" si="23"/>
        <v/>
      </c>
      <c r="I340" s="60"/>
      <c r="J340" s="61">
        <f t="shared" si="2"/>
        <v>828.2755766</v>
      </c>
      <c r="K340" s="58">
        <f>if(G340,_xlfn.workday.intl(int(G340),0,"1000000",Holidays!A:A)+19/24,"")</f>
        <v>45305.79167</v>
      </c>
      <c r="L340" s="59" t="str">
        <f t="shared" si="3"/>
        <v/>
      </c>
      <c r="M340" s="60"/>
      <c r="N340" s="61">
        <f t="shared" si="4"/>
        <v>828.1922432</v>
      </c>
      <c r="O340" s="63">
        <f>if(A340,_xlfn.WORKDAY.INTL(A340,O$5,"1000000",Holidays!A:A)+hour(A340)/24+MINUTE(A340)/1440,"")</f>
        <v>45305.60972</v>
      </c>
      <c r="P340" s="64" t="s">
        <v>2718</v>
      </c>
      <c r="R340" s="66">
        <f t="shared" si="5"/>
        <v>828.3741877</v>
      </c>
      <c r="S340" s="66"/>
      <c r="T340" s="66"/>
      <c r="U340" s="64">
        <f>if(O340,_xlfn.WORKDAY.INTL(O340,U$5,"1000000",Holidays!A:A)+hour(O340)/24+MINUTE(O340)/1440,"")</f>
        <v>45307.60972</v>
      </c>
      <c r="V340" s="64" t="str">
        <f t="shared" si="6"/>
        <v/>
      </c>
      <c r="W340" s="66"/>
      <c r="X340" s="66">
        <f t="shared" si="7"/>
        <v>826.3741877</v>
      </c>
      <c r="Y340" s="66"/>
      <c r="Z340" s="66"/>
      <c r="AA340" s="66"/>
      <c r="AB340" s="63"/>
      <c r="AC340" s="63"/>
      <c r="AD340" s="63"/>
      <c r="AE340" s="63"/>
      <c r="AF340" s="63"/>
      <c r="AG340" s="63"/>
      <c r="AH340" s="63" t="str">
        <f t="shared" si="14"/>
        <v/>
      </c>
      <c r="AI340" s="63" t="str">
        <f>if(AH340,_xlfn.workday.intl(int(AH340),0,"1000000",Holidays!A:A)+18/24,"")</f>
        <v/>
      </c>
      <c r="AJ340" s="64" t="str">
        <f t="shared" si="24"/>
        <v/>
      </c>
      <c r="AL340" s="66" t="str">
        <f t="shared" si="9"/>
        <v/>
      </c>
      <c r="AM340" s="66"/>
      <c r="AN340" s="63" t="str">
        <f>if(AJ340,if(and(hour(AJ340+AN$5)&gt;11,(hour(AJ340+AN$5)&lt;20)),AJ340+AN$5,_xlfn.workday.intl(int(AJ340),1,"1000000",Holidays!A:A)+hour(AJ340+AN$5-$B$1)/24+minute(AJ340)/1440),"")</f>
        <v/>
      </c>
      <c r="AO340" s="64" t="str">
        <f t="shared" si="15"/>
        <v/>
      </c>
      <c r="AQ340" s="66" t="str">
        <f t="shared" si="16"/>
        <v/>
      </c>
      <c r="AR340" s="66"/>
      <c r="AS340" s="63" t="str">
        <f>if(AJ340,if(and(hour(AJ340+AS$5)&gt;11,(hour(AJ340+AS$5)&lt;20)),AJ340+AS$5,_xlfn.workday.intl(int(AJ340),1,"1000000",Holidays!A:A)+hour(AJ340+AS$5-$B$1)/24+minute(AJ340)/1440),"")</f>
        <v/>
      </c>
      <c r="AT340" s="64" t="str">
        <f t="shared" si="21"/>
        <v/>
      </c>
      <c r="AV340" s="66" t="str">
        <f t="shared" si="25"/>
        <v/>
      </c>
      <c r="AW340" s="66"/>
      <c r="AX340" s="56"/>
    </row>
    <row r="341">
      <c r="A341" s="55">
        <v>45304.65831341435</v>
      </c>
      <c r="B341" s="56"/>
      <c r="C341" s="57"/>
      <c r="D341" s="57"/>
      <c r="E341" s="57"/>
      <c r="F341" s="57"/>
      <c r="G341" s="58">
        <f>if(A341,_xlfn.workday.intl(int(A341),1,"1000000",Holidays!A:A)+17/24,"")</f>
        <v>45305.70833</v>
      </c>
      <c r="H341" s="59" t="str">
        <f t="shared" si="23"/>
        <v/>
      </c>
      <c r="I341" s="60"/>
      <c r="J341" s="61">
        <f t="shared" si="2"/>
        <v>828.2755766</v>
      </c>
      <c r="K341" s="58">
        <f>if(G341,_xlfn.workday.intl(int(G341),0,"1000000",Holidays!A:A)+19/24,"")</f>
        <v>45305.79167</v>
      </c>
      <c r="L341" s="59" t="str">
        <f t="shared" si="3"/>
        <v/>
      </c>
      <c r="M341" s="60"/>
      <c r="N341" s="61">
        <f t="shared" si="4"/>
        <v>828.1922432</v>
      </c>
      <c r="O341" s="63">
        <f>if(A341,_xlfn.WORKDAY.INTL(A341,O$5,"1000000",Holidays!A:A)+hour(A341)/24+MINUTE(A341)/1440,"")</f>
        <v>45305.65764</v>
      </c>
      <c r="P341" s="64" t="s">
        <v>2718</v>
      </c>
      <c r="R341" s="66">
        <f t="shared" si="5"/>
        <v>828.326271</v>
      </c>
      <c r="S341" s="66"/>
      <c r="T341" s="66"/>
      <c r="U341" s="64">
        <f>if(O341,_xlfn.WORKDAY.INTL(O341,U$5,"1000000",Holidays!A:A)+hour(O341)/24+MINUTE(O341)/1440,"")</f>
        <v>45307.65764</v>
      </c>
      <c r="V341" s="64" t="str">
        <f t="shared" si="6"/>
        <v/>
      </c>
      <c r="W341" s="66"/>
      <c r="X341" s="66">
        <f t="shared" si="7"/>
        <v>826.326271</v>
      </c>
      <c r="Y341" s="66"/>
      <c r="Z341" s="66"/>
      <c r="AA341" s="66"/>
      <c r="AB341" s="63"/>
      <c r="AC341" s="63"/>
      <c r="AD341" s="63"/>
      <c r="AE341" s="63"/>
      <c r="AF341" s="63"/>
      <c r="AG341" s="63"/>
      <c r="AH341" s="63" t="str">
        <f t="shared" si="14"/>
        <v/>
      </c>
      <c r="AI341" s="63" t="str">
        <f>if(AH341,_xlfn.workday.intl(int(AH341),0,"1000000",Holidays!A:A)+18/24,"")</f>
        <v/>
      </c>
      <c r="AJ341" s="64" t="str">
        <f t="shared" si="24"/>
        <v/>
      </c>
      <c r="AL341" s="66" t="str">
        <f t="shared" si="9"/>
        <v/>
      </c>
      <c r="AM341" s="66"/>
      <c r="AN341" s="63" t="str">
        <f>if(AJ341,if(and(hour(AJ341+AN$5)&gt;11,(hour(AJ341+AN$5)&lt;20)),AJ341+AN$5,_xlfn.workday.intl(int(AJ341),1,"1000000",Holidays!A:A)+hour(AJ341+AN$5-$B$1)/24+minute(AJ341)/1440),"")</f>
        <v/>
      </c>
      <c r="AO341" s="64" t="str">
        <f t="shared" si="15"/>
        <v/>
      </c>
      <c r="AQ341" s="66" t="str">
        <f t="shared" si="16"/>
        <v/>
      </c>
      <c r="AR341" s="66"/>
      <c r="AS341" s="63" t="str">
        <f>if(AJ341,if(and(hour(AJ341+AS$5)&gt;11,(hour(AJ341+AS$5)&lt;20)),AJ341+AS$5,_xlfn.workday.intl(int(AJ341),1,"1000000",Holidays!A:A)+hour(AJ341+AS$5-$B$1)/24+minute(AJ341)/1440),"")</f>
        <v/>
      </c>
      <c r="AT341" s="64" t="str">
        <f t="shared" si="21"/>
        <v/>
      </c>
      <c r="AV341" s="66" t="str">
        <f t="shared" si="25"/>
        <v/>
      </c>
      <c r="AW341" s="66"/>
      <c r="AX341" s="56"/>
    </row>
    <row r="342">
      <c r="A342" s="55">
        <v>45307.56068328704</v>
      </c>
      <c r="B342" s="56"/>
      <c r="C342" s="57"/>
      <c r="D342" s="57"/>
      <c r="E342" s="57"/>
      <c r="F342" s="57"/>
      <c r="G342" s="58">
        <f>if(A342,_xlfn.workday.intl(int(A342),1,"1000000",Holidays!A:A)+17/24,"")</f>
        <v>45308.70833</v>
      </c>
      <c r="H342" s="59" t="str">
        <f t="shared" si="23"/>
        <v/>
      </c>
      <c r="I342" s="60"/>
      <c r="J342" s="61">
        <f t="shared" si="2"/>
        <v>825.2755766</v>
      </c>
      <c r="K342" s="58">
        <f>if(G342,_xlfn.workday.intl(int(G342),0,"1000000",Holidays!A:A)+19/24,"")</f>
        <v>45308.79167</v>
      </c>
      <c r="L342" s="59" t="str">
        <f t="shared" si="3"/>
        <v/>
      </c>
      <c r="M342" s="60"/>
      <c r="N342" s="61">
        <f t="shared" si="4"/>
        <v>825.1922432</v>
      </c>
      <c r="O342" s="63">
        <f>if(A342,_xlfn.WORKDAY.INTL(A342,O$5,"1000000",Holidays!A:A)+hour(A342)/24+MINUTE(A342)/1440,"")</f>
        <v>45308.56042</v>
      </c>
      <c r="P342" s="64" t="s">
        <v>2718</v>
      </c>
      <c r="R342" s="66">
        <f t="shared" si="5"/>
        <v>825.4234932</v>
      </c>
      <c r="S342" s="66"/>
      <c r="T342" s="66"/>
      <c r="U342" s="64">
        <f>if(O342,_xlfn.WORKDAY.INTL(O342,U$5,"1000000",Holidays!A:A)+hour(O342)/24+MINUTE(O342)/1440,"")</f>
        <v>45309.56042</v>
      </c>
      <c r="V342" s="64" t="str">
        <f t="shared" si="6"/>
        <v/>
      </c>
      <c r="W342" s="66"/>
      <c r="X342" s="66">
        <f t="shared" si="7"/>
        <v>824.4234932</v>
      </c>
      <c r="Y342" s="66"/>
      <c r="Z342" s="66"/>
      <c r="AA342" s="66"/>
      <c r="AB342" s="63"/>
      <c r="AC342" s="63"/>
      <c r="AD342" s="63"/>
      <c r="AE342" s="63"/>
      <c r="AF342" s="63"/>
      <c r="AG342" s="63"/>
      <c r="AH342" s="63" t="str">
        <f t="shared" si="14"/>
        <v/>
      </c>
      <c r="AI342" s="63" t="str">
        <f>if(AH342,_xlfn.workday.intl(int(AH342),0,"1000000",Holidays!A:A)+18/24,"")</f>
        <v/>
      </c>
      <c r="AJ342" s="64" t="str">
        <f t="shared" si="24"/>
        <v/>
      </c>
      <c r="AL342" s="66" t="str">
        <f t="shared" si="9"/>
        <v/>
      </c>
      <c r="AM342" s="66"/>
      <c r="AN342" s="63" t="str">
        <f>if(AJ342,if(and(hour(AJ342+AN$5)&gt;11,(hour(AJ342+AN$5)&lt;20)),AJ342+AN$5,_xlfn.workday.intl(int(AJ342),1,"1000000",Holidays!A:A)+hour(AJ342+AN$5-$B$1)/24+minute(AJ342)/1440),"")</f>
        <v/>
      </c>
      <c r="AO342" s="64" t="str">
        <f t="shared" si="15"/>
        <v/>
      </c>
      <c r="AQ342" s="66" t="str">
        <f t="shared" si="16"/>
        <v/>
      </c>
      <c r="AR342" s="66"/>
      <c r="AS342" s="63" t="str">
        <f>if(AJ342,if(and(hour(AJ342+AS$5)&gt;11,(hour(AJ342+AS$5)&lt;20)),AJ342+AS$5,_xlfn.workday.intl(int(AJ342),1,"1000000",Holidays!A:A)+hour(AJ342+AS$5-$B$1)/24+minute(AJ342)/1440),"")</f>
        <v/>
      </c>
      <c r="AT342" s="64" t="str">
        <f t="shared" si="21"/>
        <v/>
      </c>
      <c r="AV342" s="66" t="str">
        <f t="shared" si="25"/>
        <v/>
      </c>
      <c r="AW342" s="66"/>
      <c r="AX342" s="56"/>
    </row>
    <row r="343">
      <c r="A343" s="55">
        <v>45307.56528631944</v>
      </c>
      <c r="B343" s="56"/>
      <c r="C343" s="57"/>
      <c r="D343" s="57"/>
      <c r="E343" s="57"/>
      <c r="F343" s="57"/>
      <c r="G343" s="58">
        <f>if(A343,_xlfn.workday.intl(int(A343),1,"1000000",Holidays!A:A)+17/24,"")</f>
        <v>45308.70833</v>
      </c>
      <c r="H343" s="59" t="str">
        <f t="shared" si="23"/>
        <v/>
      </c>
      <c r="I343" s="60"/>
      <c r="J343" s="61">
        <f t="shared" si="2"/>
        <v>825.2755766</v>
      </c>
      <c r="K343" s="58">
        <f>if(G343,_xlfn.workday.intl(int(G343),0,"1000000",Holidays!A:A)+19/24,"")</f>
        <v>45308.79167</v>
      </c>
      <c r="L343" s="59" t="str">
        <f t="shared" si="3"/>
        <v/>
      </c>
      <c r="M343" s="60"/>
      <c r="N343" s="61">
        <f t="shared" si="4"/>
        <v>825.1922432</v>
      </c>
      <c r="O343" s="63">
        <f>if(A343,_xlfn.WORKDAY.INTL(A343,O$5,"1000000",Holidays!A:A)+hour(A343)/24+MINUTE(A343)/1440,"")</f>
        <v>45308.56528</v>
      </c>
      <c r="P343" s="64" t="s">
        <v>2718</v>
      </c>
      <c r="R343" s="66">
        <f t="shared" si="5"/>
        <v>825.4186321</v>
      </c>
      <c r="S343" s="66"/>
      <c r="T343" s="66"/>
      <c r="U343" s="64">
        <f>if(O343,_xlfn.WORKDAY.INTL(O343,U$5,"1000000",Holidays!A:A)+hour(O343)/24+MINUTE(O343)/1440,"")</f>
        <v>45309.56528</v>
      </c>
      <c r="V343" s="64" t="str">
        <f t="shared" si="6"/>
        <v/>
      </c>
      <c r="W343" s="66"/>
      <c r="X343" s="66">
        <f t="shared" si="7"/>
        <v>824.4186321</v>
      </c>
      <c r="Y343" s="66"/>
      <c r="Z343" s="66"/>
      <c r="AA343" s="66"/>
      <c r="AB343" s="63"/>
      <c r="AC343" s="63"/>
      <c r="AD343" s="63"/>
      <c r="AE343" s="63"/>
      <c r="AF343" s="63"/>
      <c r="AG343" s="63"/>
      <c r="AH343" s="63" t="str">
        <f t="shared" si="14"/>
        <v/>
      </c>
      <c r="AI343" s="63" t="str">
        <f>if(AH343,_xlfn.workday.intl(int(AH343),0,"1000000",Holidays!A:A)+18/24,"")</f>
        <v/>
      </c>
      <c r="AJ343" s="64" t="str">
        <f t="shared" si="24"/>
        <v/>
      </c>
      <c r="AL343" s="66" t="str">
        <f t="shared" si="9"/>
        <v/>
      </c>
      <c r="AM343" s="66"/>
      <c r="AN343" s="63" t="str">
        <f>if(AJ343,if(and(hour(AJ343+AN$5)&gt;11,(hour(AJ343+AN$5)&lt;20)),AJ343+AN$5,_xlfn.workday.intl(int(AJ343),1,"1000000",Holidays!A:A)+hour(AJ343+AN$5-$B$1)/24+minute(AJ343)/1440),"")</f>
        <v/>
      </c>
      <c r="AO343" s="64" t="str">
        <f t="shared" si="15"/>
        <v/>
      </c>
      <c r="AQ343" s="66" t="str">
        <f t="shared" si="16"/>
        <v/>
      </c>
      <c r="AR343" s="66"/>
      <c r="AS343" s="63" t="str">
        <f>if(AJ343,if(and(hour(AJ343+AS$5)&gt;11,(hour(AJ343+AS$5)&lt;20)),AJ343+AS$5,_xlfn.workday.intl(int(AJ343),1,"1000000",Holidays!A:A)+hour(AJ343+AS$5-$B$1)/24+minute(AJ343)/1440),"")</f>
        <v/>
      </c>
      <c r="AT343" s="64" t="str">
        <f t="shared" si="21"/>
        <v/>
      </c>
      <c r="AV343" s="66" t="str">
        <f t="shared" si="25"/>
        <v/>
      </c>
      <c r="AW343" s="66"/>
      <c r="AX343" s="56"/>
    </row>
    <row r="344">
      <c r="A344" s="55">
        <v>45307.58408555556</v>
      </c>
      <c r="B344" s="56"/>
      <c r="C344" s="57"/>
      <c r="D344" s="57"/>
      <c r="E344" s="57"/>
      <c r="F344" s="57"/>
      <c r="G344" s="58">
        <f>if(A344,_xlfn.workday.intl(int(A344),1,"1000000",Holidays!A:A)+17/24,"")</f>
        <v>45308.70833</v>
      </c>
      <c r="H344" s="59" t="str">
        <f t="shared" si="23"/>
        <v/>
      </c>
      <c r="I344" s="60"/>
      <c r="J344" s="61">
        <f t="shared" si="2"/>
        <v>825.2755766</v>
      </c>
      <c r="K344" s="58">
        <f>if(G344,_xlfn.workday.intl(int(G344),0,"1000000",Holidays!A:A)+19/24,"")</f>
        <v>45308.79167</v>
      </c>
      <c r="L344" s="59" t="str">
        <f t="shared" si="3"/>
        <v/>
      </c>
      <c r="M344" s="60"/>
      <c r="N344" s="61">
        <f t="shared" si="4"/>
        <v>825.1922432</v>
      </c>
      <c r="O344" s="63">
        <f>if(A344,_xlfn.WORKDAY.INTL(A344,O$5,"1000000",Holidays!A:A)+hour(A344)/24+MINUTE(A344)/1440,"")</f>
        <v>45308.58403</v>
      </c>
      <c r="P344" s="64" t="s">
        <v>2718</v>
      </c>
      <c r="R344" s="66">
        <f t="shared" si="5"/>
        <v>825.3998821</v>
      </c>
      <c r="S344" s="66"/>
      <c r="T344" s="66"/>
      <c r="U344" s="64">
        <f>if(O344,_xlfn.WORKDAY.INTL(O344,U$5,"1000000",Holidays!A:A)+hour(O344)/24+MINUTE(O344)/1440,"")</f>
        <v>45309.58403</v>
      </c>
      <c r="V344" s="64" t="str">
        <f t="shared" si="6"/>
        <v/>
      </c>
      <c r="W344" s="66"/>
      <c r="X344" s="66">
        <f t="shared" si="7"/>
        <v>824.3998821</v>
      </c>
      <c r="Y344" s="66"/>
      <c r="Z344" s="66"/>
      <c r="AA344" s="66"/>
      <c r="AB344" s="63"/>
      <c r="AC344" s="63"/>
      <c r="AD344" s="63"/>
      <c r="AE344" s="63"/>
      <c r="AF344" s="63"/>
      <c r="AG344" s="63"/>
      <c r="AH344" s="63" t="str">
        <f t="shared" si="14"/>
        <v/>
      </c>
      <c r="AI344" s="63" t="str">
        <f>if(AH344,_xlfn.workday.intl(int(AH344),0,"1000000",Holidays!A:A)+18/24,"")</f>
        <v/>
      </c>
      <c r="AJ344" s="64" t="str">
        <f t="shared" si="24"/>
        <v/>
      </c>
      <c r="AL344" s="66" t="str">
        <f t="shared" si="9"/>
        <v/>
      </c>
      <c r="AM344" s="66"/>
      <c r="AN344" s="63" t="str">
        <f>if(AJ344,if(and(hour(AJ344+AN$5)&gt;11,(hour(AJ344+AN$5)&lt;20)),AJ344+AN$5,_xlfn.workday.intl(int(AJ344),1,"1000000",Holidays!A:A)+hour(AJ344+AN$5-$B$1)/24+minute(AJ344)/1440),"")</f>
        <v/>
      </c>
      <c r="AO344" s="64" t="str">
        <f t="shared" si="15"/>
        <v/>
      </c>
      <c r="AQ344" s="66" t="str">
        <f t="shared" si="16"/>
        <v/>
      </c>
      <c r="AR344" s="66"/>
      <c r="AS344" s="63" t="str">
        <f>if(AJ344,if(and(hour(AJ344+AS$5)&gt;11,(hour(AJ344+AS$5)&lt;20)),AJ344+AS$5,_xlfn.workday.intl(int(AJ344),1,"1000000",Holidays!A:A)+hour(AJ344+AS$5-$B$1)/24+minute(AJ344)/1440),"")</f>
        <v/>
      </c>
      <c r="AT344" s="64" t="str">
        <f t="shared" si="21"/>
        <v/>
      </c>
      <c r="AV344" s="66" t="str">
        <f t="shared" si="25"/>
        <v/>
      </c>
      <c r="AW344" s="66"/>
      <c r="AX344" s="56"/>
    </row>
    <row r="345">
      <c r="A345" s="55">
        <v>45307.6528974074</v>
      </c>
      <c r="B345" s="56"/>
      <c r="C345" s="57"/>
      <c r="D345" s="57"/>
      <c r="E345" s="57"/>
      <c r="F345" s="57"/>
      <c r="G345" s="58">
        <f>if(A345,_xlfn.workday.intl(int(A345),1,"1000000",Holidays!A:A)+17/24,"")</f>
        <v>45308.70833</v>
      </c>
      <c r="H345" s="59" t="str">
        <f t="shared" si="23"/>
        <v/>
      </c>
      <c r="I345" s="60"/>
      <c r="J345" s="61">
        <f t="shared" si="2"/>
        <v>825.2755766</v>
      </c>
      <c r="K345" s="58">
        <f>if(G345,_xlfn.workday.intl(int(G345),0,"1000000",Holidays!A:A)+19/24,"")</f>
        <v>45308.79167</v>
      </c>
      <c r="L345" s="59" t="str">
        <f t="shared" si="3"/>
        <v/>
      </c>
      <c r="M345" s="60"/>
      <c r="N345" s="61">
        <f t="shared" si="4"/>
        <v>825.1922432</v>
      </c>
      <c r="O345" s="63">
        <f>if(A345,_xlfn.WORKDAY.INTL(A345,O$5,"1000000",Holidays!A:A)+hour(A345)/24+MINUTE(A345)/1440,"")</f>
        <v>45308.65278</v>
      </c>
      <c r="P345" s="64" t="s">
        <v>2718</v>
      </c>
      <c r="R345" s="66">
        <f t="shared" si="5"/>
        <v>825.3311321</v>
      </c>
      <c r="S345" s="66"/>
      <c r="T345" s="66"/>
      <c r="U345" s="64">
        <f>if(O345,_xlfn.WORKDAY.INTL(O345,U$5,"1000000",Holidays!A:A)+hour(O345)/24+MINUTE(O345)/1440,"")</f>
        <v>45309.65278</v>
      </c>
      <c r="V345" s="64" t="str">
        <f t="shared" si="6"/>
        <v/>
      </c>
      <c r="W345" s="66"/>
      <c r="X345" s="66">
        <f t="shared" si="7"/>
        <v>824.3311321</v>
      </c>
      <c r="Y345" s="66"/>
      <c r="Z345" s="66"/>
      <c r="AA345" s="66"/>
      <c r="AB345" s="63"/>
      <c r="AC345" s="63"/>
      <c r="AD345" s="63"/>
      <c r="AE345" s="63"/>
      <c r="AF345" s="63"/>
      <c r="AG345" s="63"/>
      <c r="AH345" s="63" t="str">
        <f t="shared" si="14"/>
        <v/>
      </c>
      <c r="AI345" s="63" t="str">
        <f>if(AH345,_xlfn.workday.intl(int(AH345),0,"1000000",Holidays!A:A)+18/24,"")</f>
        <v/>
      </c>
      <c r="AJ345" s="64" t="str">
        <f t="shared" si="24"/>
        <v/>
      </c>
      <c r="AL345" s="66" t="str">
        <f t="shared" si="9"/>
        <v/>
      </c>
      <c r="AM345" s="66"/>
      <c r="AN345" s="63" t="str">
        <f>if(AJ345,if(and(hour(AJ345+AN$5)&gt;11,(hour(AJ345+AN$5)&lt;20)),AJ345+AN$5,_xlfn.workday.intl(int(AJ345),1,"1000000",Holidays!A:A)+hour(AJ345+AN$5-$B$1)/24+minute(AJ345)/1440),"")</f>
        <v/>
      </c>
      <c r="AO345" s="64" t="str">
        <f t="shared" si="15"/>
        <v/>
      </c>
      <c r="AQ345" s="66" t="str">
        <f t="shared" si="16"/>
        <v/>
      </c>
      <c r="AR345" s="66"/>
      <c r="AS345" s="63" t="str">
        <f>if(AJ345,if(and(hour(AJ345+AS$5)&gt;11,(hour(AJ345+AS$5)&lt;20)),AJ345+AS$5,_xlfn.workday.intl(int(AJ345),1,"1000000",Holidays!A:A)+hour(AJ345+AS$5-$B$1)/24+minute(AJ345)/1440),"")</f>
        <v/>
      </c>
      <c r="AT345" s="64" t="str">
        <f t="shared" si="21"/>
        <v/>
      </c>
      <c r="AV345" s="66" t="str">
        <f t="shared" si="25"/>
        <v/>
      </c>
      <c r="AW345" s="66"/>
      <c r="AX345" s="56"/>
    </row>
    <row r="346">
      <c r="A346" s="55">
        <v>45307.65876201389</v>
      </c>
      <c r="B346" s="56"/>
      <c r="C346" s="57"/>
      <c r="D346" s="57"/>
      <c r="E346" s="57"/>
      <c r="F346" s="57"/>
      <c r="G346" s="58">
        <f>if(A346,_xlfn.workday.intl(int(A346),1,"1000000",Holidays!A:A)+17/24,"")</f>
        <v>45308.70833</v>
      </c>
      <c r="H346" s="59" t="str">
        <f t="shared" si="23"/>
        <v/>
      </c>
      <c r="I346" s="60"/>
      <c r="J346" s="61">
        <f t="shared" si="2"/>
        <v>825.2755766</v>
      </c>
      <c r="K346" s="58">
        <f>if(G346,_xlfn.workday.intl(int(G346),0,"1000000",Holidays!A:A)+19/24,"")</f>
        <v>45308.79167</v>
      </c>
      <c r="L346" s="59" t="str">
        <f t="shared" si="3"/>
        <v/>
      </c>
      <c r="M346" s="60"/>
      <c r="N346" s="61">
        <f t="shared" si="4"/>
        <v>825.1922432</v>
      </c>
      <c r="O346" s="63">
        <f>if(A346,_xlfn.WORKDAY.INTL(A346,O$5,"1000000",Holidays!A:A)+hour(A346)/24+MINUTE(A346)/1440,"")</f>
        <v>45308.65833</v>
      </c>
      <c r="P346" s="64" t="s">
        <v>2718</v>
      </c>
      <c r="R346" s="66">
        <f t="shared" si="5"/>
        <v>825.3255766</v>
      </c>
      <c r="S346" s="66"/>
      <c r="T346" s="66"/>
      <c r="U346" s="64">
        <f>if(O346,_xlfn.WORKDAY.INTL(O346,U$5,"1000000",Holidays!A:A)+hour(O346)/24+MINUTE(O346)/1440,"")</f>
        <v>45309.65833</v>
      </c>
      <c r="V346" s="64" t="str">
        <f t="shared" si="6"/>
        <v/>
      </c>
      <c r="W346" s="66"/>
      <c r="X346" s="66">
        <f t="shared" si="7"/>
        <v>824.3255766</v>
      </c>
      <c r="Y346" s="66"/>
      <c r="Z346" s="66"/>
      <c r="AA346" s="66"/>
      <c r="AB346" s="63"/>
      <c r="AC346" s="63"/>
      <c r="AD346" s="63"/>
      <c r="AE346" s="63"/>
      <c r="AF346" s="63"/>
      <c r="AG346" s="63"/>
      <c r="AH346" s="63" t="str">
        <f t="shared" si="14"/>
        <v/>
      </c>
      <c r="AI346" s="63" t="str">
        <f>if(AH346,_xlfn.workday.intl(int(AH346),0,"1000000",Holidays!A:A)+18/24,"")</f>
        <v/>
      </c>
      <c r="AJ346" s="64" t="str">
        <f t="shared" si="24"/>
        <v/>
      </c>
      <c r="AL346" s="66" t="str">
        <f t="shared" si="9"/>
        <v/>
      </c>
      <c r="AM346" s="66"/>
      <c r="AN346" s="63" t="str">
        <f>if(AJ346,if(and(hour(AJ346+AN$5)&gt;11,(hour(AJ346+AN$5)&lt;20)),AJ346+AN$5,_xlfn.workday.intl(int(AJ346),1,"1000000",Holidays!A:A)+hour(AJ346+AN$5-$B$1)/24+minute(AJ346)/1440),"")</f>
        <v/>
      </c>
      <c r="AO346" s="64" t="str">
        <f t="shared" si="15"/>
        <v/>
      </c>
      <c r="AQ346" s="66" t="str">
        <f t="shared" si="16"/>
        <v/>
      </c>
      <c r="AR346" s="66"/>
      <c r="AS346" s="63" t="str">
        <f>if(AJ346,if(and(hour(AJ346+AS$5)&gt;11,(hour(AJ346+AS$5)&lt;20)),AJ346+AS$5,_xlfn.workday.intl(int(AJ346),1,"1000000",Holidays!A:A)+hour(AJ346+AS$5-$B$1)/24+minute(AJ346)/1440),"")</f>
        <v/>
      </c>
      <c r="AT346" s="64" t="str">
        <f t="shared" si="21"/>
        <v/>
      </c>
      <c r="AV346" s="66" t="str">
        <f t="shared" si="25"/>
        <v/>
      </c>
      <c r="AW346" s="66"/>
      <c r="AX346" s="56"/>
    </row>
    <row r="347">
      <c r="A347" s="55">
        <v>45307.66184528935</v>
      </c>
      <c r="B347" s="56"/>
      <c r="C347" s="57"/>
      <c r="D347" s="57"/>
      <c r="E347" s="57"/>
      <c r="F347" s="57"/>
      <c r="G347" s="58">
        <f>if(A347,_xlfn.workday.intl(int(A347),1,"1000000",Holidays!A:A)+17/24,"")</f>
        <v>45308.70833</v>
      </c>
      <c r="H347" s="59" t="str">
        <f t="shared" si="23"/>
        <v/>
      </c>
      <c r="I347" s="60"/>
      <c r="J347" s="61">
        <f t="shared" si="2"/>
        <v>825.2755766</v>
      </c>
      <c r="K347" s="58">
        <f>if(G347,_xlfn.workday.intl(int(G347),0,"1000000",Holidays!A:A)+19/24,"")</f>
        <v>45308.79167</v>
      </c>
      <c r="L347" s="59" t="str">
        <f t="shared" si="3"/>
        <v/>
      </c>
      <c r="M347" s="60"/>
      <c r="N347" s="61">
        <f t="shared" si="4"/>
        <v>825.1922432</v>
      </c>
      <c r="O347" s="63">
        <f>if(A347,_xlfn.WORKDAY.INTL(A347,O$5,"1000000",Holidays!A:A)+hour(A347)/24+MINUTE(A347)/1440,"")</f>
        <v>45308.66181</v>
      </c>
      <c r="P347" s="64" t="s">
        <v>2718</v>
      </c>
      <c r="R347" s="66">
        <f t="shared" si="5"/>
        <v>825.3221043</v>
      </c>
      <c r="S347" s="66"/>
      <c r="T347" s="66"/>
      <c r="U347" s="64">
        <f>if(O347,_xlfn.WORKDAY.INTL(O347,U$5,"1000000",Holidays!A:A)+hour(O347)/24+MINUTE(O347)/1440,"")</f>
        <v>45309.66181</v>
      </c>
      <c r="V347" s="64" t="str">
        <f t="shared" si="6"/>
        <v/>
      </c>
      <c r="W347" s="66"/>
      <c r="X347" s="66">
        <f t="shared" si="7"/>
        <v>824.3221043</v>
      </c>
      <c r="Y347" s="66"/>
      <c r="Z347" s="66"/>
      <c r="AA347" s="66"/>
      <c r="AB347" s="63"/>
      <c r="AC347" s="63"/>
      <c r="AD347" s="63"/>
      <c r="AE347" s="63"/>
      <c r="AF347" s="63"/>
      <c r="AG347" s="63"/>
      <c r="AH347" s="63" t="str">
        <f t="shared" si="14"/>
        <v/>
      </c>
      <c r="AI347" s="63" t="str">
        <f>if(AH347,_xlfn.workday.intl(int(AH347),0,"1000000",Holidays!A:A)+18/24,"")</f>
        <v/>
      </c>
      <c r="AJ347" s="64" t="str">
        <f t="shared" si="24"/>
        <v/>
      </c>
      <c r="AL347" s="66" t="str">
        <f t="shared" si="9"/>
        <v/>
      </c>
      <c r="AM347" s="66"/>
      <c r="AN347" s="63" t="str">
        <f>if(AJ347,if(and(hour(AJ347+AN$5)&gt;11,(hour(AJ347+AN$5)&lt;20)),AJ347+AN$5,_xlfn.workday.intl(int(AJ347),1,"1000000",Holidays!A:A)+hour(AJ347+AN$5-$B$1)/24+minute(AJ347)/1440),"")</f>
        <v/>
      </c>
      <c r="AO347" s="64" t="str">
        <f t="shared" si="15"/>
        <v/>
      </c>
      <c r="AQ347" s="66" t="str">
        <f t="shared" si="16"/>
        <v/>
      </c>
      <c r="AR347" s="66"/>
      <c r="AS347" s="63" t="str">
        <f>if(AJ347,if(and(hour(AJ347+AS$5)&gt;11,(hour(AJ347+AS$5)&lt;20)),AJ347+AS$5,_xlfn.workday.intl(int(AJ347),1,"1000000",Holidays!A:A)+hour(AJ347+AS$5-$B$1)/24+minute(AJ347)/1440),"")</f>
        <v/>
      </c>
      <c r="AT347" s="64" t="str">
        <f t="shared" si="21"/>
        <v/>
      </c>
      <c r="AV347" s="66" t="str">
        <f t="shared" si="25"/>
        <v/>
      </c>
      <c r="AW347" s="66"/>
      <c r="AX347" s="56"/>
    </row>
    <row r="348">
      <c r="A348" s="55">
        <v>45307.66729729167</v>
      </c>
      <c r="B348" s="56"/>
      <c r="C348" s="57"/>
      <c r="D348" s="57"/>
      <c r="E348" s="57"/>
      <c r="F348" s="57"/>
      <c r="G348" s="58">
        <f>if(A348,_xlfn.workday.intl(int(A348),1,"1000000",Holidays!A:A)+17/24,"")</f>
        <v>45308.70833</v>
      </c>
      <c r="H348" s="59" t="str">
        <f t="shared" si="23"/>
        <v/>
      </c>
      <c r="I348" s="60"/>
      <c r="J348" s="61">
        <f t="shared" si="2"/>
        <v>825.2755766</v>
      </c>
      <c r="K348" s="58">
        <f>if(G348,_xlfn.workday.intl(int(G348),0,"1000000",Holidays!A:A)+19/24,"")</f>
        <v>45308.79167</v>
      </c>
      <c r="L348" s="59" t="str">
        <f t="shared" si="3"/>
        <v/>
      </c>
      <c r="M348" s="60"/>
      <c r="N348" s="61">
        <f t="shared" si="4"/>
        <v>825.1922432</v>
      </c>
      <c r="O348" s="63">
        <f>if(A348,_xlfn.WORKDAY.INTL(A348,O$5,"1000000",Holidays!A:A)+hour(A348)/24+MINUTE(A348)/1440,"")</f>
        <v>45308.66667</v>
      </c>
      <c r="P348" s="64" t="s">
        <v>2718</v>
      </c>
      <c r="R348" s="66">
        <f t="shared" si="5"/>
        <v>825.3172432</v>
      </c>
      <c r="S348" s="66"/>
      <c r="T348" s="66"/>
      <c r="U348" s="64">
        <f>if(O348,_xlfn.WORKDAY.INTL(O348,U$5,"1000000",Holidays!A:A)+hour(O348)/24+MINUTE(O348)/1440,"")</f>
        <v>45309.66667</v>
      </c>
      <c r="V348" s="64" t="str">
        <f t="shared" si="6"/>
        <v/>
      </c>
      <c r="W348" s="66"/>
      <c r="X348" s="66">
        <f t="shared" si="7"/>
        <v>824.3172432</v>
      </c>
      <c r="Y348" s="66"/>
      <c r="Z348" s="66"/>
      <c r="AA348" s="66"/>
      <c r="AB348" s="63"/>
      <c r="AC348" s="63"/>
      <c r="AD348" s="63"/>
      <c r="AE348" s="63"/>
      <c r="AF348" s="63"/>
      <c r="AG348" s="63"/>
      <c r="AH348" s="63" t="str">
        <f t="shared" si="14"/>
        <v/>
      </c>
      <c r="AI348" s="63" t="str">
        <f>if(AH348,_xlfn.workday.intl(int(AH348),0,"1000000",Holidays!A:A)+18/24,"")</f>
        <v/>
      </c>
      <c r="AJ348" s="64" t="str">
        <f t="shared" si="24"/>
        <v/>
      </c>
      <c r="AL348" s="66" t="str">
        <f t="shared" si="9"/>
        <v/>
      </c>
      <c r="AM348" s="66"/>
      <c r="AN348" s="63" t="str">
        <f>if(AJ348,if(and(hour(AJ348+AN$5)&gt;11,(hour(AJ348+AN$5)&lt;20)),AJ348+AN$5,_xlfn.workday.intl(int(AJ348),1,"1000000",Holidays!A:A)+hour(AJ348+AN$5-$B$1)/24+minute(AJ348)/1440),"")</f>
        <v/>
      </c>
      <c r="AO348" s="64" t="str">
        <f t="shared" si="15"/>
        <v/>
      </c>
      <c r="AQ348" s="66" t="str">
        <f t="shared" si="16"/>
        <v/>
      </c>
      <c r="AR348" s="66"/>
      <c r="AS348" s="63" t="str">
        <f>if(AJ348,if(and(hour(AJ348+AS$5)&gt;11,(hour(AJ348+AS$5)&lt;20)),AJ348+AS$5,_xlfn.workday.intl(int(AJ348),1,"1000000",Holidays!A:A)+hour(AJ348+AS$5-$B$1)/24+minute(AJ348)/1440),"")</f>
        <v/>
      </c>
      <c r="AT348" s="64" t="str">
        <f t="shared" si="21"/>
        <v/>
      </c>
      <c r="AV348" s="66" t="str">
        <f t="shared" si="25"/>
        <v/>
      </c>
      <c r="AW348" s="66"/>
      <c r="AX348" s="56"/>
    </row>
    <row r="349">
      <c r="A349" s="55">
        <v>45307.673482060185</v>
      </c>
      <c r="B349" s="56"/>
      <c r="C349" s="57"/>
      <c r="D349" s="57"/>
      <c r="E349" s="57"/>
      <c r="F349" s="57"/>
      <c r="G349" s="58">
        <f>if(A349,_xlfn.workday.intl(int(A349),1,"1000000",Holidays!A:A)+17/24,"")</f>
        <v>45308.70833</v>
      </c>
      <c r="H349" s="59" t="str">
        <f t="shared" si="23"/>
        <v/>
      </c>
      <c r="I349" s="60"/>
      <c r="J349" s="61">
        <f t="shared" si="2"/>
        <v>825.2755766</v>
      </c>
      <c r="K349" s="58">
        <f>if(G349,_xlfn.workday.intl(int(G349),0,"1000000",Holidays!A:A)+19/24,"")</f>
        <v>45308.79167</v>
      </c>
      <c r="L349" s="59" t="str">
        <f t="shared" si="3"/>
        <v/>
      </c>
      <c r="M349" s="60"/>
      <c r="N349" s="61">
        <f t="shared" si="4"/>
        <v>825.1922432</v>
      </c>
      <c r="O349" s="63">
        <f>if(A349,_xlfn.WORKDAY.INTL(A349,O$5,"1000000",Holidays!A:A)+hour(A349)/24+MINUTE(A349)/1440,"")</f>
        <v>45308.67292</v>
      </c>
      <c r="P349" s="64" t="s">
        <v>2718</v>
      </c>
      <c r="R349" s="66">
        <f t="shared" si="5"/>
        <v>825.3109932</v>
      </c>
      <c r="S349" s="66"/>
      <c r="T349" s="66"/>
      <c r="U349" s="64">
        <f>if(O349,_xlfn.WORKDAY.INTL(O349,U$5,"1000000",Holidays!A:A)+hour(O349)/24+MINUTE(O349)/1440,"")</f>
        <v>45309.67292</v>
      </c>
      <c r="V349" s="64" t="str">
        <f t="shared" si="6"/>
        <v/>
      </c>
      <c r="W349" s="66"/>
      <c r="X349" s="66">
        <f t="shared" si="7"/>
        <v>824.3109932</v>
      </c>
      <c r="Y349" s="66"/>
      <c r="Z349" s="66"/>
      <c r="AA349" s="66"/>
      <c r="AB349" s="63"/>
      <c r="AC349" s="63"/>
      <c r="AD349" s="63"/>
      <c r="AE349" s="63"/>
      <c r="AF349" s="63"/>
      <c r="AG349" s="63"/>
      <c r="AH349" s="63" t="str">
        <f t="shared" si="14"/>
        <v/>
      </c>
      <c r="AI349" s="63" t="str">
        <f>if(AH349,_xlfn.workday.intl(int(AH349),0,"1000000",Holidays!A:A)+18/24,"")</f>
        <v/>
      </c>
      <c r="AJ349" s="64" t="str">
        <f t="shared" si="24"/>
        <v/>
      </c>
      <c r="AL349" s="66" t="str">
        <f t="shared" si="9"/>
        <v/>
      </c>
      <c r="AM349" s="66"/>
      <c r="AN349" s="63" t="str">
        <f>if(AJ349,if(and(hour(AJ349+AN$5)&gt;11,(hour(AJ349+AN$5)&lt;20)),AJ349+AN$5,_xlfn.workday.intl(int(AJ349),1,"1000000",Holidays!A:A)+hour(AJ349+AN$5-$B$1)/24+minute(AJ349)/1440),"")</f>
        <v/>
      </c>
      <c r="AO349" s="64" t="str">
        <f t="shared" si="15"/>
        <v/>
      </c>
      <c r="AQ349" s="66" t="str">
        <f t="shared" si="16"/>
        <v/>
      </c>
      <c r="AR349" s="66"/>
      <c r="AS349" s="63" t="str">
        <f>if(AJ349,if(and(hour(AJ349+AS$5)&gt;11,(hour(AJ349+AS$5)&lt;20)),AJ349+AS$5,_xlfn.workday.intl(int(AJ349),1,"1000000",Holidays!A:A)+hour(AJ349+AS$5-$B$1)/24+minute(AJ349)/1440),"")</f>
        <v/>
      </c>
      <c r="AT349" s="64" t="str">
        <f t="shared" si="21"/>
        <v/>
      </c>
      <c r="AV349" s="66" t="str">
        <f t="shared" si="25"/>
        <v/>
      </c>
      <c r="AW349" s="66"/>
      <c r="AX349" s="56"/>
    </row>
    <row r="350">
      <c r="A350" s="55">
        <v>45307.67596811343</v>
      </c>
      <c r="B350" s="56"/>
      <c r="C350" s="57"/>
      <c r="D350" s="57"/>
      <c r="E350" s="57"/>
      <c r="F350" s="57"/>
      <c r="G350" s="58">
        <f>if(A350,_xlfn.workday.intl(int(A350),1,"1000000",Holidays!A:A)+17/24,"")</f>
        <v>45308.70833</v>
      </c>
      <c r="H350" s="59" t="str">
        <f t="shared" si="23"/>
        <v/>
      </c>
      <c r="I350" s="60"/>
      <c r="J350" s="61">
        <f t="shared" si="2"/>
        <v>825.2755766</v>
      </c>
      <c r="K350" s="58">
        <f>if(G350,_xlfn.workday.intl(int(G350),0,"1000000",Holidays!A:A)+19/24,"")</f>
        <v>45308.79167</v>
      </c>
      <c r="L350" s="59" t="str">
        <f t="shared" si="3"/>
        <v/>
      </c>
      <c r="M350" s="60"/>
      <c r="N350" s="61">
        <f t="shared" si="4"/>
        <v>825.1922432</v>
      </c>
      <c r="O350" s="63">
        <f>if(A350,_xlfn.WORKDAY.INTL(A350,O$5,"1000000",Holidays!A:A)+hour(A350)/24+MINUTE(A350)/1440,"")</f>
        <v>45308.67569</v>
      </c>
      <c r="P350" s="64" t="s">
        <v>2718</v>
      </c>
      <c r="R350" s="66">
        <f t="shared" si="5"/>
        <v>825.3082155</v>
      </c>
      <c r="S350" s="66"/>
      <c r="T350" s="66"/>
      <c r="U350" s="64">
        <f>if(O350,_xlfn.WORKDAY.INTL(O350,U$5,"1000000",Holidays!A:A)+hour(O350)/24+MINUTE(O350)/1440,"")</f>
        <v>45309.67569</v>
      </c>
      <c r="V350" s="64" t="str">
        <f t="shared" si="6"/>
        <v/>
      </c>
      <c r="W350" s="66"/>
      <c r="X350" s="66">
        <f t="shared" si="7"/>
        <v>824.3082155</v>
      </c>
      <c r="Y350" s="66"/>
      <c r="Z350" s="66"/>
      <c r="AA350" s="66"/>
      <c r="AB350" s="63"/>
      <c r="AC350" s="63"/>
      <c r="AD350" s="63"/>
      <c r="AE350" s="63"/>
      <c r="AF350" s="63"/>
      <c r="AG350" s="63"/>
      <c r="AH350" s="63" t="str">
        <f t="shared" si="14"/>
        <v/>
      </c>
      <c r="AI350" s="63" t="str">
        <f>if(AH350,_xlfn.workday.intl(int(AH350),0,"1000000",Holidays!A:A)+18/24,"")</f>
        <v/>
      </c>
      <c r="AJ350" s="64" t="str">
        <f t="shared" si="24"/>
        <v/>
      </c>
      <c r="AL350" s="66" t="str">
        <f t="shared" si="9"/>
        <v/>
      </c>
      <c r="AM350" s="66"/>
      <c r="AN350" s="63" t="str">
        <f>if(AJ350,if(and(hour(AJ350+AN$5)&gt;11,(hour(AJ350+AN$5)&lt;20)),AJ350+AN$5,_xlfn.workday.intl(int(AJ350),1,"1000000",Holidays!A:A)+hour(AJ350+AN$5-$B$1)/24+minute(AJ350)/1440),"")</f>
        <v/>
      </c>
      <c r="AO350" s="64" t="str">
        <f t="shared" si="15"/>
        <v/>
      </c>
      <c r="AQ350" s="66" t="str">
        <f t="shared" si="16"/>
        <v/>
      </c>
      <c r="AR350" s="66"/>
      <c r="AS350" s="63" t="str">
        <f>if(AJ350,if(and(hour(AJ350+AS$5)&gt;11,(hour(AJ350+AS$5)&lt;20)),AJ350+AS$5,_xlfn.workday.intl(int(AJ350),1,"1000000",Holidays!A:A)+hour(AJ350+AS$5-$B$1)/24+minute(AJ350)/1440),"")</f>
        <v/>
      </c>
      <c r="AT350" s="64" t="str">
        <f t="shared" si="21"/>
        <v/>
      </c>
      <c r="AV350" s="66" t="str">
        <f t="shared" si="25"/>
        <v/>
      </c>
      <c r="AW350" s="66"/>
      <c r="AX350" s="56"/>
    </row>
    <row r="351">
      <c r="A351" s="55">
        <v>45307.67864856482</v>
      </c>
      <c r="B351" s="56"/>
      <c r="C351" s="57"/>
      <c r="D351" s="57"/>
      <c r="E351" s="57"/>
      <c r="F351" s="57"/>
      <c r="G351" s="58">
        <f>if(A351,_xlfn.workday.intl(int(A351),1,"1000000",Holidays!A:A)+17/24,"")</f>
        <v>45308.70833</v>
      </c>
      <c r="H351" s="59" t="str">
        <f t="shared" si="23"/>
        <v/>
      </c>
      <c r="I351" s="60"/>
      <c r="J351" s="61">
        <f t="shared" si="2"/>
        <v>825.2755766</v>
      </c>
      <c r="K351" s="58">
        <f>if(G351,_xlfn.workday.intl(int(G351),0,"1000000",Holidays!A:A)+19/24,"")</f>
        <v>45308.79167</v>
      </c>
      <c r="L351" s="59" t="str">
        <f t="shared" si="3"/>
        <v/>
      </c>
      <c r="M351" s="60"/>
      <c r="N351" s="61">
        <f t="shared" si="4"/>
        <v>825.1922432</v>
      </c>
      <c r="O351" s="63">
        <f>if(A351,_xlfn.WORKDAY.INTL(A351,O$5,"1000000",Holidays!A:A)+hour(A351)/24+MINUTE(A351)/1440,"")</f>
        <v>45308.67847</v>
      </c>
      <c r="P351" s="64" t="s">
        <v>2718</v>
      </c>
      <c r="R351" s="66">
        <f t="shared" si="5"/>
        <v>825.3054377</v>
      </c>
      <c r="S351" s="66"/>
      <c r="T351" s="66"/>
      <c r="U351" s="64">
        <f>if(O351,_xlfn.WORKDAY.INTL(O351,U$5,"1000000",Holidays!A:A)+hour(O351)/24+MINUTE(O351)/1440,"")</f>
        <v>45309.67847</v>
      </c>
      <c r="V351" s="64" t="str">
        <f t="shared" si="6"/>
        <v/>
      </c>
      <c r="W351" s="66"/>
      <c r="X351" s="66">
        <f t="shared" si="7"/>
        <v>824.3054377</v>
      </c>
      <c r="Y351" s="66"/>
      <c r="Z351" s="66"/>
      <c r="AA351" s="66"/>
      <c r="AB351" s="63"/>
      <c r="AC351" s="63"/>
      <c r="AD351" s="63"/>
      <c r="AE351" s="63"/>
      <c r="AF351" s="63"/>
      <c r="AG351" s="63"/>
      <c r="AH351" s="63" t="str">
        <f t="shared" si="14"/>
        <v/>
      </c>
      <c r="AI351" s="63" t="str">
        <f>if(AH351,_xlfn.workday.intl(int(AH351),0,"1000000",Holidays!A:A)+18/24,"")</f>
        <v/>
      </c>
      <c r="AJ351" s="64" t="str">
        <f t="shared" si="24"/>
        <v/>
      </c>
      <c r="AL351" s="66" t="str">
        <f t="shared" si="9"/>
        <v/>
      </c>
      <c r="AM351" s="66"/>
      <c r="AN351" s="63" t="str">
        <f>if(AJ351,if(and(hour(AJ351+AN$5)&gt;11,(hour(AJ351+AN$5)&lt;20)),AJ351+AN$5,_xlfn.workday.intl(int(AJ351),1,"1000000",Holidays!A:A)+hour(AJ351+AN$5-$B$1)/24+minute(AJ351)/1440),"")</f>
        <v/>
      </c>
      <c r="AO351" s="64" t="str">
        <f t="shared" si="15"/>
        <v/>
      </c>
      <c r="AQ351" s="66" t="str">
        <f t="shared" si="16"/>
        <v/>
      </c>
      <c r="AR351" s="66"/>
      <c r="AS351" s="63" t="str">
        <f>if(AJ351,if(and(hour(AJ351+AS$5)&gt;11,(hour(AJ351+AS$5)&lt;20)),AJ351+AS$5,_xlfn.workday.intl(int(AJ351),1,"1000000",Holidays!A:A)+hour(AJ351+AS$5-$B$1)/24+minute(AJ351)/1440),"")</f>
        <v/>
      </c>
      <c r="AT351" s="64" t="str">
        <f t="shared" si="21"/>
        <v/>
      </c>
      <c r="AV351" s="66" t="str">
        <f t="shared" si="25"/>
        <v/>
      </c>
      <c r="AW351" s="66"/>
      <c r="AX351" s="56"/>
    </row>
    <row r="352">
      <c r="A352" s="55">
        <v>45307.68543820602</v>
      </c>
      <c r="B352" s="56"/>
      <c r="C352" s="57"/>
      <c r="D352" s="57"/>
      <c r="E352" s="57"/>
      <c r="F352" s="57"/>
      <c r="G352" s="58">
        <f>if(A352,_xlfn.workday.intl(int(A352),1,"1000000",Holidays!A:A)+17/24,"")</f>
        <v>45308.70833</v>
      </c>
      <c r="H352" s="59" t="str">
        <f t="shared" si="23"/>
        <v/>
      </c>
      <c r="I352" s="60"/>
      <c r="J352" s="61">
        <f t="shared" si="2"/>
        <v>825.2755766</v>
      </c>
      <c r="K352" s="58">
        <f>if(G352,_xlfn.workday.intl(int(G352),0,"1000000",Holidays!A:A)+19/24,"")</f>
        <v>45308.79167</v>
      </c>
      <c r="L352" s="59" t="str">
        <f t="shared" si="3"/>
        <v/>
      </c>
      <c r="M352" s="60"/>
      <c r="N352" s="61">
        <f t="shared" si="4"/>
        <v>825.1922432</v>
      </c>
      <c r="O352" s="63">
        <f>if(A352,_xlfn.WORKDAY.INTL(A352,O$5,"1000000",Holidays!A:A)+hour(A352)/24+MINUTE(A352)/1440,"")</f>
        <v>45308.68542</v>
      </c>
      <c r="P352" s="64" t="s">
        <v>2718</v>
      </c>
      <c r="R352" s="66">
        <f t="shared" si="5"/>
        <v>825.2984932</v>
      </c>
      <c r="S352" s="66"/>
      <c r="T352" s="66"/>
      <c r="U352" s="64">
        <f>if(O352,_xlfn.WORKDAY.INTL(O352,U$5,"1000000",Holidays!A:A)+hour(O352)/24+MINUTE(O352)/1440,"")</f>
        <v>45309.68542</v>
      </c>
      <c r="V352" s="64" t="str">
        <f t="shared" si="6"/>
        <v/>
      </c>
      <c r="W352" s="66"/>
      <c r="X352" s="66">
        <f t="shared" si="7"/>
        <v>824.2984932</v>
      </c>
      <c r="Y352" s="66"/>
      <c r="Z352" s="66"/>
      <c r="AA352" s="66"/>
      <c r="AB352" s="63"/>
      <c r="AC352" s="63"/>
      <c r="AD352" s="63"/>
      <c r="AE352" s="63"/>
      <c r="AF352" s="63"/>
      <c r="AG352" s="63"/>
      <c r="AH352" s="63" t="str">
        <f t="shared" si="14"/>
        <v/>
      </c>
      <c r="AI352" s="63" t="str">
        <f>if(AH352,_xlfn.workday.intl(int(AH352),0,"1000000",Holidays!A:A)+18/24,"")</f>
        <v/>
      </c>
      <c r="AJ352" s="64" t="str">
        <f t="shared" si="24"/>
        <v/>
      </c>
      <c r="AL352" s="66" t="str">
        <f t="shared" si="9"/>
        <v/>
      </c>
      <c r="AM352" s="66"/>
      <c r="AN352" s="63" t="str">
        <f>if(AJ352,if(and(hour(AJ352+AN$5)&gt;11,(hour(AJ352+AN$5)&lt;20)),AJ352+AN$5,_xlfn.workday.intl(int(AJ352),1,"1000000",Holidays!A:A)+hour(AJ352+AN$5-$B$1)/24+minute(AJ352)/1440),"")</f>
        <v/>
      </c>
      <c r="AO352" s="64" t="str">
        <f t="shared" si="15"/>
        <v/>
      </c>
      <c r="AQ352" s="66" t="str">
        <f t="shared" si="16"/>
        <v/>
      </c>
      <c r="AR352" s="66"/>
      <c r="AS352" s="63" t="str">
        <f>if(AJ352,if(and(hour(AJ352+AS$5)&gt;11,(hour(AJ352+AS$5)&lt;20)),AJ352+AS$5,_xlfn.workday.intl(int(AJ352),1,"1000000",Holidays!A:A)+hour(AJ352+AS$5-$B$1)/24+minute(AJ352)/1440),"")</f>
        <v/>
      </c>
      <c r="AT352" s="64" t="str">
        <f t="shared" si="21"/>
        <v/>
      </c>
      <c r="AV352" s="66" t="str">
        <f t="shared" si="25"/>
        <v/>
      </c>
      <c r="AW352" s="66"/>
      <c r="AX352" s="56"/>
    </row>
    <row r="353">
      <c r="A353" s="55">
        <v>45307.74230608797</v>
      </c>
      <c r="B353" s="56"/>
      <c r="C353" s="57"/>
      <c r="D353" s="57"/>
      <c r="E353" s="57"/>
      <c r="F353" s="57"/>
      <c r="G353" s="58">
        <f>if(A353,_xlfn.workday.intl(int(A353),1,"1000000",Holidays!A:A)+17/24,"")</f>
        <v>45308.70833</v>
      </c>
      <c r="H353" s="59" t="str">
        <f t="shared" si="23"/>
        <v/>
      </c>
      <c r="I353" s="60"/>
      <c r="J353" s="61">
        <f t="shared" si="2"/>
        <v>825.2755766</v>
      </c>
      <c r="K353" s="58">
        <f>if(G353,_xlfn.workday.intl(int(G353),0,"1000000",Holidays!A:A)+19/24,"")</f>
        <v>45308.79167</v>
      </c>
      <c r="L353" s="59" t="str">
        <f t="shared" si="3"/>
        <v/>
      </c>
      <c r="M353" s="60"/>
      <c r="N353" s="61">
        <f t="shared" si="4"/>
        <v>825.1922432</v>
      </c>
      <c r="O353" s="63">
        <f>if(A353,_xlfn.WORKDAY.INTL(A353,O$5,"1000000",Holidays!A:A)+hour(A353)/24+MINUTE(A353)/1440,"")</f>
        <v>45308.74167</v>
      </c>
      <c r="P353" s="64" t="s">
        <v>2718</v>
      </c>
      <c r="R353" s="66">
        <f t="shared" si="5"/>
        <v>825.2422432</v>
      </c>
      <c r="S353" s="66"/>
      <c r="T353" s="66"/>
      <c r="U353" s="64">
        <f>if(O353,_xlfn.WORKDAY.INTL(O353,U$5,"1000000",Holidays!A:A)+hour(O353)/24+MINUTE(O353)/1440,"")</f>
        <v>45309.74167</v>
      </c>
      <c r="V353" s="64" t="str">
        <f t="shared" si="6"/>
        <v/>
      </c>
      <c r="W353" s="66"/>
      <c r="X353" s="66">
        <f t="shared" si="7"/>
        <v>824.2422432</v>
      </c>
      <c r="Y353" s="66"/>
      <c r="Z353" s="66"/>
      <c r="AA353" s="66"/>
      <c r="AB353" s="63"/>
      <c r="AC353" s="63"/>
      <c r="AD353" s="63"/>
      <c r="AE353" s="63"/>
      <c r="AF353" s="63"/>
      <c r="AG353" s="63"/>
      <c r="AH353" s="63" t="str">
        <f t="shared" si="14"/>
        <v/>
      </c>
      <c r="AI353" s="63" t="str">
        <f>if(AH353,_xlfn.workday.intl(int(AH353),0,"1000000",Holidays!A:A)+18/24,"")</f>
        <v/>
      </c>
      <c r="AJ353" s="64" t="str">
        <f t="shared" si="24"/>
        <v/>
      </c>
      <c r="AL353" s="66" t="str">
        <f t="shared" si="9"/>
        <v/>
      </c>
      <c r="AM353" s="66"/>
      <c r="AN353" s="63" t="str">
        <f>if(AJ353,if(and(hour(AJ353+AN$5)&gt;11,(hour(AJ353+AN$5)&lt;20)),AJ353+AN$5,_xlfn.workday.intl(int(AJ353),1,"1000000",Holidays!A:A)+hour(AJ353+AN$5-$B$1)/24+minute(AJ353)/1440),"")</f>
        <v/>
      </c>
      <c r="AO353" s="64" t="str">
        <f t="shared" si="15"/>
        <v/>
      </c>
      <c r="AQ353" s="66" t="str">
        <f t="shared" si="16"/>
        <v/>
      </c>
      <c r="AR353" s="66"/>
      <c r="AS353" s="63" t="str">
        <f>if(AJ353,if(and(hour(AJ353+AS$5)&gt;11,(hour(AJ353+AS$5)&lt;20)),AJ353+AS$5,_xlfn.workday.intl(int(AJ353),1,"1000000",Holidays!A:A)+hour(AJ353+AS$5-$B$1)/24+minute(AJ353)/1440),"")</f>
        <v/>
      </c>
      <c r="AT353" s="64" t="str">
        <f t="shared" si="21"/>
        <v/>
      </c>
      <c r="AV353" s="66" t="str">
        <f t="shared" si="25"/>
        <v/>
      </c>
      <c r="AW353" s="66"/>
      <c r="AX353" s="56"/>
    </row>
    <row r="354">
      <c r="A354" s="55"/>
      <c r="B354" s="56"/>
      <c r="C354" s="57"/>
      <c r="D354" s="57"/>
      <c r="E354" s="57"/>
      <c r="F354" s="57"/>
      <c r="G354" s="58" t="str">
        <f>if(A354,_xlfn.workday.intl(int(A354),1,"1000000",Holidays!A:A)+17/24,"")</f>
        <v/>
      </c>
      <c r="H354" s="59" t="str">
        <f t="shared" si="23"/>
        <v/>
      </c>
      <c r="I354" s="60"/>
      <c r="J354" s="61" t="str">
        <f t="shared" si="2"/>
        <v/>
      </c>
      <c r="K354" s="58" t="str">
        <f>if(G354,_xlfn.workday.intl(int(G354),0,"1000000",Holidays!A:A)+19/24,"")</f>
        <v/>
      </c>
      <c r="L354" s="59" t="str">
        <f t="shared" si="3"/>
        <v/>
      </c>
      <c r="M354" s="60"/>
      <c r="N354" s="61" t="str">
        <f t="shared" si="4"/>
        <v/>
      </c>
      <c r="O354" s="63" t="str">
        <f>if(A354,_xlfn.WORKDAY.INTL(A354,O$5,"1000000",Holidays!A:A)+hour(A354)/24+MINUTE(A354)/1440,"")</f>
        <v/>
      </c>
      <c r="P354" s="64" t="s">
        <v>2718</v>
      </c>
      <c r="R354" s="66" t="str">
        <f t="shared" si="5"/>
        <v/>
      </c>
      <c r="S354" s="66"/>
      <c r="T354" s="66"/>
      <c r="U354" s="64" t="str">
        <f>if(O354,_xlfn.WORKDAY.INTL(O354,U$5,"1000000",Holidays!A:A)+hour(O354)/24+MINUTE(O354)/1440,"")</f>
        <v/>
      </c>
      <c r="V354" s="64" t="str">
        <f t="shared" si="6"/>
        <v/>
      </c>
      <c r="W354" s="66"/>
      <c r="X354" s="66" t="str">
        <f t="shared" si="7"/>
        <v/>
      </c>
      <c r="Y354" s="66"/>
      <c r="Z354" s="66"/>
      <c r="AA354" s="66"/>
      <c r="AB354" s="63"/>
      <c r="AC354" s="63"/>
      <c r="AD354" s="63"/>
      <c r="AE354" s="63"/>
      <c r="AF354" s="63"/>
      <c r="AG354" s="63"/>
      <c r="AH354" s="63" t="str">
        <f t="shared" si="14"/>
        <v/>
      </c>
      <c r="AI354" s="63" t="str">
        <f>if(AH354,_xlfn.workday.intl(int(AH354),0,"1000000",Holidays!A:A)+18/24,"")</f>
        <v/>
      </c>
      <c r="AJ354" s="64" t="str">
        <f t="shared" si="24"/>
        <v/>
      </c>
      <c r="AL354" s="66" t="str">
        <f t="shared" si="9"/>
        <v/>
      </c>
      <c r="AM354" s="66"/>
      <c r="AN354" s="63" t="str">
        <f>if(AJ354,if(and(hour(AJ354+AN$5)&gt;11,(hour(AJ354+AN$5)&lt;20)),AJ354+AN$5,_xlfn.workday.intl(int(AJ354),1,"1000000",Holidays!A:A)+hour(AJ354+AN$5-$B$1)/24+minute(AJ354)/1440),"")</f>
        <v/>
      </c>
      <c r="AO354" s="64" t="str">
        <f t="shared" si="15"/>
        <v/>
      </c>
      <c r="AQ354" s="66" t="str">
        <f t="shared" si="16"/>
        <v/>
      </c>
      <c r="AR354" s="66"/>
      <c r="AS354" s="63" t="str">
        <f>if(AJ354,if(and(hour(AJ354+AS$5)&gt;11,(hour(AJ354+AS$5)&lt;20)),AJ354+AS$5,_xlfn.workday.intl(int(AJ354),1,"1000000",Holidays!A:A)+hour(AJ354+AS$5-$B$1)/24+minute(AJ354)/1440),"")</f>
        <v/>
      </c>
      <c r="AT354" s="64" t="str">
        <f t="shared" si="21"/>
        <v/>
      </c>
      <c r="AV354" s="66" t="str">
        <f t="shared" si="25"/>
        <v/>
      </c>
      <c r="AW354" s="66"/>
      <c r="AX354" s="56"/>
    </row>
    <row r="355">
      <c r="A355" s="55">
        <v>45308.68636523148</v>
      </c>
      <c r="B355" s="56"/>
      <c r="C355" s="57"/>
      <c r="D355" s="57"/>
      <c r="E355" s="57"/>
      <c r="F355" s="57"/>
      <c r="G355" s="58">
        <f>if(A355,_xlfn.workday.intl(int(A355),1,"1000000",Holidays!A:A)+17/24,"")</f>
        <v>45309.70833</v>
      </c>
      <c r="H355" s="59" t="str">
        <f t="shared" si="23"/>
        <v/>
      </c>
      <c r="I355" s="60"/>
      <c r="J355" s="61">
        <f t="shared" si="2"/>
        <v>824.2755766</v>
      </c>
      <c r="K355" s="58">
        <f>if(G355,_xlfn.workday.intl(int(G355),0,"1000000",Holidays!A:A)+19/24,"")</f>
        <v>45309.79167</v>
      </c>
      <c r="L355" s="59" t="str">
        <f t="shared" si="3"/>
        <v/>
      </c>
      <c r="M355" s="60"/>
      <c r="N355" s="61">
        <f t="shared" si="4"/>
        <v>824.1922432</v>
      </c>
      <c r="O355" s="63">
        <f>if(A355,_xlfn.WORKDAY.INTL(A355,O$5,"1000000",Holidays!A:A)+hour(A355)/24+MINUTE(A355)/1440,"")</f>
        <v>45309.68611</v>
      </c>
      <c r="P355" s="64" t="s">
        <v>2718</v>
      </c>
      <c r="R355" s="66">
        <f t="shared" si="5"/>
        <v>824.2977988</v>
      </c>
      <c r="S355" s="66"/>
      <c r="T355" s="66"/>
      <c r="U355" s="64">
        <f>if(O355,_xlfn.WORKDAY.INTL(O355,U$5,"1000000",Holidays!A:A)+hour(O355)/24+MINUTE(O355)/1440,"")</f>
        <v>45310.68611</v>
      </c>
      <c r="V355" s="64" t="str">
        <f t="shared" si="6"/>
        <v/>
      </c>
      <c r="W355" s="66"/>
      <c r="X355" s="66">
        <f t="shared" si="7"/>
        <v>823.2977988</v>
      </c>
      <c r="Y355" s="66"/>
      <c r="Z355" s="66"/>
      <c r="AA355" s="66"/>
      <c r="AB355" s="63"/>
      <c r="AC355" s="63"/>
      <c r="AD355" s="63"/>
      <c r="AE355" s="63"/>
      <c r="AF355" s="63"/>
      <c r="AG355" s="63"/>
      <c r="AH355" s="63" t="str">
        <f t="shared" si="14"/>
        <v/>
      </c>
      <c r="AI355" s="63" t="str">
        <f>if(AH355,_xlfn.workday.intl(int(AH355),0,"1000000",Holidays!A:A)+18/24,"")</f>
        <v/>
      </c>
      <c r="AJ355" s="64" t="str">
        <f t="shared" si="24"/>
        <v/>
      </c>
      <c r="AL355" s="66" t="str">
        <f t="shared" si="9"/>
        <v/>
      </c>
      <c r="AM355" s="66"/>
      <c r="AN355" s="63" t="str">
        <f>if(AJ355,if(and(hour(AJ355+AN$5)&gt;11,(hour(AJ355+AN$5)&lt;20)),AJ355+AN$5,_xlfn.workday.intl(int(AJ355),1,"1000000",Holidays!A:A)+hour(AJ355+AN$5-$B$1)/24+minute(AJ355)/1440),"")</f>
        <v/>
      </c>
      <c r="AO355" s="64" t="str">
        <f t="shared" si="15"/>
        <v/>
      </c>
      <c r="AQ355" s="66" t="str">
        <f t="shared" si="16"/>
        <v/>
      </c>
      <c r="AR355" s="66"/>
      <c r="AS355" s="63" t="str">
        <f>if(AJ355,if(and(hour(AJ355+AS$5)&gt;11,(hour(AJ355+AS$5)&lt;20)),AJ355+AS$5,_xlfn.workday.intl(int(AJ355),1,"1000000",Holidays!A:A)+hour(AJ355+AS$5-$B$1)/24+minute(AJ355)/1440),"")</f>
        <v/>
      </c>
      <c r="AT355" s="64" t="str">
        <f t="shared" si="21"/>
        <v/>
      </c>
      <c r="AV355" s="66" t="str">
        <f t="shared" si="25"/>
        <v/>
      </c>
      <c r="AW355" s="66"/>
      <c r="AX355" s="56"/>
    </row>
    <row r="356">
      <c r="A356" s="55">
        <v>45308.689778472224</v>
      </c>
      <c r="B356" s="56"/>
      <c r="C356" s="57"/>
      <c r="D356" s="57"/>
      <c r="E356" s="57"/>
      <c r="F356" s="57"/>
      <c r="G356" s="58">
        <f>if(A356,_xlfn.workday.intl(int(A356),1,"1000000",Holidays!A:A)+17/24,"")</f>
        <v>45309.70833</v>
      </c>
      <c r="H356" s="59" t="str">
        <f t="shared" si="23"/>
        <v/>
      </c>
      <c r="I356" s="60"/>
      <c r="J356" s="61">
        <f t="shared" si="2"/>
        <v>824.2755766</v>
      </c>
      <c r="K356" s="58">
        <f>if(G356,_xlfn.workday.intl(int(G356),0,"1000000",Holidays!A:A)+19/24,"")</f>
        <v>45309.79167</v>
      </c>
      <c r="L356" s="59" t="str">
        <f t="shared" si="3"/>
        <v/>
      </c>
      <c r="M356" s="60"/>
      <c r="N356" s="61">
        <f t="shared" si="4"/>
        <v>824.1922432</v>
      </c>
      <c r="O356" s="63">
        <f>if(A356,_xlfn.WORKDAY.INTL(A356,O$5,"1000000",Holidays!A:A)+hour(A356)/24+MINUTE(A356)/1440,"")</f>
        <v>45309.68958</v>
      </c>
      <c r="P356" s="64" t="s">
        <v>2718</v>
      </c>
      <c r="R356" s="66">
        <f t="shared" si="5"/>
        <v>824.2943266</v>
      </c>
      <c r="S356" s="66"/>
      <c r="T356" s="66"/>
      <c r="U356" s="64">
        <f>if(O356,_xlfn.WORKDAY.INTL(O356,U$5,"1000000",Holidays!A:A)+hour(O356)/24+MINUTE(O356)/1440,"")</f>
        <v>45310.68958</v>
      </c>
      <c r="V356" s="64" t="str">
        <f t="shared" si="6"/>
        <v/>
      </c>
      <c r="W356" s="66"/>
      <c r="X356" s="66">
        <f t="shared" si="7"/>
        <v>823.2943266</v>
      </c>
      <c r="Y356" s="66"/>
      <c r="Z356" s="66"/>
      <c r="AA356" s="66"/>
      <c r="AB356" s="63"/>
      <c r="AC356" s="63"/>
      <c r="AD356" s="63"/>
      <c r="AE356" s="63"/>
      <c r="AF356" s="63"/>
      <c r="AG356" s="63"/>
      <c r="AH356" s="63" t="str">
        <f t="shared" si="14"/>
        <v/>
      </c>
      <c r="AI356" s="63" t="str">
        <f>if(AH356,_xlfn.workday.intl(int(AH356),0,"1000000",Holidays!A:A)+18/24,"")</f>
        <v/>
      </c>
      <c r="AJ356" s="64" t="str">
        <f t="shared" si="24"/>
        <v/>
      </c>
      <c r="AL356" s="66" t="str">
        <f t="shared" si="9"/>
        <v/>
      </c>
      <c r="AM356" s="66"/>
      <c r="AN356" s="63" t="str">
        <f>if(AJ356,if(and(hour(AJ356+AN$5)&gt;11,(hour(AJ356+AN$5)&lt;20)),AJ356+AN$5,_xlfn.workday.intl(int(AJ356),1,"1000000",Holidays!A:A)+hour(AJ356+AN$5-$B$1)/24+minute(AJ356)/1440),"")</f>
        <v/>
      </c>
      <c r="AO356" s="64" t="str">
        <f t="shared" si="15"/>
        <v/>
      </c>
      <c r="AQ356" s="66" t="str">
        <f t="shared" si="16"/>
        <v/>
      </c>
      <c r="AR356" s="66"/>
      <c r="AS356" s="63" t="str">
        <f>if(AJ356,if(and(hour(AJ356+AS$5)&gt;11,(hour(AJ356+AS$5)&lt;20)),AJ356+AS$5,_xlfn.workday.intl(int(AJ356),1,"1000000",Holidays!A:A)+hour(AJ356+AS$5-$B$1)/24+minute(AJ356)/1440),"")</f>
        <v/>
      </c>
      <c r="AT356" s="64" t="str">
        <f t="shared" si="21"/>
        <v/>
      </c>
      <c r="AV356" s="66" t="str">
        <f t="shared" si="25"/>
        <v/>
      </c>
      <c r="AW356" s="66"/>
      <c r="AX356" s="56"/>
    </row>
    <row r="357">
      <c r="A357" s="55">
        <v>45308.69872138889</v>
      </c>
      <c r="B357" s="56"/>
      <c r="C357" s="57"/>
      <c r="D357" s="57"/>
      <c r="E357" s="57"/>
      <c r="F357" s="57"/>
      <c r="G357" s="58">
        <f>if(A357,_xlfn.workday.intl(int(A357),1,"1000000",Holidays!A:A)+17/24,"")</f>
        <v>45309.70833</v>
      </c>
      <c r="H357" s="59" t="str">
        <f t="shared" si="23"/>
        <v/>
      </c>
      <c r="I357" s="60"/>
      <c r="J357" s="61">
        <f t="shared" si="2"/>
        <v>824.2755766</v>
      </c>
      <c r="K357" s="58">
        <f>if(G357,_xlfn.workday.intl(int(G357),0,"1000000",Holidays!A:A)+19/24,"")</f>
        <v>45309.79167</v>
      </c>
      <c r="L357" s="59" t="str">
        <f t="shared" si="3"/>
        <v/>
      </c>
      <c r="M357" s="60"/>
      <c r="N357" s="61">
        <f t="shared" si="4"/>
        <v>824.1922432</v>
      </c>
      <c r="O357" s="63">
        <f>if(A357,_xlfn.WORKDAY.INTL(A357,O$5,"1000000",Holidays!A:A)+hour(A357)/24+MINUTE(A357)/1440,"")</f>
        <v>45309.69861</v>
      </c>
      <c r="P357" s="64" t="s">
        <v>2718</v>
      </c>
      <c r="R357" s="66">
        <f t="shared" si="5"/>
        <v>824.2852988</v>
      </c>
      <c r="S357" s="66"/>
      <c r="T357" s="66"/>
      <c r="U357" s="64">
        <f>if(O357,_xlfn.WORKDAY.INTL(O357,U$5,"1000000",Holidays!A:A)+hour(O357)/24+MINUTE(O357)/1440,"")</f>
        <v>45310.69861</v>
      </c>
      <c r="V357" s="64" t="str">
        <f t="shared" si="6"/>
        <v/>
      </c>
      <c r="W357" s="66"/>
      <c r="X357" s="66">
        <f t="shared" si="7"/>
        <v>823.2852988</v>
      </c>
      <c r="Y357" s="66"/>
      <c r="Z357" s="66"/>
      <c r="AA357" s="66"/>
      <c r="AB357" s="63"/>
      <c r="AC357" s="63"/>
      <c r="AD357" s="63"/>
      <c r="AE357" s="63"/>
      <c r="AF357" s="63"/>
      <c r="AG357" s="63"/>
      <c r="AH357" s="63" t="str">
        <f t="shared" si="14"/>
        <v/>
      </c>
      <c r="AI357" s="63" t="str">
        <f>if(AH357,_xlfn.workday.intl(int(AH357),0,"1000000",Holidays!A:A)+18/24,"")</f>
        <v/>
      </c>
      <c r="AJ357" s="64" t="str">
        <f t="shared" si="24"/>
        <v/>
      </c>
      <c r="AL357" s="66" t="str">
        <f t="shared" si="9"/>
        <v/>
      </c>
      <c r="AM357" s="66"/>
      <c r="AN357" s="63" t="str">
        <f>if(AJ357,if(and(hour(AJ357+AN$5)&gt;11,(hour(AJ357+AN$5)&lt;20)),AJ357+AN$5,_xlfn.workday.intl(int(AJ357),1,"1000000",Holidays!A:A)+hour(AJ357+AN$5-$B$1)/24+minute(AJ357)/1440),"")</f>
        <v/>
      </c>
      <c r="AO357" s="64" t="str">
        <f t="shared" si="15"/>
        <v/>
      </c>
      <c r="AQ357" s="66" t="str">
        <f t="shared" si="16"/>
        <v/>
      </c>
      <c r="AR357" s="66"/>
      <c r="AS357" s="63" t="str">
        <f>if(AJ357,if(and(hour(AJ357+AS$5)&gt;11,(hour(AJ357+AS$5)&lt;20)),AJ357+AS$5,_xlfn.workday.intl(int(AJ357),1,"1000000",Holidays!A:A)+hour(AJ357+AS$5-$B$1)/24+minute(AJ357)/1440),"")</f>
        <v/>
      </c>
      <c r="AT357" s="64" t="str">
        <f t="shared" si="21"/>
        <v/>
      </c>
      <c r="AV357" s="66" t="str">
        <f t="shared" si="25"/>
        <v/>
      </c>
      <c r="AW357" s="66"/>
      <c r="AX357" s="56"/>
    </row>
    <row r="358">
      <c r="A358" s="55">
        <v>45309.61803224537</v>
      </c>
      <c r="B358" s="56"/>
      <c r="C358" s="57"/>
      <c r="D358" s="57"/>
      <c r="E358" s="57"/>
      <c r="F358" s="57"/>
      <c r="G358" s="58">
        <f>if(A358,_xlfn.workday.intl(int(A358),1,"1000000",Holidays!A:A)+17/24,"")</f>
        <v>45310.70833</v>
      </c>
      <c r="H358" s="59" t="str">
        <f t="shared" si="23"/>
        <v/>
      </c>
      <c r="I358" s="60"/>
      <c r="J358" s="61">
        <f t="shared" si="2"/>
        <v>823.2755766</v>
      </c>
      <c r="K358" s="58">
        <f>if(G358,_xlfn.workday.intl(int(G358),0,"1000000",Holidays!A:A)+19/24,"")</f>
        <v>45310.79167</v>
      </c>
      <c r="L358" s="59" t="str">
        <f t="shared" si="3"/>
        <v/>
      </c>
      <c r="M358" s="60"/>
      <c r="N358" s="61">
        <f t="shared" si="4"/>
        <v>823.1922432</v>
      </c>
      <c r="O358" s="63">
        <f>if(A358,_xlfn.WORKDAY.INTL(A358,O$5,"1000000",Holidays!A:A)+hour(A358)/24+MINUTE(A358)/1440,"")</f>
        <v>45310.61736</v>
      </c>
      <c r="P358" s="64" t="s">
        <v>2718</v>
      </c>
      <c r="R358" s="66">
        <f t="shared" si="5"/>
        <v>823.3665488</v>
      </c>
      <c r="S358" s="66"/>
      <c r="T358" s="66"/>
      <c r="U358" s="64">
        <f>if(O358,_xlfn.WORKDAY.INTL(O358,U$5,"1000000",Holidays!A:A)+hour(O358)/24+MINUTE(O358)/1440,"")</f>
        <v>45311.61736</v>
      </c>
      <c r="V358" s="64" t="str">
        <f t="shared" si="6"/>
        <v/>
      </c>
      <c r="W358" s="66"/>
      <c r="X358" s="66">
        <f t="shared" si="7"/>
        <v>822.3665488</v>
      </c>
      <c r="Y358" s="66"/>
      <c r="Z358" s="66"/>
      <c r="AA358" s="66"/>
      <c r="AB358" s="63"/>
      <c r="AC358" s="63"/>
      <c r="AD358" s="63"/>
      <c r="AE358" s="63"/>
      <c r="AF358" s="63"/>
      <c r="AG358" s="63"/>
      <c r="AH358" s="63" t="str">
        <f t="shared" si="14"/>
        <v/>
      </c>
      <c r="AI358" s="63" t="str">
        <f>if(AH358,_xlfn.workday.intl(int(AH358),0,"1000000",Holidays!A:A)+18/24,"")</f>
        <v/>
      </c>
      <c r="AJ358" s="64" t="str">
        <f t="shared" si="24"/>
        <v/>
      </c>
      <c r="AL358" s="66" t="str">
        <f t="shared" si="9"/>
        <v/>
      </c>
      <c r="AM358" s="66"/>
      <c r="AN358" s="63" t="str">
        <f>if(AJ358,if(and(hour(AJ358+AN$5)&gt;11,(hour(AJ358+AN$5)&lt;20)),AJ358+AN$5,_xlfn.workday.intl(int(AJ358),1,"1000000",Holidays!A:A)+hour(AJ358+AN$5-$B$1)/24+minute(AJ358)/1440),"")</f>
        <v/>
      </c>
      <c r="AO358" s="64" t="str">
        <f t="shared" si="15"/>
        <v/>
      </c>
      <c r="AQ358" s="66" t="str">
        <f t="shared" si="16"/>
        <v/>
      </c>
      <c r="AR358" s="66"/>
      <c r="AS358" s="63" t="str">
        <f>if(AJ358,if(and(hour(AJ358+AS$5)&gt;11,(hour(AJ358+AS$5)&lt;20)),AJ358+AS$5,_xlfn.workday.intl(int(AJ358),1,"1000000",Holidays!A:A)+hour(AJ358+AS$5-$B$1)/24+minute(AJ358)/1440),"")</f>
        <v/>
      </c>
      <c r="AT358" s="64" t="str">
        <f t="shared" si="21"/>
        <v/>
      </c>
      <c r="AV358" s="66" t="str">
        <f t="shared" si="25"/>
        <v/>
      </c>
      <c r="AW358" s="66"/>
      <c r="AX358" s="56"/>
    </row>
    <row r="359">
      <c r="A359" s="55">
        <v>45309.62376387732</v>
      </c>
      <c r="B359" s="56"/>
      <c r="C359" s="57"/>
      <c r="D359" s="57"/>
      <c r="E359" s="57"/>
      <c r="F359" s="57"/>
      <c r="G359" s="58">
        <f>if(A359,_xlfn.workday.intl(int(A359),1,"1000000",Holidays!A:A)+17/24,"")</f>
        <v>45310.70833</v>
      </c>
      <c r="H359" s="59" t="str">
        <f t="shared" si="23"/>
        <v/>
      </c>
      <c r="I359" s="60"/>
      <c r="J359" s="61">
        <f t="shared" si="2"/>
        <v>823.2755766</v>
      </c>
      <c r="K359" s="58">
        <f>if(G359,_xlfn.workday.intl(int(G359),0,"1000000",Holidays!A:A)+19/24,"")</f>
        <v>45310.79167</v>
      </c>
      <c r="L359" s="59" t="str">
        <f t="shared" si="3"/>
        <v/>
      </c>
      <c r="M359" s="60"/>
      <c r="N359" s="61">
        <f t="shared" si="4"/>
        <v>823.1922432</v>
      </c>
      <c r="O359" s="63">
        <f>if(A359,_xlfn.WORKDAY.INTL(A359,O$5,"1000000",Holidays!A:A)+hour(A359)/24+MINUTE(A359)/1440,"")</f>
        <v>45310.62361</v>
      </c>
      <c r="P359" s="64" t="s">
        <v>2718</v>
      </c>
      <c r="R359" s="66">
        <f t="shared" si="5"/>
        <v>823.3602988</v>
      </c>
      <c r="S359" s="66"/>
      <c r="T359" s="66"/>
      <c r="U359" s="64">
        <f>if(O359,_xlfn.WORKDAY.INTL(O359,U$5,"1000000",Holidays!A:A)+hour(O359)/24+MINUTE(O359)/1440,"")</f>
        <v>45311.62361</v>
      </c>
      <c r="V359" s="64" t="str">
        <f t="shared" si="6"/>
        <v/>
      </c>
      <c r="W359" s="66"/>
      <c r="X359" s="66">
        <f t="shared" si="7"/>
        <v>822.3602988</v>
      </c>
      <c r="Y359" s="66"/>
      <c r="Z359" s="66"/>
      <c r="AA359" s="66"/>
      <c r="AB359" s="63"/>
      <c r="AC359" s="63"/>
      <c r="AD359" s="63"/>
      <c r="AE359" s="63"/>
      <c r="AF359" s="63"/>
      <c r="AG359" s="63"/>
      <c r="AH359" s="63" t="str">
        <f t="shared" si="14"/>
        <v/>
      </c>
      <c r="AI359" s="63" t="str">
        <f>if(AH359,_xlfn.workday.intl(int(AH359),0,"1000000",Holidays!A:A)+18/24,"")</f>
        <v/>
      </c>
      <c r="AJ359" s="64" t="str">
        <f t="shared" si="24"/>
        <v/>
      </c>
      <c r="AL359" s="66" t="str">
        <f t="shared" si="9"/>
        <v/>
      </c>
      <c r="AM359" s="66"/>
      <c r="AN359" s="63" t="str">
        <f>if(AJ359,if(and(hour(AJ359+AN$5)&gt;11,(hour(AJ359+AN$5)&lt;20)),AJ359+AN$5,_xlfn.workday.intl(int(AJ359),1,"1000000",Holidays!A:A)+hour(AJ359+AN$5-$B$1)/24+minute(AJ359)/1440),"")</f>
        <v/>
      </c>
      <c r="AO359" s="64" t="str">
        <f t="shared" si="15"/>
        <v/>
      </c>
      <c r="AQ359" s="66" t="str">
        <f t="shared" si="16"/>
        <v/>
      </c>
      <c r="AR359" s="66"/>
      <c r="AS359" s="63" t="str">
        <f>if(AJ359,if(and(hour(AJ359+AS$5)&gt;11,(hour(AJ359+AS$5)&lt;20)),AJ359+AS$5,_xlfn.workday.intl(int(AJ359),1,"1000000",Holidays!A:A)+hour(AJ359+AS$5-$B$1)/24+minute(AJ359)/1440),"")</f>
        <v/>
      </c>
      <c r="AT359" s="64" t="str">
        <f t="shared" si="21"/>
        <v/>
      </c>
      <c r="AV359" s="66" t="str">
        <f t="shared" si="25"/>
        <v/>
      </c>
      <c r="AW359" s="66"/>
      <c r="AX359" s="56"/>
    </row>
    <row r="360">
      <c r="A360" s="55">
        <v>45309.627992442125</v>
      </c>
      <c r="B360" s="56"/>
      <c r="C360" s="57"/>
      <c r="D360" s="57"/>
      <c r="E360" s="57"/>
      <c r="F360" s="57"/>
      <c r="G360" s="58">
        <f>if(A360,_xlfn.workday.intl(int(A360),1,"1000000",Holidays!A:A)+17/24,"")</f>
        <v>45310.70833</v>
      </c>
      <c r="H360" s="59" t="str">
        <f t="shared" si="23"/>
        <v/>
      </c>
      <c r="I360" s="60"/>
      <c r="J360" s="61">
        <f t="shared" si="2"/>
        <v>823.2755766</v>
      </c>
      <c r="K360" s="58">
        <f>if(G360,_xlfn.workday.intl(int(G360),0,"1000000",Holidays!A:A)+19/24,"")</f>
        <v>45310.79167</v>
      </c>
      <c r="L360" s="59" t="str">
        <f t="shared" si="3"/>
        <v/>
      </c>
      <c r="M360" s="60"/>
      <c r="N360" s="61">
        <f t="shared" si="4"/>
        <v>823.1922432</v>
      </c>
      <c r="O360" s="63">
        <f>if(A360,_xlfn.WORKDAY.INTL(A360,O$5,"1000000",Holidays!A:A)+hour(A360)/24+MINUTE(A360)/1440,"")</f>
        <v>45310.62778</v>
      </c>
      <c r="P360" s="64" t="s">
        <v>2718</v>
      </c>
      <c r="R360" s="66">
        <f t="shared" si="5"/>
        <v>823.3561321</v>
      </c>
      <c r="S360" s="66"/>
      <c r="T360" s="66"/>
      <c r="U360" s="64">
        <f>if(O360,_xlfn.WORKDAY.INTL(O360,U$5,"1000000",Holidays!A:A)+hour(O360)/24+MINUTE(O360)/1440,"")</f>
        <v>45311.62778</v>
      </c>
      <c r="V360" s="64" t="str">
        <f t="shared" si="6"/>
        <v/>
      </c>
      <c r="W360" s="66"/>
      <c r="X360" s="66">
        <f t="shared" si="7"/>
        <v>822.3561321</v>
      </c>
      <c r="Y360" s="66"/>
      <c r="Z360" s="66"/>
      <c r="AA360" s="66"/>
      <c r="AB360" s="63"/>
      <c r="AC360" s="63"/>
      <c r="AD360" s="63"/>
      <c r="AE360" s="63"/>
      <c r="AF360" s="63"/>
      <c r="AG360" s="63"/>
      <c r="AH360" s="63" t="str">
        <f t="shared" si="14"/>
        <v/>
      </c>
      <c r="AI360" s="63" t="str">
        <f>if(AH360,_xlfn.workday.intl(int(AH360),0,"1000000",Holidays!A:A)+18/24,"")</f>
        <v/>
      </c>
      <c r="AJ360" s="64" t="str">
        <f t="shared" si="24"/>
        <v/>
      </c>
      <c r="AL360" s="66" t="str">
        <f t="shared" si="9"/>
        <v/>
      </c>
      <c r="AM360" s="66"/>
      <c r="AN360" s="63" t="str">
        <f>if(AJ360,if(and(hour(AJ360+AN$5)&gt;11,(hour(AJ360+AN$5)&lt;20)),AJ360+AN$5,_xlfn.workday.intl(int(AJ360),1,"1000000",Holidays!A:A)+hour(AJ360+AN$5-$B$1)/24+minute(AJ360)/1440),"")</f>
        <v/>
      </c>
      <c r="AO360" s="64" t="str">
        <f t="shared" si="15"/>
        <v/>
      </c>
      <c r="AQ360" s="66" t="str">
        <f t="shared" si="16"/>
        <v/>
      </c>
      <c r="AR360" s="66"/>
      <c r="AS360" s="63" t="str">
        <f>if(AJ360,if(and(hour(AJ360+AS$5)&gt;11,(hour(AJ360+AS$5)&lt;20)),AJ360+AS$5,_xlfn.workday.intl(int(AJ360),1,"1000000",Holidays!A:A)+hour(AJ360+AS$5-$B$1)/24+minute(AJ360)/1440),"")</f>
        <v/>
      </c>
      <c r="AT360" s="64" t="str">
        <f t="shared" si="21"/>
        <v/>
      </c>
      <c r="AV360" s="66" t="str">
        <f t="shared" si="25"/>
        <v/>
      </c>
      <c r="AW360" s="66"/>
      <c r="AX360" s="56"/>
    </row>
    <row r="361">
      <c r="A361" s="55">
        <v>45319.69412143518</v>
      </c>
      <c r="B361" s="56"/>
      <c r="C361" s="57"/>
      <c r="D361" s="57"/>
      <c r="E361" s="57"/>
      <c r="F361" s="57"/>
      <c r="G361" s="58">
        <f>if(A361,_xlfn.workday.intl(int(A361),1,"1000000",Holidays!A:A)+17/24,"")</f>
        <v>45321.70833</v>
      </c>
      <c r="H361" s="59" t="str">
        <f t="shared" si="23"/>
        <v/>
      </c>
      <c r="I361" s="60"/>
      <c r="J361" s="61">
        <f t="shared" si="2"/>
        <v>812.2755766</v>
      </c>
      <c r="K361" s="58">
        <f>if(G361,_xlfn.workday.intl(int(G361),0,"1000000",Holidays!A:A)+19/24,"")</f>
        <v>45321.79167</v>
      </c>
      <c r="L361" s="59" t="str">
        <f t="shared" si="3"/>
        <v/>
      </c>
      <c r="M361" s="60"/>
      <c r="N361" s="61">
        <f t="shared" si="4"/>
        <v>812.1922432</v>
      </c>
      <c r="O361" s="63">
        <f>if(A361,_xlfn.WORKDAY.INTL(A361,O$5,"1000000",Holidays!A:A)+hour(A361)/24+MINUTE(A361)/1440,"")</f>
        <v>45321.69375</v>
      </c>
      <c r="P361" s="64" t="s">
        <v>2718</v>
      </c>
      <c r="R361" s="66">
        <f t="shared" si="5"/>
        <v>812.2901599</v>
      </c>
      <c r="S361" s="66"/>
      <c r="T361" s="66"/>
      <c r="U361" s="64">
        <f>if(O361,_xlfn.WORKDAY.INTL(O361,U$5,"1000000",Holidays!A:A)+hour(O361)/24+MINUTE(O361)/1440,"")</f>
        <v>45322.69375</v>
      </c>
      <c r="V361" s="64" t="str">
        <f t="shared" si="6"/>
        <v/>
      </c>
      <c r="W361" s="66"/>
      <c r="X361" s="66">
        <f t="shared" si="7"/>
        <v>811.2901599</v>
      </c>
      <c r="Y361" s="66"/>
      <c r="Z361" s="66"/>
      <c r="AA361" s="66"/>
      <c r="AB361" s="63"/>
      <c r="AC361" s="63"/>
      <c r="AD361" s="63"/>
      <c r="AE361" s="63"/>
      <c r="AF361" s="63"/>
      <c r="AG361" s="63"/>
      <c r="AH361" s="63" t="str">
        <f t="shared" si="14"/>
        <v/>
      </c>
      <c r="AI361" s="63" t="str">
        <f>if(AH361,_xlfn.workday.intl(int(AH361),0,"1000000",Holidays!A:A)+18/24,"")</f>
        <v/>
      </c>
      <c r="AJ361" s="64" t="str">
        <f t="shared" si="24"/>
        <v/>
      </c>
      <c r="AL361" s="66" t="str">
        <f t="shared" si="9"/>
        <v/>
      </c>
      <c r="AM361" s="66"/>
      <c r="AN361" s="63" t="str">
        <f>if(AJ361,if(and(hour(AJ361+AN$5)&gt;11,(hour(AJ361+AN$5)&lt;20)),AJ361+AN$5,_xlfn.workday.intl(int(AJ361),1,"1000000",Holidays!A:A)+hour(AJ361+AN$5-$B$1)/24+minute(AJ361)/1440),"")</f>
        <v/>
      </c>
      <c r="AO361" s="64" t="str">
        <f t="shared" si="15"/>
        <v/>
      </c>
      <c r="AQ361" s="66" t="str">
        <f t="shared" si="16"/>
        <v/>
      </c>
      <c r="AR361" s="66"/>
      <c r="AS361" s="63" t="str">
        <f>if(AJ361,if(and(hour(AJ361+AS$5)&gt;11,(hour(AJ361+AS$5)&lt;20)),AJ361+AS$5,_xlfn.workday.intl(int(AJ361),1,"1000000",Holidays!A:A)+hour(AJ361+AS$5-$B$1)/24+minute(AJ361)/1440),"")</f>
        <v/>
      </c>
      <c r="AT361" s="64" t="str">
        <f t="shared" si="21"/>
        <v/>
      </c>
      <c r="AV361" s="66" t="str">
        <f t="shared" si="25"/>
        <v/>
      </c>
      <c r="AW361" s="66"/>
      <c r="AX361" s="56"/>
    </row>
    <row r="362">
      <c r="A362" s="55">
        <v>45323.540669814814</v>
      </c>
      <c r="B362" s="56"/>
      <c r="C362" s="57"/>
      <c r="D362" s="57"/>
      <c r="E362" s="57"/>
      <c r="F362" s="57"/>
      <c r="G362" s="58">
        <f>if(A362,_xlfn.workday.intl(int(A362),1,"1000000",Holidays!A:A)+17/24,"")</f>
        <v>45324.70833</v>
      </c>
      <c r="H362" s="59" t="str">
        <f t="shared" si="23"/>
        <v/>
      </c>
      <c r="I362" s="60"/>
      <c r="J362" s="61">
        <f t="shared" si="2"/>
        <v>809.2755766</v>
      </c>
      <c r="K362" s="58">
        <f>if(G362,_xlfn.workday.intl(int(G362),0,"1000000",Holidays!A:A)+19/24,"")</f>
        <v>45324.79167</v>
      </c>
      <c r="L362" s="59" t="str">
        <f t="shared" si="3"/>
        <v/>
      </c>
      <c r="M362" s="60"/>
      <c r="N362" s="61">
        <f t="shared" si="4"/>
        <v>809.1922432</v>
      </c>
      <c r="O362" s="63">
        <f>if(A362,_xlfn.WORKDAY.INTL(A362,O$5,"1000000",Holidays!A:A)+hour(A362)/24+MINUTE(A362)/1440,"")</f>
        <v>45324.54028</v>
      </c>
      <c r="P362" s="64" t="s">
        <v>2718</v>
      </c>
      <c r="R362" s="66">
        <f t="shared" si="5"/>
        <v>809.4436321</v>
      </c>
      <c r="S362" s="66"/>
      <c r="T362" s="66"/>
      <c r="U362" s="64">
        <f>if(O362,_xlfn.WORKDAY.INTL(O362,U$5,"1000000",Holidays!A:A)+hour(O362)/24+MINUTE(O362)/1440,"")</f>
        <v>45325.54028</v>
      </c>
      <c r="V362" s="64" t="str">
        <f t="shared" si="6"/>
        <v/>
      </c>
      <c r="W362" s="66"/>
      <c r="X362" s="66">
        <f t="shared" si="7"/>
        <v>808.4436321</v>
      </c>
      <c r="Y362" s="66"/>
      <c r="Z362" s="66"/>
      <c r="AA362" s="66"/>
      <c r="AB362" s="63"/>
      <c r="AC362" s="63"/>
      <c r="AD362" s="63"/>
      <c r="AE362" s="63"/>
      <c r="AF362" s="63"/>
      <c r="AG362" s="63"/>
      <c r="AH362" s="63" t="str">
        <f t="shared" si="14"/>
        <v/>
      </c>
      <c r="AI362" s="63" t="str">
        <f>if(AH362,_xlfn.workday.intl(int(AH362),0,"1000000",Holidays!A:A)+18/24,"")</f>
        <v/>
      </c>
      <c r="AJ362" s="64" t="str">
        <f t="shared" si="24"/>
        <v/>
      </c>
      <c r="AL362" s="66" t="str">
        <f t="shared" si="9"/>
        <v/>
      </c>
      <c r="AM362" s="66"/>
      <c r="AN362" s="63" t="str">
        <f>if(AJ362,if(and(hour(AJ362+AN$5)&gt;11,(hour(AJ362+AN$5)&lt;20)),AJ362+AN$5,_xlfn.workday.intl(int(AJ362),1,"1000000",Holidays!A:A)+hour(AJ362+AN$5-$B$1)/24+minute(AJ362)/1440),"")</f>
        <v/>
      </c>
      <c r="AO362" s="64" t="str">
        <f t="shared" si="15"/>
        <v/>
      </c>
      <c r="AQ362" s="66" t="str">
        <f t="shared" si="16"/>
        <v/>
      </c>
      <c r="AR362" s="66"/>
      <c r="AS362" s="63" t="str">
        <f>if(AJ362,if(and(hour(AJ362+AS$5)&gt;11,(hour(AJ362+AS$5)&lt;20)),AJ362+AS$5,_xlfn.workday.intl(int(AJ362),1,"1000000",Holidays!A:A)+hour(AJ362+AS$5-$B$1)/24+minute(AJ362)/1440),"")</f>
        <v/>
      </c>
      <c r="AT362" s="64" t="str">
        <f t="shared" si="21"/>
        <v/>
      </c>
      <c r="AV362" s="66" t="str">
        <f t="shared" si="25"/>
        <v/>
      </c>
      <c r="AW362" s="66"/>
      <c r="AX362" s="56"/>
    </row>
    <row r="363">
      <c r="A363" s="55">
        <v>45323.54196569444</v>
      </c>
      <c r="B363" s="56"/>
      <c r="C363" s="57"/>
      <c r="D363" s="57"/>
      <c r="E363" s="57"/>
      <c r="F363" s="57"/>
      <c r="G363" s="58">
        <f>if(A363,_xlfn.workday.intl(int(A363),1,"1000000",Holidays!A:A)+17/24,"")</f>
        <v>45324.70833</v>
      </c>
      <c r="H363" s="59" t="str">
        <f t="shared" si="23"/>
        <v/>
      </c>
      <c r="I363" s="60"/>
      <c r="J363" s="61">
        <f t="shared" si="2"/>
        <v>809.2755766</v>
      </c>
      <c r="K363" s="58">
        <f>if(G363,_xlfn.workday.intl(int(G363),0,"1000000",Holidays!A:A)+19/24,"")</f>
        <v>45324.79167</v>
      </c>
      <c r="L363" s="59" t="str">
        <f t="shared" si="3"/>
        <v/>
      </c>
      <c r="M363" s="60"/>
      <c r="N363" s="61">
        <f t="shared" si="4"/>
        <v>809.1922432</v>
      </c>
      <c r="O363" s="63">
        <f>if(A363,_xlfn.WORKDAY.INTL(A363,O$5,"1000000",Holidays!A:A)+hour(A363)/24+MINUTE(A363)/1440,"")</f>
        <v>45324.54167</v>
      </c>
      <c r="P363" s="64" t="s">
        <v>2718</v>
      </c>
      <c r="R363" s="66">
        <f t="shared" si="5"/>
        <v>809.4422432</v>
      </c>
      <c r="S363" s="66"/>
      <c r="T363" s="66"/>
      <c r="U363" s="64">
        <f>if(O363,_xlfn.WORKDAY.INTL(O363,U$5,"1000000",Holidays!A:A)+hour(O363)/24+MINUTE(O363)/1440,"")</f>
        <v>45325.54167</v>
      </c>
      <c r="V363" s="64" t="str">
        <f t="shared" si="6"/>
        <v/>
      </c>
      <c r="W363" s="66"/>
      <c r="X363" s="66">
        <f t="shared" si="7"/>
        <v>808.4422432</v>
      </c>
      <c r="Y363" s="66"/>
      <c r="Z363" s="66"/>
      <c r="AA363" s="66"/>
      <c r="AB363" s="63"/>
      <c r="AC363" s="63"/>
      <c r="AD363" s="63"/>
      <c r="AE363" s="63"/>
      <c r="AF363" s="63"/>
      <c r="AG363" s="63"/>
      <c r="AH363" s="63" t="str">
        <f t="shared" si="14"/>
        <v/>
      </c>
      <c r="AI363" s="63" t="str">
        <f>if(AH363,_xlfn.workday.intl(int(AH363),0,"1000000",Holidays!A:A)+18/24,"")</f>
        <v/>
      </c>
      <c r="AJ363" s="64" t="str">
        <f t="shared" si="24"/>
        <v/>
      </c>
      <c r="AL363" s="66" t="str">
        <f t="shared" si="9"/>
        <v/>
      </c>
      <c r="AM363" s="66"/>
      <c r="AN363" s="63" t="str">
        <f>if(AJ363,if(and(hour(AJ363+AN$5)&gt;11,(hour(AJ363+AN$5)&lt;20)),AJ363+AN$5,_xlfn.workday.intl(int(AJ363),1,"1000000",Holidays!A:A)+hour(AJ363+AN$5-$B$1)/24+minute(AJ363)/1440),"")</f>
        <v/>
      </c>
      <c r="AO363" s="64" t="str">
        <f t="shared" si="15"/>
        <v/>
      </c>
      <c r="AQ363" s="66" t="str">
        <f t="shared" si="16"/>
        <v/>
      </c>
      <c r="AR363" s="66"/>
      <c r="AS363" s="63" t="str">
        <f>if(AJ363,if(and(hour(AJ363+AS$5)&gt;11,(hour(AJ363+AS$5)&lt;20)),AJ363+AS$5,_xlfn.workday.intl(int(AJ363),1,"1000000",Holidays!A:A)+hour(AJ363+AS$5-$B$1)/24+minute(AJ363)/1440),"")</f>
        <v/>
      </c>
      <c r="AT363" s="64" t="str">
        <f t="shared" si="21"/>
        <v/>
      </c>
      <c r="AV363" s="66" t="str">
        <f t="shared" si="25"/>
        <v/>
      </c>
      <c r="AW363" s="66"/>
      <c r="AX363" s="56"/>
    </row>
    <row r="364">
      <c r="A364" s="55">
        <v>45323.54333664352</v>
      </c>
      <c r="B364" s="56"/>
      <c r="C364" s="57"/>
      <c r="D364" s="57"/>
      <c r="E364" s="57"/>
      <c r="F364" s="57"/>
      <c r="G364" s="58">
        <f>if(A364,_xlfn.workday.intl(int(A364),1,"1000000",Holidays!A:A)+17/24,"")</f>
        <v>45324.70833</v>
      </c>
      <c r="H364" s="59" t="str">
        <f t="shared" si="23"/>
        <v/>
      </c>
      <c r="I364" s="60"/>
      <c r="J364" s="61">
        <f t="shared" si="2"/>
        <v>809.2755766</v>
      </c>
      <c r="K364" s="58">
        <f>if(G364,_xlfn.workday.intl(int(G364),0,"1000000",Holidays!A:A)+19/24,"")</f>
        <v>45324.79167</v>
      </c>
      <c r="L364" s="59" t="str">
        <f t="shared" si="3"/>
        <v/>
      </c>
      <c r="M364" s="60"/>
      <c r="N364" s="61">
        <f t="shared" si="4"/>
        <v>809.1922432</v>
      </c>
      <c r="O364" s="63">
        <f>if(A364,_xlfn.WORKDAY.INTL(A364,O$5,"1000000",Holidays!A:A)+hour(A364)/24+MINUTE(A364)/1440,"")</f>
        <v>45324.54306</v>
      </c>
      <c r="P364" s="64" t="s">
        <v>2718</v>
      </c>
      <c r="R364" s="66">
        <f t="shared" si="5"/>
        <v>809.4408543</v>
      </c>
      <c r="S364" s="66"/>
      <c r="T364" s="66"/>
      <c r="U364" s="64">
        <f>if(O364,_xlfn.WORKDAY.INTL(O364,U$5,"1000000",Holidays!A:A)+hour(O364)/24+MINUTE(O364)/1440,"")</f>
        <v>45325.54306</v>
      </c>
      <c r="V364" s="64" t="str">
        <f t="shared" si="6"/>
        <v/>
      </c>
      <c r="W364" s="66"/>
      <c r="X364" s="66">
        <f t="shared" si="7"/>
        <v>808.4408543</v>
      </c>
      <c r="Y364" s="66"/>
      <c r="Z364" s="66"/>
      <c r="AA364" s="66"/>
      <c r="AB364" s="63"/>
      <c r="AC364" s="63"/>
      <c r="AD364" s="63"/>
      <c r="AE364" s="63"/>
      <c r="AF364" s="63"/>
      <c r="AG364" s="63"/>
      <c r="AH364" s="63" t="str">
        <f t="shared" si="14"/>
        <v/>
      </c>
      <c r="AI364" s="63" t="str">
        <f>if(AH364,_xlfn.workday.intl(int(AH364),0,"1000000",Holidays!A:A)+18/24,"")</f>
        <v/>
      </c>
      <c r="AJ364" s="64" t="str">
        <f t="shared" si="24"/>
        <v/>
      </c>
      <c r="AL364" s="66" t="str">
        <f t="shared" si="9"/>
        <v/>
      </c>
      <c r="AM364" s="66"/>
      <c r="AN364" s="63" t="str">
        <f>if(AJ364,if(and(hour(AJ364+AN$5)&gt;11,(hour(AJ364+AN$5)&lt;20)),AJ364+AN$5,_xlfn.workday.intl(int(AJ364),1,"1000000",Holidays!A:A)+hour(AJ364+AN$5-$B$1)/24+minute(AJ364)/1440),"")</f>
        <v/>
      </c>
      <c r="AO364" s="64" t="str">
        <f t="shared" si="15"/>
        <v/>
      </c>
      <c r="AQ364" s="66" t="str">
        <f t="shared" si="16"/>
        <v/>
      </c>
      <c r="AR364" s="66"/>
      <c r="AS364" s="63" t="str">
        <f>if(AJ364,if(and(hour(AJ364+AS$5)&gt;11,(hour(AJ364+AS$5)&lt;20)),AJ364+AS$5,_xlfn.workday.intl(int(AJ364),1,"1000000",Holidays!A:A)+hour(AJ364+AS$5-$B$1)/24+minute(AJ364)/1440),"")</f>
        <v/>
      </c>
      <c r="AT364" s="64" t="str">
        <f t="shared" si="21"/>
        <v/>
      </c>
      <c r="AV364" s="66" t="str">
        <f t="shared" si="25"/>
        <v/>
      </c>
      <c r="AW364" s="66"/>
      <c r="AX364" s="56"/>
    </row>
    <row r="365">
      <c r="A365" s="55">
        <v>45323.54444766203</v>
      </c>
      <c r="B365" s="56"/>
      <c r="C365" s="57"/>
      <c r="D365" s="57"/>
      <c r="E365" s="57"/>
      <c r="F365" s="57"/>
      <c r="G365" s="58">
        <f>if(A365,_xlfn.workday.intl(int(A365),1,"1000000",Holidays!A:A)+17/24,"")</f>
        <v>45324.70833</v>
      </c>
      <c r="H365" s="59" t="str">
        <f t="shared" si="23"/>
        <v/>
      </c>
      <c r="I365" s="60"/>
      <c r="J365" s="61">
        <f t="shared" si="2"/>
        <v>809.2755766</v>
      </c>
      <c r="K365" s="58">
        <f>if(G365,_xlfn.workday.intl(int(G365),0,"1000000",Holidays!A:A)+19/24,"")</f>
        <v>45324.79167</v>
      </c>
      <c r="L365" s="59" t="str">
        <f t="shared" si="3"/>
        <v/>
      </c>
      <c r="M365" s="60"/>
      <c r="N365" s="61">
        <f t="shared" si="4"/>
        <v>809.1922432</v>
      </c>
      <c r="O365" s="63">
        <f>if(A365,_xlfn.WORKDAY.INTL(A365,O$5,"1000000",Holidays!A:A)+hour(A365)/24+MINUTE(A365)/1440,"")</f>
        <v>45324.54444</v>
      </c>
      <c r="P365" s="64" t="s">
        <v>2718</v>
      </c>
      <c r="R365" s="66">
        <f t="shared" si="5"/>
        <v>809.4394655</v>
      </c>
      <c r="S365" s="66"/>
      <c r="T365" s="66"/>
      <c r="U365" s="64">
        <f>if(O365,_xlfn.WORKDAY.INTL(O365,U$5,"1000000",Holidays!A:A)+hour(O365)/24+MINUTE(O365)/1440,"")</f>
        <v>45325.54444</v>
      </c>
      <c r="V365" s="64" t="str">
        <f t="shared" si="6"/>
        <v/>
      </c>
      <c r="W365" s="66"/>
      <c r="X365" s="66">
        <f t="shared" si="7"/>
        <v>808.4394655</v>
      </c>
      <c r="Y365" s="66"/>
      <c r="Z365" s="66"/>
      <c r="AA365" s="66"/>
      <c r="AB365" s="63"/>
      <c r="AC365" s="63"/>
      <c r="AD365" s="63"/>
      <c r="AE365" s="63"/>
      <c r="AF365" s="63"/>
      <c r="AG365" s="63"/>
      <c r="AH365" s="63" t="str">
        <f t="shared" si="14"/>
        <v/>
      </c>
      <c r="AI365" s="63" t="str">
        <f>if(AH365,_xlfn.workday.intl(int(AH365),0,"1000000",Holidays!A:A)+18/24,"")</f>
        <v/>
      </c>
      <c r="AJ365" s="64" t="str">
        <f t="shared" si="24"/>
        <v/>
      </c>
      <c r="AL365" s="66" t="str">
        <f t="shared" si="9"/>
        <v/>
      </c>
      <c r="AM365" s="66"/>
      <c r="AN365" s="63" t="str">
        <f>if(AJ365,if(and(hour(AJ365+AN$5)&gt;11,(hour(AJ365+AN$5)&lt;20)),AJ365+AN$5,_xlfn.workday.intl(int(AJ365),1,"1000000",Holidays!A:A)+hour(AJ365+AN$5-$B$1)/24+minute(AJ365)/1440),"")</f>
        <v/>
      </c>
      <c r="AO365" s="64" t="str">
        <f t="shared" si="15"/>
        <v/>
      </c>
      <c r="AQ365" s="66" t="str">
        <f t="shared" si="16"/>
        <v/>
      </c>
      <c r="AR365" s="66"/>
      <c r="AS365" s="63" t="str">
        <f>if(AJ365,if(and(hour(AJ365+AS$5)&gt;11,(hour(AJ365+AS$5)&lt;20)),AJ365+AS$5,_xlfn.workday.intl(int(AJ365),1,"1000000",Holidays!A:A)+hour(AJ365+AS$5-$B$1)/24+minute(AJ365)/1440),"")</f>
        <v/>
      </c>
      <c r="AT365" s="64" t="str">
        <f t="shared" si="21"/>
        <v/>
      </c>
      <c r="AV365" s="66" t="str">
        <f t="shared" si="25"/>
        <v/>
      </c>
      <c r="AW365" s="66"/>
      <c r="AX365" s="56"/>
    </row>
    <row r="366">
      <c r="A366" s="55">
        <v>45323.54543532408</v>
      </c>
      <c r="B366" s="56"/>
      <c r="C366" s="57"/>
      <c r="D366" s="57"/>
      <c r="E366" s="57"/>
      <c r="F366" s="57"/>
      <c r="G366" s="58">
        <f>if(A366,_xlfn.workday.intl(int(A366),1,"1000000",Holidays!A:A)+17/24,"")</f>
        <v>45324.70833</v>
      </c>
      <c r="H366" s="59" t="str">
        <f t="shared" si="23"/>
        <v/>
      </c>
      <c r="I366" s="60"/>
      <c r="J366" s="61">
        <f t="shared" si="2"/>
        <v>809.2755766</v>
      </c>
      <c r="K366" s="58">
        <f>if(G366,_xlfn.workday.intl(int(G366),0,"1000000",Holidays!A:A)+19/24,"")</f>
        <v>45324.79167</v>
      </c>
      <c r="L366" s="59" t="str">
        <f t="shared" si="3"/>
        <v/>
      </c>
      <c r="M366" s="60"/>
      <c r="N366" s="61">
        <f t="shared" si="4"/>
        <v>809.1922432</v>
      </c>
      <c r="O366" s="63">
        <f>if(A366,_xlfn.WORKDAY.INTL(A366,O$5,"1000000",Holidays!A:A)+hour(A366)/24+MINUTE(A366)/1440,"")</f>
        <v>45324.54514</v>
      </c>
      <c r="P366" s="64" t="s">
        <v>2718</v>
      </c>
      <c r="R366" s="66">
        <f t="shared" si="5"/>
        <v>809.438771</v>
      </c>
      <c r="S366" s="66"/>
      <c r="T366" s="66"/>
      <c r="U366" s="64">
        <f>if(O366,_xlfn.WORKDAY.INTL(O366,U$5,"1000000",Holidays!A:A)+hour(O366)/24+MINUTE(O366)/1440,"")</f>
        <v>45325.54514</v>
      </c>
      <c r="V366" s="64" t="str">
        <f t="shared" si="6"/>
        <v/>
      </c>
      <c r="W366" s="66"/>
      <c r="X366" s="66">
        <f t="shared" si="7"/>
        <v>808.438771</v>
      </c>
      <c r="Y366" s="66"/>
      <c r="Z366" s="66"/>
      <c r="AA366" s="66"/>
      <c r="AB366" s="63"/>
      <c r="AC366" s="63"/>
      <c r="AD366" s="63"/>
      <c r="AE366" s="63"/>
      <c r="AF366" s="63"/>
      <c r="AG366" s="63"/>
      <c r="AH366" s="63" t="str">
        <f t="shared" si="14"/>
        <v/>
      </c>
      <c r="AI366" s="63" t="str">
        <f>if(AH366,_xlfn.workday.intl(int(AH366),0,"1000000",Holidays!A:A)+18/24,"")</f>
        <v/>
      </c>
      <c r="AJ366" s="64" t="str">
        <f t="shared" si="24"/>
        <v/>
      </c>
      <c r="AL366" s="66" t="str">
        <f t="shared" si="9"/>
        <v/>
      </c>
      <c r="AM366" s="66"/>
      <c r="AN366" s="63" t="str">
        <f>if(AJ366,if(and(hour(AJ366+AN$5)&gt;11,(hour(AJ366+AN$5)&lt;20)),AJ366+AN$5,_xlfn.workday.intl(int(AJ366),1,"1000000",Holidays!A:A)+hour(AJ366+AN$5-$B$1)/24+minute(AJ366)/1440),"")</f>
        <v/>
      </c>
      <c r="AO366" s="64" t="str">
        <f t="shared" si="15"/>
        <v/>
      </c>
      <c r="AQ366" s="66" t="str">
        <f t="shared" si="16"/>
        <v/>
      </c>
      <c r="AR366" s="66"/>
      <c r="AS366" s="63" t="str">
        <f>if(AJ366,if(and(hour(AJ366+AS$5)&gt;11,(hour(AJ366+AS$5)&lt;20)),AJ366+AS$5,_xlfn.workday.intl(int(AJ366),1,"1000000",Holidays!A:A)+hour(AJ366+AS$5-$B$1)/24+minute(AJ366)/1440),"")</f>
        <v/>
      </c>
      <c r="AT366" s="64" t="str">
        <f t="shared" si="21"/>
        <v/>
      </c>
      <c r="AV366" s="66" t="str">
        <f t="shared" si="25"/>
        <v/>
      </c>
      <c r="AW366" s="66"/>
      <c r="AX366" s="56"/>
    </row>
    <row r="367">
      <c r="A367" s="55">
        <v>45323.54964293982</v>
      </c>
      <c r="B367" s="56"/>
      <c r="C367" s="57"/>
      <c r="D367" s="57"/>
      <c r="E367" s="57"/>
      <c r="F367" s="57"/>
      <c r="G367" s="58">
        <f>if(A367,_xlfn.workday.intl(int(A367),1,"1000000",Holidays!A:A)+17/24,"")</f>
        <v>45324.70833</v>
      </c>
      <c r="H367" s="59" t="str">
        <f t="shared" si="23"/>
        <v/>
      </c>
      <c r="I367" s="60"/>
      <c r="J367" s="61">
        <f t="shared" si="2"/>
        <v>809.2755766</v>
      </c>
      <c r="K367" s="58">
        <f>if(G367,_xlfn.workday.intl(int(G367),0,"1000000",Holidays!A:A)+19/24,"")</f>
        <v>45324.79167</v>
      </c>
      <c r="L367" s="59" t="str">
        <f t="shared" si="3"/>
        <v/>
      </c>
      <c r="M367" s="60"/>
      <c r="N367" s="61">
        <f t="shared" si="4"/>
        <v>809.1922432</v>
      </c>
      <c r="O367" s="63">
        <f>if(A367,_xlfn.WORKDAY.INTL(A367,O$5,"1000000",Holidays!A:A)+hour(A367)/24+MINUTE(A367)/1440,"")</f>
        <v>45324.54931</v>
      </c>
      <c r="P367" s="64" t="s">
        <v>2718</v>
      </c>
      <c r="R367" s="66">
        <f t="shared" si="5"/>
        <v>809.4346043</v>
      </c>
      <c r="S367" s="66"/>
      <c r="T367" s="66"/>
      <c r="U367" s="64">
        <f>if(O367,_xlfn.WORKDAY.INTL(O367,U$5,"1000000",Holidays!A:A)+hour(O367)/24+MINUTE(O367)/1440,"")</f>
        <v>45325.54931</v>
      </c>
      <c r="V367" s="64" t="str">
        <f t="shared" si="6"/>
        <v/>
      </c>
      <c r="W367" s="66"/>
      <c r="X367" s="66">
        <f t="shared" si="7"/>
        <v>808.4346043</v>
      </c>
      <c r="Y367" s="66"/>
      <c r="Z367" s="66"/>
      <c r="AA367" s="66"/>
      <c r="AB367" s="63"/>
      <c r="AC367" s="63"/>
      <c r="AD367" s="63"/>
      <c r="AE367" s="63"/>
      <c r="AF367" s="63"/>
      <c r="AG367" s="63"/>
      <c r="AH367" s="63" t="str">
        <f t="shared" si="14"/>
        <v/>
      </c>
      <c r="AI367" s="63" t="str">
        <f>if(AH367,_xlfn.workday.intl(int(AH367),0,"1000000",Holidays!A:A)+18/24,"")</f>
        <v/>
      </c>
      <c r="AJ367" s="64" t="str">
        <f t="shared" si="24"/>
        <v/>
      </c>
      <c r="AL367" s="66" t="str">
        <f t="shared" si="9"/>
        <v/>
      </c>
      <c r="AM367" s="66"/>
      <c r="AN367" s="63" t="str">
        <f>if(AJ367,if(and(hour(AJ367+AN$5)&gt;11,(hour(AJ367+AN$5)&lt;20)),AJ367+AN$5,_xlfn.workday.intl(int(AJ367),1,"1000000",Holidays!A:A)+hour(AJ367+AN$5-$B$1)/24+minute(AJ367)/1440),"")</f>
        <v/>
      </c>
      <c r="AO367" s="64" t="str">
        <f t="shared" si="15"/>
        <v/>
      </c>
      <c r="AQ367" s="66" t="str">
        <f t="shared" si="16"/>
        <v/>
      </c>
      <c r="AR367" s="66"/>
      <c r="AS367" s="63" t="str">
        <f>if(AJ367,if(and(hour(AJ367+AS$5)&gt;11,(hour(AJ367+AS$5)&lt;20)),AJ367+AS$5,_xlfn.workday.intl(int(AJ367),1,"1000000",Holidays!A:A)+hour(AJ367+AS$5-$B$1)/24+minute(AJ367)/1440),"")</f>
        <v/>
      </c>
      <c r="AT367" s="64" t="str">
        <f t="shared" si="21"/>
        <v/>
      </c>
      <c r="AV367" s="66" t="str">
        <f t="shared" si="25"/>
        <v/>
      </c>
      <c r="AW367" s="66"/>
      <c r="AX367" s="56"/>
    </row>
    <row r="368">
      <c r="A368" s="55">
        <v>45323.55085303241</v>
      </c>
      <c r="B368" s="56"/>
      <c r="C368" s="57"/>
      <c r="D368" s="57"/>
      <c r="E368" s="57"/>
      <c r="F368" s="57"/>
      <c r="G368" s="58">
        <f>if(A368,_xlfn.workday.intl(int(A368),1,"1000000",Holidays!A:A)+17/24,"")</f>
        <v>45324.70833</v>
      </c>
      <c r="H368" s="59" t="str">
        <f t="shared" si="23"/>
        <v/>
      </c>
      <c r="I368" s="60"/>
      <c r="J368" s="61">
        <f t="shared" si="2"/>
        <v>809.2755766</v>
      </c>
      <c r="K368" s="58">
        <f>if(G368,_xlfn.workday.intl(int(G368),0,"1000000",Holidays!A:A)+19/24,"")</f>
        <v>45324.79167</v>
      </c>
      <c r="L368" s="59" t="str">
        <f t="shared" si="3"/>
        <v/>
      </c>
      <c r="M368" s="60"/>
      <c r="N368" s="61">
        <f t="shared" si="4"/>
        <v>809.1922432</v>
      </c>
      <c r="O368" s="63">
        <f>if(A368,_xlfn.WORKDAY.INTL(A368,O$5,"1000000",Holidays!A:A)+hour(A368)/24+MINUTE(A368)/1440,"")</f>
        <v>45324.55069</v>
      </c>
      <c r="P368" s="64" t="s">
        <v>2718</v>
      </c>
      <c r="R368" s="66">
        <f t="shared" si="5"/>
        <v>809.4332155</v>
      </c>
      <c r="S368" s="66"/>
      <c r="T368" s="66"/>
      <c r="U368" s="64">
        <f>if(O368,_xlfn.WORKDAY.INTL(O368,U$5,"1000000",Holidays!A:A)+hour(O368)/24+MINUTE(O368)/1440,"")</f>
        <v>45325.55069</v>
      </c>
      <c r="V368" s="64" t="str">
        <f t="shared" si="6"/>
        <v/>
      </c>
      <c r="W368" s="66"/>
      <c r="X368" s="66">
        <f t="shared" si="7"/>
        <v>808.4332155</v>
      </c>
      <c r="Y368" s="66"/>
      <c r="Z368" s="66"/>
      <c r="AA368" s="66"/>
      <c r="AB368" s="63"/>
      <c r="AC368" s="63"/>
      <c r="AD368" s="63"/>
      <c r="AE368" s="63"/>
      <c r="AF368" s="63"/>
      <c r="AG368" s="63"/>
      <c r="AH368" s="63" t="str">
        <f t="shared" si="14"/>
        <v/>
      </c>
      <c r="AI368" s="63" t="str">
        <f>if(AH368,_xlfn.workday.intl(int(AH368),0,"1000000",Holidays!A:A)+18/24,"")</f>
        <v/>
      </c>
      <c r="AJ368" s="64" t="str">
        <f t="shared" si="24"/>
        <v/>
      </c>
      <c r="AL368" s="66" t="str">
        <f t="shared" si="9"/>
        <v/>
      </c>
      <c r="AM368" s="66"/>
      <c r="AN368" s="63" t="str">
        <f>if(AJ368,if(and(hour(AJ368+AN$5)&gt;11,(hour(AJ368+AN$5)&lt;20)),AJ368+AN$5,_xlfn.workday.intl(int(AJ368),1,"1000000",Holidays!A:A)+hour(AJ368+AN$5-$B$1)/24+minute(AJ368)/1440),"")</f>
        <v/>
      </c>
      <c r="AO368" s="64" t="str">
        <f t="shared" si="15"/>
        <v/>
      </c>
      <c r="AQ368" s="66" t="str">
        <f t="shared" si="16"/>
        <v/>
      </c>
      <c r="AR368" s="66"/>
      <c r="AS368" s="63" t="str">
        <f>if(AJ368,if(and(hour(AJ368+AS$5)&gt;11,(hour(AJ368+AS$5)&lt;20)),AJ368+AS$5,_xlfn.workday.intl(int(AJ368),1,"1000000",Holidays!A:A)+hour(AJ368+AS$5-$B$1)/24+minute(AJ368)/1440),"")</f>
        <v/>
      </c>
      <c r="AT368" s="64" t="str">
        <f t="shared" si="21"/>
        <v/>
      </c>
      <c r="AV368" s="66" t="str">
        <f t="shared" si="25"/>
        <v/>
      </c>
      <c r="AW368" s="66"/>
      <c r="AX368" s="56"/>
    </row>
    <row r="369">
      <c r="A369" s="55">
        <v>45323.55320094907</v>
      </c>
      <c r="B369" s="56"/>
      <c r="C369" s="57"/>
      <c r="D369" s="57"/>
      <c r="E369" s="57"/>
      <c r="F369" s="57"/>
      <c r="G369" s="58">
        <f>if(A369,_xlfn.workday.intl(int(A369),1,"1000000",Holidays!A:A)+17/24,"")</f>
        <v>45324.70833</v>
      </c>
      <c r="H369" s="59" t="str">
        <f t="shared" si="23"/>
        <v/>
      </c>
      <c r="I369" s="60"/>
      <c r="J369" s="61">
        <f t="shared" si="2"/>
        <v>809.2755766</v>
      </c>
      <c r="K369" s="58">
        <f>if(G369,_xlfn.workday.intl(int(G369),0,"1000000",Holidays!A:A)+19/24,"")</f>
        <v>45324.79167</v>
      </c>
      <c r="L369" s="59" t="str">
        <f t="shared" si="3"/>
        <v/>
      </c>
      <c r="M369" s="60"/>
      <c r="N369" s="61">
        <f t="shared" si="4"/>
        <v>809.1922432</v>
      </c>
      <c r="O369" s="63">
        <f>if(A369,_xlfn.WORKDAY.INTL(A369,O$5,"1000000",Holidays!A:A)+hour(A369)/24+MINUTE(A369)/1440,"")</f>
        <v>45324.55278</v>
      </c>
      <c r="P369" s="64" t="s">
        <v>2718</v>
      </c>
      <c r="R369" s="66">
        <f t="shared" si="5"/>
        <v>809.4311321</v>
      </c>
      <c r="S369" s="66"/>
      <c r="T369" s="66"/>
      <c r="U369" s="64">
        <f>if(O369,_xlfn.WORKDAY.INTL(O369,U$5,"1000000",Holidays!A:A)+hour(O369)/24+MINUTE(O369)/1440,"")</f>
        <v>45325.55278</v>
      </c>
      <c r="V369" s="64" t="str">
        <f t="shared" si="6"/>
        <v/>
      </c>
      <c r="W369" s="66"/>
      <c r="X369" s="66">
        <f t="shared" si="7"/>
        <v>808.4311321</v>
      </c>
      <c r="Y369" s="66"/>
      <c r="Z369" s="66"/>
      <c r="AA369" s="66"/>
      <c r="AB369" s="63"/>
      <c r="AC369" s="63"/>
      <c r="AD369" s="63"/>
      <c r="AE369" s="63"/>
      <c r="AF369" s="63"/>
      <c r="AG369" s="63"/>
      <c r="AH369" s="63" t="str">
        <f t="shared" si="14"/>
        <v/>
      </c>
      <c r="AI369" s="63" t="str">
        <f>if(AH369,_xlfn.workday.intl(int(AH369),0,"1000000",Holidays!A:A)+18/24,"")</f>
        <v/>
      </c>
      <c r="AJ369" s="64" t="str">
        <f t="shared" si="24"/>
        <v/>
      </c>
      <c r="AL369" s="66" t="str">
        <f t="shared" si="9"/>
        <v/>
      </c>
      <c r="AM369" s="66"/>
      <c r="AN369" s="63" t="str">
        <f>if(AJ369,if(and(hour(AJ369+AN$5)&gt;11,(hour(AJ369+AN$5)&lt;20)),AJ369+AN$5,_xlfn.workday.intl(int(AJ369),1,"1000000",Holidays!A:A)+hour(AJ369+AN$5-$B$1)/24+minute(AJ369)/1440),"")</f>
        <v/>
      </c>
      <c r="AO369" s="64" t="str">
        <f t="shared" si="15"/>
        <v/>
      </c>
      <c r="AQ369" s="66" t="str">
        <f t="shared" si="16"/>
        <v/>
      </c>
      <c r="AR369" s="66"/>
      <c r="AS369" s="63" t="str">
        <f>if(AJ369,if(and(hour(AJ369+AS$5)&gt;11,(hour(AJ369+AS$5)&lt;20)),AJ369+AS$5,_xlfn.workday.intl(int(AJ369),1,"1000000",Holidays!A:A)+hour(AJ369+AS$5-$B$1)/24+minute(AJ369)/1440),"")</f>
        <v/>
      </c>
      <c r="AT369" s="64" t="str">
        <f t="shared" si="21"/>
        <v/>
      </c>
      <c r="AV369" s="66" t="str">
        <f t="shared" si="25"/>
        <v/>
      </c>
      <c r="AW369" s="66"/>
      <c r="AX369" s="56"/>
    </row>
    <row r="370">
      <c r="A370" s="55">
        <v>45323.55414368055</v>
      </c>
      <c r="B370" s="56"/>
      <c r="C370" s="57"/>
      <c r="D370" s="57"/>
      <c r="E370" s="57"/>
      <c r="F370" s="57"/>
      <c r="G370" s="58">
        <f>if(A370,_xlfn.workday.intl(int(A370),1,"1000000",Holidays!A:A)+17/24,"")</f>
        <v>45324.70833</v>
      </c>
      <c r="H370" s="59" t="str">
        <f t="shared" si="23"/>
        <v/>
      </c>
      <c r="I370" s="60"/>
      <c r="J370" s="61">
        <f t="shared" si="2"/>
        <v>809.2755766</v>
      </c>
      <c r="K370" s="58">
        <f>if(G370,_xlfn.workday.intl(int(G370),0,"1000000",Holidays!A:A)+19/24,"")</f>
        <v>45324.79167</v>
      </c>
      <c r="L370" s="59" t="str">
        <f t="shared" si="3"/>
        <v/>
      </c>
      <c r="M370" s="60"/>
      <c r="N370" s="61">
        <f t="shared" si="4"/>
        <v>809.1922432</v>
      </c>
      <c r="O370" s="63">
        <f>if(A370,_xlfn.WORKDAY.INTL(A370,O$5,"1000000",Holidays!A:A)+hour(A370)/24+MINUTE(A370)/1440,"")</f>
        <v>45324.55347</v>
      </c>
      <c r="P370" s="64" t="s">
        <v>2718</v>
      </c>
      <c r="R370" s="66">
        <f t="shared" si="5"/>
        <v>809.4304377</v>
      </c>
      <c r="S370" s="66"/>
      <c r="T370" s="66"/>
      <c r="U370" s="64">
        <f>if(O370,_xlfn.WORKDAY.INTL(O370,U$5,"1000000",Holidays!A:A)+hour(O370)/24+MINUTE(O370)/1440,"")</f>
        <v>45325.55347</v>
      </c>
      <c r="V370" s="64" t="str">
        <f t="shared" si="6"/>
        <v/>
      </c>
      <c r="W370" s="66"/>
      <c r="X370" s="66">
        <f t="shared" si="7"/>
        <v>808.4304377</v>
      </c>
      <c r="Y370" s="66"/>
      <c r="Z370" s="66"/>
      <c r="AA370" s="66"/>
      <c r="AB370" s="63"/>
      <c r="AC370" s="63"/>
      <c r="AD370" s="63"/>
      <c r="AE370" s="63"/>
      <c r="AF370" s="63"/>
      <c r="AG370" s="63"/>
      <c r="AH370" s="63" t="str">
        <f t="shared" si="14"/>
        <v/>
      </c>
      <c r="AI370" s="63" t="str">
        <f>if(AH370,_xlfn.workday.intl(int(AH370),0,"1000000",Holidays!A:A)+18/24,"")</f>
        <v/>
      </c>
      <c r="AJ370" s="64" t="str">
        <f t="shared" si="24"/>
        <v/>
      </c>
      <c r="AL370" s="66" t="str">
        <f t="shared" si="9"/>
        <v/>
      </c>
      <c r="AM370" s="66"/>
      <c r="AN370" s="63" t="str">
        <f>if(AJ370,if(and(hour(AJ370+AN$5)&gt;11,(hour(AJ370+AN$5)&lt;20)),AJ370+AN$5,_xlfn.workday.intl(int(AJ370),1,"1000000",Holidays!A:A)+hour(AJ370+AN$5-$B$1)/24+minute(AJ370)/1440),"")</f>
        <v/>
      </c>
      <c r="AO370" s="64" t="str">
        <f t="shared" si="15"/>
        <v/>
      </c>
      <c r="AQ370" s="66" t="str">
        <f t="shared" si="16"/>
        <v/>
      </c>
      <c r="AR370" s="66"/>
      <c r="AS370" s="63" t="str">
        <f>if(AJ370,if(and(hour(AJ370+AS$5)&gt;11,(hour(AJ370+AS$5)&lt;20)),AJ370+AS$5,_xlfn.workday.intl(int(AJ370),1,"1000000",Holidays!A:A)+hour(AJ370+AS$5-$B$1)/24+minute(AJ370)/1440),"")</f>
        <v/>
      </c>
      <c r="AT370" s="64" t="str">
        <f t="shared" si="21"/>
        <v/>
      </c>
      <c r="AV370" s="66" t="str">
        <f t="shared" si="25"/>
        <v/>
      </c>
      <c r="AW370" s="66"/>
      <c r="AX370" s="56"/>
    </row>
    <row r="371">
      <c r="A371" s="55">
        <v>45323.55590050926</v>
      </c>
      <c r="B371" s="56"/>
      <c r="C371" s="57"/>
      <c r="D371" s="57"/>
      <c r="E371" s="57"/>
      <c r="F371" s="57"/>
      <c r="G371" s="58">
        <f>if(A371,_xlfn.workday.intl(int(A371),1,"1000000",Holidays!A:A)+17/24,"")</f>
        <v>45324.70833</v>
      </c>
      <c r="H371" s="59" t="str">
        <f t="shared" si="23"/>
        <v/>
      </c>
      <c r="I371" s="60"/>
      <c r="J371" s="61">
        <f t="shared" si="2"/>
        <v>809.2755766</v>
      </c>
      <c r="K371" s="58">
        <f>if(G371,_xlfn.workday.intl(int(G371),0,"1000000",Holidays!A:A)+19/24,"")</f>
        <v>45324.79167</v>
      </c>
      <c r="L371" s="59" t="str">
        <f t="shared" si="3"/>
        <v/>
      </c>
      <c r="M371" s="60"/>
      <c r="N371" s="61">
        <f t="shared" si="4"/>
        <v>809.1922432</v>
      </c>
      <c r="O371" s="63">
        <f>if(A371,_xlfn.WORKDAY.INTL(A371,O$5,"1000000",Holidays!A:A)+hour(A371)/24+MINUTE(A371)/1440,"")</f>
        <v>45324.55556</v>
      </c>
      <c r="P371" s="64" t="s">
        <v>2718</v>
      </c>
      <c r="R371" s="66">
        <f t="shared" si="5"/>
        <v>809.4283543</v>
      </c>
      <c r="S371" s="66"/>
      <c r="T371" s="66"/>
      <c r="U371" s="64">
        <f>if(O371,_xlfn.WORKDAY.INTL(O371,U$5,"1000000",Holidays!A:A)+hour(O371)/24+MINUTE(O371)/1440,"")</f>
        <v>45325.55556</v>
      </c>
      <c r="V371" s="64" t="str">
        <f t="shared" si="6"/>
        <v/>
      </c>
      <c r="W371" s="66"/>
      <c r="X371" s="66">
        <f t="shared" si="7"/>
        <v>808.4283543</v>
      </c>
      <c r="Y371" s="66"/>
      <c r="Z371" s="66"/>
      <c r="AA371" s="66"/>
      <c r="AB371" s="63"/>
      <c r="AC371" s="63"/>
      <c r="AD371" s="63"/>
      <c r="AE371" s="63"/>
      <c r="AF371" s="63"/>
      <c r="AG371" s="63"/>
      <c r="AH371" s="63" t="str">
        <f t="shared" si="14"/>
        <v/>
      </c>
      <c r="AI371" s="63" t="str">
        <f>if(AH371,_xlfn.workday.intl(int(AH371),0,"1000000",Holidays!A:A)+18/24,"")</f>
        <v/>
      </c>
      <c r="AJ371" s="64" t="str">
        <f t="shared" si="24"/>
        <v/>
      </c>
      <c r="AL371" s="66" t="str">
        <f t="shared" si="9"/>
        <v/>
      </c>
      <c r="AM371" s="66"/>
      <c r="AN371" s="63" t="str">
        <f>if(AJ371,if(and(hour(AJ371+AN$5)&gt;11,(hour(AJ371+AN$5)&lt;20)),AJ371+AN$5,_xlfn.workday.intl(int(AJ371),1,"1000000",Holidays!A:A)+hour(AJ371+AN$5-$B$1)/24+minute(AJ371)/1440),"")</f>
        <v/>
      </c>
      <c r="AO371" s="64" t="str">
        <f t="shared" si="15"/>
        <v/>
      </c>
      <c r="AQ371" s="66" t="str">
        <f t="shared" si="16"/>
        <v/>
      </c>
      <c r="AR371" s="66"/>
      <c r="AS371" s="63" t="str">
        <f>if(AJ371,if(and(hour(AJ371+AS$5)&gt;11,(hour(AJ371+AS$5)&lt;20)),AJ371+AS$5,_xlfn.workday.intl(int(AJ371),1,"1000000",Holidays!A:A)+hour(AJ371+AS$5-$B$1)/24+minute(AJ371)/1440),"")</f>
        <v/>
      </c>
      <c r="AT371" s="64" t="str">
        <f t="shared" si="21"/>
        <v/>
      </c>
      <c r="AV371" s="66" t="str">
        <f t="shared" si="25"/>
        <v/>
      </c>
      <c r="AW371" s="66"/>
      <c r="AX371" s="56"/>
    </row>
    <row r="372">
      <c r="A372" s="55">
        <v>45323.556901539356</v>
      </c>
      <c r="B372" s="56"/>
      <c r="C372" s="57"/>
      <c r="D372" s="57"/>
      <c r="E372" s="57"/>
      <c r="F372" s="57"/>
      <c r="G372" s="58">
        <f>if(A372,_xlfn.workday.intl(int(A372),1,"1000000",Holidays!A:A)+17/24,"")</f>
        <v>45324.70833</v>
      </c>
      <c r="H372" s="59" t="str">
        <f t="shared" si="23"/>
        <v/>
      </c>
      <c r="I372" s="60"/>
      <c r="J372" s="61">
        <f t="shared" si="2"/>
        <v>809.2755766</v>
      </c>
      <c r="K372" s="58">
        <f>if(G372,_xlfn.workday.intl(int(G372),0,"1000000",Holidays!A:A)+19/24,"")</f>
        <v>45324.79167</v>
      </c>
      <c r="L372" s="59" t="str">
        <f t="shared" si="3"/>
        <v/>
      </c>
      <c r="M372" s="60"/>
      <c r="N372" s="61">
        <f t="shared" si="4"/>
        <v>809.1922432</v>
      </c>
      <c r="O372" s="63">
        <f>if(A372,_xlfn.WORKDAY.INTL(A372,O$5,"1000000",Holidays!A:A)+hour(A372)/24+MINUTE(A372)/1440,"")</f>
        <v>45324.55625</v>
      </c>
      <c r="P372" s="64" t="s">
        <v>2718</v>
      </c>
      <c r="R372" s="66">
        <f t="shared" si="5"/>
        <v>809.4276599</v>
      </c>
      <c r="S372" s="66"/>
      <c r="T372" s="66"/>
      <c r="U372" s="64">
        <f>if(O372,_xlfn.WORKDAY.INTL(O372,U$5,"1000000",Holidays!A:A)+hour(O372)/24+MINUTE(O372)/1440,"")</f>
        <v>45325.55625</v>
      </c>
      <c r="V372" s="64" t="str">
        <f t="shared" si="6"/>
        <v/>
      </c>
      <c r="W372" s="66"/>
      <c r="X372" s="66">
        <f t="shared" si="7"/>
        <v>808.4276599</v>
      </c>
      <c r="Y372" s="66"/>
      <c r="Z372" s="66"/>
      <c r="AA372" s="66"/>
      <c r="AB372" s="63"/>
      <c r="AC372" s="63"/>
      <c r="AD372" s="63"/>
      <c r="AE372" s="63"/>
      <c r="AF372" s="63"/>
      <c r="AG372" s="63"/>
      <c r="AH372" s="63" t="str">
        <f t="shared" si="14"/>
        <v/>
      </c>
      <c r="AI372" s="63" t="str">
        <f>if(AH372,_xlfn.workday.intl(int(AH372),0,"1000000",Holidays!A:A)+18/24,"")</f>
        <v/>
      </c>
      <c r="AJ372" s="64" t="str">
        <f t="shared" si="24"/>
        <v/>
      </c>
      <c r="AL372" s="66" t="str">
        <f t="shared" si="9"/>
        <v/>
      </c>
      <c r="AM372" s="66"/>
      <c r="AN372" s="63" t="str">
        <f>if(AJ372,if(and(hour(AJ372+AN$5)&gt;11,(hour(AJ372+AN$5)&lt;20)),AJ372+AN$5,_xlfn.workday.intl(int(AJ372),1,"1000000",Holidays!A:A)+hour(AJ372+AN$5-$B$1)/24+minute(AJ372)/1440),"")</f>
        <v/>
      </c>
      <c r="AO372" s="64" t="str">
        <f t="shared" si="15"/>
        <v/>
      </c>
      <c r="AQ372" s="66" t="str">
        <f t="shared" si="16"/>
        <v/>
      </c>
      <c r="AR372" s="66"/>
      <c r="AS372" s="63" t="str">
        <f>if(AJ372,if(and(hour(AJ372+AS$5)&gt;11,(hour(AJ372+AS$5)&lt;20)),AJ372+AS$5,_xlfn.workday.intl(int(AJ372),1,"1000000",Holidays!A:A)+hour(AJ372+AS$5-$B$1)/24+minute(AJ372)/1440),"")</f>
        <v/>
      </c>
      <c r="AT372" s="64" t="str">
        <f t="shared" si="21"/>
        <v/>
      </c>
      <c r="AV372" s="66" t="str">
        <f t="shared" si="25"/>
        <v/>
      </c>
      <c r="AW372" s="66"/>
      <c r="AX372" s="56"/>
    </row>
    <row r="373">
      <c r="A373" s="55">
        <v>45323.55781680555</v>
      </c>
      <c r="B373" s="56"/>
      <c r="C373" s="57"/>
      <c r="D373" s="57"/>
      <c r="E373" s="57"/>
      <c r="F373" s="57"/>
      <c r="G373" s="58">
        <f>if(A373,_xlfn.workday.intl(int(A373),1,"1000000",Holidays!A:A)+17/24,"")</f>
        <v>45324.70833</v>
      </c>
      <c r="H373" s="59" t="str">
        <f t="shared" si="23"/>
        <v/>
      </c>
      <c r="I373" s="60"/>
      <c r="J373" s="61">
        <f t="shared" si="2"/>
        <v>809.2755766</v>
      </c>
      <c r="K373" s="58">
        <f>if(G373,_xlfn.workday.intl(int(G373),0,"1000000",Holidays!A:A)+19/24,"")</f>
        <v>45324.79167</v>
      </c>
      <c r="L373" s="59" t="str">
        <f t="shared" si="3"/>
        <v/>
      </c>
      <c r="M373" s="60"/>
      <c r="N373" s="61">
        <f t="shared" si="4"/>
        <v>809.1922432</v>
      </c>
      <c r="O373" s="63">
        <f>if(A373,_xlfn.WORKDAY.INTL(A373,O$5,"1000000",Holidays!A:A)+hour(A373)/24+MINUTE(A373)/1440,"")</f>
        <v>45324.55764</v>
      </c>
      <c r="P373" s="64" t="s">
        <v>2718</v>
      </c>
      <c r="R373" s="66">
        <f t="shared" si="5"/>
        <v>809.426271</v>
      </c>
      <c r="S373" s="66"/>
      <c r="T373" s="66"/>
      <c r="U373" s="64">
        <f>if(O373,_xlfn.WORKDAY.INTL(O373,U$5,"1000000",Holidays!A:A)+hour(O373)/24+MINUTE(O373)/1440,"")</f>
        <v>45325.55764</v>
      </c>
      <c r="V373" s="64" t="str">
        <f t="shared" si="6"/>
        <v/>
      </c>
      <c r="W373" s="66"/>
      <c r="X373" s="66">
        <f t="shared" si="7"/>
        <v>808.426271</v>
      </c>
      <c r="Y373" s="66"/>
      <c r="Z373" s="66"/>
      <c r="AA373" s="66"/>
      <c r="AB373" s="63"/>
      <c r="AC373" s="63"/>
      <c r="AD373" s="63"/>
      <c r="AE373" s="63"/>
      <c r="AF373" s="63"/>
      <c r="AG373" s="63"/>
      <c r="AH373" s="63" t="str">
        <f t="shared" si="14"/>
        <v/>
      </c>
      <c r="AI373" s="63" t="str">
        <f>if(AH373,_xlfn.workday.intl(int(AH373),0,"1000000",Holidays!A:A)+18/24,"")</f>
        <v/>
      </c>
      <c r="AJ373" s="64" t="str">
        <f t="shared" si="24"/>
        <v/>
      </c>
      <c r="AL373" s="66" t="str">
        <f t="shared" si="9"/>
        <v/>
      </c>
      <c r="AM373" s="66"/>
      <c r="AN373" s="63" t="str">
        <f>if(AJ373,if(and(hour(AJ373+AN$5)&gt;11,(hour(AJ373+AN$5)&lt;20)),AJ373+AN$5,_xlfn.workday.intl(int(AJ373),1,"1000000",Holidays!A:A)+hour(AJ373+AN$5-$B$1)/24+minute(AJ373)/1440),"")</f>
        <v/>
      </c>
      <c r="AO373" s="64" t="str">
        <f t="shared" si="15"/>
        <v/>
      </c>
      <c r="AQ373" s="66" t="str">
        <f t="shared" si="16"/>
        <v/>
      </c>
      <c r="AR373" s="66"/>
      <c r="AS373" s="63" t="str">
        <f>if(AJ373,if(and(hour(AJ373+AS$5)&gt;11,(hour(AJ373+AS$5)&lt;20)),AJ373+AS$5,_xlfn.workday.intl(int(AJ373),1,"1000000",Holidays!A:A)+hour(AJ373+AS$5-$B$1)/24+minute(AJ373)/1440),"")</f>
        <v/>
      </c>
      <c r="AT373" s="64" t="str">
        <f t="shared" si="21"/>
        <v/>
      </c>
      <c r="AV373" s="66" t="str">
        <f t="shared" si="25"/>
        <v/>
      </c>
      <c r="AW373" s="66"/>
      <c r="AX373" s="56"/>
    </row>
    <row r="374">
      <c r="A374" s="55">
        <v>45323.5597077662</v>
      </c>
      <c r="B374" s="56"/>
      <c r="C374" s="57"/>
      <c r="D374" s="57"/>
      <c r="E374" s="57"/>
      <c r="F374" s="57"/>
      <c r="G374" s="58">
        <f>if(A374,_xlfn.workday.intl(int(A374),1,"1000000",Holidays!A:A)+17/24,"")</f>
        <v>45324.70833</v>
      </c>
      <c r="H374" s="59" t="str">
        <f t="shared" si="23"/>
        <v/>
      </c>
      <c r="I374" s="60"/>
      <c r="J374" s="61">
        <f t="shared" si="2"/>
        <v>809.2755766</v>
      </c>
      <c r="K374" s="58">
        <f>if(G374,_xlfn.workday.intl(int(G374),0,"1000000",Holidays!A:A)+19/24,"")</f>
        <v>45324.79167</v>
      </c>
      <c r="L374" s="59" t="str">
        <f t="shared" si="3"/>
        <v/>
      </c>
      <c r="M374" s="60"/>
      <c r="N374" s="61">
        <f t="shared" si="4"/>
        <v>809.1922432</v>
      </c>
      <c r="O374" s="63">
        <f>if(A374,_xlfn.WORKDAY.INTL(A374,O$5,"1000000",Holidays!A:A)+hour(A374)/24+MINUTE(A374)/1440,"")</f>
        <v>45324.55903</v>
      </c>
      <c r="P374" s="64" t="s">
        <v>2718</v>
      </c>
      <c r="R374" s="66">
        <f t="shared" si="5"/>
        <v>809.4248821</v>
      </c>
      <c r="S374" s="66"/>
      <c r="T374" s="66"/>
      <c r="U374" s="64">
        <f>if(O374,_xlfn.WORKDAY.INTL(O374,U$5,"1000000",Holidays!A:A)+hour(O374)/24+MINUTE(O374)/1440,"")</f>
        <v>45325.55903</v>
      </c>
      <c r="V374" s="64" t="str">
        <f t="shared" si="6"/>
        <v/>
      </c>
      <c r="W374" s="66"/>
      <c r="X374" s="66">
        <f t="shared" si="7"/>
        <v>808.4248821</v>
      </c>
      <c r="Y374" s="66"/>
      <c r="Z374" s="66"/>
      <c r="AA374" s="66"/>
      <c r="AB374" s="63"/>
      <c r="AC374" s="63"/>
      <c r="AD374" s="63"/>
      <c r="AE374" s="63"/>
      <c r="AF374" s="63"/>
      <c r="AG374" s="63"/>
      <c r="AH374" s="63" t="str">
        <f t="shared" si="14"/>
        <v/>
      </c>
      <c r="AI374" s="63" t="str">
        <f>if(AH374,_xlfn.workday.intl(int(AH374),0,"1000000",Holidays!A:A)+18/24,"")</f>
        <v/>
      </c>
      <c r="AJ374" s="64" t="str">
        <f t="shared" si="24"/>
        <v/>
      </c>
      <c r="AL374" s="66" t="str">
        <f t="shared" si="9"/>
        <v/>
      </c>
      <c r="AM374" s="66"/>
      <c r="AN374" s="63" t="str">
        <f>if(AJ374,if(and(hour(AJ374+AN$5)&gt;11,(hour(AJ374+AN$5)&lt;20)),AJ374+AN$5,_xlfn.workday.intl(int(AJ374),1,"1000000",Holidays!A:A)+hour(AJ374+AN$5-$B$1)/24+minute(AJ374)/1440),"")</f>
        <v/>
      </c>
      <c r="AO374" s="64" t="str">
        <f t="shared" si="15"/>
        <v/>
      </c>
      <c r="AQ374" s="66" t="str">
        <f t="shared" si="16"/>
        <v/>
      </c>
      <c r="AR374" s="66"/>
      <c r="AS374" s="63" t="str">
        <f>if(AJ374,if(and(hour(AJ374+AS$5)&gt;11,(hour(AJ374+AS$5)&lt;20)),AJ374+AS$5,_xlfn.workday.intl(int(AJ374),1,"1000000",Holidays!A:A)+hour(AJ374+AS$5-$B$1)/24+minute(AJ374)/1440),"")</f>
        <v/>
      </c>
      <c r="AT374" s="64" t="str">
        <f t="shared" si="21"/>
        <v/>
      </c>
      <c r="AV374" s="66" t="str">
        <f t="shared" si="25"/>
        <v/>
      </c>
      <c r="AW374" s="66"/>
      <c r="AX374" s="56"/>
    </row>
    <row r="375">
      <c r="A375" s="55">
        <v>45323.56072903935</v>
      </c>
      <c r="B375" s="56"/>
      <c r="C375" s="57"/>
      <c r="D375" s="57"/>
      <c r="E375" s="57"/>
      <c r="F375" s="57"/>
      <c r="G375" s="58">
        <f>if(A375,_xlfn.workday.intl(int(A375),1,"1000000",Holidays!A:A)+17/24,"")</f>
        <v>45324.70833</v>
      </c>
      <c r="H375" s="59" t="str">
        <f t="shared" si="23"/>
        <v/>
      </c>
      <c r="I375" s="60"/>
      <c r="J375" s="61">
        <f t="shared" si="2"/>
        <v>809.2755766</v>
      </c>
      <c r="K375" s="58">
        <f>if(G375,_xlfn.workday.intl(int(G375),0,"1000000",Holidays!A:A)+19/24,"")</f>
        <v>45324.79167</v>
      </c>
      <c r="L375" s="59" t="str">
        <f t="shared" si="3"/>
        <v/>
      </c>
      <c r="M375" s="60"/>
      <c r="N375" s="61">
        <f t="shared" si="4"/>
        <v>809.1922432</v>
      </c>
      <c r="O375" s="63">
        <f>if(A375,_xlfn.WORKDAY.INTL(A375,O$5,"1000000",Holidays!A:A)+hour(A375)/24+MINUTE(A375)/1440,"")</f>
        <v>45324.56042</v>
      </c>
      <c r="P375" s="64" t="s">
        <v>2718</v>
      </c>
      <c r="R375" s="66">
        <f t="shared" si="5"/>
        <v>809.4234932</v>
      </c>
      <c r="S375" s="66"/>
      <c r="T375" s="66"/>
      <c r="U375" s="64">
        <f>if(O375,_xlfn.WORKDAY.INTL(O375,U$5,"1000000",Holidays!A:A)+hour(O375)/24+MINUTE(O375)/1440,"")</f>
        <v>45325.56042</v>
      </c>
      <c r="V375" s="64" t="str">
        <f t="shared" si="6"/>
        <v/>
      </c>
      <c r="W375" s="66"/>
      <c r="X375" s="66">
        <f t="shared" si="7"/>
        <v>808.4234932</v>
      </c>
      <c r="Y375" s="66"/>
      <c r="Z375" s="66"/>
      <c r="AA375" s="66"/>
      <c r="AB375" s="63"/>
      <c r="AC375" s="63"/>
      <c r="AD375" s="63"/>
      <c r="AE375" s="63"/>
      <c r="AF375" s="63"/>
      <c r="AG375" s="63"/>
      <c r="AH375" s="63" t="str">
        <f t="shared" si="14"/>
        <v/>
      </c>
      <c r="AI375" s="63" t="str">
        <f>if(AH375,_xlfn.workday.intl(int(AH375),0,"1000000",Holidays!A:A)+18/24,"")</f>
        <v/>
      </c>
      <c r="AJ375" s="64" t="str">
        <f t="shared" si="24"/>
        <v/>
      </c>
      <c r="AL375" s="66" t="str">
        <f t="shared" si="9"/>
        <v/>
      </c>
      <c r="AM375" s="66"/>
      <c r="AN375" s="63" t="str">
        <f>if(AJ375,if(and(hour(AJ375+AN$5)&gt;11,(hour(AJ375+AN$5)&lt;20)),AJ375+AN$5,_xlfn.workday.intl(int(AJ375),1,"1000000",Holidays!A:A)+hour(AJ375+AN$5-$B$1)/24+minute(AJ375)/1440),"")</f>
        <v/>
      </c>
      <c r="AO375" s="64" t="str">
        <f t="shared" si="15"/>
        <v/>
      </c>
      <c r="AQ375" s="66" t="str">
        <f t="shared" si="16"/>
        <v/>
      </c>
      <c r="AR375" s="66"/>
      <c r="AS375" s="63" t="str">
        <f>if(AJ375,if(and(hour(AJ375+AS$5)&gt;11,(hour(AJ375+AS$5)&lt;20)),AJ375+AS$5,_xlfn.workday.intl(int(AJ375),1,"1000000",Holidays!A:A)+hour(AJ375+AS$5-$B$1)/24+minute(AJ375)/1440),"")</f>
        <v/>
      </c>
      <c r="AT375" s="64" t="str">
        <f t="shared" si="21"/>
        <v/>
      </c>
      <c r="AV375" s="66" t="str">
        <f t="shared" si="25"/>
        <v/>
      </c>
      <c r="AW375" s="66"/>
      <c r="AX375" s="56"/>
    </row>
    <row r="376">
      <c r="A376" s="55">
        <v>45323.5616175926</v>
      </c>
      <c r="B376" s="56"/>
      <c r="C376" s="57"/>
      <c r="D376" s="57"/>
      <c r="E376" s="57"/>
      <c r="F376" s="57"/>
      <c r="G376" s="58">
        <f>if(A376,_xlfn.workday.intl(int(A376),1,"1000000",Holidays!A:A)+17/24,"")</f>
        <v>45324.70833</v>
      </c>
      <c r="H376" s="59" t="str">
        <f t="shared" si="23"/>
        <v/>
      </c>
      <c r="I376" s="60"/>
      <c r="J376" s="61">
        <f t="shared" si="2"/>
        <v>809.2755766</v>
      </c>
      <c r="K376" s="58">
        <f>if(G376,_xlfn.workday.intl(int(G376),0,"1000000",Holidays!A:A)+19/24,"")</f>
        <v>45324.79167</v>
      </c>
      <c r="L376" s="59" t="str">
        <f t="shared" si="3"/>
        <v/>
      </c>
      <c r="M376" s="60"/>
      <c r="N376" s="61">
        <f t="shared" si="4"/>
        <v>809.1922432</v>
      </c>
      <c r="O376" s="63">
        <f>if(A376,_xlfn.WORKDAY.INTL(A376,O$5,"1000000",Holidays!A:A)+hour(A376)/24+MINUTE(A376)/1440,"")</f>
        <v>45324.56111</v>
      </c>
      <c r="P376" s="64" t="s">
        <v>2718</v>
      </c>
      <c r="R376" s="66">
        <f t="shared" si="5"/>
        <v>809.4227988</v>
      </c>
      <c r="S376" s="66"/>
      <c r="T376" s="66"/>
      <c r="U376" s="64">
        <f>if(O376,_xlfn.WORKDAY.INTL(O376,U$5,"1000000",Holidays!A:A)+hour(O376)/24+MINUTE(O376)/1440,"")</f>
        <v>45325.56111</v>
      </c>
      <c r="V376" s="64" t="str">
        <f t="shared" si="6"/>
        <v/>
      </c>
      <c r="W376" s="66"/>
      <c r="X376" s="66">
        <f t="shared" si="7"/>
        <v>808.4227988</v>
      </c>
      <c r="Y376" s="66"/>
      <c r="Z376" s="66"/>
      <c r="AA376" s="66"/>
      <c r="AB376" s="63"/>
      <c r="AC376" s="63"/>
      <c r="AD376" s="63"/>
      <c r="AE376" s="63"/>
      <c r="AF376" s="63"/>
      <c r="AG376" s="63"/>
      <c r="AH376" s="63" t="str">
        <f t="shared" si="14"/>
        <v/>
      </c>
      <c r="AI376" s="63" t="str">
        <f>if(AH376,_xlfn.workday.intl(int(AH376),0,"1000000",Holidays!A:A)+18/24,"")</f>
        <v/>
      </c>
      <c r="AJ376" s="64" t="str">
        <f t="shared" si="24"/>
        <v/>
      </c>
      <c r="AL376" s="66" t="str">
        <f t="shared" si="9"/>
        <v/>
      </c>
      <c r="AM376" s="66"/>
      <c r="AN376" s="63" t="str">
        <f>if(AJ376,if(and(hour(AJ376+AN$5)&gt;11,(hour(AJ376+AN$5)&lt;20)),AJ376+AN$5,_xlfn.workday.intl(int(AJ376),1,"1000000",Holidays!A:A)+hour(AJ376+AN$5-$B$1)/24+minute(AJ376)/1440),"")</f>
        <v/>
      </c>
      <c r="AO376" s="64" t="str">
        <f t="shared" si="15"/>
        <v/>
      </c>
      <c r="AQ376" s="66" t="str">
        <f t="shared" si="16"/>
        <v/>
      </c>
      <c r="AR376" s="66"/>
      <c r="AS376" s="63" t="str">
        <f>if(AJ376,if(and(hour(AJ376+AS$5)&gt;11,(hour(AJ376+AS$5)&lt;20)),AJ376+AS$5,_xlfn.workday.intl(int(AJ376),1,"1000000",Holidays!A:A)+hour(AJ376+AS$5-$B$1)/24+minute(AJ376)/1440),"")</f>
        <v/>
      </c>
      <c r="AT376" s="64" t="str">
        <f t="shared" si="21"/>
        <v/>
      </c>
      <c r="AV376" s="66" t="str">
        <f t="shared" si="25"/>
        <v/>
      </c>
      <c r="AW376" s="66"/>
      <c r="AX376" s="56"/>
    </row>
    <row r="377">
      <c r="A377" s="55">
        <v>45323.562861701386</v>
      </c>
      <c r="B377" s="56"/>
      <c r="C377" s="57"/>
      <c r="D377" s="57"/>
      <c r="E377" s="57"/>
      <c r="F377" s="57"/>
      <c r="G377" s="58">
        <f>if(A377,_xlfn.workday.intl(int(A377),1,"1000000",Holidays!A:A)+17/24,"")</f>
        <v>45324.70833</v>
      </c>
      <c r="H377" s="59" t="str">
        <f t="shared" si="23"/>
        <v/>
      </c>
      <c r="I377" s="60"/>
      <c r="J377" s="61">
        <f t="shared" si="2"/>
        <v>809.2755766</v>
      </c>
      <c r="K377" s="58">
        <f>if(G377,_xlfn.workday.intl(int(G377),0,"1000000",Holidays!A:A)+19/24,"")</f>
        <v>45324.79167</v>
      </c>
      <c r="L377" s="59" t="str">
        <f t="shared" si="3"/>
        <v/>
      </c>
      <c r="M377" s="60"/>
      <c r="N377" s="61">
        <f t="shared" si="4"/>
        <v>809.1922432</v>
      </c>
      <c r="O377" s="63">
        <f>if(A377,_xlfn.WORKDAY.INTL(A377,O$5,"1000000",Holidays!A:A)+hour(A377)/24+MINUTE(A377)/1440,"")</f>
        <v>45324.5625</v>
      </c>
      <c r="P377" s="64" t="s">
        <v>2718</v>
      </c>
      <c r="R377" s="66">
        <f t="shared" si="5"/>
        <v>809.4214099</v>
      </c>
      <c r="S377" s="66"/>
      <c r="T377" s="66"/>
      <c r="U377" s="64">
        <f>if(O377,_xlfn.WORKDAY.INTL(O377,U$5,"1000000",Holidays!A:A)+hour(O377)/24+MINUTE(O377)/1440,"")</f>
        <v>45325.5625</v>
      </c>
      <c r="V377" s="64" t="str">
        <f t="shared" si="6"/>
        <v/>
      </c>
      <c r="W377" s="66"/>
      <c r="X377" s="66">
        <f t="shared" si="7"/>
        <v>808.4214099</v>
      </c>
      <c r="Y377" s="66"/>
      <c r="Z377" s="66"/>
      <c r="AA377" s="66"/>
      <c r="AB377" s="63"/>
      <c r="AC377" s="63"/>
      <c r="AD377" s="63"/>
      <c r="AE377" s="63"/>
      <c r="AF377" s="63"/>
      <c r="AG377" s="63"/>
      <c r="AH377" s="63" t="str">
        <f t="shared" si="14"/>
        <v/>
      </c>
      <c r="AI377" s="63" t="str">
        <f>if(AH377,_xlfn.workday.intl(int(AH377),0,"1000000",Holidays!A:A)+18/24,"")</f>
        <v/>
      </c>
      <c r="AJ377" s="64" t="str">
        <f t="shared" si="24"/>
        <v/>
      </c>
      <c r="AL377" s="66" t="str">
        <f t="shared" si="9"/>
        <v/>
      </c>
      <c r="AM377" s="66"/>
      <c r="AN377" s="63" t="str">
        <f>if(AJ377,if(and(hour(AJ377+AN$5)&gt;11,(hour(AJ377+AN$5)&lt;20)),AJ377+AN$5,_xlfn.workday.intl(int(AJ377),1,"1000000",Holidays!A:A)+hour(AJ377+AN$5-$B$1)/24+minute(AJ377)/1440),"")</f>
        <v/>
      </c>
      <c r="AO377" s="64" t="str">
        <f t="shared" si="15"/>
        <v/>
      </c>
      <c r="AQ377" s="66" t="str">
        <f t="shared" si="16"/>
        <v/>
      </c>
      <c r="AR377" s="66"/>
      <c r="AS377" s="63" t="str">
        <f>if(AJ377,if(and(hour(AJ377+AS$5)&gt;11,(hour(AJ377+AS$5)&lt;20)),AJ377+AS$5,_xlfn.workday.intl(int(AJ377),1,"1000000",Holidays!A:A)+hour(AJ377+AS$5-$B$1)/24+minute(AJ377)/1440),"")</f>
        <v/>
      </c>
      <c r="AT377" s="64" t="str">
        <f t="shared" si="21"/>
        <v/>
      </c>
      <c r="AV377" s="66" t="str">
        <f t="shared" si="25"/>
        <v/>
      </c>
      <c r="AW377" s="66"/>
      <c r="AX377" s="56"/>
    </row>
    <row r="378">
      <c r="A378" s="55">
        <v>45323.563475902774</v>
      </c>
      <c r="B378" s="56"/>
      <c r="C378" s="57"/>
      <c r="D378" s="57"/>
      <c r="E378" s="57"/>
      <c r="F378" s="57"/>
      <c r="G378" s="58">
        <f>if(A378,_xlfn.workday.intl(int(A378),1,"1000000",Holidays!A:A)+17/24,"")</f>
        <v>45324.70833</v>
      </c>
      <c r="H378" s="59" t="str">
        <f t="shared" si="23"/>
        <v/>
      </c>
      <c r="I378" s="60"/>
      <c r="J378" s="61">
        <f t="shared" si="2"/>
        <v>809.2755766</v>
      </c>
      <c r="K378" s="58">
        <f>if(G378,_xlfn.workday.intl(int(G378),0,"1000000",Holidays!A:A)+19/24,"")</f>
        <v>45324.79167</v>
      </c>
      <c r="L378" s="59" t="str">
        <f t="shared" si="3"/>
        <v/>
      </c>
      <c r="M378" s="60"/>
      <c r="N378" s="61">
        <f t="shared" si="4"/>
        <v>809.1922432</v>
      </c>
      <c r="O378" s="63">
        <f>if(A378,_xlfn.WORKDAY.INTL(A378,O$5,"1000000",Holidays!A:A)+hour(A378)/24+MINUTE(A378)/1440,"")</f>
        <v>45324.56319</v>
      </c>
      <c r="P378" s="64" t="s">
        <v>2718</v>
      </c>
      <c r="R378" s="66">
        <f t="shared" si="5"/>
        <v>809.4207155</v>
      </c>
      <c r="S378" s="66"/>
      <c r="T378" s="66"/>
      <c r="U378" s="64">
        <f>if(O378,_xlfn.WORKDAY.INTL(O378,U$5,"1000000",Holidays!A:A)+hour(O378)/24+MINUTE(O378)/1440,"")</f>
        <v>45325.56319</v>
      </c>
      <c r="V378" s="64" t="str">
        <f t="shared" si="6"/>
        <v/>
      </c>
      <c r="W378" s="66"/>
      <c r="X378" s="66">
        <f t="shared" si="7"/>
        <v>808.4207155</v>
      </c>
      <c r="Y378" s="66"/>
      <c r="Z378" s="66"/>
      <c r="AA378" s="66"/>
      <c r="AB378" s="63"/>
      <c r="AC378" s="63"/>
      <c r="AD378" s="63"/>
      <c r="AE378" s="63"/>
      <c r="AF378" s="63"/>
      <c r="AG378" s="63"/>
      <c r="AH378" s="63" t="str">
        <f t="shared" si="14"/>
        <v/>
      </c>
      <c r="AI378" s="63" t="str">
        <f>if(AH378,_xlfn.workday.intl(int(AH378),0,"1000000",Holidays!A:A)+18/24,"")</f>
        <v/>
      </c>
      <c r="AJ378" s="64" t="str">
        <f t="shared" si="24"/>
        <v/>
      </c>
      <c r="AL378" s="66" t="str">
        <f t="shared" si="9"/>
        <v/>
      </c>
      <c r="AM378" s="66"/>
      <c r="AN378" s="63" t="str">
        <f>if(AJ378,if(and(hour(AJ378+AN$5)&gt;11,(hour(AJ378+AN$5)&lt;20)),AJ378+AN$5,_xlfn.workday.intl(int(AJ378),1,"1000000",Holidays!A:A)+hour(AJ378+AN$5-$B$1)/24+minute(AJ378)/1440),"")</f>
        <v/>
      </c>
      <c r="AO378" s="64" t="str">
        <f t="shared" si="15"/>
        <v/>
      </c>
      <c r="AQ378" s="66" t="str">
        <f t="shared" si="16"/>
        <v/>
      </c>
      <c r="AR378" s="66"/>
      <c r="AS378" s="63" t="str">
        <f>if(AJ378,if(and(hour(AJ378+AS$5)&gt;11,(hour(AJ378+AS$5)&lt;20)),AJ378+AS$5,_xlfn.workday.intl(int(AJ378),1,"1000000",Holidays!A:A)+hour(AJ378+AS$5-$B$1)/24+minute(AJ378)/1440),"")</f>
        <v/>
      </c>
      <c r="AT378" s="64" t="str">
        <f t="shared" si="21"/>
        <v/>
      </c>
      <c r="AV378" s="66" t="str">
        <f t="shared" si="25"/>
        <v/>
      </c>
      <c r="AW378" s="66"/>
      <c r="AX378" s="56"/>
    </row>
    <row r="379">
      <c r="A379" s="55">
        <v>45323.56423900463</v>
      </c>
      <c r="B379" s="56"/>
      <c r="C379" s="57"/>
      <c r="D379" s="57"/>
      <c r="E379" s="57"/>
      <c r="F379" s="57"/>
      <c r="G379" s="58">
        <f>if(A379,_xlfn.workday.intl(int(A379),1,"1000000",Holidays!A:A)+17/24,"")</f>
        <v>45324.70833</v>
      </c>
      <c r="H379" s="59" t="str">
        <f t="shared" si="23"/>
        <v/>
      </c>
      <c r="I379" s="60"/>
      <c r="J379" s="61">
        <f t="shared" si="2"/>
        <v>809.2755766</v>
      </c>
      <c r="K379" s="58">
        <f>if(G379,_xlfn.workday.intl(int(G379),0,"1000000",Holidays!A:A)+19/24,"")</f>
        <v>45324.79167</v>
      </c>
      <c r="L379" s="59" t="str">
        <f t="shared" si="3"/>
        <v/>
      </c>
      <c r="M379" s="60"/>
      <c r="N379" s="61">
        <f t="shared" si="4"/>
        <v>809.1922432</v>
      </c>
      <c r="O379" s="63">
        <f>if(A379,_xlfn.WORKDAY.INTL(A379,O$5,"1000000",Holidays!A:A)+hour(A379)/24+MINUTE(A379)/1440,"")</f>
        <v>45324.56389</v>
      </c>
      <c r="P379" s="64" t="s">
        <v>2718</v>
      </c>
      <c r="R379" s="66">
        <f t="shared" si="5"/>
        <v>809.420021</v>
      </c>
      <c r="S379" s="66"/>
      <c r="T379" s="66"/>
      <c r="U379" s="64">
        <f>if(O379,_xlfn.WORKDAY.INTL(O379,U$5,"1000000",Holidays!A:A)+hour(O379)/24+MINUTE(O379)/1440,"")</f>
        <v>45325.56389</v>
      </c>
      <c r="V379" s="64" t="str">
        <f t="shared" si="6"/>
        <v/>
      </c>
      <c r="W379" s="66"/>
      <c r="X379" s="66">
        <f t="shared" si="7"/>
        <v>808.420021</v>
      </c>
      <c r="Y379" s="66"/>
      <c r="Z379" s="66"/>
      <c r="AA379" s="66"/>
      <c r="AB379" s="63"/>
      <c r="AC379" s="63"/>
      <c r="AD379" s="63"/>
      <c r="AE379" s="63"/>
      <c r="AF379" s="63"/>
      <c r="AG379" s="63"/>
      <c r="AH379" s="63" t="str">
        <f t="shared" si="14"/>
        <v/>
      </c>
      <c r="AI379" s="63" t="str">
        <f>if(AH379,_xlfn.workday.intl(int(AH379),0,"1000000",Holidays!A:A)+18/24,"")</f>
        <v/>
      </c>
      <c r="AJ379" s="64" t="str">
        <f t="shared" si="24"/>
        <v/>
      </c>
      <c r="AL379" s="66" t="str">
        <f t="shared" si="9"/>
        <v/>
      </c>
      <c r="AM379" s="66"/>
      <c r="AN379" s="63" t="str">
        <f>if(AJ379,if(and(hour(AJ379+AN$5)&gt;11,(hour(AJ379+AN$5)&lt;20)),AJ379+AN$5,_xlfn.workday.intl(int(AJ379),1,"1000000",Holidays!A:A)+hour(AJ379+AN$5-$B$1)/24+minute(AJ379)/1440),"")</f>
        <v/>
      </c>
      <c r="AO379" s="64" t="str">
        <f t="shared" si="15"/>
        <v/>
      </c>
      <c r="AQ379" s="66" t="str">
        <f t="shared" si="16"/>
        <v/>
      </c>
      <c r="AR379" s="66"/>
      <c r="AS379" s="63" t="str">
        <f>if(AJ379,if(and(hour(AJ379+AS$5)&gt;11,(hour(AJ379+AS$5)&lt;20)),AJ379+AS$5,_xlfn.workday.intl(int(AJ379),1,"1000000",Holidays!A:A)+hour(AJ379+AS$5-$B$1)/24+minute(AJ379)/1440),"")</f>
        <v/>
      </c>
      <c r="AT379" s="64" t="str">
        <f t="shared" si="21"/>
        <v/>
      </c>
      <c r="AV379" s="66" t="str">
        <f t="shared" si="25"/>
        <v/>
      </c>
      <c r="AW379" s="66"/>
      <c r="AX379" s="56"/>
    </row>
    <row r="380">
      <c r="A380" s="55">
        <v>45323.56498230324</v>
      </c>
      <c r="B380" s="56"/>
      <c r="C380" s="57"/>
      <c r="D380" s="57"/>
      <c r="E380" s="57"/>
      <c r="F380" s="57"/>
      <c r="G380" s="58">
        <f>if(A380,_xlfn.workday.intl(int(A380),1,"1000000",Holidays!A:A)+17/24,"")</f>
        <v>45324.70833</v>
      </c>
      <c r="H380" s="59" t="str">
        <f t="shared" si="23"/>
        <v/>
      </c>
      <c r="I380" s="60"/>
      <c r="J380" s="61">
        <f t="shared" si="2"/>
        <v>809.2755766</v>
      </c>
      <c r="K380" s="58">
        <f>if(G380,_xlfn.workday.intl(int(G380),0,"1000000",Holidays!A:A)+19/24,"")</f>
        <v>45324.79167</v>
      </c>
      <c r="L380" s="59" t="str">
        <f t="shared" si="3"/>
        <v/>
      </c>
      <c r="M380" s="60"/>
      <c r="N380" s="61">
        <f t="shared" si="4"/>
        <v>809.1922432</v>
      </c>
      <c r="O380" s="63">
        <f>if(A380,_xlfn.WORKDAY.INTL(A380,O$5,"1000000",Holidays!A:A)+hour(A380)/24+MINUTE(A380)/1440,"")</f>
        <v>45324.56458</v>
      </c>
      <c r="P380" s="64" t="s">
        <v>2718</v>
      </c>
      <c r="R380" s="66">
        <f t="shared" si="5"/>
        <v>809.4193266</v>
      </c>
      <c r="S380" s="66"/>
      <c r="T380" s="66"/>
      <c r="U380" s="64">
        <f>if(O380,_xlfn.WORKDAY.INTL(O380,U$5,"1000000",Holidays!A:A)+hour(O380)/24+MINUTE(O380)/1440,"")</f>
        <v>45325.56458</v>
      </c>
      <c r="V380" s="64" t="str">
        <f t="shared" si="6"/>
        <v/>
      </c>
      <c r="W380" s="66"/>
      <c r="X380" s="66">
        <f t="shared" si="7"/>
        <v>808.4193266</v>
      </c>
      <c r="Y380" s="66"/>
      <c r="Z380" s="66"/>
      <c r="AA380" s="66"/>
      <c r="AB380" s="63"/>
      <c r="AC380" s="63"/>
      <c r="AD380" s="63"/>
      <c r="AE380" s="63"/>
      <c r="AF380" s="63"/>
      <c r="AG380" s="63"/>
      <c r="AH380" s="63" t="str">
        <f t="shared" si="14"/>
        <v/>
      </c>
      <c r="AI380" s="63" t="str">
        <f>if(AH380,_xlfn.workday.intl(int(AH380),0,"1000000",Holidays!A:A)+18/24,"")</f>
        <v/>
      </c>
      <c r="AJ380" s="64" t="str">
        <f t="shared" si="24"/>
        <v/>
      </c>
      <c r="AL380" s="66" t="str">
        <f t="shared" si="9"/>
        <v/>
      </c>
      <c r="AM380" s="66"/>
      <c r="AN380" s="63" t="str">
        <f>if(AJ380,if(and(hour(AJ380+AN$5)&gt;11,(hour(AJ380+AN$5)&lt;20)),AJ380+AN$5,_xlfn.workday.intl(int(AJ380),1,"1000000",Holidays!A:A)+hour(AJ380+AN$5-$B$1)/24+minute(AJ380)/1440),"")</f>
        <v/>
      </c>
      <c r="AO380" s="64" t="str">
        <f t="shared" si="15"/>
        <v/>
      </c>
      <c r="AQ380" s="66" t="str">
        <f t="shared" si="16"/>
        <v/>
      </c>
      <c r="AR380" s="66"/>
      <c r="AS380" s="63" t="str">
        <f>if(AJ380,if(and(hour(AJ380+AS$5)&gt;11,(hour(AJ380+AS$5)&lt;20)),AJ380+AS$5,_xlfn.workday.intl(int(AJ380),1,"1000000",Holidays!A:A)+hour(AJ380+AS$5-$B$1)/24+minute(AJ380)/1440),"")</f>
        <v/>
      </c>
      <c r="AT380" s="64" t="str">
        <f t="shared" si="21"/>
        <v/>
      </c>
      <c r="AV380" s="66" t="str">
        <f t="shared" si="25"/>
        <v/>
      </c>
      <c r="AW380" s="66"/>
      <c r="AX380" s="56"/>
    </row>
    <row r="381">
      <c r="A381" s="55">
        <v>45323.5656952662</v>
      </c>
      <c r="B381" s="56"/>
      <c r="C381" s="57"/>
      <c r="D381" s="57"/>
      <c r="E381" s="57"/>
      <c r="F381" s="57"/>
      <c r="G381" s="58">
        <f>if(A381,_xlfn.workday.intl(int(A381),1,"1000000",Holidays!A:A)+17/24,"")</f>
        <v>45324.70833</v>
      </c>
      <c r="H381" s="59" t="str">
        <f t="shared" si="23"/>
        <v/>
      </c>
      <c r="I381" s="60"/>
      <c r="J381" s="61">
        <f t="shared" si="2"/>
        <v>809.2755766</v>
      </c>
      <c r="K381" s="58">
        <f>if(G381,_xlfn.workday.intl(int(G381),0,"1000000",Holidays!A:A)+19/24,"")</f>
        <v>45324.79167</v>
      </c>
      <c r="L381" s="59" t="str">
        <f t="shared" si="3"/>
        <v/>
      </c>
      <c r="M381" s="60"/>
      <c r="N381" s="61">
        <f t="shared" si="4"/>
        <v>809.1922432</v>
      </c>
      <c r="O381" s="63">
        <f>if(A381,_xlfn.WORKDAY.INTL(A381,O$5,"1000000",Holidays!A:A)+hour(A381)/24+MINUTE(A381)/1440,"")</f>
        <v>45324.56528</v>
      </c>
      <c r="P381" s="64" t="s">
        <v>2718</v>
      </c>
      <c r="R381" s="66">
        <f t="shared" si="5"/>
        <v>809.4186321</v>
      </c>
      <c r="S381" s="66"/>
      <c r="T381" s="66"/>
      <c r="U381" s="64">
        <f>if(O381,_xlfn.WORKDAY.INTL(O381,U$5,"1000000",Holidays!A:A)+hour(O381)/24+MINUTE(O381)/1440,"")</f>
        <v>45325.56528</v>
      </c>
      <c r="V381" s="64" t="str">
        <f t="shared" si="6"/>
        <v/>
      </c>
      <c r="W381" s="66"/>
      <c r="X381" s="66">
        <f t="shared" si="7"/>
        <v>808.4186321</v>
      </c>
      <c r="Y381" s="66"/>
      <c r="Z381" s="66"/>
      <c r="AA381" s="66"/>
      <c r="AB381" s="63"/>
      <c r="AC381" s="63"/>
      <c r="AD381" s="63"/>
      <c r="AE381" s="63"/>
      <c r="AF381" s="63"/>
      <c r="AG381" s="63"/>
      <c r="AH381" s="63" t="str">
        <f t="shared" si="14"/>
        <v/>
      </c>
      <c r="AI381" s="63" t="str">
        <f>if(AH381,_xlfn.workday.intl(int(AH381),0,"1000000",Holidays!A:A)+18/24,"")</f>
        <v/>
      </c>
      <c r="AJ381" s="64" t="str">
        <f t="shared" si="24"/>
        <v/>
      </c>
      <c r="AL381" s="66" t="str">
        <f t="shared" si="9"/>
        <v/>
      </c>
      <c r="AM381" s="66"/>
      <c r="AN381" s="63" t="str">
        <f>if(AJ381,if(and(hour(AJ381+AN$5)&gt;11,(hour(AJ381+AN$5)&lt;20)),AJ381+AN$5,_xlfn.workday.intl(int(AJ381),1,"1000000",Holidays!A:A)+hour(AJ381+AN$5-$B$1)/24+minute(AJ381)/1440),"")</f>
        <v/>
      </c>
      <c r="AO381" s="64" t="str">
        <f t="shared" si="15"/>
        <v/>
      </c>
      <c r="AQ381" s="66" t="str">
        <f t="shared" si="16"/>
        <v/>
      </c>
      <c r="AR381" s="66"/>
      <c r="AS381" s="63" t="str">
        <f>if(AJ381,if(and(hour(AJ381+AS$5)&gt;11,(hour(AJ381+AS$5)&lt;20)),AJ381+AS$5,_xlfn.workday.intl(int(AJ381),1,"1000000",Holidays!A:A)+hour(AJ381+AS$5-$B$1)/24+minute(AJ381)/1440),"")</f>
        <v/>
      </c>
      <c r="AT381" s="64" t="str">
        <f t="shared" si="21"/>
        <v/>
      </c>
      <c r="AV381" s="66" t="str">
        <f t="shared" si="25"/>
        <v/>
      </c>
      <c r="AW381" s="66"/>
      <c r="AX381" s="56"/>
    </row>
    <row r="382">
      <c r="A382" s="55">
        <v>45323.56654965278</v>
      </c>
      <c r="B382" s="56"/>
      <c r="C382" s="57"/>
      <c r="D382" s="57"/>
      <c r="E382" s="57"/>
      <c r="F382" s="57"/>
      <c r="G382" s="58">
        <f>if(A382,_xlfn.workday.intl(int(A382),1,"1000000",Holidays!A:A)+17/24,"")</f>
        <v>45324.70833</v>
      </c>
      <c r="H382" s="59" t="str">
        <f t="shared" si="23"/>
        <v/>
      </c>
      <c r="I382" s="60"/>
      <c r="J382" s="61">
        <f t="shared" si="2"/>
        <v>809.2755766</v>
      </c>
      <c r="K382" s="58">
        <f>if(G382,_xlfn.workday.intl(int(G382),0,"1000000",Holidays!A:A)+19/24,"")</f>
        <v>45324.79167</v>
      </c>
      <c r="L382" s="59" t="str">
        <f t="shared" si="3"/>
        <v/>
      </c>
      <c r="M382" s="60"/>
      <c r="N382" s="61">
        <f t="shared" si="4"/>
        <v>809.1922432</v>
      </c>
      <c r="O382" s="63">
        <f>if(A382,_xlfn.WORKDAY.INTL(A382,O$5,"1000000",Holidays!A:A)+hour(A382)/24+MINUTE(A382)/1440,"")</f>
        <v>45324.56597</v>
      </c>
      <c r="P382" s="64" t="s">
        <v>2718</v>
      </c>
      <c r="R382" s="66">
        <f t="shared" si="5"/>
        <v>809.4179377</v>
      </c>
      <c r="S382" s="66"/>
      <c r="T382" s="66"/>
      <c r="U382" s="64">
        <f>if(O382,_xlfn.WORKDAY.INTL(O382,U$5,"1000000",Holidays!A:A)+hour(O382)/24+MINUTE(O382)/1440,"")</f>
        <v>45325.56597</v>
      </c>
      <c r="V382" s="64" t="str">
        <f t="shared" si="6"/>
        <v/>
      </c>
      <c r="W382" s="66"/>
      <c r="X382" s="66">
        <f t="shared" si="7"/>
        <v>808.4179377</v>
      </c>
      <c r="Y382" s="66"/>
      <c r="Z382" s="66"/>
      <c r="AA382" s="66"/>
      <c r="AB382" s="63"/>
      <c r="AC382" s="63"/>
      <c r="AD382" s="63"/>
      <c r="AE382" s="63"/>
      <c r="AF382" s="63"/>
      <c r="AG382" s="63"/>
      <c r="AH382" s="63" t="str">
        <f t="shared" si="14"/>
        <v/>
      </c>
      <c r="AI382" s="63" t="str">
        <f>if(AH382,_xlfn.workday.intl(int(AH382),0,"1000000",Holidays!A:A)+18/24,"")</f>
        <v/>
      </c>
      <c r="AJ382" s="64" t="str">
        <f t="shared" si="24"/>
        <v/>
      </c>
      <c r="AL382" s="66" t="str">
        <f t="shared" si="9"/>
        <v/>
      </c>
      <c r="AM382" s="66"/>
      <c r="AN382" s="63" t="str">
        <f>if(AJ382,if(and(hour(AJ382+AN$5)&gt;11,(hour(AJ382+AN$5)&lt;20)),AJ382+AN$5,_xlfn.workday.intl(int(AJ382),1,"1000000",Holidays!A:A)+hour(AJ382+AN$5-$B$1)/24+minute(AJ382)/1440),"")</f>
        <v/>
      </c>
      <c r="AO382" s="64" t="str">
        <f t="shared" si="15"/>
        <v/>
      </c>
      <c r="AQ382" s="66" t="str">
        <f t="shared" si="16"/>
        <v/>
      </c>
      <c r="AR382" s="66"/>
      <c r="AS382" s="63" t="str">
        <f>if(AJ382,if(and(hour(AJ382+AS$5)&gt;11,(hour(AJ382+AS$5)&lt;20)),AJ382+AS$5,_xlfn.workday.intl(int(AJ382),1,"1000000",Holidays!A:A)+hour(AJ382+AS$5-$B$1)/24+minute(AJ382)/1440),"")</f>
        <v/>
      </c>
      <c r="AT382" s="64" t="str">
        <f t="shared" si="21"/>
        <v/>
      </c>
      <c r="AV382" s="66" t="str">
        <f t="shared" si="25"/>
        <v/>
      </c>
      <c r="AW382" s="66"/>
      <c r="AX382" s="56"/>
    </row>
    <row r="383">
      <c r="A383" s="55">
        <v>45323.56727151621</v>
      </c>
      <c r="B383" s="56"/>
      <c r="C383" s="57"/>
      <c r="D383" s="57"/>
      <c r="E383" s="57"/>
      <c r="F383" s="57"/>
      <c r="G383" s="58">
        <f>if(A383,_xlfn.workday.intl(int(A383),1,"1000000",Holidays!A:A)+17/24,"")</f>
        <v>45324.70833</v>
      </c>
      <c r="H383" s="59" t="str">
        <f t="shared" si="23"/>
        <v/>
      </c>
      <c r="I383" s="60"/>
      <c r="J383" s="61">
        <f t="shared" si="2"/>
        <v>809.2755766</v>
      </c>
      <c r="K383" s="58">
        <f>if(G383,_xlfn.workday.intl(int(G383),0,"1000000",Holidays!A:A)+19/24,"")</f>
        <v>45324.79167</v>
      </c>
      <c r="L383" s="59" t="str">
        <f t="shared" si="3"/>
        <v/>
      </c>
      <c r="M383" s="60"/>
      <c r="N383" s="61">
        <f t="shared" si="4"/>
        <v>809.1922432</v>
      </c>
      <c r="O383" s="63">
        <f>if(A383,_xlfn.WORKDAY.INTL(A383,O$5,"1000000",Holidays!A:A)+hour(A383)/24+MINUTE(A383)/1440,"")</f>
        <v>45324.56667</v>
      </c>
      <c r="P383" s="64" t="s">
        <v>2718</v>
      </c>
      <c r="R383" s="66">
        <f t="shared" si="5"/>
        <v>809.4172432</v>
      </c>
      <c r="S383" s="66"/>
      <c r="T383" s="66"/>
      <c r="U383" s="64">
        <f>if(O383,_xlfn.WORKDAY.INTL(O383,U$5,"1000000",Holidays!A:A)+hour(O383)/24+MINUTE(O383)/1440,"")</f>
        <v>45325.56667</v>
      </c>
      <c r="V383" s="64" t="str">
        <f t="shared" si="6"/>
        <v/>
      </c>
      <c r="W383" s="66"/>
      <c r="X383" s="66">
        <f t="shared" si="7"/>
        <v>808.4172432</v>
      </c>
      <c r="Y383" s="66"/>
      <c r="Z383" s="66"/>
      <c r="AA383" s="66"/>
      <c r="AB383" s="63"/>
      <c r="AC383" s="63"/>
      <c r="AD383" s="63"/>
      <c r="AE383" s="63"/>
      <c r="AF383" s="63"/>
      <c r="AG383" s="63"/>
      <c r="AH383" s="63" t="str">
        <f t="shared" si="14"/>
        <v/>
      </c>
      <c r="AI383" s="63" t="str">
        <f>if(AH383,_xlfn.workday.intl(int(AH383),0,"1000000",Holidays!A:A)+18/24,"")</f>
        <v/>
      </c>
      <c r="AJ383" s="64" t="str">
        <f t="shared" si="24"/>
        <v/>
      </c>
      <c r="AL383" s="66" t="str">
        <f t="shared" si="9"/>
        <v/>
      </c>
      <c r="AM383" s="66"/>
      <c r="AN383" s="63" t="str">
        <f>if(AJ383,if(and(hour(AJ383+AN$5)&gt;11,(hour(AJ383+AN$5)&lt;20)),AJ383+AN$5,_xlfn.workday.intl(int(AJ383),1,"1000000",Holidays!A:A)+hour(AJ383+AN$5-$B$1)/24+minute(AJ383)/1440),"")</f>
        <v/>
      </c>
      <c r="AO383" s="64" t="str">
        <f t="shared" si="15"/>
        <v/>
      </c>
      <c r="AQ383" s="66" t="str">
        <f t="shared" si="16"/>
        <v/>
      </c>
      <c r="AR383" s="66"/>
      <c r="AS383" s="63" t="str">
        <f>if(AJ383,if(and(hour(AJ383+AS$5)&gt;11,(hour(AJ383+AS$5)&lt;20)),AJ383+AS$5,_xlfn.workday.intl(int(AJ383),1,"1000000",Holidays!A:A)+hour(AJ383+AS$5-$B$1)/24+minute(AJ383)/1440),"")</f>
        <v/>
      </c>
      <c r="AT383" s="64" t="str">
        <f t="shared" si="21"/>
        <v/>
      </c>
      <c r="AV383" s="66" t="str">
        <f t="shared" si="25"/>
        <v/>
      </c>
      <c r="AW383" s="66"/>
      <c r="AX383" s="56"/>
    </row>
    <row r="384">
      <c r="A384" s="55">
        <v>45323.6978456713</v>
      </c>
      <c r="B384" s="56"/>
      <c r="C384" s="57"/>
      <c r="D384" s="57"/>
      <c r="E384" s="57"/>
      <c r="F384" s="57"/>
      <c r="G384" s="58">
        <f>if(A384,_xlfn.workday.intl(int(A384),1,"1000000",Holidays!A:A)+17/24,"")</f>
        <v>45324.70833</v>
      </c>
      <c r="H384" s="59" t="str">
        <f t="shared" si="23"/>
        <v/>
      </c>
      <c r="I384" s="60"/>
      <c r="J384" s="61">
        <f t="shared" si="2"/>
        <v>809.2755766</v>
      </c>
      <c r="K384" s="58">
        <f>if(G384,_xlfn.workday.intl(int(G384),0,"1000000",Holidays!A:A)+19/24,"")</f>
        <v>45324.79167</v>
      </c>
      <c r="L384" s="59" t="str">
        <f t="shared" si="3"/>
        <v/>
      </c>
      <c r="M384" s="60"/>
      <c r="N384" s="61">
        <f t="shared" si="4"/>
        <v>809.1922432</v>
      </c>
      <c r="O384" s="63">
        <f>if(A384,_xlfn.WORKDAY.INTL(A384,O$5,"1000000",Holidays!A:A)+hour(A384)/24+MINUTE(A384)/1440,"")</f>
        <v>45324.69722</v>
      </c>
      <c r="P384" s="64" t="s">
        <v>2718</v>
      </c>
      <c r="R384" s="66">
        <f t="shared" si="5"/>
        <v>809.2866877</v>
      </c>
      <c r="S384" s="66"/>
      <c r="T384" s="66"/>
      <c r="U384" s="64">
        <f>if(O384,_xlfn.WORKDAY.INTL(O384,U$5,"1000000",Holidays!A:A)+hour(O384)/24+MINUTE(O384)/1440,"")</f>
        <v>45325.69722</v>
      </c>
      <c r="V384" s="64" t="str">
        <f t="shared" si="6"/>
        <v/>
      </c>
      <c r="W384" s="66"/>
      <c r="X384" s="66">
        <f t="shared" si="7"/>
        <v>808.2866877</v>
      </c>
      <c r="Y384" s="66"/>
      <c r="Z384" s="66"/>
      <c r="AA384" s="66"/>
      <c r="AB384" s="63"/>
      <c r="AC384" s="63"/>
      <c r="AD384" s="63"/>
      <c r="AE384" s="63"/>
      <c r="AF384" s="63"/>
      <c r="AG384" s="63"/>
      <c r="AH384" s="63" t="str">
        <f t="shared" si="14"/>
        <v/>
      </c>
      <c r="AI384" s="63" t="str">
        <f>if(AH384,_xlfn.workday.intl(int(AH384),0,"1000000",Holidays!A:A)+18/24,"")</f>
        <v/>
      </c>
      <c r="AJ384" s="64" t="str">
        <f t="shared" si="24"/>
        <v/>
      </c>
      <c r="AL384" s="66" t="str">
        <f t="shared" si="9"/>
        <v/>
      </c>
      <c r="AM384" s="66"/>
      <c r="AN384" s="63" t="str">
        <f>if(AJ384,if(and(hour(AJ384+AN$5)&gt;11,(hour(AJ384+AN$5)&lt;20)),AJ384+AN$5,_xlfn.workday.intl(int(AJ384),1,"1000000",Holidays!A:A)+hour(AJ384+AN$5-$B$1)/24+minute(AJ384)/1440),"")</f>
        <v/>
      </c>
      <c r="AO384" s="64" t="str">
        <f t="shared" si="15"/>
        <v/>
      </c>
      <c r="AQ384" s="66" t="str">
        <f t="shared" si="16"/>
        <v/>
      </c>
      <c r="AR384" s="66"/>
      <c r="AS384" s="63" t="str">
        <f>if(AJ384,if(and(hour(AJ384+AS$5)&gt;11,(hour(AJ384+AS$5)&lt;20)),AJ384+AS$5,_xlfn.workday.intl(int(AJ384),1,"1000000",Holidays!A:A)+hour(AJ384+AS$5-$B$1)/24+minute(AJ384)/1440),"")</f>
        <v/>
      </c>
      <c r="AT384" s="64" t="str">
        <f t="shared" si="21"/>
        <v/>
      </c>
      <c r="AV384" s="66" t="str">
        <f t="shared" si="25"/>
        <v/>
      </c>
      <c r="AW384" s="66"/>
      <c r="AX384" s="56"/>
    </row>
    <row r="385">
      <c r="A385" s="55">
        <v>45323.69937849537</v>
      </c>
      <c r="B385" s="56"/>
      <c r="C385" s="57"/>
      <c r="D385" s="57"/>
      <c r="E385" s="57"/>
      <c r="F385" s="57"/>
      <c r="G385" s="58">
        <f>if(A385,_xlfn.workday.intl(int(A385),1,"1000000",Holidays!A:A)+17/24,"")</f>
        <v>45324.70833</v>
      </c>
      <c r="H385" s="59" t="str">
        <f t="shared" si="23"/>
        <v/>
      </c>
      <c r="I385" s="60"/>
      <c r="J385" s="61">
        <f t="shared" si="2"/>
        <v>809.2755766</v>
      </c>
      <c r="K385" s="58">
        <f>if(G385,_xlfn.workday.intl(int(G385),0,"1000000",Holidays!A:A)+19/24,"")</f>
        <v>45324.79167</v>
      </c>
      <c r="L385" s="59" t="str">
        <f t="shared" si="3"/>
        <v/>
      </c>
      <c r="M385" s="60"/>
      <c r="N385" s="61">
        <f t="shared" si="4"/>
        <v>809.1922432</v>
      </c>
      <c r="O385" s="63">
        <f>if(A385,_xlfn.WORKDAY.INTL(A385,O$5,"1000000",Holidays!A:A)+hour(A385)/24+MINUTE(A385)/1440,"")</f>
        <v>45324.69931</v>
      </c>
      <c r="P385" s="64" t="s">
        <v>2718</v>
      </c>
      <c r="R385" s="66">
        <f t="shared" si="5"/>
        <v>809.2846043</v>
      </c>
      <c r="S385" s="66"/>
      <c r="T385" s="66"/>
      <c r="U385" s="64">
        <f>if(O385,_xlfn.WORKDAY.INTL(O385,U$5,"1000000",Holidays!A:A)+hour(O385)/24+MINUTE(O385)/1440,"")</f>
        <v>45325.69931</v>
      </c>
      <c r="V385" s="64" t="str">
        <f t="shared" si="6"/>
        <v/>
      </c>
      <c r="W385" s="66"/>
      <c r="X385" s="66">
        <f t="shared" si="7"/>
        <v>808.2846043</v>
      </c>
      <c r="Y385" s="66"/>
      <c r="Z385" s="66"/>
      <c r="AA385" s="66"/>
      <c r="AB385" s="63"/>
      <c r="AC385" s="63"/>
      <c r="AD385" s="63"/>
      <c r="AE385" s="63"/>
      <c r="AF385" s="63"/>
      <c r="AG385" s="63"/>
      <c r="AH385" s="63" t="str">
        <f t="shared" si="14"/>
        <v/>
      </c>
      <c r="AI385" s="63" t="str">
        <f>if(AH385,_xlfn.workday.intl(int(AH385),0,"1000000",Holidays!A:A)+18/24,"")</f>
        <v/>
      </c>
      <c r="AJ385" s="64" t="str">
        <f t="shared" si="24"/>
        <v/>
      </c>
      <c r="AL385" s="66" t="str">
        <f t="shared" si="9"/>
        <v/>
      </c>
      <c r="AM385" s="66"/>
      <c r="AN385" s="63" t="str">
        <f>if(AJ385,if(and(hour(AJ385+AN$5)&gt;11,(hour(AJ385+AN$5)&lt;20)),AJ385+AN$5,_xlfn.workday.intl(int(AJ385),1,"1000000",Holidays!A:A)+hour(AJ385+AN$5-$B$1)/24+minute(AJ385)/1440),"")</f>
        <v/>
      </c>
      <c r="AO385" s="64" t="str">
        <f t="shared" si="15"/>
        <v/>
      </c>
      <c r="AQ385" s="66" t="str">
        <f t="shared" si="16"/>
        <v/>
      </c>
      <c r="AR385" s="66"/>
      <c r="AS385" s="63" t="str">
        <f>if(AJ385,if(and(hour(AJ385+AS$5)&gt;11,(hour(AJ385+AS$5)&lt;20)),AJ385+AS$5,_xlfn.workday.intl(int(AJ385),1,"1000000",Holidays!A:A)+hour(AJ385+AS$5-$B$1)/24+minute(AJ385)/1440),"")</f>
        <v/>
      </c>
      <c r="AT385" s="64" t="str">
        <f t="shared" si="21"/>
        <v/>
      </c>
      <c r="AV385" s="66" t="str">
        <f t="shared" si="25"/>
        <v/>
      </c>
      <c r="AW385" s="66"/>
      <c r="AX385" s="56"/>
    </row>
    <row r="386">
      <c r="A386" s="55">
        <v>45323.700378611116</v>
      </c>
      <c r="B386" s="56"/>
      <c r="C386" s="57"/>
      <c r="D386" s="57"/>
      <c r="E386" s="57"/>
      <c r="F386" s="57"/>
      <c r="G386" s="58">
        <f>if(A386,_xlfn.workday.intl(int(A386),1,"1000000",Holidays!A:A)+17/24,"")</f>
        <v>45324.70833</v>
      </c>
      <c r="H386" s="59" t="str">
        <f t="shared" si="23"/>
        <v/>
      </c>
      <c r="I386" s="60"/>
      <c r="J386" s="61">
        <f t="shared" si="2"/>
        <v>809.2755766</v>
      </c>
      <c r="K386" s="58">
        <f>if(G386,_xlfn.workday.intl(int(G386),0,"1000000",Holidays!A:A)+19/24,"")</f>
        <v>45324.79167</v>
      </c>
      <c r="L386" s="59" t="str">
        <f t="shared" si="3"/>
        <v/>
      </c>
      <c r="M386" s="60"/>
      <c r="N386" s="61">
        <f t="shared" si="4"/>
        <v>809.1922432</v>
      </c>
      <c r="O386" s="63">
        <f>if(A386,_xlfn.WORKDAY.INTL(A386,O$5,"1000000",Holidays!A:A)+hour(A386)/24+MINUTE(A386)/1440,"")</f>
        <v>45324.7</v>
      </c>
      <c r="P386" s="64" t="s">
        <v>2718</v>
      </c>
      <c r="R386" s="66">
        <f t="shared" si="5"/>
        <v>809.2839099</v>
      </c>
      <c r="S386" s="66"/>
      <c r="T386" s="66"/>
      <c r="U386" s="64">
        <f>if(O386,_xlfn.WORKDAY.INTL(O386,U$5,"1000000",Holidays!A:A)+hour(O386)/24+MINUTE(O386)/1440,"")</f>
        <v>45325.7</v>
      </c>
      <c r="V386" s="64" t="str">
        <f t="shared" si="6"/>
        <v/>
      </c>
      <c r="W386" s="66"/>
      <c r="X386" s="66">
        <f t="shared" si="7"/>
        <v>808.2839099</v>
      </c>
      <c r="Y386" s="66"/>
      <c r="Z386" s="66"/>
      <c r="AA386" s="66"/>
      <c r="AB386" s="63"/>
      <c r="AC386" s="63"/>
      <c r="AD386" s="63"/>
      <c r="AE386" s="63"/>
      <c r="AF386" s="63"/>
      <c r="AG386" s="63"/>
      <c r="AH386" s="63" t="str">
        <f t="shared" si="14"/>
        <v/>
      </c>
      <c r="AI386" s="63" t="str">
        <f>if(AH386,_xlfn.workday.intl(int(AH386),0,"1000000",Holidays!A:A)+18/24,"")</f>
        <v/>
      </c>
      <c r="AJ386" s="64" t="str">
        <f t="shared" si="24"/>
        <v/>
      </c>
      <c r="AL386" s="66" t="str">
        <f t="shared" si="9"/>
        <v/>
      </c>
      <c r="AM386" s="66"/>
      <c r="AN386" s="63" t="str">
        <f>if(AJ386,if(and(hour(AJ386+AN$5)&gt;11,(hour(AJ386+AN$5)&lt;20)),AJ386+AN$5,_xlfn.workday.intl(int(AJ386),1,"1000000",Holidays!A:A)+hour(AJ386+AN$5-$B$1)/24+minute(AJ386)/1440),"")</f>
        <v/>
      </c>
      <c r="AO386" s="64" t="str">
        <f t="shared" si="15"/>
        <v/>
      </c>
      <c r="AQ386" s="66" t="str">
        <f t="shared" si="16"/>
        <v/>
      </c>
      <c r="AR386" s="66"/>
      <c r="AS386" s="63" t="str">
        <f>if(AJ386,if(and(hour(AJ386+AS$5)&gt;11,(hour(AJ386+AS$5)&lt;20)),AJ386+AS$5,_xlfn.workday.intl(int(AJ386),1,"1000000",Holidays!A:A)+hour(AJ386+AS$5-$B$1)/24+minute(AJ386)/1440),"")</f>
        <v/>
      </c>
      <c r="AT386" s="64" t="str">
        <f t="shared" si="21"/>
        <v/>
      </c>
      <c r="AV386" s="66" t="str">
        <f t="shared" si="25"/>
        <v/>
      </c>
      <c r="AW386" s="66"/>
      <c r="AX386" s="56"/>
    </row>
    <row r="387">
      <c r="A387" s="55">
        <v>45323.70422804398</v>
      </c>
      <c r="B387" s="56"/>
      <c r="C387" s="57"/>
      <c r="D387" s="57"/>
      <c r="E387" s="57"/>
      <c r="F387" s="57"/>
      <c r="G387" s="58">
        <f>if(A387,_xlfn.workday.intl(int(A387),1,"1000000",Holidays!A:A)+17/24,"")</f>
        <v>45324.70833</v>
      </c>
      <c r="H387" s="59" t="str">
        <f t="shared" si="23"/>
        <v/>
      </c>
      <c r="I387" s="60"/>
      <c r="J387" s="61">
        <f t="shared" si="2"/>
        <v>809.2755766</v>
      </c>
      <c r="K387" s="58">
        <f>if(G387,_xlfn.workday.intl(int(G387),0,"1000000",Holidays!A:A)+19/24,"")</f>
        <v>45324.79167</v>
      </c>
      <c r="L387" s="59" t="str">
        <f t="shared" si="3"/>
        <v/>
      </c>
      <c r="M387" s="60"/>
      <c r="N387" s="61">
        <f t="shared" si="4"/>
        <v>809.1922432</v>
      </c>
      <c r="O387" s="63">
        <f>if(A387,_xlfn.WORKDAY.INTL(A387,O$5,"1000000",Holidays!A:A)+hour(A387)/24+MINUTE(A387)/1440,"")</f>
        <v>45324.70417</v>
      </c>
      <c r="P387" s="64" t="s">
        <v>2718</v>
      </c>
      <c r="R387" s="66">
        <f t="shared" si="5"/>
        <v>809.2797432</v>
      </c>
      <c r="S387" s="66"/>
      <c r="T387" s="66"/>
      <c r="U387" s="64">
        <f>if(O387,_xlfn.WORKDAY.INTL(O387,U$5,"1000000",Holidays!A:A)+hour(O387)/24+MINUTE(O387)/1440,"")</f>
        <v>45325.70417</v>
      </c>
      <c r="V387" s="64" t="str">
        <f t="shared" si="6"/>
        <v/>
      </c>
      <c r="W387" s="66"/>
      <c r="X387" s="66">
        <f t="shared" si="7"/>
        <v>808.2797432</v>
      </c>
      <c r="Y387" s="66"/>
      <c r="Z387" s="66"/>
      <c r="AA387" s="66"/>
      <c r="AB387" s="63"/>
      <c r="AC387" s="63"/>
      <c r="AD387" s="63"/>
      <c r="AE387" s="63"/>
      <c r="AF387" s="63"/>
      <c r="AG387" s="63"/>
      <c r="AH387" s="63" t="str">
        <f t="shared" si="14"/>
        <v/>
      </c>
      <c r="AI387" s="63" t="str">
        <f>if(AH387,_xlfn.workday.intl(int(AH387),0,"1000000",Holidays!A:A)+18/24,"")</f>
        <v/>
      </c>
      <c r="AJ387" s="64" t="str">
        <f t="shared" si="24"/>
        <v/>
      </c>
      <c r="AL387" s="66" t="str">
        <f t="shared" si="9"/>
        <v/>
      </c>
      <c r="AM387" s="66"/>
      <c r="AN387" s="63" t="str">
        <f>if(AJ387,if(and(hour(AJ387+AN$5)&gt;11,(hour(AJ387+AN$5)&lt;20)),AJ387+AN$5,_xlfn.workday.intl(int(AJ387),1,"1000000",Holidays!A:A)+hour(AJ387+AN$5-$B$1)/24+minute(AJ387)/1440),"")</f>
        <v/>
      </c>
      <c r="AO387" s="64" t="str">
        <f t="shared" si="15"/>
        <v/>
      </c>
      <c r="AQ387" s="66" t="str">
        <f t="shared" si="16"/>
        <v/>
      </c>
      <c r="AR387" s="66"/>
      <c r="AS387" s="63" t="str">
        <f>if(AJ387,if(and(hour(AJ387+AS$5)&gt;11,(hour(AJ387+AS$5)&lt;20)),AJ387+AS$5,_xlfn.workday.intl(int(AJ387),1,"1000000",Holidays!A:A)+hour(AJ387+AS$5-$B$1)/24+minute(AJ387)/1440),"")</f>
        <v/>
      </c>
      <c r="AT387" s="64" t="str">
        <f t="shared" si="21"/>
        <v/>
      </c>
      <c r="AV387" s="66" t="str">
        <f t="shared" si="25"/>
        <v/>
      </c>
      <c r="AW387" s="66"/>
      <c r="AX387" s="56"/>
    </row>
    <row r="388">
      <c r="A388" s="55">
        <v>45325.70485834491</v>
      </c>
      <c r="B388" s="56"/>
      <c r="C388" s="57"/>
      <c r="D388" s="57"/>
      <c r="E388" s="57"/>
      <c r="F388" s="57"/>
      <c r="G388" s="58">
        <f>if(A388,_xlfn.workday.intl(int(A388),1,"1000000",Holidays!A:A)+17/24,"")</f>
        <v>45326.70833</v>
      </c>
      <c r="H388" s="59" t="str">
        <f t="shared" si="23"/>
        <v/>
      </c>
      <c r="I388" s="60"/>
      <c r="J388" s="61">
        <f t="shared" si="2"/>
        <v>807.2755766</v>
      </c>
      <c r="K388" s="58">
        <f>if(G388,_xlfn.workday.intl(int(G388),0,"1000000",Holidays!A:A)+19/24,"")</f>
        <v>45326.79167</v>
      </c>
      <c r="L388" s="59" t="str">
        <f t="shared" si="3"/>
        <v/>
      </c>
      <c r="M388" s="60"/>
      <c r="N388" s="61">
        <f t="shared" si="4"/>
        <v>807.1922432</v>
      </c>
      <c r="O388" s="63">
        <f>if(A388,_xlfn.WORKDAY.INTL(A388,O$5,"1000000",Holidays!A:A)+hour(A388)/24+MINUTE(A388)/1440,"")</f>
        <v>45326.70486</v>
      </c>
      <c r="P388" s="64" t="s">
        <v>2718</v>
      </c>
      <c r="R388" s="66">
        <f t="shared" si="5"/>
        <v>807.2790488</v>
      </c>
      <c r="S388" s="66"/>
      <c r="T388" s="66"/>
      <c r="U388" s="64">
        <f>if(O388,_xlfn.WORKDAY.INTL(O388,U$5,"1000000",Holidays!A:A)+hour(O388)/24+MINUTE(O388)/1440,"")</f>
        <v>45328.70486</v>
      </c>
      <c r="V388" s="64" t="str">
        <f t="shared" si="6"/>
        <v/>
      </c>
      <c r="W388" s="66"/>
      <c r="X388" s="66">
        <f t="shared" si="7"/>
        <v>805.2790488</v>
      </c>
      <c r="Y388" s="66"/>
      <c r="Z388" s="66"/>
      <c r="AA388" s="66"/>
      <c r="AB388" s="63"/>
      <c r="AC388" s="63"/>
      <c r="AD388" s="63"/>
      <c r="AE388" s="63"/>
      <c r="AF388" s="63"/>
      <c r="AG388" s="63"/>
      <c r="AH388" s="63" t="str">
        <f t="shared" si="14"/>
        <v/>
      </c>
      <c r="AI388" s="63" t="str">
        <f>if(AH388,_xlfn.workday.intl(int(AH388),0,"1000000",Holidays!A:A)+18/24,"")</f>
        <v/>
      </c>
      <c r="AJ388" s="64" t="str">
        <f t="shared" si="24"/>
        <v/>
      </c>
      <c r="AL388" s="66" t="str">
        <f t="shared" si="9"/>
        <v/>
      </c>
      <c r="AM388" s="66"/>
      <c r="AN388" s="63" t="str">
        <f>if(AJ388,if(and(hour(AJ388+AN$5)&gt;11,(hour(AJ388+AN$5)&lt;20)),AJ388+AN$5,_xlfn.workday.intl(int(AJ388),1,"1000000",Holidays!A:A)+hour(AJ388+AN$5-$B$1)/24+minute(AJ388)/1440),"")</f>
        <v/>
      </c>
      <c r="AO388" s="64" t="str">
        <f t="shared" si="15"/>
        <v/>
      </c>
      <c r="AQ388" s="66" t="str">
        <f t="shared" si="16"/>
        <v/>
      </c>
      <c r="AR388" s="66"/>
      <c r="AS388" s="63" t="str">
        <f>if(AJ388,if(and(hour(AJ388+AS$5)&gt;11,(hour(AJ388+AS$5)&lt;20)),AJ388+AS$5,_xlfn.workday.intl(int(AJ388),1,"1000000",Holidays!A:A)+hour(AJ388+AS$5-$B$1)/24+minute(AJ388)/1440),"")</f>
        <v/>
      </c>
      <c r="AT388" s="64" t="str">
        <f t="shared" si="21"/>
        <v/>
      </c>
      <c r="AV388" s="66" t="str">
        <f t="shared" si="25"/>
        <v/>
      </c>
      <c r="AW388" s="66"/>
      <c r="AX388" s="56"/>
    </row>
    <row r="389">
      <c r="A389" s="55">
        <v>45325.70662981481</v>
      </c>
      <c r="B389" s="56"/>
      <c r="C389" s="57"/>
      <c r="D389" s="57"/>
      <c r="E389" s="57"/>
      <c r="F389" s="57"/>
      <c r="G389" s="58">
        <f>if(A389,_xlfn.workday.intl(int(A389),1,"1000000",Holidays!A:A)+17/24,"")</f>
        <v>45326.70833</v>
      </c>
      <c r="H389" s="59" t="str">
        <f t="shared" si="23"/>
        <v/>
      </c>
      <c r="I389" s="60"/>
      <c r="J389" s="61">
        <f t="shared" si="2"/>
        <v>807.2755766</v>
      </c>
      <c r="K389" s="58">
        <f>if(G389,_xlfn.workday.intl(int(G389),0,"1000000",Holidays!A:A)+19/24,"")</f>
        <v>45326.79167</v>
      </c>
      <c r="L389" s="59" t="str">
        <f t="shared" si="3"/>
        <v/>
      </c>
      <c r="M389" s="60"/>
      <c r="N389" s="61">
        <f t="shared" si="4"/>
        <v>807.1922432</v>
      </c>
      <c r="O389" s="63">
        <f>if(A389,_xlfn.WORKDAY.INTL(A389,O$5,"1000000",Holidays!A:A)+hour(A389)/24+MINUTE(A389)/1440,"")</f>
        <v>45326.70625</v>
      </c>
      <c r="P389" s="64" t="s">
        <v>2718</v>
      </c>
      <c r="R389" s="66">
        <f t="shared" si="5"/>
        <v>807.2776599</v>
      </c>
      <c r="S389" s="66"/>
      <c r="T389" s="66"/>
      <c r="U389" s="64">
        <f>if(O389,_xlfn.WORKDAY.INTL(O389,U$5,"1000000",Holidays!A:A)+hour(O389)/24+MINUTE(O389)/1440,"")</f>
        <v>45328.70625</v>
      </c>
      <c r="V389" s="64" t="str">
        <f t="shared" si="6"/>
        <v/>
      </c>
      <c r="W389" s="66"/>
      <c r="X389" s="66">
        <f t="shared" si="7"/>
        <v>805.2776599</v>
      </c>
      <c r="Y389" s="66"/>
      <c r="Z389" s="66"/>
      <c r="AA389" s="66"/>
      <c r="AB389" s="63"/>
      <c r="AC389" s="63"/>
      <c r="AD389" s="63"/>
      <c r="AE389" s="63"/>
      <c r="AF389" s="63"/>
      <c r="AG389" s="63"/>
      <c r="AH389" s="63" t="str">
        <f t="shared" si="14"/>
        <v/>
      </c>
      <c r="AI389" s="63" t="str">
        <f>if(AH389,_xlfn.workday.intl(int(AH389),0,"1000000",Holidays!A:A)+18/24,"")</f>
        <v/>
      </c>
      <c r="AJ389" s="64" t="str">
        <f t="shared" si="24"/>
        <v/>
      </c>
      <c r="AL389" s="66" t="str">
        <f t="shared" si="9"/>
        <v/>
      </c>
      <c r="AM389" s="66"/>
      <c r="AN389" s="63" t="str">
        <f>if(AJ389,if(and(hour(AJ389+AN$5)&gt;11,(hour(AJ389+AN$5)&lt;20)),AJ389+AN$5,_xlfn.workday.intl(int(AJ389),1,"1000000",Holidays!A:A)+hour(AJ389+AN$5-$B$1)/24+minute(AJ389)/1440),"")</f>
        <v/>
      </c>
      <c r="AO389" s="64" t="str">
        <f t="shared" si="15"/>
        <v/>
      </c>
      <c r="AQ389" s="66" t="str">
        <f t="shared" si="16"/>
        <v/>
      </c>
      <c r="AR389" s="66"/>
      <c r="AS389" s="63" t="str">
        <f>if(AJ389,if(and(hour(AJ389+AS$5)&gt;11,(hour(AJ389+AS$5)&lt;20)),AJ389+AS$5,_xlfn.workday.intl(int(AJ389),1,"1000000",Holidays!A:A)+hour(AJ389+AS$5-$B$1)/24+minute(AJ389)/1440),"")</f>
        <v/>
      </c>
      <c r="AT389" s="64" t="str">
        <f t="shared" si="21"/>
        <v/>
      </c>
      <c r="AV389" s="66" t="str">
        <f t="shared" si="25"/>
        <v/>
      </c>
      <c r="AW389" s="66"/>
      <c r="AX389" s="56"/>
    </row>
    <row r="390">
      <c r="A390" s="55">
        <v>45325.707460509264</v>
      </c>
      <c r="B390" s="56"/>
      <c r="C390" s="57"/>
      <c r="D390" s="57"/>
      <c r="E390" s="57"/>
      <c r="F390" s="57"/>
      <c r="G390" s="58">
        <f>if(A390,_xlfn.workday.intl(int(A390),1,"1000000",Holidays!A:A)+17/24,"")</f>
        <v>45326.70833</v>
      </c>
      <c r="H390" s="59" t="str">
        <f t="shared" si="23"/>
        <v/>
      </c>
      <c r="I390" s="60"/>
      <c r="J390" s="61">
        <f t="shared" si="2"/>
        <v>807.2755766</v>
      </c>
      <c r="K390" s="58">
        <f>if(G390,_xlfn.workday.intl(int(G390),0,"1000000",Holidays!A:A)+19/24,"")</f>
        <v>45326.79167</v>
      </c>
      <c r="L390" s="59" t="str">
        <f t="shared" si="3"/>
        <v/>
      </c>
      <c r="M390" s="60"/>
      <c r="N390" s="61">
        <f t="shared" si="4"/>
        <v>807.1922432</v>
      </c>
      <c r="O390" s="63">
        <f>if(A390,_xlfn.WORKDAY.INTL(A390,O$5,"1000000",Holidays!A:A)+hour(A390)/24+MINUTE(A390)/1440,"")</f>
        <v>45326.70694</v>
      </c>
      <c r="P390" s="64" t="s">
        <v>2718</v>
      </c>
      <c r="R390" s="66">
        <f t="shared" si="5"/>
        <v>807.2769655</v>
      </c>
      <c r="S390" s="66"/>
      <c r="T390" s="66"/>
      <c r="U390" s="64">
        <f>if(O390,_xlfn.WORKDAY.INTL(O390,U$5,"1000000",Holidays!A:A)+hour(O390)/24+MINUTE(O390)/1440,"")</f>
        <v>45328.70694</v>
      </c>
      <c r="V390" s="64" t="str">
        <f t="shared" si="6"/>
        <v/>
      </c>
      <c r="W390" s="66"/>
      <c r="X390" s="66">
        <f t="shared" si="7"/>
        <v>805.2769655</v>
      </c>
      <c r="Y390" s="66"/>
      <c r="Z390" s="66"/>
      <c r="AA390" s="66"/>
      <c r="AB390" s="63"/>
      <c r="AC390" s="63"/>
      <c r="AD390" s="63"/>
      <c r="AE390" s="63"/>
      <c r="AF390" s="63"/>
      <c r="AG390" s="63"/>
      <c r="AH390" s="63" t="str">
        <f t="shared" si="14"/>
        <v/>
      </c>
      <c r="AI390" s="63" t="str">
        <f>if(AH390,_xlfn.workday.intl(int(AH390),0,"1000000",Holidays!A:A)+18/24,"")</f>
        <v/>
      </c>
      <c r="AJ390" s="64" t="str">
        <f t="shared" si="24"/>
        <v/>
      </c>
      <c r="AL390" s="66" t="str">
        <f t="shared" si="9"/>
        <v/>
      </c>
      <c r="AM390" s="66"/>
      <c r="AN390" s="63" t="str">
        <f>if(AJ390,if(and(hour(AJ390+AN$5)&gt;11,(hour(AJ390+AN$5)&lt;20)),AJ390+AN$5,_xlfn.workday.intl(int(AJ390),1,"1000000",Holidays!A:A)+hour(AJ390+AN$5-$B$1)/24+minute(AJ390)/1440),"")</f>
        <v/>
      </c>
      <c r="AO390" s="64" t="str">
        <f t="shared" si="15"/>
        <v/>
      </c>
      <c r="AQ390" s="66" t="str">
        <f t="shared" si="16"/>
        <v/>
      </c>
      <c r="AR390" s="66"/>
      <c r="AS390" s="63" t="str">
        <f>if(AJ390,if(and(hour(AJ390+AS$5)&gt;11,(hour(AJ390+AS$5)&lt;20)),AJ390+AS$5,_xlfn.workday.intl(int(AJ390),1,"1000000",Holidays!A:A)+hour(AJ390+AS$5-$B$1)/24+minute(AJ390)/1440),"")</f>
        <v/>
      </c>
      <c r="AT390" s="64" t="str">
        <f t="shared" si="21"/>
        <v/>
      </c>
      <c r="AV390" s="66" t="str">
        <f t="shared" si="25"/>
        <v/>
      </c>
      <c r="AW390" s="66"/>
      <c r="AX390" s="56"/>
    </row>
    <row r="391">
      <c r="A391" s="55">
        <v>45325.70842616898</v>
      </c>
      <c r="B391" s="56"/>
      <c r="C391" s="57"/>
      <c r="D391" s="57"/>
      <c r="E391" s="57"/>
      <c r="F391" s="57"/>
      <c r="G391" s="58">
        <f>if(A391,_xlfn.workday.intl(int(A391),1,"1000000",Holidays!A:A)+17/24,"")</f>
        <v>45326.70833</v>
      </c>
      <c r="H391" s="59" t="str">
        <f t="shared" si="23"/>
        <v/>
      </c>
      <c r="I391" s="60"/>
      <c r="J391" s="61">
        <f t="shared" si="2"/>
        <v>807.2755766</v>
      </c>
      <c r="K391" s="58">
        <f>if(G391,_xlfn.workday.intl(int(G391),0,"1000000",Holidays!A:A)+19/24,"")</f>
        <v>45326.79167</v>
      </c>
      <c r="L391" s="59" t="str">
        <f t="shared" si="3"/>
        <v/>
      </c>
      <c r="M391" s="60"/>
      <c r="N391" s="61">
        <f t="shared" si="4"/>
        <v>807.1922432</v>
      </c>
      <c r="O391" s="63">
        <f>if(A391,_xlfn.WORKDAY.INTL(A391,O$5,"1000000",Holidays!A:A)+hour(A391)/24+MINUTE(A391)/1440,"")</f>
        <v>45326.70833</v>
      </c>
      <c r="P391" s="64" t="s">
        <v>2718</v>
      </c>
      <c r="R391" s="66">
        <f t="shared" si="5"/>
        <v>807.2755766</v>
      </c>
      <c r="S391" s="66"/>
      <c r="T391" s="66"/>
      <c r="U391" s="64">
        <f>if(O391,_xlfn.WORKDAY.INTL(O391,U$5,"1000000",Holidays!A:A)+hour(O391)/24+MINUTE(O391)/1440,"")</f>
        <v>45328.70833</v>
      </c>
      <c r="V391" s="64" t="str">
        <f t="shared" si="6"/>
        <v/>
      </c>
      <c r="W391" s="66"/>
      <c r="X391" s="66">
        <f t="shared" si="7"/>
        <v>805.2755766</v>
      </c>
      <c r="Y391" s="66"/>
      <c r="Z391" s="66"/>
      <c r="AA391" s="66"/>
      <c r="AB391" s="63"/>
      <c r="AC391" s="63"/>
      <c r="AD391" s="63"/>
      <c r="AE391" s="63"/>
      <c r="AF391" s="63"/>
      <c r="AG391" s="63"/>
      <c r="AH391" s="63" t="str">
        <f t="shared" si="14"/>
        <v/>
      </c>
      <c r="AI391" s="63" t="str">
        <f>if(AH391,_xlfn.workday.intl(int(AH391),0,"1000000",Holidays!A:A)+18/24,"")</f>
        <v/>
      </c>
      <c r="AJ391" s="64" t="str">
        <f t="shared" si="24"/>
        <v/>
      </c>
      <c r="AL391" s="66" t="str">
        <f t="shared" si="9"/>
        <v/>
      </c>
      <c r="AM391" s="66"/>
      <c r="AN391" s="63" t="str">
        <f>if(AJ391,if(and(hour(AJ391+AN$5)&gt;11,(hour(AJ391+AN$5)&lt;20)),AJ391+AN$5,_xlfn.workday.intl(int(AJ391),1,"1000000",Holidays!A:A)+hour(AJ391+AN$5-$B$1)/24+minute(AJ391)/1440),"")</f>
        <v/>
      </c>
      <c r="AO391" s="64" t="str">
        <f t="shared" si="15"/>
        <v/>
      </c>
      <c r="AQ391" s="66" t="str">
        <f t="shared" si="16"/>
        <v/>
      </c>
      <c r="AR391" s="66"/>
      <c r="AS391" s="63" t="str">
        <f>if(AJ391,if(and(hour(AJ391+AS$5)&gt;11,(hour(AJ391+AS$5)&lt;20)),AJ391+AS$5,_xlfn.workday.intl(int(AJ391),1,"1000000",Holidays!A:A)+hour(AJ391+AS$5-$B$1)/24+minute(AJ391)/1440),"")</f>
        <v/>
      </c>
      <c r="AT391" s="64" t="str">
        <f t="shared" si="21"/>
        <v/>
      </c>
      <c r="AV391" s="66" t="str">
        <f t="shared" si="25"/>
        <v/>
      </c>
      <c r="AW391" s="66"/>
      <c r="AX391" s="56"/>
    </row>
    <row r="392">
      <c r="A392" s="55">
        <v>45325.709281284726</v>
      </c>
      <c r="B392" s="56"/>
      <c r="C392" s="57"/>
      <c r="D392" s="57"/>
      <c r="E392" s="57"/>
      <c r="F392" s="57"/>
      <c r="G392" s="58">
        <f>if(A392,_xlfn.workday.intl(int(A392),1,"1000000",Holidays!A:A)+17/24,"")</f>
        <v>45326.70833</v>
      </c>
      <c r="H392" s="59" t="str">
        <f t="shared" si="23"/>
        <v/>
      </c>
      <c r="I392" s="60"/>
      <c r="J392" s="61">
        <f t="shared" si="2"/>
        <v>807.2755766</v>
      </c>
      <c r="K392" s="58">
        <f>if(G392,_xlfn.workday.intl(int(G392),0,"1000000",Holidays!A:A)+19/24,"")</f>
        <v>45326.79167</v>
      </c>
      <c r="L392" s="59" t="str">
        <f t="shared" si="3"/>
        <v/>
      </c>
      <c r="M392" s="60"/>
      <c r="N392" s="61">
        <f t="shared" si="4"/>
        <v>807.1922432</v>
      </c>
      <c r="O392" s="63">
        <f>if(A392,_xlfn.WORKDAY.INTL(A392,O$5,"1000000",Holidays!A:A)+hour(A392)/24+MINUTE(A392)/1440,"")</f>
        <v>45326.70903</v>
      </c>
      <c r="P392" s="64" t="s">
        <v>2718</v>
      </c>
      <c r="R392" s="66">
        <f t="shared" si="5"/>
        <v>807.2748821</v>
      </c>
      <c r="S392" s="66"/>
      <c r="T392" s="66"/>
      <c r="U392" s="64">
        <f>if(O392,_xlfn.WORKDAY.INTL(O392,U$5,"1000000",Holidays!A:A)+hour(O392)/24+MINUTE(O392)/1440,"")</f>
        <v>45328.70903</v>
      </c>
      <c r="V392" s="64" t="str">
        <f t="shared" si="6"/>
        <v/>
      </c>
      <c r="W392" s="66"/>
      <c r="X392" s="66">
        <f t="shared" si="7"/>
        <v>805.2748821</v>
      </c>
      <c r="Y392" s="66"/>
      <c r="Z392" s="66"/>
      <c r="AA392" s="66"/>
      <c r="AB392" s="63"/>
      <c r="AC392" s="63"/>
      <c r="AD392" s="63"/>
      <c r="AE392" s="63"/>
      <c r="AF392" s="63"/>
      <c r="AG392" s="63"/>
      <c r="AH392" s="63" t="str">
        <f t="shared" si="14"/>
        <v/>
      </c>
      <c r="AI392" s="63" t="str">
        <f>if(AH392,_xlfn.workday.intl(int(AH392),0,"1000000",Holidays!A:A)+18/24,"")</f>
        <v/>
      </c>
      <c r="AJ392" s="64" t="str">
        <f t="shared" si="24"/>
        <v/>
      </c>
      <c r="AL392" s="66" t="str">
        <f t="shared" si="9"/>
        <v/>
      </c>
      <c r="AM392" s="66"/>
      <c r="AN392" s="63" t="str">
        <f>if(AJ392,if(and(hour(AJ392+AN$5)&gt;11,(hour(AJ392+AN$5)&lt;20)),AJ392+AN$5,_xlfn.workday.intl(int(AJ392),1,"1000000",Holidays!A:A)+hour(AJ392+AN$5-$B$1)/24+minute(AJ392)/1440),"")</f>
        <v/>
      </c>
      <c r="AO392" s="64" t="str">
        <f t="shared" si="15"/>
        <v/>
      </c>
      <c r="AQ392" s="66" t="str">
        <f t="shared" si="16"/>
        <v/>
      </c>
      <c r="AR392" s="66"/>
      <c r="AS392" s="63" t="str">
        <f>if(AJ392,if(and(hour(AJ392+AS$5)&gt;11,(hour(AJ392+AS$5)&lt;20)),AJ392+AS$5,_xlfn.workday.intl(int(AJ392),1,"1000000",Holidays!A:A)+hour(AJ392+AS$5-$B$1)/24+minute(AJ392)/1440),"")</f>
        <v/>
      </c>
      <c r="AT392" s="64" t="str">
        <f t="shared" si="21"/>
        <v/>
      </c>
      <c r="AV392" s="66" t="str">
        <f t="shared" si="25"/>
        <v/>
      </c>
      <c r="AW392" s="66"/>
      <c r="AX392" s="56"/>
    </row>
    <row r="393">
      <c r="A393" s="55">
        <v>45325.71065732639</v>
      </c>
      <c r="B393" s="56"/>
      <c r="C393" s="57"/>
      <c r="D393" s="57"/>
      <c r="E393" s="57"/>
      <c r="F393" s="57"/>
      <c r="G393" s="58">
        <f>if(A393,_xlfn.workday.intl(int(A393),1,"1000000",Holidays!A:A)+17/24,"")</f>
        <v>45326.70833</v>
      </c>
      <c r="H393" s="59" t="str">
        <f t="shared" si="23"/>
        <v/>
      </c>
      <c r="I393" s="60"/>
      <c r="J393" s="61">
        <f t="shared" si="2"/>
        <v>807.2755766</v>
      </c>
      <c r="K393" s="58">
        <f>if(G393,_xlfn.workday.intl(int(G393),0,"1000000",Holidays!A:A)+19/24,"")</f>
        <v>45326.79167</v>
      </c>
      <c r="L393" s="59" t="str">
        <f t="shared" si="3"/>
        <v/>
      </c>
      <c r="M393" s="60"/>
      <c r="N393" s="61">
        <f t="shared" si="4"/>
        <v>807.1922432</v>
      </c>
      <c r="O393" s="63">
        <f>if(A393,_xlfn.WORKDAY.INTL(A393,O$5,"1000000",Holidays!A:A)+hour(A393)/24+MINUTE(A393)/1440,"")</f>
        <v>45326.71042</v>
      </c>
      <c r="P393" s="64" t="s">
        <v>2718</v>
      </c>
      <c r="R393" s="66">
        <f t="shared" si="5"/>
        <v>807.2734932</v>
      </c>
      <c r="S393" s="66"/>
      <c r="T393" s="66"/>
      <c r="U393" s="64">
        <f>if(O393,_xlfn.WORKDAY.INTL(O393,U$5,"1000000",Holidays!A:A)+hour(O393)/24+MINUTE(O393)/1440,"")</f>
        <v>45328.71042</v>
      </c>
      <c r="V393" s="64" t="str">
        <f t="shared" si="6"/>
        <v/>
      </c>
      <c r="W393" s="66"/>
      <c r="X393" s="66">
        <f t="shared" si="7"/>
        <v>805.2734932</v>
      </c>
      <c r="Y393" s="66"/>
      <c r="Z393" s="66"/>
      <c r="AA393" s="66"/>
      <c r="AB393" s="63"/>
      <c r="AC393" s="63"/>
      <c r="AD393" s="63"/>
      <c r="AE393" s="63"/>
      <c r="AF393" s="63"/>
      <c r="AG393" s="63"/>
      <c r="AH393" s="63" t="str">
        <f t="shared" si="14"/>
        <v/>
      </c>
      <c r="AI393" s="63" t="str">
        <f>if(AH393,_xlfn.workday.intl(int(AH393),0,"1000000",Holidays!A:A)+18/24,"")</f>
        <v/>
      </c>
      <c r="AJ393" s="64" t="str">
        <f t="shared" si="24"/>
        <v/>
      </c>
      <c r="AL393" s="66" t="str">
        <f t="shared" si="9"/>
        <v/>
      </c>
      <c r="AM393" s="66"/>
      <c r="AN393" s="63" t="str">
        <f>if(AJ393,if(and(hour(AJ393+AN$5)&gt;11,(hour(AJ393+AN$5)&lt;20)),AJ393+AN$5,_xlfn.workday.intl(int(AJ393),1,"1000000",Holidays!A:A)+hour(AJ393+AN$5-$B$1)/24+minute(AJ393)/1440),"")</f>
        <v/>
      </c>
      <c r="AO393" s="64" t="str">
        <f t="shared" si="15"/>
        <v/>
      </c>
      <c r="AQ393" s="66" t="str">
        <f t="shared" si="16"/>
        <v/>
      </c>
      <c r="AR393" s="66"/>
      <c r="AS393" s="63" t="str">
        <f>if(AJ393,if(and(hour(AJ393+AS$5)&gt;11,(hour(AJ393+AS$5)&lt;20)),AJ393+AS$5,_xlfn.workday.intl(int(AJ393),1,"1000000",Holidays!A:A)+hour(AJ393+AS$5-$B$1)/24+minute(AJ393)/1440),"")</f>
        <v/>
      </c>
      <c r="AT393" s="64" t="str">
        <f t="shared" si="21"/>
        <v/>
      </c>
      <c r="AV393" s="66" t="str">
        <f t="shared" si="25"/>
        <v/>
      </c>
      <c r="AW393" s="66"/>
      <c r="AX393" s="56"/>
    </row>
    <row r="394">
      <c r="A394" s="55">
        <v>45325.714015868056</v>
      </c>
      <c r="B394" s="56"/>
      <c r="C394" s="57"/>
      <c r="D394" s="57"/>
      <c r="E394" s="57"/>
      <c r="F394" s="57"/>
      <c r="G394" s="58">
        <f>if(A394,_xlfn.workday.intl(int(A394),1,"1000000",Holidays!A:A)+17/24,"")</f>
        <v>45326.70833</v>
      </c>
      <c r="H394" s="59" t="str">
        <f t="shared" si="23"/>
        <v/>
      </c>
      <c r="I394" s="60"/>
      <c r="J394" s="61">
        <f t="shared" si="2"/>
        <v>807.2755766</v>
      </c>
      <c r="K394" s="58">
        <f>if(G394,_xlfn.workday.intl(int(G394),0,"1000000",Holidays!A:A)+19/24,"")</f>
        <v>45326.79167</v>
      </c>
      <c r="L394" s="59" t="str">
        <f t="shared" si="3"/>
        <v/>
      </c>
      <c r="M394" s="60"/>
      <c r="N394" s="61">
        <f t="shared" si="4"/>
        <v>807.1922432</v>
      </c>
      <c r="O394" s="63">
        <f>if(A394,_xlfn.WORKDAY.INTL(A394,O$5,"1000000",Holidays!A:A)+hour(A394)/24+MINUTE(A394)/1440,"")</f>
        <v>45326.71389</v>
      </c>
      <c r="P394" s="64" t="s">
        <v>2718</v>
      </c>
      <c r="R394" s="66">
        <f t="shared" si="5"/>
        <v>807.270021</v>
      </c>
      <c r="S394" s="66"/>
      <c r="T394" s="66"/>
      <c r="U394" s="64">
        <f>if(O394,_xlfn.WORKDAY.INTL(O394,U$5,"1000000",Holidays!A:A)+hour(O394)/24+MINUTE(O394)/1440,"")</f>
        <v>45328.71389</v>
      </c>
      <c r="V394" s="64" t="str">
        <f t="shared" si="6"/>
        <v/>
      </c>
      <c r="W394" s="66"/>
      <c r="X394" s="66">
        <f t="shared" si="7"/>
        <v>805.270021</v>
      </c>
      <c r="Y394" s="66"/>
      <c r="Z394" s="66"/>
      <c r="AA394" s="66"/>
      <c r="AB394" s="63"/>
      <c r="AC394" s="63"/>
      <c r="AD394" s="63"/>
      <c r="AE394" s="63"/>
      <c r="AF394" s="63"/>
      <c r="AG394" s="63"/>
      <c r="AH394" s="63" t="str">
        <f t="shared" si="14"/>
        <v/>
      </c>
      <c r="AI394" s="63" t="str">
        <f>if(AH394,_xlfn.workday.intl(int(AH394),0,"1000000",Holidays!A:A)+18/24,"")</f>
        <v/>
      </c>
      <c r="AJ394" s="64" t="str">
        <f t="shared" si="24"/>
        <v/>
      </c>
      <c r="AL394" s="66" t="str">
        <f t="shared" si="9"/>
        <v/>
      </c>
      <c r="AM394" s="66"/>
      <c r="AN394" s="63" t="str">
        <f>if(AJ394,if(and(hour(AJ394+AN$5)&gt;11,(hour(AJ394+AN$5)&lt;20)),AJ394+AN$5,_xlfn.workday.intl(int(AJ394),1,"1000000",Holidays!A:A)+hour(AJ394+AN$5-$B$1)/24+minute(AJ394)/1440),"")</f>
        <v/>
      </c>
      <c r="AO394" s="64" t="str">
        <f t="shared" si="15"/>
        <v/>
      </c>
      <c r="AQ394" s="66" t="str">
        <f t="shared" si="16"/>
        <v/>
      </c>
      <c r="AR394" s="66"/>
      <c r="AS394" s="63" t="str">
        <f>if(AJ394,if(and(hour(AJ394+AS$5)&gt;11,(hour(AJ394+AS$5)&lt;20)),AJ394+AS$5,_xlfn.workday.intl(int(AJ394),1,"1000000",Holidays!A:A)+hour(AJ394+AS$5-$B$1)/24+minute(AJ394)/1440),"")</f>
        <v/>
      </c>
      <c r="AT394" s="64" t="str">
        <f t="shared" si="21"/>
        <v/>
      </c>
      <c r="AV394" s="66" t="str">
        <f t="shared" si="25"/>
        <v/>
      </c>
      <c r="AW394" s="66"/>
      <c r="AX394" s="56"/>
    </row>
    <row r="395">
      <c r="A395" s="55">
        <v>45325.72334710648</v>
      </c>
      <c r="B395" s="56"/>
      <c r="C395" s="57"/>
      <c r="D395" s="57"/>
      <c r="E395" s="57"/>
      <c r="F395" s="57"/>
      <c r="G395" s="58">
        <f>if(A395,_xlfn.workday.intl(int(A395),1,"1000000",Holidays!A:A)+17/24,"")</f>
        <v>45326.70833</v>
      </c>
      <c r="H395" s="59" t="str">
        <f t="shared" si="23"/>
        <v/>
      </c>
      <c r="I395" s="60"/>
      <c r="J395" s="61">
        <f t="shared" si="2"/>
        <v>807.2755766</v>
      </c>
      <c r="K395" s="58">
        <f>if(G395,_xlfn.workday.intl(int(G395),0,"1000000",Holidays!A:A)+19/24,"")</f>
        <v>45326.79167</v>
      </c>
      <c r="L395" s="59" t="str">
        <f t="shared" si="3"/>
        <v/>
      </c>
      <c r="M395" s="60"/>
      <c r="N395" s="61">
        <f t="shared" si="4"/>
        <v>807.1922432</v>
      </c>
      <c r="O395" s="63">
        <f>if(A395,_xlfn.WORKDAY.INTL(A395,O$5,"1000000",Holidays!A:A)+hour(A395)/24+MINUTE(A395)/1440,"")</f>
        <v>45326.72292</v>
      </c>
      <c r="P395" s="64" t="s">
        <v>2718</v>
      </c>
      <c r="R395" s="66">
        <f t="shared" si="5"/>
        <v>807.2609932</v>
      </c>
      <c r="S395" s="66"/>
      <c r="T395" s="66"/>
      <c r="U395" s="64">
        <f>if(O395,_xlfn.WORKDAY.INTL(O395,U$5,"1000000",Holidays!A:A)+hour(O395)/24+MINUTE(O395)/1440,"")</f>
        <v>45328.72292</v>
      </c>
      <c r="V395" s="64" t="str">
        <f t="shared" si="6"/>
        <v/>
      </c>
      <c r="W395" s="66"/>
      <c r="X395" s="66">
        <f t="shared" si="7"/>
        <v>805.2609932</v>
      </c>
      <c r="Y395" s="66"/>
      <c r="Z395" s="66"/>
      <c r="AA395" s="66"/>
      <c r="AB395" s="63"/>
      <c r="AC395" s="63"/>
      <c r="AD395" s="63"/>
      <c r="AE395" s="63"/>
      <c r="AF395" s="63"/>
      <c r="AG395" s="63"/>
      <c r="AH395" s="63" t="str">
        <f t="shared" si="14"/>
        <v/>
      </c>
      <c r="AI395" s="63" t="str">
        <f>if(AH395,_xlfn.workday.intl(int(AH395),0,"1000000",Holidays!A:A)+18/24,"")</f>
        <v/>
      </c>
      <c r="AJ395" s="64" t="str">
        <f t="shared" si="24"/>
        <v/>
      </c>
      <c r="AL395" s="66" t="str">
        <f t="shared" si="9"/>
        <v/>
      </c>
      <c r="AM395" s="66"/>
      <c r="AN395" s="63" t="str">
        <f>if(AJ395,if(and(hour(AJ395+AN$5)&gt;11,(hour(AJ395+AN$5)&lt;20)),AJ395+AN$5,_xlfn.workday.intl(int(AJ395),1,"1000000",Holidays!A:A)+hour(AJ395+AN$5-$B$1)/24+minute(AJ395)/1440),"")</f>
        <v/>
      </c>
      <c r="AO395" s="64" t="str">
        <f t="shared" si="15"/>
        <v/>
      </c>
      <c r="AQ395" s="66" t="str">
        <f t="shared" si="16"/>
        <v/>
      </c>
      <c r="AR395" s="66"/>
      <c r="AS395" s="63" t="str">
        <f>if(AJ395,if(and(hour(AJ395+AS$5)&gt;11,(hour(AJ395+AS$5)&lt;20)),AJ395+AS$5,_xlfn.workday.intl(int(AJ395),1,"1000000",Holidays!A:A)+hour(AJ395+AS$5-$B$1)/24+minute(AJ395)/1440),"")</f>
        <v/>
      </c>
      <c r="AT395" s="64" t="str">
        <f t="shared" si="21"/>
        <v/>
      </c>
      <c r="AV395" s="66" t="str">
        <f t="shared" si="25"/>
        <v/>
      </c>
      <c r="AW395" s="66"/>
      <c r="AX395" s="56"/>
    </row>
    <row r="396">
      <c r="A396" s="55">
        <v>45325.725131747684</v>
      </c>
      <c r="B396" s="56"/>
      <c r="C396" s="57"/>
      <c r="D396" s="57"/>
      <c r="E396" s="57"/>
      <c r="F396" s="57"/>
      <c r="G396" s="58">
        <f>if(A396,_xlfn.workday.intl(int(A396),1,"1000000",Holidays!A:A)+17/24,"")</f>
        <v>45326.70833</v>
      </c>
      <c r="H396" s="59" t="str">
        <f t="shared" si="23"/>
        <v/>
      </c>
      <c r="I396" s="60"/>
      <c r="J396" s="61">
        <f t="shared" si="2"/>
        <v>807.2755766</v>
      </c>
      <c r="K396" s="58">
        <f>if(G396,_xlfn.workday.intl(int(G396),0,"1000000",Holidays!A:A)+19/24,"")</f>
        <v>45326.79167</v>
      </c>
      <c r="L396" s="59" t="str">
        <f t="shared" si="3"/>
        <v/>
      </c>
      <c r="M396" s="60"/>
      <c r="N396" s="61">
        <f t="shared" si="4"/>
        <v>807.1922432</v>
      </c>
      <c r="O396" s="63">
        <f>if(A396,_xlfn.WORKDAY.INTL(A396,O$5,"1000000",Holidays!A:A)+hour(A396)/24+MINUTE(A396)/1440,"")</f>
        <v>45326.725</v>
      </c>
      <c r="P396" s="64" t="s">
        <v>2718</v>
      </c>
      <c r="R396" s="66">
        <f t="shared" si="5"/>
        <v>807.2589099</v>
      </c>
      <c r="S396" s="66"/>
      <c r="T396" s="66"/>
      <c r="U396" s="64">
        <f>if(O396,_xlfn.WORKDAY.INTL(O396,U$5,"1000000",Holidays!A:A)+hour(O396)/24+MINUTE(O396)/1440,"")</f>
        <v>45328.725</v>
      </c>
      <c r="V396" s="64" t="str">
        <f t="shared" si="6"/>
        <v/>
      </c>
      <c r="W396" s="66"/>
      <c r="X396" s="66">
        <f t="shared" si="7"/>
        <v>805.2589099</v>
      </c>
      <c r="Y396" s="66"/>
      <c r="Z396" s="66"/>
      <c r="AA396" s="66"/>
      <c r="AB396" s="63"/>
      <c r="AC396" s="63"/>
      <c r="AD396" s="63"/>
      <c r="AE396" s="63"/>
      <c r="AF396" s="63"/>
      <c r="AG396" s="63"/>
      <c r="AH396" s="63" t="str">
        <f t="shared" si="14"/>
        <v/>
      </c>
      <c r="AI396" s="63" t="str">
        <f>if(AH396,_xlfn.workday.intl(int(AH396),0,"1000000",Holidays!A:A)+18/24,"")</f>
        <v/>
      </c>
      <c r="AJ396" s="64" t="str">
        <f t="shared" si="24"/>
        <v/>
      </c>
      <c r="AL396" s="66" t="str">
        <f t="shared" si="9"/>
        <v/>
      </c>
      <c r="AM396" s="66"/>
      <c r="AN396" s="63" t="str">
        <f>if(AJ396,if(and(hour(AJ396+AN$5)&gt;11,(hour(AJ396+AN$5)&lt;20)),AJ396+AN$5,_xlfn.workday.intl(int(AJ396),1,"1000000",Holidays!A:A)+hour(AJ396+AN$5-$B$1)/24+minute(AJ396)/1440),"")</f>
        <v/>
      </c>
      <c r="AO396" s="64" t="str">
        <f t="shared" si="15"/>
        <v/>
      </c>
      <c r="AQ396" s="66" t="str">
        <f t="shared" si="16"/>
        <v/>
      </c>
      <c r="AR396" s="66"/>
      <c r="AS396" s="63" t="str">
        <f>if(AJ396,if(and(hour(AJ396+AS$5)&gt;11,(hour(AJ396+AS$5)&lt;20)),AJ396+AS$5,_xlfn.workday.intl(int(AJ396),1,"1000000",Holidays!A:A)+hour(AJ396+AS$5-$B$1)/24+minute(AJ396)/1440),"")</f>
        <v/>
      </c>
      <c r="AT396" s="64" t="str">
        <f t="shared" si="21"/>
        <v/>
      </c>
      <c r="AV396" s="66" t="str">
        <f t="shared" si="25"/>
        <v/>
      </c>
      <c r="AW396" s="66"/>
      <c r="AX396" s="56"/>
    </row>
    <row r="397">
      <c r="A397" s="55">
        <v>45325.72678045139</v>
      </c>
      <c r="B397" s="56"/>
      <c r="C397" s="57"/>
      <c r="D397" s="57"/>
      <c r="E397" s="57"/>
      <c r="F397" s="57"/>
      <c r="G397" s="58">
        <f>if(A397,_xlfn.workday.intl(int(A397),1,"1000000",Holidays!A:A)+17/24,"")</f>
        <v>45326.70833</v>
      </c>
      <c r="H397" s="59" t="str">
        <f t="shared" si="23"/>
        <v/>
      </c>
      <c r="I397" s="60"/>
      <c r="J397" s="61">
        <f t="shared" si="2"/>
        <v>807.2755766</v>
      </c>
      <c r="K397" s="58">
        <f>if(G397,_xlfn.workday.intl(int(G397),0,"1000000",Holidays!A:A)+19/24,"")</f>
        <v>45326.79167</v>
      </c>
      <c r="L397" s="59" t="str">
        <f t="shared" si="3"/>
        <v/>
      </c>
      <c r="M397" s="60"/>
      <c r="N397" s="61">
        <f t="shared" si="4"/>
        <v>807.1922432</v>
      </c>
      <c r="O397" s="63">
        <f>if(A397,_xlfn.WORKDAY.INTL(A397,O$5,"1000000",Holidays!A:A)+hour(A397)/24+MINUTE(A397)/1440,"")</f>
        <v>45326.72639</v>
      </c>
      <c r="P397" s="64" t="s">
        <v>2718</v>
      </c>
      <c r="R397" s="66">
        <f t="shared" si="5"/>
        <v>807.257521</v>
      </c>
      <c r="S397" s="66"/>
      <c r="T397" s="66"/>
      <c r="U397" s="64">
        <f>if(O397,_xlfn.WORKDAY.INTL(O397,U$5,"1000000",Holidays!A:A)+hour(O397)/24+MINUTE(O397)/1440,"")</f>
        <v>45328.72639</v>
      </c>
      <c r="V397" s="64" t="str">
        <f t="shared" si="6"/>
        <v/>
      </c>
      <c r="W397" s="66"/>
      <c r="X397" s="66">
        <f t="shared" si="7"/>
        <v>805.257521</v>
      </c>
      <c r="Y397" s="66"/>
      <c r="Z397" s="66"/>
      <c r="AA397" s="66"/>
      <c r="AB397" s="63"/>
      <c r="AC397" s="63"/>
      <c r="AD397" s="63"/>
      <c r="AE397" s="63"/>
      <c r="AF397" s="63"/>
      <c r="AG397" s="63"/>
      <c r="AH397" s="63" t="str">
        <f t="shared" si="14"/>
        <v/>
      </c>
      <c r="AI397" s="63" t="str">
        <f>if(AH397,_xlfn.workday.intl(int(AH397),0,"1000000",Holidays!A:A)+18/24,"")</f>
        <v/>
      </c>
      <c r="AJ397" s="64" t="str">
        <f t="shared" si="24"/>
        <v/>
      </c>
      <c r="AL397" s="66" t="str">
        <f t="shared" si="9"/>
        <v/>
      </c>
      <c r="AM397" s="66"/>
      <c r="AN397" s="63" t="str">
        <f>if(AJ397,if(and(hour(AJ397+AN$5)&gt;11,(hour(AJ397+AN$5)&lt;20)),AJ397+AN$5,_xlfn.workday.intl(int(AJ397),1,"1000000",Holidays!A:A)+hour(AJ397+AN$5-$B$1)/24+minute(AJ397)/1440),"")</f>
        <v/>
      </c>
      <c r="AO397" s="64" t="str">
        <f t="shared" si="15"/>
        <v/>
      </c>
      <c r="AQ397" s="66" t="str">
        <f t="shared" si="16"/>
        <v/>
      </c>
      <c r="AR397" s="66"/>
      <c r="AS397" s="63" t="str">
        <f>if(AJ397,if(and(hour(AJ397+AS$5)&gt;11,(hour(AJ397+AS$5)&lt;20)),AJ397+AS$5,_xlfn.workday.intl(int(AJ397),1,"1000000",Holidays!A:A)+hour(AJ397+AS$5-$B$1)/24+minute(AJ397)/1440),"")</f>
        <v/>
      </c>
      <c r="AT397" s="64" t="str">
        <f t="shared" si="21"/>
        <v/>
      </c>
      <c r="AV397" s="66" t="str">
        <f t="shared" si="25"/>
        <v/>
      </c>
      <c r="AW397" s="66"/>
      <c r="AX397" s="56"/>
    </row>
    <row r="398">
      <c r="A398" s="55">
        <v>45325.727821458335</v>
      </c>
      <c r="B398" s="56"/>
      <c r="C398" s="57"/>
      <c r="D398" s="57"/>
      <c r="E398" s="57"/>
      <c r="F398" s="57"/>
      <c r="G398" s="58">
        <f>if(A398,_xlfn.workday.intl(int(A398),1,"1000000",Holidays!A:A)+17/24,"")</f>
        <v>45326.70833</v>
      </c>
      <c r="H398" s="59" t="str">
        <f t="shared" si="23"/>
        <v/>
      </c>
      <c r="I398" s="60"/>
      <c r="J398" s="61">
        <f t="shared" si="2"/>
        <v>807.2755766</v>
      </c>
      <c r="K398" s="58">
        <f>if(G398,_xlfn.workday.intl(int(G398),0,"1000000",Holidays!A:A)+19/24,"")</f>
        <v>45326.79167</v>
      </c>
      <c r="L398" s="59" t="str">
        <f t="shared" si="3"/>
        <v/>
      </c>
      <c r="M398" s="60"/>
      <c r="N398" s="61">
        <f t="shared" si="4"/>
        <v>807.1922432</v>
      </c>
      <c r="O398" s="63">
        <f>if(A398,_xlfn.WORKDAY.INTL(A398,O$5,"1000000",Holidays!A:A)+hour(A398)/24+MINUTE(A398)/1440,"")</f>
        <v>45326.72778</v>
      </c>
      <c r="P398" s="64" t="s">
        <v>2718</v>
      </c>
      <c r="R398" s="66">
        <f t="shared" si="5"/>
        <v>807.2561321</v>
      </c>
      <c r="S398" s="66"/>
      <c r="T398" s="66"/>
      <c r="U398" s="64">
        <f>if(O398,_xlfn.WORKDAY.INTL(O398,U$5,"1000000",Holidays!A:A)+hour(O398)/24+MINUTE(O398)/1440,"")</f>
        <v>45328.72778</v>
      </c>
      <c r="V398" s="64" t="str">
        <f t="shared" si="6"/>
        <v/>
      </c>
      <c r="W398" s="66"/>
      <c r="X398" s="66">
        <f t="shared" si="7"/>
        <v>805.2561321</v>
      </c>
      <c r="Y398" s="66"/>
      <c r="Z398" s="66"/>
      <c r="AA398" s="66"/>
      <c r="AB398" s="63"/>
      <c r="AC398" s="63"/>
      <c r="AD398" s="63"/>
      <c r="AE398" s="63"/>
      <c r="AF398" s="63"/>
      <c r="AG398" s="63"/>
      <c r="AH398" s="63" t="str">
        <f t="shared" si="14"/>
        <v/>
      </c>
      <c r="AI398" s="63" t="str">
        <f>if(AH398,_xlfn.workday.intl(int(AH398),0,"1000000",Holidays!A:A)+18/24,"")</f>
        <v/>
      </c>
      <c r="AJ398" s="64" t="str">
        <f t="shared" si="24"/>
        <v/>
      </c>
      <c r="AL398" s="66" t="str">
        <f t="shared" si="9"/>
        <v/>
      </c>
      <c r="AM398" s="66"/>
      <c r="AN398" s="63" t="str">
        <f>if(AJ398,if(and(hour(AJ398+AN$5)&gt;11,(hour(AJ398+AN$5)&lt;20)),AJ398+AN$5,_xlfn.workday.intl(int(AJ398),1,"1000000",Holidays!A:A)+hour(AJ398+AN$5-$B$1)/24+minute(AJ398)/1440),"")</f>
        <v/>
      </c>
      <c r="AO398" s="64" t="str">
        <f t="shared" si="15"/>
        <v/>
      </c>
      <c r="AQ398" s="66" t="str">
        <f t="shared" si="16"/>
        <v/>
      </c>
      <c r="AR398" s="66"/>
      <c r="AS398" s="63" t="str">
        <f>if(AJ398,if(and(hour(AJ398+AS$5)&gt;11,(hour(AJ398+AS$5)&lt;20)),AJ398+AS$5,_xlfn.workday.intl(int(AJ398),1,"1000000",Holidays!A:A)+hour(AJ398+AS$5-$B$1)/24+minute(AJ398)/1440),"")</f>
        <v/>
      </c>
      <c r="AT398" s="64" t="str">
        <f t="shared" si="21"/>
        <v/>
      </c>
      <c r="AV398" s="66" t="str">
        <f t="shared" si="25"/>
        <v/>
      </c>
      <c r="AW398" s="66"/>
      <c r="AX398" s="56"/>
    </row>
    <row r="399">
      <c r="A399" s="55">
        <v>45325.72909898148</v>
      </c>
      <c r="B399" s="56"/>
      <c r="C399" s="57"/>
      <c r="D399" s="57"/>
      <c r="E399" s="57"/>
      <c r="F399" s="57"/>
      <c r="G399" s="58">
        <f>if(A399,_xlfn.workday.intl(int(A399),1,"1000000",Holidays!A:A)+17/24,"")</f>
        <v>45326.70833</v>
      </c>
      <c r="H399" s="59" t="str">
        <f t="shared" si="23"/>
        <v/>
      </c>
      <c r="I399" s="60"/>
      <c r="J399" s="61">
        <f t="shared" si="2"/>
        <v>807.2755766</v>
      </c>
      <c r="K399" s="58">
        <f>if(G399,_xlfn.workday.intl(int(G399),0,"1000000",Holidays!A:A)+19/24,"")</f>
        <v>45326.79167</v>
      </c>
      <c r="L399" s="59" t="str">
        <f t="shared" si="3"/>
        <v/>
      </c>
      <c r="M399" s="60"/>
      <c r="N399" s="61">
        <f t="shared" si="4"/>
        <v>807.1922432</v>
      </c>
      <c r="O399" s="63">
        <f>if(A399,_xlfn.WORKDAY.INTL(A399,O$5,"1000000",Holidays!A:A)+hour(A399)/24+MINUTE(A399)/1440,"")</f>
        <v>45326.72847</v>
      </c>
      <c r="P399" s="64" t="s">
        <v>2718</v>
      </c>
      <c r="R399" s="66">
        <f t="shared" si="5"/>
        <v>807.2554377</v>
      </c>
      <c r="S399" s="66"/>
      <c r="T399" s="66"/>
      <c r="U399" s="64">
        <f>if(O399,_xlfn.WORKDAY.INTL(O399,U$5,"1000000",Holidays!A:A)+hour(O399)/24+MINUTE(O399)/1440,"")</f>
        <v>45328.72847</v>
      </c>
      <c r="V399" s="64" t="str">
        <f t="shared" si="6"/>
        <v/>
      </c>
      <c r="W399" s="66"/>
      <c r="X399" s="66">
        <f t="shared" si="7"/>
        <v>805.2554377</v>
      </c>
      <c r="Y399" s="66"/>
      <c r="Z399" s="66"/>
      <c r="AA399" s="66"/>
      <c r="AB399" s="63"/>
      <c r="AC399" s="63"/>
      <c r="AD399" s="63"/>
      <c r="AE399" s="63"/>
      <c r="AF399" s="63"/>
      <c r="AG399" s="63"/>
      <c r="AH399" s="63" t="str">
        <f t="shared" si="14"/>
        <v/>
      </c>
      <c r="AI399" s="63" t="str">
        <f>if(AH399,_xlfn.workday.intl(int(AH399),0,"1000000",Holidays!A:A)+18/24,"")</f>
        <v/>
      </c>
      <c r="AJ399" s="64" t="str">
        <f t="shared" si="24"/>
        <v/>
      </c>
      <c r="AL399" s="66" t="str">
        <f t="shared" si="9"/>
        <v/>
      </c>
      <c r="AM399" s="66"/>
      <c r="AN399" s="63" t="str">
        <f>if(AJ399,if(and(hour(AJ399+AN$5)&gt;11,(hour(AJ399+AN$5)&lt;20)),AJ399+AN$5,_xlfn.workday.intl(int(AJ399),1,"1000000",Holidays!A:A)+hour(AJ399+AN$5-$B$1)/24+minute(AJ399)/1440),"")</f>
        <v/>
      </c>
      <c r="AO399" s="64" t="str">
        <f t="shared" si="15"/>
        <v/>
      </c>
      <c r="AQ399" s="66" t="str">
        <f t="shared" si="16"/>
        <v/>
      </c>
      <c r="AR399" s="66"/>
      <c r="AS399" s="63" t="str">
        <f>if(AJ399,if(and(hour(AJ399+AS$5)&gt;11,(hour(AJ399+AS$5)&lt;20)),AJ399+AS$5,_xlfn.workday.intl(int(AJ399),1,"1000000",Holidays!A:A)+hour(AJ399+AS$5-$B$1)/24+minute(AJ399)/1440),"")</f>
        <v/>
      </c>
      <c r="AT399" s="64" t="str">
        <f t="shared" si="21"/>
        <v/>
      </c>
      <c r="AV399" s="66" t="str">
        <f t="shared" si="25"/>
        <v/>
      </c>
      <c r="AW399" s="66"/>
      <c r="AX399" s="56"/>
    </row>
    <row r="400">
      <c r="A400" s="55">
        <v>45325.730128344905</v>
      </c>
      <c r="B400" s="56"/>
      <c r="C400" s="57"/>
      <c r="D400" s="57"/>
      <c r="E400" s="57"/>
      <c r="F400" s="57"/>
      <c r="G400" s="58">
        <f>if(A400,_xlfn.workday.intl(int(A400),1,"1000000",Holidays!A:A)+17/24,"")</f>
        <v>45326.70833</v>
      </c>
      <c r="H400" s="59" t="str">
        <f t="shared" si="23"/>
        <v/>
      </c>
      <c r="I400" s="60"/>
      <c r="J400" s="61">
        <f t="shared" si="2"/>
        <v>807.2755766</v>
      </c>
      <c r="K400" s="58">
        <f>if(G400,_xlfn.workday.intl(int(G400),0,"1000000",Holidays!A:A)+19/24,"")</f>
        <v>45326.79167</v>
      </c>
      <c r="L400" s="59" t="str">
        <f t="shared" si="3"/>
        <v/>
      </c>
      <c r="M400" s="60"/>
      <c r="N400" s="61">
        <f t="shared" si="4"/>
        <v>807.1922432</v>
      </c>
      <c r="O400" s="63">
        <f>if(A400,_xlfn.WORKDAY.INTL(A400,O$5,"1000000",Holidays!A:A)+hour(A400)/24+MINUTE(A400)/1440,"")</f>
        <v>45326.72986</v>
      </c>
      <c r="P400" s="64" t="s">
        <v>2718</v>
      </c>
      <c r="R400" s="66">
        <f t="shared" si="5"/>
        <v>807.2540488</v>
      </c>
      <c r="S400" s="66"/>
      <c r="T400" s="66"/>
      <c r="U400" s="64">
        <f>if(O400,_xlfn.WORKDAY.INTL(O400,U$5,"1000000",Holidays!A:A)+hour(O400)/24+MINUTE(O400)/1440,"")</f>
        <v>45328.72986</v>
      </c>
      <c r="V400" s="64" t="str">
        <f t="shared" si="6"/>
        <v/>
      </c>
      <c r="W400" s="66"/>
      <c r="X400" s="66">
        <f t="shared" si="7"/>
        <v>805.2540488</v>
      </c>
      <c r="Y400" s="66"/>
      <c r="Z400" s="66"/>
      <c r="AA400" s="66"/>
      <c r="AB400" s="63"/>
      <c r="AC400" s="63"/>
      <c r="AD400" s="63"/>
      <c r="AE400" s="63"/>
      <c r="AF400" s="63"/>
      <c r="AG400" s="63"/>
      <c r="AH400" s="63" t="str">
        <f t="shared" si="14"/>
        <v/>
      </c>
      <c r="AI400" s="63" t="str">
        <f>if(AH400,_xlfn.workday.intl(int(AH400),0,"1000000",Holidays!A:A)+18/24,"")</f>
        <v/>
      </c>
      <c r="AJ400" s="64" t="str">
        <f t="shared" si="24"/>
        <v/>
      </c>
      <c r="AL400" s="66" t="str">
        <f t="shared" si="9"/>
        <v/>
      </c>
      <c r="AM400" s="66"/>
      <c r="AN400" s="63" t="str">
        <f>if(AJ400,if(and(hour(AJ400+AN$5)&gt;11,(hour(AJ400+AN$5)&lt;20)),AJ400+AN$5,_xlfn.workday.intl(int(AJ400),1,"1000000",Holidays!A:A)+hour(AJ400+AN$5-$B$1)/24+minute(AJ400)/1440),"")</f>
        <v/>
      </c>
      <c r="AO400" s="64" t="str">
        <f t="shared" si="15"/>
        <v/>
      </c>
      <c r="AQ400" s="66" t="str">
        <f t="shared" si="16"/>
        <v/>
      </c>
      <c r="AR400" s="66"/>
      <c r="AS400" s="63" t="str">
        <f>if(AJ400,if(and(hour(AJ400+AS$5)&gt;11,(hour(AJ400+AS$5)&lt;20)),AJ400+AS$5,_xlfn.workday.intl(int(AJ400),1,"1000000",Holidays!A:A)+hour(AJ400+AS$5-$B$1)/24+minute(AJ400)/1440),"")</f>
        <v/>
      </c>
      <c r="AT400" s="64" t="str">
        <f t="shared" si="21"/>
        <v/>
      </c>
      <c r="AV400" s="66" t="str">
        <f t="shared" si="25"/>
        <v/>
      </c>
      <c r="AW400" s="66"/>
      <c r="AX400" s="56"/>
    </row>
    <row r="401">
      <c r="A401" s="55">
        <v>45325.7310190625</v>
      </c>
      <c r="B401" s="56"/>
      <c r="C401" s="57"/>
      <c r="D401" s="57"/>
      <c r="E401" s="57"/>
      <c r="F401" s="57"/>
      <c r="G401" s="58">
        <f>if(A401,_xlfn.workday.intl(int(A401),1,"1000000",Holidays!A:A)+17/24,"")</f>
        <v>45326.70833</v>
      </c>
      <c r="H401" s="59" t="str">
        <f t="shared" si="23"/>
        <v/>
      </c>
      <c r="I401" s="60"/>
      <c r="J401" s="61">
        <f t="shared" si="2"/>
        <v>807.2755766</v>
      </c>
      <c r="K401" s="58">
        <f>if(G401,_xlfn.workday.intl(int(G401),0,"1000000",Holidays!A:A)+19/24,"")</f>
        <v>45326.79167</v>
      </c>
      <c r="L401" s="59" t="str">
        <f t="shared" si="3"/>
        <v/>
      </c>
      <c r="M401" s="60"/>
      <c r="N401" s="61">
        <f t="shared" si="4"/>
        <v>807.1922432</v>
      </c>
      <c r="O401" s="63">
        <f>if(A401,_xlfn.WORKDAY.INTL(A401,O$5,"1000000",Holidays!A:A)+hour(A401)/24+MINUTE(A401)/1440,"")</f>
        <v>45326.73056</v>
      </c>
      <c r="P401" s="64" t="s">
        <v>2718</v>
      </c>
      <c r="R401" s="66">
        <f t="shared" si="5"/>
        <v>807.2533543</v>
      </c>
      <c r="S401" s="66"/>
      <c r="T401" s="66"/>
      <c r="U401" s="64">
        <f>if(O401,_xlfn.WORKDAY.INTL(O401,U$5,"1000000",Holidays!A:A)+hour(O401)/24+MINUTE(O401)/1440,"")</f>
        <v>45328.73056</v>
      </c>
      <c r="V401" s="64" t="str">
        <f t="shared" si="6"/>
        <v/>
      </c>
      <c r="W401" s="66"/>
      <c r="X401" s="66">
        <f t="shared" si="7"/>
        <v>805.2533543</v>
      </c>
      <c r="Y401" s="66"/>
      <c r="Z401" s="66"/>
      <c r="AA401" s="66"/>
      <c r="AB401" s="63"/>
      <c r="AC401" s="63"/>
      <c r="AD401" s="63"/>
      <c r="AE401" s="63"/>
      <c r="AF401" s="63"/>
      <c r="AG401" s="63"/>
      <c r="AH401" s="63" t="str">
        <f t="shared" si="14"/>
        <v/>
      </c>
      <c r="AI401" s="63" t="str">
        <f>if(AH401,_xlfn.workday.intl(int(AH401),0,"1000000",Holidays!A:A)+18/24,"")</f>
        <v/>
      </c>
      <c r="AJ401" s="64" t="str">
        <f t="shared" si="24"/>
        <v/>
      </c>
      <c r="AL401" s="66" t="str">
        <f t="shared" si="9"/>
        <v/>
      </c>
      <c r="AM401" s="66"/>
      <c r="AN401" s="63" t="str">
        <f>if(AJ401,if(and(hour(AJ401+AN$5)&gt;11,(hour(AJ401+AN$5)&lt;20)),AJ401+AN$5,_xlfn.workday.intl(int(AJ401),1,"1000000",Holidays!A:A)+hour(AJ401+AN$5-$B$1)/24+minute(AJ401)/1440),"")</f>
        <v/>
      </c>
      <c r="AO401" s="64" t="str">
        <f t="shared" si="15"/>
        <v/>
      </c>
      <c r="AQ401" s="66" t="str">
        <f t="shared" si="16"/>
        <v/>
      </c>
      <c r="AR401" s="66"/>
      <c r="AS401" s="63" t="str">
        <f>if(AJ401,if(and(hour(AJ401+AS$5)&gt;11,(hour(AJ401+AS$5)&lt;20)),AJ401+AS$5,_xlfn.workday.intl(int(AJ401),1,"1000000",Holidays!A:A)+hour(AJ401+AS$5-$B$1)/24+minute(AJ401)/1440),"")</f>
        <v/>
      </c>
      <c r="AT401" s="64" t="str">
        <f t="shared" si="21"/>
        <v/>
      </c>
      <c r="AV401" s="66" t="str">
        <f t="shared" si="25"/>
        <v/>
      </c>
      <c r="AW401" s="66"/>
      <c r="AX401" s="56"/>
    </row>
    <row r="402">
      <c r="A402" s="55">
        <v>45325.73275473379</v>
      </c>
      <c r="B402" s="56"/>
      <c r="C402" s="57"/>
      <c r="D402" s="57"/>
      <c r="E402" s="57"/>
      <c r="F402" s="57"/>
      <c r="G402" s="58">
        <f>if(A402,_xlfn.workday.intl(int(A402),1,"1000000",Holidays!A:A)+17/24,"")</f>
        <v>45326.70833</v>
      </c>
      <c r="H402" s="59" t="str">
        <f t="shared" si="23"/>
        <v/>
      </c>
      <c r="I402" s="60"/>
      <c r="J402" s="61">
        <f t="shared" si="2"/>
        <v>807.2755766</v>
      </c>
      <c r="K402" s="58">
        <f>if(G402,_xlfn.workday.intl(int(G402),0,"1000000",Holidays!A:A)+19/24,"")</f>
        <v>45326.79167</v>
      </c>
      <c r="L402" s="59" t="str">
        <f t="shared" si="3"/>
        <v/>
      </c>
      <c r="M402" s="60"/>
      <c r="N402" s="61">
        <f t="shared" si="4"/>
        <v>807.1922432</v>
      </c>
      <c r="O402" s="63">
        <f>if(A402,_xlfn.WORKDAY.INTL(A402,O$5,"1000000",Holidays!A:A)+hour(A402)/24+MINUTE(A402)/1440,"")</f>
        <v>45326.73264</v>
      </c>
      <c r="P402" s="64" t="s">
        <v>2718</v>
      </c>
      <c r="R402" s="66">
        <f t="shared" si="5"/>
        <v>807.251271</v>
      </c>
      <c r="S402" s="66"/>
      <c r="T402" s="66"/>
      <c r="U402" s="64">
        <f>if(O402,_xlfn.WORKDAY.INTL(O402,U$5,"1000000",Holidays!A:A)+hour(O402)/24+MINUTE(O402)/1440,"")</f>
        <v>45328.73264</v>
      </c>
      <c r="V402" s="64" t="str">
        <f t="shared" si="6"/>
        <v/>
      </c>
      <c r="W402" s="66"/>
      <c r="X402" s="66">
        <f t="shared" si="7"/>
        <v>805.251271</v>
      </c>
      <c r="Y402" s="66"/>
      <c r="Z402" s="66"/>
      <c r="AA402" s="66"/>
      <c r="AB402" s="63"/>
      <c r="AC402" s="63"/>
      <c r="AD402" s="63"/>
      <c r="AE402" s="63"/>
      <c r="AF402" s="63"/>
      <c r="AG402" s="63"/>
      <c r="AH402" s="63" t="str">
        <f t="shared" si="14"/>
        <v/>
      </c>
      <c r="AI402" s="63" t="str">
        <f>if(AH402,_xlfn.workday.intl(int(AH402),0,"1000000",Holidays!A:A)+18/24,"")</f>
        <v/>
      </c>
      <c r="AJ402" s="64" t="str">
        <f t="shared" si="24"/>
        <v/>
      </c>
      <c r="AL402" s="66" t="str">
        <f t="shared" si="9"/>
        <v/>
      </c>
      <c r="AM402" s="66"/>
      <c r="AN402" s="63" t="str">
        <f>if(AJ402,if(and(hour(AJ402+AN$5)&gt;11,(hour(AJ402+AN$5)&lt;20)),AJ402+AN$5,_xlfn.workday.intl(int(AJ402),1,"1000000",Holidays!A:A)+hour(AJ402+AN$5-$B$1)/24+minute(AJ402)/1440),"")</f>
        <v/>
      </c>
      <c r="AO402" s="64" t="str">
        <f t="shared" si="15"/>
        <v/>
      </c>
      <c r="AQ402" s="66" t="str">
        <f t="shared" si="16"/>
        <v/>
      </c>
      <c r="AR402" s="66"/>
      <c r="AS402" s="63" t="str">
        <f>if(AJ402,if(and(hour(AJ402+AS$5)&gt;11,(hour(AJ402+AS$5)&lt;20)),AJ402+AS$5,_xlfn.workday.intl(int(AJ402),1,"1000000",Holidays!A:A)+hour(AJ402+AS$5-$B$1)/24+minute(AJ402)/1440),"")</f>
        <v/>
      </c>
      <c r="AT402" s="64" t="str">
        <f t="shared" si="21"/>
        <v/>
      </c>
      <c r="AV402" s="66" t="str">
        <f t="shared" si="25"/>
        <v/>
      </c>
      <c r="AW402" s="66"/>
      <c r="AX402" s="56"/>
    </row>
    <row r="403">
      <c r="A403" s="55">
        <v>45325.73385427083</v>
      </c>
      <c r="B403" s="56"/>
      <c r="C403" s="57"/>
      <c r="D403" s="57"/>
      <c r="E403" s="57"/>
      <c r="F403" s="57"/>
      <c r="G403" s="58">
        <f>if(A403,_xlfn.workday.intl(int(A403),1,"1000000",Holidays!A:A)+17/24,"")</f>
        <v>45326.70833</v>
      </c>
      <c r="H403" s="59" t="str">
        <f t="shared" si="23"/>
        <v/>
      </c>
      <c r="I403" s="60"/>
      <c r="J403" s="61">
        <f t="shared" si="2"/>
        <v>807.2755766</v>
      </c>
      <c r="K403" s="58">
        <f>if(G403,_xlfn.workday.intl(int(G403),0,"1000000",Holidays!A:A)+19/24,"")</f>
        <v>45326.79167</v>
      </c>
      <c r="L403" s="59" t="str">
        <f t="shared" si="3"/>
        <v/>
      </c>
      <c r="M403" s="60"/>
      <c r="N403" s="61">
        <f t="shared" si="4"/>
        <v>807.1922432</v>
      </c>
      <c r="O403" s="63">
        <f>if(A403,_xlfn.WORKDAY.INTL(A403,O$5,"1000000",Holidays!A:A)+hour(A403)/24+MINUTE(A403)/1440,"")</f>
        <v>45326.73333</v>
      </c>
      <c r="P403" s="64" t="s">
        <v>2718</v>
      </c>
      <c r="R403" s="66">
        <f t="shared" si="5"/>
        <v>807.2505766</v>
      </c>
      <c r="S403" s="66"/>
      <c r="T403" s="66"/>
      <c r="U403" s="64">
        <f>if(O403,_xlfn.WORKDAY.INTL(O403,U$5,"1000000",Holidays!A:A)+hour(O403)/24+MINUTE(O403)/1440,"")</f>
        <v>45328.73333</v>
      </c>
      <c r="V403" s="64" t="str">
        <f t="shared" si="6"/>
        <v/>
      </c>
      <c r="W403" s="66"/>
      <c r="X403" s="66">
        <f t="shared" si="7"/>
        <v>805.2505766</v>
      </c>
      <c r="Y403" s="66"/>
      <c r="Z403" s="66"/>
      <c r="AA403" s="66"/>
      <c r="AB403" s="63"/>
      <c r="AC403" s="63"/>
      <c r="AD403" s="63"/>
      <c r="AE403" s="63"/>
      <c r="AF403" s="63"/>
      <c r="AG403" s="63"/>
      <c r="AH403" s="63" t="str">
        <f t="shared" si="14"/>
        <v/>
      </c>
      <c r="AI403" s="63" t="str">
        <f>if(AH403,_xlfn.workday.intl(int(AH403),0,"1000000",Holidays!A:A)+18/24,"")</f>
        <v/>
      </c>
      <c r="AJ403" s="64" t="str">
        <f t="shared" si="24"/>
        <v/>
      </c>
      <c r="AL403" s="66" t="str">
        <f t="shared" si="9"/>
        <v/>
      </c>
      <c r="AM403" s="66"/>
      <c r="AN403" s="63" t="str">
        <f>if(AJ403,if(and(hour(AJ403+AN$5)&gt;11,(hour(AJ403+AN$5)&lt;20)),AJ403+AN$5,_xlfn.workday.intl(int(AJ403),1,"1000000",Holidays!A:A)+hour(AJ403+AN$5-$B$1)/24+minute(AJ403)/1440),"")</f>
        <v/>
      </c>
      <c r="AO403" s="64" t="str">
        <f t="shared" si="15"/>
        <v/>
      </c>
      <c r="AQ403" s="66" t="str">
        <f t="shared" si="16"/>
        <v/>
      </c>
      <c r="AR403" s="66"/>
      <c r="AS403" s="63" t="str">
        <f>if(AJ403,if(and(hour(AJ403+AS$5)&gt;11,(hour(AJ403+AS$5)&lt;20)),AJ403+AS$5,_xlfn.workday.intl(int(AJ403),1,"1000000",Holidays!A:A)+hour(AJ403+AS$5-$B$1)/24+minute(AJ403)/1440),"")</f>
        <v/>
      </c>
      <c r="AT403" s="64" t="str">
        <f t="shared" si="21"/>
        <v/>
      </c>
      <c r="AV403" s="66" t="str">
        <f t="shared" si="25"/>
        <v/>
      </c>
      <c r="AW403" s="66"/>
      <c r="AX403" s="56"/>
    </row>
    <row r="404">
      <c r="A404" s="55">
        <v>45325.734662268515</v>
      </c>
      <c r="B404" s="56"/>
      <c r="C404" s="57"/>
      <c r="D404" s="57"/>
      <c r="E404" s="57"/>
      <c r="F404" s="57"/>
      <c r="G404" s="58">
        <f>if(A404,_xlfn.workday.intl(int(A404),1,"1000000",Holidays!A:A)+17/24,"")</f>
        <v>45326.70833</v>
      </c>
      <c r="H404" s="59" t="str">
        <f t="shared" si="23"/>
        <v/>
      </c>
      <c r="I404" s="60"/>
      <c r="J404" s="61">
        <f t="shared" si="2"/>
        <v>807.2755766</v>
      </c>
      <c r="K404" s="58">
        <f>if(G404,_xlfn.workday.intl(int(G404),0,"1000000",Holidays!A:A)+19/24,"")</f>
        <v>45326.79167</v>
      </c>
      <c r="L404" s="59" t="str">
        <f t="shared" si="3"/>
        <v/>
      </c>
      <c r="M404" s="60"/>
      <c r="N404" s="61">
        <f t="shared" si="4"/>
        <v>807.1922432</v>
      </c>
      <c r="O404" s="63">
        <f>if(A404,_xlfn.WORKDAY.INTL(A404,O$5,"1000000",Holidays!A:A)+hour(A404)/24+MINUTE(A404)/1440,"")</f>
        <v>45326.73403</v>
      </c>
      <c r="P404" s="64" t="s">
        <v>2718</v>
      </c>
      <c r="R404" s="66">
        <f t="shared" si="5"/>
        <v>807.2498821</v>
      </c>
      <c r="S404" s="66"/>
      <c r="T404" s="66"/>
      <c r="U404" s="64">
        <f>if(O404,_xlfn.WORKDAY.INTL(O404,U$5,"1000000",Holidays!A:A)+hour(O404)/24+MINUTE(O404)/1440,"")</f>
        <v>45328.73403</v>
      </c>
      <c r="V404" s="64" t="str">
        <f t="shared" si="6"/>
        <v/>
      </c>
      <c r="W404" s="66"/>
      <c r="X404" s="66">
        <f t="shared" si="7"/>
        <v>805.2498821</v>
      </c>
      <c r="Y404" s="66"/>
      <c r="Z404" s="66"/>
      <c r="AA404" s="66"/>
      <c r="AB404" s="63"/>
      <c r="AC404" s="63"/>
      <c r="AD404" s="63"/>
      <c r="AE404" s="63"/>
      <c r="AF404" s="63"/>
      <c r="AG404" s="63"/>
      <c r="AH404" s="63" t="str">
        <f t="shared" si="14"/>
        <v/>
      </c>
      <c r="AI404" s="63" t="str">
        <f>if(AH404,_xlfn.workday.intl(int(AH404),0,"1000000",Holidays!A:A)+18/24,"")</f>
        <v/>
      </c>
      <c r="AJ404" s="64" t="str">
        <f t="shared" si="24"/>
        <v/>
      </c>
      <c r="AL404" s="66" t="str">
        <f t="shared" si="9"/>
        <v/>
      </c>
      <c r="AM404" s="66"/>
      <c r="AN404" s="63" t="str">
        <f>if(AJ404,if(and(hour(AJ404+AN$5)&gt;11,(hour(AJ404+AN$5)&lt;20)),AJ404+AN$5,_xlfn.workday.intl(int(AJ404),1,"1000000",Holidays!A:A)+hour(AJ404+AN$5-$B$1)/24+minute(AJ404)/1440),"")</f>
        <v/>
      </c>
      <c r="AO404" s="64" t="str">
        <f t="shared" si="15"/>
        <v/>
      </c>
      <c r="AQ404" s="66" t="str">
        <f t="shared" si="16"/>
        <v/>
      </c>
      <c r="AR404" s="66"/>
      <c r="AS404" s="63" t="str">
        <f>if(AJ404,if(and(hour(AJ404+AS$5)&gt;11,(hour(AJ404+AS$5)&lt;20)),AJ404+AS$5,_xlfn.workday.intl(int(AJ404),1,"1000000",Holidays!A:A)+hour(AJ404+AS$5-$B$1)/24+minute(AJ404)/1440),"")</f>
        <v/>
      </c>
      <c r="AT404" s="64" t="str">
        <f t="shared" si="21"/>
        <v/>
      </c>
      <c r="AV404" s="66" t="str">
        <f t="shared" si="25"/>
        <v/>
      </c>
      <c r="AW404" s="66"/>
      <c r="AX404" s="56"/>
    </row>
    <row r="405">
      <c r="A405" s="55"/>
      <c r="B405" s="56"/>
      <c r="C405" s="57"/>
      <c r="D405" s="57"/>
      <c r="E405" s="57"/>
      <c r="F405" s="57"/>
      <c r="G405" s="58" t="str">
        <f>if(A405,_xlfn.workday.intl(int(A405),1,"1000000",Holidays!A:A)+17/24,"")</f>
        <v/>
      </c>
      <c r="H405" s="59" t="str">
        <f t="shared" si="23"/>
        <v/>
      </c>
      <c r="I405" s="60"/>
      <c r="J405" s="61" t="str">
        <f t="shared" si="2"/>
        <v/>
      </c>
      <c r="K405" s="58" t="str">
        <f>if(G405,_xlfn.workday.intl(int(G405),0,"1000000",Holidays!A:A)+19/24,"")</f>
        <v/>
      </c>
      <c r="L405" s="59" t="str">
        <f t="shared" si="3"/>
        <v/>
      </c>
      <c r="M405" s="60"/>
      <c r="N405" s="61" t="str">
        <f t="shared" si="4"/>
        <v/>
      </c>
      <c r="O405" s="63" t="str">
        <f>if(A405,_xlfn.WORKDAY.INTL(A405,O$5,"1000000",Holidays!A:A)+hour(A405)/24+MINUTE(A405)/1440,"")</f>
        <v/>
      </c>
      <c r="P405" s="64" t="s">
        <v>2718</v>
      </c>
      <c r="R405" s="66" t="str">
        <f t="shared" si="5"/>
        <v/>
      </c>
      <c r="S405" s="66"/>
      <c r="T405" s="66"/>
      <c r="U405" s="64" t="str">
        <f>if(O405,_xlfn.WORKDAY.INTL(O405,U$5,"1000000",Holidays!A:A)+hour(O405)/24+MINUTE(O405)/1440,"")</f>
        <v/>
      </c>
      <c r="V405" s="64" t="str">
        <f t="shared" si="6"/>
        <v/>
      </c>
      <c r="W405" s="66"/>
      <c r="X405" s="66" t="str">
        <f t="shared" si="7"/>
        <v/>
      </c>
      <c r="Y405" s="66"/>
      <c r="Z405" s="66"/>
      <c r="AA405" s="66"/>
      <c r="AB405" s="63"/>
      <c r="AC405" s="63"/>
      <c r="AD405" s="63"/>
      <c r="AE405" s="63"/>
      <c r="AF405" s="63"/>
      <c r="AG405" s="63"/>
      <c r="AH405" s="63" t="str">
        <f t="shared" si="14"/>
        <v/>
      </c>
      <c r="AI405" s="63" t="str">
        <f>if(AH405,_xlfn.workday.intl(int(AH405),0,"1000000",Holidays!A:A)+18/24,"")</f>
        <v/>
      </c>
      <c r="AJ405" s="64" t="str">
        <f t="shared" si="24"/>
        <v/>
      </c>
      <c r="AL405" s="66" t="str">
        <f t="shared" si="9"/>
        <v/>
      </c>
      <c r="AM405" s="66"/>
      <c r="AN405" s="63" t="str">
        <f>if(AJ405,if(and(hour(AJ405+AN$5)&gt;11,(hour(AJ405+AN$5)&lt;20)),AJ405+AN$5,_xlfn.workday.intl(int(AJ405),1,"1000000",Holidays!A:A)+hour(AJ405+AN$5-$B$1)/24+minute(AJ405)/1440),"")</f>
        <v/>
      </c>
      <c r="AO405" s="64" t="str">
        <f t="shared" si="15"/>
        <v/>
      </c>
      <c r="AQ405" s="66" t="str">
        <f t="shared" si="16"/>
        <v/>
      </c>
      <c r="AR405" s="66"/>
      <c r="AS405" s="63" t="str">
        <f>if(AJ405,if(and(hour(AJ405+AS$5)&gt;11,(hour(AJ405+AS$5)&lt;20)),AJ405+AS$5,_xlfn.workday.intl(int(AJ405),1,"1000000",Holidays!A:A)+hour(AJ405+AS$5-$B$1)/24+minute(AJ405)/1440),"")</f>
        <v/>
      </c>
      <c r="AT405" s="64" t="str">
        <f t="shared" si="21"/>
        <v/>
      </c>
      <c r="AV405" s="66" t="str">
        <f t="shared" si="25"/>
        <v/>
      </c>
      <c r="AW405" s="66"/>
      <c r="AX405" s="56"/>
    </row>
    <row r="406">
      <c r="A406" s="55">
        <v>45328.544887407406</v>
      </c>
      <c r="B406" s="56"/>
      <c r="C406" s="57"/>
      <c r="D406" s="57"/>
      <c r="E406" s="57"/>
      <c r="F406" s="57"/>
      <c r="G406" s="58">
        <f>if(A406,_xlfn.workday.intl(int(A406),1,"1000000",Holidays!A:A)+17/24,"")</f>
        <v>45329.70833</v>
      </c>
      <c r="H406" s="59" t="str">
        <f t="shared" si="23"/>
        <v/>
      </c>
      <c r="I406" s="60"/>
      <c r="J406" s="61">
        <f t="shared" si="2"/>
        <v>804.2755766</v>
      </c>
      <c r="K406" s="58">
        <f>if(G406,_xlfn.workday.intl(int(G406),0,"1000000",Holidays!A:A)+19/24,"")</f>
        <v>45329.79167</v>
      </c>
      <c r="L406" s="59" t="str">
        <f t="shared" si="3"/>
        <v/>
      </c>
      <c r="M406" s="60"/>
      <c r="N406" s="61">
        <f t="shared" si="4"/>
        <v>804.1922432</v>
      </c>
      <c r="O406" s="63">
        <f>if(A406,_xlfn.WORKDAY.INTL(A406,O$5,"1000000",Holidays!A:A)+hour(A406)/24+MINUTE(A406)/1440,"")</f>
        <v>45329.54444</v>
      </c>
      <c r="P406" s="64" t="s">
        <v>2718</v>
      </c>
      <c r="R406" s="66">
        <f t="shared" si="5"/>
        <v>804.4394655</v>
      </c>
      <c r="S406" s="66"/>
      <c r="T406" s="66"/>
      <c r="U406" s="64">
        <f>if(O406,_xlfn.WORKDAY.INTL(O406,U$5,"1000000",Holidays!A:A)+hour(O406)/24+MINUTE(O406)/1440,"")</f>
        <v>45330.54444</v>
      </c>
      <c r="V406" s="64" t="str">
        <f t="shared" si="6"/>
        <v/>
      </c>
      <c r="W406" s="66"/>
      <c r="X406" s="66">
        <f t="shared" si="7"/>
        <v>803.4394655</v>
      </c>
      <c r="Y406" s="66"/>
      <c r="Z406" s="66"/>
      <c r="AA406" s="66"/>
      <c r="AB406" s="63"/>
      <c r="AC406" s="63"/>
      <c r="AD406" s="63"/>
      <c r="AE406" s="63"/>
      <c r="AF406" s="63"/>
      <c r="AG406" s="63"/>
      <c r="AH406" s="63" t="str">
        <f t="shared" si="14"/>
        <v/>
      </c>
      <c r="AI406" s="63" t="str">
        <f>if(AH406,_xlfn.workday.intl(int(AH406),0,"1000000",Holidays!A:A)+18/24,"")</f>
        <v/>
      </c>
      <c r="AJ406" s="64" t="str">
        <f t="shared" si="24"/>
        <v/>
      </c>
      <c r="AL406" s="66" t="str">
        <f t="shared" si="9"/>
        <v/>
      </c>
      <c r="AM406" s="66"/>
      <c r="AN406" s="63" t="str">
        <f>if(AJ406,if(and(hour(AJ406+AN$5)&gt;11,(hour(AJ406+AN$5)&lt;20)),AJ406+AN$5,_xlfn.workday.intl(int(AJ406),1,"1000000",Holidays!A:A)+hour(AJ406+AN$5-$B$1)/24+minute(AJ406)/1440),"")</f>
        <v/>
      </c>
      <c r="AO406" s="64" t="str">
        <f t="shared" si="15"/>
        <v/>
      </c>
      <c r="AQ406" s="66" t="str">
        <f t="shared" si="16"/>
        <v/>
      </c>
      <c r="AR406" s="66"/>
      <c r="AS406" s="63" t="str">
        <f>if(AJ406,if(and(hour(AJ406+AS$5)&gt;11,(hour(AJ406+AS$5)&lt;20)),AJ406+AS$5,_xlfn.workday.intl(int(AJ406),1,"1000000",Holidays!A:A)+hour(AJ406+AS$5-$B$1)/24+minute(AJ406)/1440),"")</f>
        <v/>
      </c>
      <c r="AT406" s="64" t="str">
        <f t="shared" si="21"/>
        <v/>
      </c>
      <c r="AV406" s="66" t="str">
        <f t="shared" si="25"/>
        <v/>
      </c>
      <c r="AW406" s="66"/>
      <c r="AX406" s="56"/>
    </row>
    <row r="407">
      <c r="A407" s="55">
        <v>45328.54830722223</v>
      </c>
      <c r="B407" s="56"/>
      <c r="C407" s="57"/>
      <c r="D407" s="57"/>
      <c r="E407" s="57"/>
      <c r="F407" s="57"/>
      <c r="G407" s="58">
        <f>if(A407,_xlfn.workday.intl(int(A407),1,"1000000",Holidays!A:A)+17/24,"")</f>
        <v>45329.70833</v>
      </c>
      <c r="H407" s="59" t="str">
        <f t="shared" si="23"/>
        <v/>
      </c>
      <c r="I407" s="60"/>
      <c r="J407" s="61">
        <f t="shared" si="2"/>
        <v>804.2755766</v>
      </c>
      <c r="K407" s="58">
        <f>if(G407,_xlfn.workday.intl(int(G407),0,"1000000",Holidays!A:A)+19/24,"")</f>
        <v>45329.79167</v>
      </c>
      <c r="L407" s="59" t="str">
        <f t="shared" si="3"/>
        <v/>
      </c>
      <c r="M407" s="60"/>
      <c r="N407" s="61">
        <f t="shared" si="4"/>
        <v>804.1922432</v>
      </c>
      <c r="O407" s="63">
        <f>if(A407,_xlfn.WORKDAY.INTL(A407,O$5,"1000000",Holidays!A:A)+hour(A407)/24+MINUTE(A407)/1440,"")</f>
        <v>45329.54792</v>
      </c>
      <c r="P407" s="64" t="s">
        <v>2718</v>
      </c>
      <c r="R407" s="66">
        <f t="shared" si="5"/>
        <v>804.4359932</v>
      </c>
      <c r="S407" s="66"/>
      <c r="T407" s="66"/>
      <c r="U407" s="64">
        <f>if(O407,_xlfn.WORKDAY.INTL(O407,U$5,"1000000",Holidays!A:A)+hour(O407)/24+MINUTE(O407)/1440,"")</f>
        <v>45330.54792</v>
      </c>
      <c r="V407" s="64" t="str">
        <f t="shared" si="6"/>
        <v/>
      </c>
      <c r="W407" s="66"/>
      <c r="X407" s="66">
        <f t="shared" si="7"/>
        <v>803.4359932</v>
      </c>
      <c r="Y407" s="66"/>
      <c r="Z407" s="66"/>
      <c r="AA407" s="66"/>
      <c r="AB407" s="63"/>
      <c r="AC407" s="63"/>
      <c r="AD407" s="63"/>
      <c r="AE407" s="63"/>
      <c r="AF407" s="63"/>
      <c r="AG407" s="63"/>
      <c r="AH407" s="63" t="str">
        <f t="shared" si="14"/>
        <v/>
      </c>
      <c r="AI407" s="63" t="str">
        <f>if(AH407,_xlfn.workday.intl(int(AH407),0,"1000000",Holidays!A:A)+18/24,"")</f>
        <v/>
      </c>
      <c r="AJ407" s="64" t="str">
        <f t="shared" si="24"/>
        <v/>
      </c>
      <c r="AL407" s="66" t="str">
        <f t="shared" si="9"/>
        <v/>
      </c>
      <c r="AM407" s="66"/>
      <c r="AN407" s="63" t="str">
        <f>if(AJ407,if(and(hour(AJ407+AN$5)&gt;11,(hour(AJ407+AN$5)&lt;20)),AJ407+AN$5,_xlfn.workday.intl(int(AJ407),1,"1000000",Holidays!A:A)+hour(AJ407+AN$5-$B$1)/24+minute(AJ407)/1440),"")</f>
        <v/>
      </c>
      <c r="AO407" s="64" t="str">
        <f t="shared" si="15"/>
        <v/>
      </c>
      <c r="AQ407" s="66" t="str">
        <f t="shared" si="16"/>
        <v/>
      </c>
      <c r="AR407" s="66"/>
      <c r="AS407" s="63" t="str">
        <f>if(AJ407,if(and(hour(AJ407+AS$5)&gt;11,(hour(AJ407+AS$5)&lt;20)),AJ407+AS$5,_xlfn.workday.intl(int(AJ407),1,"1000000",Holidays!A:A)+hour(AJ407+AS$5-$B$1)/24+minute(AJ407)/1440),"")</f>
        <v/>
      </c>
      <c r="AT407" s="64" t="str">
        <f t="shared" si="21"/>
        <v/>
      </c>
      <c r="AV407" s="66" t="str">
        <f t="shared" si="25"/>
        <v/>
      </c>
      <c r="AW407" s="66"/>
      <c r="AX407" s="56"/>
    </row>
    <row r="408">
      <c r="A408" s="55">
        <v>45328.54964467592</v>
      </c>
      <c r="B408" s="56"/>
      <c r="C408" s="57"/>
      <c r="D408" s="57"/>
      <c r="E408" s="57"/>
      <c r="F408" s="57"/>
      <c r="G408" s="58">
        <f>if(A408,_xlfn.workday.intl(int(A408),1,"1000000",Holidays!A:A)+17/24,"")</f>
        <v>45329.70833</v>
      </c>
      <c r="H408" s="59" t="str">
        <f t="shared" si="23"/>
        <v/>
      </c>
      <c r="I408" s="60"/>
      <c r="J408" s="61">
        <f t="shared" si="2"/>
        <v>804.2755766</v>
      </c>
      <c r="K408" s="58">
        <f>if(G408,_xlfn.workday.intl(int(G408),0,"1000000",Holidays!A:A)+19/24,"")</f>
        <v>45329.79167</v>
      </c>
      <c r="L408" s="59" t="str">
        <f t="shared" si="3"/>
        <v/>
      </c>
      <c r="M408" s="60"/>
      <c r="N408" s="61">
        <f t="shared" si="4"/>
        <v>804.1922432</v>
      </c>
      <c r="O408" s="63">
        <f>if(A408,_xlfn.WORKDAY.INTL(A408,O$5,"1000000",Holidays!A:A)+hour(A408)/24+MINUTE(A408)/1440,"")</f>
        <v>45329.54931</v>
      </c>
      <c r="P408" s="64" t="s">
        <v>2718</v>
      </c>
      <c r="R408" s="66">
        <f t="shared" si="5"/>
        <v>804.4346043</v>
      </c>
      <c r="S408" s="66"/>
      <c r="T408" s="66"/>
      <c r="U408" s="64">
        <f>if(O408,_xlfn.WORKDAY.INTL(O408,U$5,"1000000",Holidays!A:A)+hour(O408)/24+MINUTE(O408)/1440,"")</f>
        <v>45330.54931</v>
      </c>
      <c r="V408" s="64" t="str">
        <f t="shared" si="6"/>
        <v/>
      </c>
      <c r="W408" s="66"/>
      <c r="X408" s="66">
        <f t="shared" si="7"/>
        <v>803.4346043</v>
      </c>
      <c r="Y408" s="66"/>
      <c r="Z408" s="66"/>
      <c r="AA408" s="66"/>
      <c r="AB408" s="63"/>
      <c r="AC408" s="63"/>
      <c r="AD408" s="63"/>
      <c r="AE408" s="63"/>
      <c r="AF408" s="63"/>
      <c r="AG408" s="63"/>
      <c r="AH408" s="63" t="str">
        <f t="shared" si="14"/>
        <v/>
      </c>
      <c r="AI408" s="63" t="str">
        <f>if(AH408,_xlfn.workday.intl(int(AH408),0,"1000000",Holidays!A:A)+18/24,"")</f>
        <v/>
      </c>
      <c r="AJ408" s="64" t="str">
        <f t="shared" si="24"/>
        <v/>
      </c>
      <c r="AL408" s="66" t="str">
        <f t="shared" si="9"/>
        <v/>
      </c>
      <c r="AM408" s="66"/>
      <c r="AN408" s="63" t="str">
        <f>if(AJ408,if(and(hour(AJ408+AN$5)&gt;11,(hour(AJ408+AN$5)&lt;20)),AJ408+AN$5,_xlfn.workday.intl(int(AJ408),1,"1000000",Holidays!A:A)+hour(AJ408+AN$5-$B$1)/24+minute(AJ408)/1440),"")</f>
        <v/>
      </c>
      <c r="AO408" s="64" t="str">
        <f t="shared" si="15"/>
        <v/>
      </c>
      <c r="AQ408" s="66" t="str">
        <f t="shared" si="16"/>
        <v/>
      </c>
      <c r="AR408" s="66"/>
      <c r="AS408" s="63" t="str">
        <f>if(AJ408,if(and(hour(AJ408+AS$5)&gt;11,(hour(AJ408+AS$5)&lt;20)),AJ408+AS$5,_xlfn.workday.intl(int(AJ408),1,"1000000",Holidays!A:A)+hour(AJ408+AS$5-$B$1)/24+minute(AJ408)/1440),"")</f>
        <v/>
      </c>
      <c r="AT408" s="64" t="str">
        <f t="shared" si="21"/>
        <v/>
      </c>
      <c r="AV408" s="66" t="str">
        <f t="shared" si="25"/>
        <v/>
      </c>
      <c r="AW408" s="66"/>
      <c r="AX408" s="56"/>
    </row>
    <row r="409">
      <c r="A409" s="55">
        <v>45328.55057707176</v>
      </c>
      <c r="B409" s="56"/>
      <c r="C409" s="57"/>
      <c r="D409" s="57"/>
      <c r="E409" s="57"/>
      <c r="F409" s="57"/>
      <c r="G409" s="58">
        <f>if(A409,_xlfn.workday.intl(int(A409),1,"1000000",Holidays!A:A)+17/24,"")</f>
        <v>45329.70833</v>
      </c>
      <c r="H409" s="59" t="str">
        <f t="shared" si="23"/>
        <v/>
      </c>
      <c r="I409" s="60"/>
      <c r="J409" s="61">
        <f t="shared" si="2"/>
        <v>804.2755766</v>
      </c>
      <c r="K409" s="58">
        <f>if(G409,_xlfn.workday.intl(int(G409),0,"1000000",Holidays!A:A)+19/24,"")</f>
        <v>45329.79167</v>
      </c>
      <c r="L409" s="59" t="str">
        <f t="shared" si="3"/>
        <v/>
      </c>
      <c r="M409" s="60"/>
      <c r="N409" s="61">
        <f t="shared" si="4"/>
        <v>804.1922432</v>
      </c>
      <c r="O409" s="63">
        <f>if(A409,_xlfn.WORKDAY.INTL(A409,O$5,"1000000",Holidays!A:A)+hour(A409)/24+MINUTE(A409)/1440,"")</f>
        <v>45329.55</v>
      </c>
      <c r="P409" s="64" t="s">
        <v>2718</v>
      </c>
      <c r="R409" s="66">
        <f t="shared" si="5"/>
        <v>804.4339099</v>
      </c>
      <c r="S409" s="66"/>
      <c r="T409" s="66"/>
      <c r="U409" s="64">
        <f>if(O409,_xlfn.WORKDAY.INTL(O409,U$5,"1000000",Holidays!A:A)+hour(O409)/24+MINUTE(O409)/1440,"")</f>
        <v>45330.55</v>
      </c>
      <c r="V409" s="64" t="str">
        <f t="shared" si="6"/>
        <v/>
      </c>
      <c r="W409" s="66"/>
      <c r="X409" s="66">
        <f t="shared" si="7"/>
        <v>803.4339099</v>
      </c>
      <c r="Y409" s="66"/>
      <c r="Z409" s="66"/>
      <c r="AA409" s="66"/>
      <c r="AB409" s="63"/>
      <c r="AC409" s="63"/>
      <c r="AD409" s="63"/>
      <c r="AE409" s="63"/>
      <c r="AF409" s="63"/>
      <c r="AG409" s="63"/>
      <c r="AH409" s="63" t="str">
        <f t="shared" si="14"/>
        <v/>
      </c>
      <c r="AI409" s="63" t="str">
        <f>if(AH409,_xlfn.workday.intl(int(AH409),0,"1000000",Holidays!A:A)+18/24,"")</f>
        <v/>
      </c>
      <c r="AJ409" s="64" t="str">
        <f t="shared" si="24"/>
        <v/>
      </c>
      <c r="AL409" s="66" t="str">
        <f t="shared" si="9"/>
        <v/>
      </c>
      <c r="AM409" s="66"/>
      <c r="AN409" s="63" t="str">
        <f>if(AJ409,if(and(hour(AJ409+AN$5)&gt;11,(hour(AJ409+AN$5)&lt;20)),AJ409+AN$5,_xlfn.workday.intl(int(AJ409),1,"1000000",Holidays!A:A)+hour(AJ409+AN$5-$B$1)/24+minute(AJ409)/1440),"")</f>
        <v/>
      </c>
      <c r="AO409" s="64" t="str">
        <f t="shared" si="15"/>
        <v/>
      </c>
      <c r="AQ409" s="66" t="str">
        <f t="shared" si="16"/>
        <v/>
      </c>
      <c r="AR409" s="66"/>
      <c r="AS409" s="63" t="str">
        <f>if(AJ409,if(and(hour(AJ409+AS$5)&gt;11,(hour(AJ409+AS$5)&lt;20)),AJ409+AS$5,_xlfn.workday.intl(int(AJ409),1,"1000000",Holidays!A:A)+hour(AJ409+AS$5-$B$1)/24+minute(AJ409)/1440),"")</f>
        <v/>
      </c>
      <c r="AT409" s="64" t="str">
        <f t="shared" si="21"/>
        <v/>
      </c>
      <c r="AV409" s="66" t="str">
        <f t="shared" si="25"/>
        <v/>
      </c>
      <c r="AW409" s="66"/>
      <c r="AX409" s="56"/>
    </row>
    <row r="410">
      <c r="A410" s="55">
        <v>45328.55225064815</v>
      </c>
      <c r="B410" s="56"/>
      <c r="C410" s="57"/>
      <c r="D410" s="57"/>
      <c r="E410" s="57"/>
      <c r="F410" s="57"/>
      <c r="G410" s="58">
        <f>if(A410,_xlfn.workday.intl(int(A410),1,"1000000",Holidays!A:A)+17/24,"")</f>
        <v>45329.70833</v>
      </c>
      <c r="H410" s="59" t="str">
        <f t="shared" si="23"/>
        <v/>
      </c>
      <c r="I410" s="60"/>
      <c r="J410" s="61">
        <f t="shared" si="2"/>
        <v>804.2755766</v>
      </c>
      <c r="K410" s="58">
        <f>if(G410,_xlfn.workday.intl(int(G410),0,"1000000",Holidays!A:A)+19/24,"")</f>
        <v>45329.79167</v>
      </c>
      <c r="L410" s="59" t="str">
        <f t="shared" si="3"/>
        <v/>
      </c>
      <c r="M410" s="60"/>
      <c r="N410" s="61">
        <f t="shared" si="4"/>
        <v>804.1922432</v>
      </c>
      <c r="O410" s="63">
        <f>if(A410,_xlfn.WORKDAY.INTL(A410,O$5,"1000000",Holidays!A:A)+hour(A410)/24+MINUTE(A410)/1440,"")</f>
        <v>45329.55208</v>
      </c>
      <c r="P410" s="64" t="s">
        <v>2718</v>
      </c>
      <c r="R410" s="66">
        <f t="shared" si="5"/>
        <v>804.4318266</v>
      </c>
      <c r="S410" s="66"/>
      <c r="T410" s="66"/>
      <c r="U410" s="64">
        <f>if(O410,_xlfn.WORKDAY.INTL(O410,U$5,"1000000",Holidays!A:A)+hour(O410)/24+MINUTE(O410)/1440,"")</f>
        <v>45330.55208</v>
      </c>
      <c r="V410" s="64" t="str">
        <f t="shared" si="6"/>
        <v/>
      </c>
      <c r="W410" s="66"/>
      <c r="X410" s="66">
        <f t="shared" si="7"/>
        <v>803.4318266</v>
      </c>
      <c r="Y410" s="66"/>
      <c r="Z410" s="66"/>
      <c r="AA410" s="66"/>
      <c r="AB410" s="63"/>
      <c r="AC410" s="63"/>
      <c r="AD410" s="63"/>
      <c r="AE410" s="63"/>
      <c r="AF410" s="63"/>
      <c r="AG410" s="63"/>
      <c r="AH410" s="63" t="str">
        <f t="shared" si="14"/>
        <v/>
      </c>
      <c r="AI410" s="63" t="str">
        <f>if(AH410,_xlfn.workday.intl(int(AH410),0,"1000000",Holidays!A:A)+18/24,"")</f>
        <v/>
      </c>
      <c r="AJ410" s="64" t="str">
        <f t="shared" si="24"/>
        <v/>
      </c>
      <c r="AL410" s="66" t="str">
        <f t="shared" si="9"/>
        <v/>
      </c>
      <c r="AM410" s="66"/>
      <c r="AN410" s="63" t="str">
        <f>if(AJ410,if(and(hour(AJ410+AN$5)&gt;11,(hour(AJ410+AN$5)&lt;20)),AJ410+AN$5,_xlfn.workday.intl(int(AJ410),1,"1000000",Holidays!A:A)+hour(AJ410+AN$5-$B$1)/24+minute(AJ410)/1440),"")</f>
        <v/>
      </c>
      <c r="AO410" s="64" t="str">
        <f t="shared" si="15"/>
        <v/>
      </c>
      <c r="AQ410" s="66" t="str">
        <f t="shared" si="16"/>
        <v/>
      </c>
      <c r="AR410" s="66"/>
      <c r="AS410" s="63" t="str">
        <f>if(AJ410,if(and(hour(AJ410+AS$5)&gt;11,(hour(AJ410+AS$5)&lt;20)),AJ410+AS$5,_xlfn.workday.intl(int(AJ410),1,"1000000",Holidays!A:A)+hour(AJ410+AS$5-$B$1)/24+minute(AJ410)/1440),"")</f>
        <v/>
      </c>
      <c r="AT410" s="64" t="str">
        <f t="shared" si="21"/>
        <v/>
      </c>
      <c r="AV410" s="66" t="str">
        <f t="shared" si="25"/>
        <v/>
      </c>
      <c r="AW410" s="66"/>
      <c r="AX410" s="56"/>
    </row>
    <row r="411">
      <c r="A411" s="55">
        <v>45328.55360400463</v>
      </c>
      <c r="B411" s="56"/>
      <c r="C411" s="57"/>
      <c r="D411" s="57"/>
      <c r="E411" s="57"/>
      <c r="F411" s="57"/>
      <c r="G411" s="58">
        <f>if(A411,_xlfn.workday.intl(int(A411),1,"1000000",Holidays!A:A)+17/24,"")</f>
        <v>45329.70833</v>
      </c>
      <c r="H411" s="59" t="str">
        <f t="shared" si="23"/>
        <v/>
      </c>
      <c r="I411" s="60"/>
      <c r="J411" s="61">
        <f t="shared" si="2"/>
        <v>804.2755766</v>
      </c>
      <c r="K411" s="58">
        <f>if(G411,_xlfn.workday.intl(int(G411),0,"1000000",Holidays!A:A)+19/24,"")</f>
        <v>45329.79167</v>
      </c>
      <c r="L411" s="59" t="str">
        <f t="shared" si="3"/>
        <v/>
      </c>
      <c r="M411" s="60"/>
      <c r="N411" s="61">
        <f t="shared" si="4"/>
        <v>804.1922432</v>
      </c>
      <c r="O411" s="63">
        <f>if(A411,_xlfn.WORKDAY.INTL(A411,O$5,"1000000",Holidays!A:A)+hour(A411)/24+MINUTE(A411)/1440,"")</f>
        <v>45329.55347</v>
      </c>
      <c r="P411" s="64" t="s">
        <v>2718</v>
      </c>
      <c r="R411" s="66">
        <f t="shared" si="5"/>
        <v>804.4304377</v>
      </c>
      <c r="S411" s="66"/>
      <c r="T411" s="66"/>
      <c r="U411" s="64">
        <f>if(O411,_xlfn.WORKDAY.INTL(O411,U$5,"1000000",Holidays!A:A)+hour(O411)/24+MINUTE(O411)/1440,"")</f>
        <v>45330.55347</v>
      </c>
      <c r="V411" s="64" t="str">
        <f t="shared" si="6"/>
        <v/>
      </c>
      <c r="W411" s="66"/>
      <c r="X411" s="66">
        <f t="shared" si="7"/>
        <v>803.4304377</v>
      </c>
      <c r="Y411" s="66"/>
      <c r="Z411" s="66"/>
      <c r="AA411" s="66"/>
      <c r="AB411" s="63"/>
      <c r="AC411" s="63"/>
      <c r="AD411" s="63"/>
      <c r="AE411" s="63"/>
      <c r="AF411" s="63"/>
      <c r="AG411" s="63"/>
      <c r="AH411" s="63" t="str">
        <f t="shared" si="14"/>
        <v/>
      </c>
      <c r="AI411" s="63" t="str">
        <f>if(AH411,_xlfn.workday.intl(int(AH411),0,"1000000",Holidays!A:A)+18/24,"")</f>
        <v/>
      </c>
      <c r="AJ411" s="64" t="str">
        <f t="shared" si="24"/>
        <v/>
      </c>
      <c r="AL411" s="66" t="str">
        <f t="shared" si="9"/>
        <v/>
      </c>
      <c r="AM411" s="66"/>
      <c r="AN411" s="63" t="str">
        <f>if(AJ411,if(and(hour(AJ411+AN$5)&gt;11,(hour(AJ411+AN$5)&lt;20)),AJ411+AN$5,_xlfn.workday.intl(int(AJ411),1,"1000000",Holidays!A:A)+hour(AJ411+AN$5-$B$1)/24+minute(AJ411)/1440),"")</f>
        <v/>
      </c>
      <c r="AO411" s="64" t="str">
        <f t="shared" si="15"/>
        <v/>
      </c>
      <c r="AQ411" s="66" t="str">
        <f t="shared" si="16"/>
        <v/>
      </c>
      <c r="AR411" s="66"/>
      <c r="AS411" s="63" t="str">
        <f>if(AJ411,if(and(hour(AJ411+AS$5)&gt;11,(hour(AJ411+AS$5)&lt;20)),AJ411+AS$5,_xlfn.workday.intl(int(AJ411),1,"1000000",Holidays!A:A)+hour(AJ411+AS$5-$B$1)/24+minute(AJ411)/1440),"")</f>
        <v/>
      </c>
      <c r="AT411" s="64" t="str">
        <f t="shared" si="21"/>
        <v/>
      </c>
      <c r="AV411" s="66" t="str">
        <f t="shared" si="25"/>
        <v/>
      </c>
      <c r="AW411" s="66"/>
      <c r="AX411" s="56"/>
    </row>
    <row r="412">
      <c r="A412" s="55">
        <v>45328.554642523144</v>
      </c>
      <c r="B412" s="56"/>
      <c r="C412" s="57"/>
      <c r="D412" s="57"/>
      <c r="E412" s="57"/>
      <c r="F412" s="57"/>
      <c r="G412" s="58">
        <f>if(A412,_xlfn.workday.intl(int(A412),1,"1000000",Holidays!A:A)+17/24,"")</f>
        <v>45329.70833</v>
      </c>
      <c r="H412" s="59" t="str">
        <f t="shared" si="23"/>
        <v/>
      </c>
      <c r="I412" s="60"/>
      <c r="J412" s="61">
        <f t="shared" si="2"/>
        <v>804.2755766</v>
      </c>
      <c r="K412" s="58">
        <f>if(G412,_xlfn.workday.intl(int(G412),0,"1000000",Holidays!A:A)+19/24,"")</f>
        <v>45329.79167</v>
      </c>
      <c r="L412" s="59" t="str">
        <f t="shared" si="3"/>
        <v/>
      </c>
      <c r="M412" s="60"/>
      <c r="N412" s="61">
        <f t="shared" si="4"/>
        <v>804.1922432</v>
      </c>
      <c r="O412" s="63">
        <f>if(A412,_xlfn.WORKDAY.INTL(A412,O$5,"1000000",Holidays!A:A)+hour(A412)/24+MINUTE(A412)/1440,"")</f>
        <v>45329.55417</v>
      </c>
      <c r="P412" s="64" t="s">
        <v>2718</v>
      </c>
      <c r="R412" s="66">
        <f t="shared" si="5"/>
        <v>804.4297432</v>
      </c>
      <c r="S412" s="66"/>
      <c r="T412" s="66"/>
      <c r="U412" s="64">
        <f>if(O412,_xlfn.WORKDAY.INTL(O412,U$5,"1000000",Holidays!A:A)+hour(O412)/24+MINUTE(O412)/1440,"")</f>
        <v>45330.55417</v>
      </c>
      <c r="V412" s="64" t="str">
        <f t="shared" si="6"/>
        <v/>
      </c>
      <c r="W412" s="66"/>
      <c r="X412" s="66">
        <f t="shared" si="7"/>
        <v>803.4297432</v>
      </c>
      <c r="Y412" s="66"/>
      <c r="Z412" s="66"/>
      <c r="AA412" s="66"/>
      <c r="AB412" s="63"/>
      <c r="AC412" s="63"/>
      <c r="AD412" s="63"/>
      <c r="AE412" s="63"/>
      <c r="AF412" s="63"/>
      <c r="AG412" s="63"/>
      <c r="AH412" s="63" t="str">
        <f t="shared" si="14"/>
        <v/>
      </c>
      <c r="AI412" s="63" t="str">
        <f>if(AH412,_xlfn.workday.intl(int(AH412),0,"1000000",Holidays!A:A)+18/24,"")</f>
        <v/>
      </c>
      <c r="AJ412" s="64" t="str">
        <f t="shared" si="24"/>
        <v/>
      </c>
      <c r="AL412" s="66" t="str">
        <f t="shared" si="9"/>
        <v/>
      </c>
      <c r="AM412" s="66"/>
      <c r="AN412" s="63" t="str">
        <f>if(AJ412,if(and(hour(AJ412+AN$5)&gt;11,(hour(AJ412+AN$5)&lt;20)),AJ412+AN$5,_xlfn.workday.intl(int(AJ412),1,"1000000",Holidays!A:A)+hour(AJ412+AN$5-$B$1)/24+minute(AJ412)/1440),"")</f>
        <v/>
      </c>
      <c r="AO412" s="64" t="str">
        <f t="shared" si="15"/>
        <v/>
      </c>
      <c r="AQ412" s="66" t="str">
        <f t="shared" si="16"/>
        <v/>
      </c>
      <c r="AR412" s="66"/>
      <c r="AS412" s="63" t="str">
        <f>if(AJ412,if(and(hour(AJ412+AS$5)&gt;11,(hour(AJ412+AS$5)&lt;20)),AJ412+AS$5,_xlfn.workday.intl(int(AJ412),1,"1000000",Holidays!A:A)+hour(AJ412+AS$5-$B$1)/24+minute(AJ412)/1440),"")</f>
        <v/>
      </c>
      <c r="AT412" s="64" t="str">
        <f t="shared" si="21"/>
        <v/>
      </c>
      <c r="AV412" s="66" t="str">
        <f t="shared" si="25"/>
        <v/>
      </c>
      <c r="AW412" s="66"/>
      <c r="AX412" s="56"/>
    </row>
    <row r="413">
      <c r="A413" s="55">
        <v>45328.55535555555</v>
      </c>
      <c r="B413" s="56"/>
      <c r="C413" s="57"/>
      <c r="D413" s="57"/>
      <c r="E413" s="57"/>
      <c r="F413" s="57"/>
      <c r="G413" s="58">
        <f>if(A413,_xlfn.workday.intl(int(A413),1,"1000000",Holidays!A:A)+17/24,"")</f>
        <v>45329.70833</v>
      </c>
      <c r="H413" s="59" t="str">
        <f t="shared" si="23"/>
        <v/>
      </c>
      <c r="I413" s="60"/>
      <c r="J413" s="61">
        <f t="shared" si="2"/>
        <v>804.2755766</v>
      </c>
      <c r="K413" s="58">
        <f>if(G413,_xlfn.workday.intl(int(G413),0,"1000000",Holidays!A:A)+19/24,"")</f>
        <v>45329.79167</v>
      </c>
      <c r="L413" s="59" t="str">
        <f t="shared" si="3"/>
        <v/>
      </c>
      <c r="M413" s="60"/>
      <c r="N413" s="61">
        <f t="shared" si="4"/>
        <v>804.1922432</v>
      </c>
      <c r="O413" s="63">
        <f>if(A413,_xlfn.WORKDAY.INTL(A413,O$5,"1000000",Holidays!A:A)+hour(A413)/24+MINUTE(A413)/1440,"")</f>
        <v>45329.55486</v>
      </c>
      <c r="P413" s="64" t="s">
        <v>2718</v>
      </c>
      <c r="R413" s="66">
        <f t="shared" si="5"/>
        <v>804.4290488</v>
      </c>
      <c r="S413" s="66"/>
      <c r="T413" s="66"/>
      <c r="U413" s="64">
        <f>if(O413,_xlfn.WORKDAY.INTL(O413,U$5,"1000000",Holidays!A:A)+hour(O413)/24+MINUTE(O413)/1440,"")</f>
        <v>45330.55486</v>
      </c>
      <c r="V413" s="64" t="str">
        <f t="shared" si="6"/>
        <v/>
      </c>
      <c r="W413" s="66"/>
      <c r="X413" s="66">
        <f t="shared" si="7"/>
        <v>803.4290488</v>
      </c>
      <c r="Y413" s="66"/>
      <c r="Z413" s="66"/>
      <c r="AA413" s="66"/>
      <c r="AB413" s="63"/>
      <c r="AC413" s="63"/>
      <c r="AD413" s="63"/>
      <c r="AE413" s="63"/>
      <c r="AF413" s="63"/>
      <c r="AG413" s="63"/>
      <c r="AH413" s="63" t="str">
        <f t="shared" si="14"/>
        <v/>
      </c>
      <c r="AI413" s="63" t="str">
        <f>if(AH413,_xlfn.workday.intl(int(AH413),0,"1000000",Holidays!A:A)+18/24,"")</f>
        <v/>
      </c>
      <c r="AJ413" s="64" t="str">
        <f t="shared" si="24"/>
        <v/>
      </c>
      <c r="AL413" s="66" t="str">
        <f t="shared" si="9"/>
        <v/>
      </c>
      <c r="AM413" s="66"/>
      <c r="AN413" s="63" t="str">
        <f>if(AJ413,if(and(hour(AJ413+AN$5)&gt;11,(hour(AJ413+AN$5)&lt;20)),AJ413+AN$5,_xlfn.workday.intl(int(AJ413),1,"1000000",Holidays!A:A)+hour(AJ413+AN$5-$B$1)/24+minute(AJ413)/1440),"")</f>
        <v/>
      </c>
      <c r="AO413" s="64" t="str">
        <f t="shared" si="15"/>
        <v/>
      </c>
      <c r="AQ413" s="66" t="str">
        <f t="shared" si="16"/>
        <v/>
      </c>
      <c r="AR413" s="66"/>
      <c r="AS413" s="63" t="str">
        <f>if(AJ413,if(and(hour(AJ413+AS$5)&gt;11,(hour(AJ413+AS$5)&lt;20)),AJ413+AS$5,_xlfn.workday.intl(int(AJ413),1,"1000000",Holidays!A:A)+hour(AJ413+AS$5-$B$1)/24+minute(AJ413)/1440),"")</f>
        <v/>
      </c>
      <c r="AT413" s="64" t="str">
        <f t="shared" si="21"/>
        <v/>
      </c>
      <c r="AV413" s="66" t="str">
        <f t="shared" si="25"/>
        <v/>
      </c>
      <c r="AW413" s="66"/>
      <c r="AX413" s="56"/>
    </row>
    <row r="414">
      <c r="A414" s="55">
        <v>45328.55634767361</v>
      </c>
      <c r="B414" s="56"/>
      <c r="C414" s="57"/>
      <c r="D414" s="57"/>
      <c r="E414" s="57"/>
      <c r="F414" s="57"/>
      <c r="G414" s="58">
        <f>if(A414,_xlfn.workday.intl(int(A414),1,"1000000",Holidays!A:A)+17/24,"")</f>
        <v>45329.70833</v>
      </c>
      <c r="H414" s="59" t="str">
        <f t="shared" si="23"/>
        <v/>
      </c>
      <c r="I414" s="60"/>
      <c r="J414" s="61">
        <f t="shared" si="2"/>
        <v>804.2755766</v>
      </c>
      <c r="K414" s="58">
        <f>if(G414,_xlfn.workday.intl(int(G414),0,"1000000",Holidays!A:A)+19/24,"")</f>
        <v>45329.79167</v>
      </c>
      <c r="L414" s="59" t="str">
        <f t="shared" si="3"/>
        <v/>
      </c>
      <c r="M414" s="60"/>
      <c r="N414" s="61">
        <f t="shared" si="4"/>
        <v>804.1922432</v>
      </c>
      <c r="O414" s="63">
        <f>if(A414,_xlfn.WORKDAY.INTL(A414,O$5,"1000000",Holidays!A:A)+hour(A414)/24+MINUTE(A414)/1440,"")</f>
        <v>45329.55625</v>
      </c>
      <c r="P414" s="64" t="s">
        <v>2718</v>
      </c>
      <c r="R414" s="66">
        <f t="shared" si="5"/>
        <v>804.4276599</v>
      </c>
      <c r="S414" s="66"/>
      <c r="T414" s="66"/>
      <c r="U414" s="64">
        <f>if(O414,_xlfn.WORKDAY.INTL(O414,U$5,"1000000",Holidays!A:A)+hour(O414)/24+MINUTE(O414)/1440,"")</f>
        <v>45330.55625</v>
      </c>
      <c r="V414" s="64" t="str">
        <f t="shared" si="6"/>
        <v/>
      </c>
      <c r="W414" s="66"/>
      <c r="X414" s="66">
        <f t="shared" si="7"/>
        <v>803.4276599</v>
      </c>
      <c r="Y414" s="66"/>
      <c r="Z414" s="66"/>
      <c r="AA414" s="66"/>
      <c r="AB414" s="63"/>
      <c r="AC414" s="63"/>
      <c r="AD414" s="63"/>
      <c r="AE414" s="63"/>
      <c r="AF414" s="63"/>
      <c r="AG414" s="63"/>
      <c r="AH414" s="63" t="str">
        <f t="shared" si="14"/>
        <v/>
      </c>
      <c r="AI414" s="63" t="str">
        <f>if(AH414,_xlfn.workday.intl(int(AH414),0,"1000000",Holidays!A:A)+18/24,"")</f>
        <v/>
      </c>
      <c r="AJ414" s="64" t="str">
        <f t="shared" si="24"/>
        <v/>
      </c>
      <c r="AL414" s="66" t="str">
        <f t="shared" si="9"/>
        <v/>
      </c>
      <c r="AM414" s="66"/>
      <c r="AN414" s="63" t="str">
        <f>if(AJ414,if(and(hour(AJ414+AN$5)&gt;11,(hour(AJ414+AN$5)&lt;20)),AJ414+AN$5,_xlfn.workday.intl(int(AJ414),1,"1000000",Holidays!A:A)+hour(AJ414+AN$5-$B$1)/24+minute(AJ414)/1440),"")</f>
        <v/>
      </c>
      <c r="AO414" s="64" t="str">
        <f t="shared" si="15"/>
        <v/>
      </c>
      <c r="AQ414" s="66" t="str">
        <f t="shared" si="16"/>
        <v/>
      </c>
      <c r="AR414" s="66"/>
      <c r="AS414" s="63" t="str">
        <f>if(AJ414,if(and(hour(AJ414+AS$5)&gt;11,(hour(AJ414+AS$5)&lt;20)),AJ414+AS$5,_xlfn.workday.intl(int(AJ414),1,"1000000",Holidays!A:A)+hour(AJ414+AS$5-$B$1)/24+minute(AJ414)/1440),"")</f>
        <v/>
      </c>
      <c r="AT414" s="64" t="str">
        <f t="shared" si="21"/>
        <v/>
      </c>
      <c r="AV414" s="66" t="str">
        <f t="shared" si="25"/>
        <v/>
      </c>
      <c r="AW414" s="66"/>
      <c r="AX414" s="56"/>
    </row>
    <row r="415">
      <c r="A415" s="55">
        <v>45328.55711829861</v>
      </c>
      <c r="B415" s="56"/>
      <c r="C415" s="57"/>
      <c r="D415" s="57"/>
      <c r="E415" s="57"/>
      <c r="F415" s="57"/>
      <c r="G415" s="58">
        <f>if(A415,_xlfn.workday.intl(int(A415),1,"1000000",Holidays!A:A)+17/24,"")</f>
        <v>45329.70833</v>
      </c>
      <c r="H415" s="59" t="str">
        <f t="shared" si="23"/>
        <v/>
      </c>
      <c r="I415" s="60"/>
      <c r="J415" s="61">
        <f t="shared" si="2"/>
        <v>804.2755766</v>
      </c>
      <c r="K415" s="58">
        <f>if(G415,_xlfn.workday.intl(int(G415),0,"1000000",Holidays!A:A)+19/24,"")</f>
        <v>45329.79167</v>
      </c>
      <c r="L415" s="59" t="str">
        <f t="shared" si="3"/>
        <v/>
      </c>
      <c r="M415" s="60"/>
      <c r="N415" s="61">
        <f t="shared" si="4"/>
        <v>804.1922432</v>
      </c>
      <c r="O415" s="63">
        <f>if(A415,_xlfn.WORKDAY.INTL(A415,O$5,"1000000",Holidays!A:A)+hour(A415)/24+MINUTE(A415)/1440,"")</f>
        <v>45329.55694</v>
      </c>
      <c r="P415" s="64" t="s">
        <v>2718</v>
      </c>
      <c r="R415" s="66">
        <f t="shared" si="5"/>
        <v>804.4269655</v>
      </c>
      <c r="S415" s="66"/>
      <c r="T415" s="66"/>
      <c r="U415" s="64">
        <f>if(O415,_xlfn.WORKDAY.INTL(O415,U$5,"1000000",Holidays!A:A)+hour(O415)/24+MINUTE(O415)/1440,"")</f>
        <v>45330.55694</v>
      </c>
      <c r="V415" s="64" t="str">
        <f t="shared" si="6"/>
        <v/>
      </c>
      <c r="W415" s="66"/>
      <c r="X415" s="66">
        <f t="shared" si="7"/>
        <v>803.4269655</v>
      </c>
      <c r="Y415" s="66"/>
      <c r="Z415" s="66"/>
      <c r="AA415" s="66"/>
      <c r="AB415" s="63"/>
      <c r="AC415" s="63"/>
      <c r="AD415" s="63"/>
      <c r="AE415" s="63"/>
      <c r="AF415" s="63"/>
      <c r="AG415" s="63"/>
      <c r="AH415" s="63" t="str">
        <f t="shared" si="14"/>
        <v/>
      </c>
      <c r="AI415" s="63" t="str">
        <f>if(AH415,_xlfn.workday.intl(int(AH415),0,"1000000",Holidays!A:A)+18/24,"")</f>
        <v/>
      </c>
      <c r="AJ415" s="64" t="str">
        <f t="shared" si="24"/>
        <v/>
      </c>
      <c r="AL415" s="66" t="str">
        <f t="shared" si="9"/>
        <v/>
      </c>
      <c r="AM415" s="66"/>
      <c r="AN415" s="63" t="str">
        <f>if(AJ415,if(and(hour(AJ415+AN$5)&gt;11,(hour(AJ415+AN$5)&lt;20)),AJ415+AN$5,_xlfn.workday.intl(int(AJ415),1,"1000000",Holidays!A:A)+hour(AJ415+AN$5-$B$1)/24+minute(AJ415)/1440),"")</f>
        <v/>
      </c>
      <c r="AO415" s="64" t="str">
        <f t="shared" si="15"/>
        <v/>
      </c>
      <c r="AQ415" s="66" t="str">
        <f t="shared" si="16"/>
        <v/>
      </c>
      <c r="AR415" s="66"/>
      <c r="AS415" s="63" t="str">
        <f>if(AJ415,if(and(hour(AJ415+AS$5)&gt;11,(hour(AJ415+AS$5)&lt;20)),AJ415+AS$5,_xlfn.workday.intl(int(AJ415),1,"1000000",Holidays!A:A)+hour(AJ415+AS$5-$B$1)/24+minute(AJ415)/1440),"")</f>
        <v/>
      </c>
      <c r="AT415" s="64" t="str">
        <f t="shared" si="21"/>
        <v/>
      </c>
      <c r="AV415" s="66" t="str">
        <f t="shared" si="25"/>
        <v/>
      </c>
      <c r="AW415" s="66"/>
      <c r="AX415" s="56"/>
    </row>
    <row r="416">
      <c r="A416" s="55">
        <v>45328.5579215162</v>
      </c>
      <c r="B416" s="56"/>
      <c r="C416" s="57"/>
      <c r="D416" s="57"/>
      <c r="E416" s="57"/>
      <c r="F416" s="57"/>
      <c r="G416" s="58">
        <f>if(A416,_xlfn.workday.intl(int(A416),1,"1000000",Holidays!A:A)+17/24,"")</f>
        <v>45329.70833</v>
      </c>
      <c r="H416" s="59" t="str">
        <f t="shared" si="23"/>
        <v/>
      </c>
      <c r="I416" s="60"/>
      <c r="J416" s="61">
        <f t="shared" si="2"/>
        <v>804.2755766</v>
      </c>
      <c r="K416" s="58">
        <f>if(G416,_xlfn.workday.intl(int(G416),0,"1000000",Holidays!A:A)+19/24,"")</f>
        <v>45329.79167</v>
      </c>
      <c r="L416" s="59" t="str">
        <f t="shared" si="3"/>
        <v/>
      </c>
      <c r="M416" s="60"/>
      <c r="N416" s="61">
        <f t="shared" si="4"/>
        <v>804.1922432</v>
      </c>
      <c r="O416" s="63">
        <f>if(A416,_xlfn.WORKDAY.INTL(A416,O$5,"1000000",Holidays!A:A)+hour(A416)/24+MINUTE(A416)/1440,"")</f>
        <v>45329.55764</v>
      </c>
      <c r="P416" s="64" t="s">
        <v>2718</v>
      </c>
      <c r="R416" s="66">
        <f t="shared" si="5"/>
        <v>804.426271</v>
      </c>
      <c r="S416" s="66"/>
      <c r="T416" s="66"/>
      <c r="U416" s="64">
        <f>if(O416,_xlfn.WORKDAY.INTL(O416,U$5,"1000000",Holidays!A:A)+hour(O416)/24+MINUTE(O416)/1440,"")</f>
        <v>45330.55764</v>
      </c>
      <c r="V416" s="64" t="str">
        <f t="shared" si="6"/>
        <v/>
      </c>
      <c r="W416" s="66"/>
      <c r="X416" s="66">
        <f t="shared" si="7"/>
        <v>803.426271</v>
      </c>
      <c r="Y416" s="66"/>
      <c r="Z416" s="66"/>
      <c r="AA416" s="66"/>
      <c r="AB416" s="63"/>
      <c r="AC416" s="63"/>
      <c r="AD416" s="63"/>
      <c r="AE416" s="63"/>
      <c r="AF416" s="63"/>
      <c r="AG416" s="63"/>
      <c r="AH416" s="63" t="str">
        <f t="shared" si="14"/>
        <v/>
      </c>
      <c r="AI416" s="63" t="str">
        <f>if(AH416,_xlfn.workday.intl(int(AH416),0,"1000000",Holidays!A:A)+18/24,"")</f>
        <v/>
      </c>
      <c r="AJ416" s="64" t="str">
        <f t="shared" si="24"/>
        <v/>
      </c>
      <c r="AL416" s="66" t="str">
        <f t="shared" si="9"/>
        <v/>
      </c>
      <c r="AM416" s="66"/>
      <c r="AN416" s="63" t="str">
        <f>if(AJ416,if(and(hour(AJ416+AN$5)&gt;11,(hour(AJ416+AN$5)&lt;20)),AJ416+AN$5,_xlfn.workday.intl(int(AJ416),1,"1000000",Holidays!A:A)+hour(AJ416+AN$5-$B$1)/24+minute(AJ416)/1440),"")</f>
        <v/>
      </c>
      <c r="AO416" s="64" t="str">
        <f t="shared" si="15"/>
        <v/>
      </c>
      <c r="AQ416" s="66" t="str">
        <f t="shared" si="16"/>
        <v/>
      </c>
      <c r="AR416" s="66"/>
      <c r="AS416" s="63" t="str">
        <f>if(AJ416,if(and(hour(AJ416+AS$5)&gt;11,(hour(AJ416+AS$5)&lt;20)),AJ416+AS$5,_xlfn.workday.intl(int(AJ416),1,"1000000",Holidays!A:A)+hour(AJ416+AS$5-$B$1)/24+minute(AJ416)/1440),"")</f>
        <v/>
      </c>
      <c r="AT416" s="64" t="str">
        <f t="shared" si="21"/>
        <v/>
      </c>
      <c r="AV416" s="66" t="str">
        <f t="shared" si="25"/>
        <v/>
      </c>
      <c r="AW416" s="66"/>
      <c r="AX416" s="56"/>
    </row>
    <row r="417">
      <c r="A417" s="55">
        <v>45328.558806817135</v>
      </c>
      <c r="B417" s="56"/>
      <c r="C417" s="57"/>
      <c r="D417" s="57"/>
      <c r="E417" s="57"/>
      <c r="F417" s="57"/>
      <c r="G417" s="58">
        <f>if(A417,_xlfn.workday.intl(int(A417),1,"1000000",Holidays!A:A)+17/24,"")</f>
        <v>45329.70833</v>
      </c>
      <c r="H417" s="59" t="str">
        <f t="shared" si="23"/>
        <v/>
      </c>
      <c r="I417" s="60"/>
      <c r="J417" s="61">
        <f t="shared" si="2"/>
        <v>804.2755766</v>
      </c>
      <c r="K417" s="58">
        <f>if(G417,_xlfn.workday.intl(int(G417),0,"1000000",Holidays!A:A)+19/24,"")</f>
        <v>45329.79167</v>
      </c>
      <c r="L417" s="59" t="str">
        <f t="shared" si="3"/>
        <v/>
      </c>
      <c r="M417" s="60"/>
      <c r="N417" s="61">
        <f t="shared" si="4"/>
        <v>804.1922432</v>
      </c>
      <c r="O417" s="63">
        <f>if(A417,_xlfn.WORKDAY.INTL(A417,O$5,"1000000",Holidays!A:A)+hour(A417)/24+MINUTE(A417)/1440,"")</f>
        <v>45329.55833</v>
      </c>
      <c r="P417" s="64" t="s">
        <v>2718</v>
      </c>
      <c r="R417" s="66">
        <f t="shared" si="5"/>
        <v>804.4255766</v>
      </c>
      <c r="S417" s="66"/>
      <c r="T417" s="66"/>
      <c r="U417" s="64">
        <f>if(O417,_xlfn.WORKDAY.INTL(O417,U$5,"1000000",Holidays!A:A)+hour(O417)/24+MINUTE(O417)/1440,"")</f>
        <v>45330.55833</v>
      </c>
      <c r="V417" s="64" t="str">
        <f t="shared" si="6"/>
        <v/>
      </c>
      <c r="W417" s="66"/>
      <c r="X417" s="66">
        <f t="shared" si="7"/>
        <v>803.4255766</v>
      </c>
      <c r="Y417" s="66"/>
      <c r="Z417" s="66"/>
      <c r="AA417" s="66"/>
      <c r="AB417" s="63"/>
      <c r="AC417" s="63"/>
      <c r="AD417" s="63"/>
      <c r="AE417" s="63"/>
      <c r="AF417" s="63"/>
      <c r="AG417" s="63"/>
      <c r="AH417" s="63" t="str">
        <f t="shared" si="14"/>
        <v/>
      </c>
      <c r="AI417" s="63" t="str">
        <f>if(AH417,_xlfn.workday.intl(int(AH417),0,"1000000",Holidays!A:A)+18/24,"")</f>
        <v/>
      </c>
      <c r="AJ417" s="64" t="str">
        <f t="shared" si="24"/>
        <v/>
      </c>
      <c r="AL417" s="66" t="str">
        <f t="shared" si="9"/>
        <v/>
      </c>
      <c r="AM417" s="66"/>
      <c r="AN417" s="63" t="str">
        <f>if(AJ417,if(and(hour(AJ417+AN$5)&gt;11,(hour(AJ417+AN$5)&lt;20)),AJ417+AN$5,_xlfn.workday.intl(int(AJ417),1,"1000000",Holidays!A:A)+hour(AJ417+AN$5-$B$1)/24+minute(AJ417)/1440),"")</f>
        <v/>
      </c>
      <c r="AO417" s="64" t="str">
        <f t="shared" si="15"/>
        <v/>
      </c>
      <c r="AQ417" s="66" t="str">
        <f t="shared" si="16"/>
        <v/>
      </c>
      <c r="AR417" s="66"/>
      <c r="AS417" s="63" t="str">
        <f>if(AJ417,if(and(hour(AJ417+AS$5)&gt;11,(hour(AJ417+AS$5)&lt;20)),AJ417+AS$5,_xlfn.workday.intl(int(AJ417),1,"1000000",Holidays!A:A)+hour(AJ417+AS$5-$B$1)/24+minute(AJ417)/1440),"")</f>
        <v/>
      </c>
      <c r="AT417" s="64" t="str">
        <f t="shared" si="21"/>
        <v/>
      </c>
      <c r="AV417" s="66" t="str">
        <f t="shared" si="25"/>
        <v/>
      </c>
      <c r="AW417" s="66"/>
      <c r="AX417" s="56"/>
    </row>
    <row r="418">
      <c r="A418" s="55">
        <v>45328.57963075231</v>
      </c>
      <c r="B418" s="56"/>
      <c r="C418" s="57"/>
      <c r="D418" s="57"/>
      <c r="E418" s="57"/>
      <c r="F418" s="57"/>
      <c r="G418" s="58">
        <f>if(A418,_xlfn.workday.intl(int(A418),1,"1000000",Holidays!A:A)+17/24,"")</f>
        <v>45329.70833</v>
      </c>
      <c r="H418" s="59" t="str">
        <f t="shared" si="23"/>
        <v/>
      </c>
      <c r="I418" s="60"/>
      <c r="J418" s="61">
        <f t="shared" si="2"/>
        <v>804.2755766</v>
      </c>
      <c r="K418" s="58">
        <f>if(G418,_xlfn.workday.intl(int(G418),0,"1000000",Holidays!A:A)+19/24,"")</f>
        <v>45329.79167</v>
      </c>
      <c r="L418" s="59" t="str">
        <f t="shared" si="3"/>
        <v/>
      </c>
      <c r="M418" s="60"/>
      <c r="N418" s="61">
        <f t="shared" si="4"/>
        <v>804.1922432</v>
      </c>
      <c r="O418" s="63">
        <f>if(A418,_xlfn.WORKDAY.INTL(A418,O$5,"1000000",Holidays!A:A)+hour(A418)/24+MINUTE(A418)/1440,"")</f>
        <v>45329.57917</v>
      </c>
      <c r="P418" s="64" t="s">
        <v>2718</v>
      </c>
      <c r="R418" s="66">
        <f t="shared" si="5"/>
        <v>804.4047432</v>
      </c>
      <c r="S418" s="66"/>
      <c r="T418" s="66"/>
      <c r="U418" s="64">
        <f>if(O418,_xlfn.WORKDAY.INTL(O418,U$5,"1000000",Holidays!A:A)+hour(O418)/24+MINUTE(O418)/1440,"")</f>
        <v>45330.57917</v>
      </c>
      <c r="V418" s="64" t="str">
        <f t="shared" si="6"/>
        <v/>
      </c>
      <c r="W418" s="66"/>
      <c r="X418" s="66">
        <f t="shared" si="7"/>
        <v>803.4047432</v>
      </c>
      <c r="Y418" s="66"/>
      <c r="Z418" s="66"/>
      <c r="AA418" s="66"/>
      <c r="AB418" s="63"/>
      <c r="AC418" s="63"/>
      <c r="AD418" s="63"/>
      <c r="AE418" s="63"/>
      <c r="AF418" s="63"/>
      <c r="AG418" s="63"/>
      <c r="AH418" s="63" t="str">
        <f t="shared" si="14"/>
        <v/>
      </c>
      <c r="AI418" s="63" t="str">
        <f>if(AH418,_xlfn.workday.intl(int(AH418),0,"1000000",Holidays!A:A)+18/24,"")</f>
        <v/>
      </c>
      <c r="AJ418" s="64" t="str">
        <f t="shared" si="24"/>
        <v/>
      </c>
      <c r="AL418" s="66" t="str">
        <f t="shared" si="9"/>
        <v/>
      </c>
      <c r="AM418" s="66"/>
      <c r="AN418" s="63" t="str">
        <f>if(AJ418,if(and(hour(AJ418+AN$5)&gt;11,(hour(AJ418+AN$5)&lt;20)),AJ418+AN$5,_xlfn.workday.intl(int(AJ418),1,"1000000",Holidays!A:A)+hour(AJ418+AN$5-$B$1)/24+minute(AJ418)/1440),"")</f>
        <v/>
      </c>
      <c r="AO418" s="64" t="str">
        <f t="shared" si="15"/>
        <v/>
      </c>
      <c r="AQ418" s="66" t="str">
        <f t="shared" si="16"/>
        <v/>
      </c>
      <c r="AR418" s="66"/>
      <c r="AS418" s="63" t="str">
        <f>if(AJ418,if(and(hour(AJ418+AS$5)&gt;11,(hour(AJ418+AS$5)&lt;20)),AJ418+AS$5,_xlfn.workday.intl(int(AJ418),1,"1000000",Holidays!A:A)+hour(AJ418+AS$5-$B$1)/24+minute(AJ418)/1440),"")</f>
        <v/>
      </c>
      <c r="AT418" s="64" t="str">
        <f t="shared" si="21"/>
        <v/>
      </c>
      <c r="AV418" s="66" t="str">
        <f t="shared" si="25"/>
        <v/>
      </c>
      <c r="AW418" s="66"/>
      <c r="AX418" s="56"/>
    </row>
    <row r="419">
      <c r="A419" s="55">
        <v>45328.580644965274</v>
      </c>
      <c r="B419" s="56"/>
      <c r="C419" s="57"/>
      <c r="D419" s="57"/>
      <c r="E419" s="57"/>
      <c r="F419" s="57"/>
      <c r="G419" s="58">
        <f>if(A419,_xlfn.workday.intl(int(A419),1,"1000000",Holidays!A:A)+17/24,"")</f>
        <v>45329.70833</v>
      </c>
      <c r="H419" s="59" t="str">
        <f t="shared" si="23"/>
        <v/>
      </c>
      <c r="I419" s="60"/>
      <c r="J419" s="61">
        <f t="shared" si="2"/>
        <v>804.2755766</v>
      </c>
      <c r="K419" s="58">
        <f>if(G419,_xlfn.workday.intl(int(G419),0,"1000000",Holidays!A:A)+19/24,"")</f>
        <v>45329.79167</v>
      </c>
      <c r="L419" s="59" t="str">
        <f t="shared" si="3"/>
        <v/>
      </c>
      <c r="M419" s="60"/>
      <c r="N419" s="61">
        <f t="shared" si="4"/>
        <v>804.1922432</v>
      </c>
      <c r="O419" s="63">
        <f>if(A419,_xlfn.WORKDAY.INTL(A419,O$5,"1000000",Holidays!A:A)+hour(A419)/24+MINUTE(A419)/1440,"")</f>
        <v>45329.58056</v>
      </c>
      <c r="P419" s="64" t="s">
        <v>2718</v>
      </c>
      <c r="R419" s="66">
        <f t="shared" si="5"/>
        <v>804.4033543</v>
      </c>
      <c r="S419" s="66"/>
      <c r="T419" s="66"/>
      <c r="U419" s="64">
        <f>if(O419,_xlfn.WORKDAY.INTL(O419,U$5,"1000000",Holidays!A:A)+hour(O419)/24+MINUTE(O419)/1440,"")</f>
        <v>45330.58056</v>
      </c>
      <c r="V419" s="64" t="str">
        <f t="shared" si="6"/>
        <v/>
      </c>
      <c r="W419" s="66"/>
      <c r="X419" s="66">
        <f t="shared" si="7"/>
        <v>803.4033543</v>
      </c>
      <c r="Y419" s="66"/>
      <c r="Z419" s="66"/>
      <c r="AA419" s="66"/>
      <c r="AB419" s="63"/>
      <c r="AC419" s="63"/>
      <c r="AD419" s="63"/>
      <c r="AE419" s="63"/>
      <c r="AF419" s="63"/>
      <c r="AG419" s="63"/>
      <c r="AH419" s="63" t="str">
        <f t="shared" si="14"/>
        <v/>
      </c>
      <c r="AI419" s="63" t="str">
        <f>if(AH419,_xlfn.workday.intl(int(AH419),0,"1000000",Holidays!A:A)+18/24,"")</f>
        <v/>
      </c>
      <c r="AJ419" s="64" t="str">
        <f t="shared" si="24"/>
        <v/>
      </c>
      <c r="AL419" s="66" t="str">
        <f t="shared" si="9"/>
        <v/>
      </c>
      <c r="AM419" s="66"/>
      <c r="AN419" s="63" t="str">
        <f>if(AJ419,if(and(hour(AJ419+AN$5)&gt;11,(hour(AJ419+AN$5)&lt;20)),AJ419+AN$5,_xlfn.workday.intl(int(AJ419),1,"1000000",Holidays!A:A)+hour(AJ419+AN$5-$B$1)/24+minute(AJ419)/1440),"")</f>
        <v/>
      </c>
      <c r="AO419" s="64" t="str">
        <f t="shared" si="15"/>
        <v/>
      </c>
      <c r="AQ419" s="66" t="str">
        <f t="shared" si="16"/>
        <v/>
      </c>
      <c r="AR419" s="66"/>
      <c r="AS419" s="63" t="str">
        <f>if(AJ419,if(and(hour(AJ419+AS$5)&gt;11,(hour(AJ419+AS$5)&lt;20)),AJ419+AS$5,_xlfn.workday.intl(int(AJ419),1,"1000000",Holidays!A:A)+hour(AJ419+AS$5-$B$1)/24+minute(AJ419)/1440),"")</f>
        <v/>
      </c>
      <c r="AT419" s="64" t="str">
        <f t="shared" si="21"/>
        <v/>
      </c>
      <c r="AV419" s="66" t="str">
        <f t="shared" si="25"/>
        <v/>
      </c>
      <c r="AW419" s="66"/>
      <c r="AX419" s="56"/>
    </row>
    <row r="420">
      <c r="A420" s="55">
        <v>45328.58130554398</v>
      </c>
      <c r="B420" s="56"/>
      <c r="C420" s="57"/>
      <c r="D420" s="57"/>
      <c r="E420" s="57"/>
      <c r="F420" s="57"/>
      <c r="G420" s="58">
        <f>if(A420,_xlfn.workday.intl(int(A420),1,"1000000",Holidays!A:A)+17/24,"")</f>
        <v>45329.70833</v>
      </c>
      <c r="H420" s="59" t="str">
        <f t="shared" si="23"/>
        <v/>
      </c>
      <c r="I420" s="60"/>
      <c r="J420" s="61">
        <f t="shared" si="2"/>
        <v>804.2755766</v>
      </c>
      <c r="K420" s="58">
        <f>if(G420,_xlfn.workday.intl(int(G420),0,"1000000",Holidays!A:A)+19/24,"")</f>
        <v>45329.79167</v>
      </c>
      <c r="L420" s="59" t="str">
        <f t="shared" si="3"/>
        <v/>
      </c>
      <c r="M420" s="60"/>
      <c r="N420" s="61">
        <f t="shared" si="4"/>
        <v>804.1922432</v>
      </c>
      <c r="O420" s="63">
        <f>if(A420,_xlfn.WORKDAY.INTL(A420,O$5,"1000000",Holidays!A:A)+hour(A420)/24+MINUTE(A420)/1440,"")</f>
        <v>45329.58125</v>
      </c>
      <c r="P420" s="64" t="s">
        <v>2718</v>
      </c>
      <c r="R420" s="66">
        <f t="shared" si="5"/>
        <v>804.4026599</v>
      </c>
      <c r="S420" s="66"/>
      <c r="T420" s="66"/>
      <c r="U420" s="64">
        <f>if(O420,_xlfn.WORKDAY.INTL(O420,U$5,"1000000",Holidays!A:A)+hour(O420)/24+MINUTE(O420)/1440,"")</f>
        <v>45330.58125</v>
      </c>
      <c r="V420" s="64" t="str">
        <f t="shared" si="6"/>
        <v/>
      </c>
      <c r="W420" s="66"/>
      <c r="X420" s="66">
        <f t="shared" si="7"/>
        <v>803.4026599</v>
      </c>
      <c r="Y420" s="66"/>
      <c r="Z420" s="66"/>
      <c r="AA420" s="66"/>
      <c r="AB420" s="63"/>
      <c r="AC420" s="63"/>
      <c r="AD420" s="63"/>
      <c r="AE420" s="63"/>
      <c r="AF420" s="63"/>
      <c r="AG420" s="63"/>
      <c r="AH420" s="63" t="str">
        <f t="shared" si="14"/>
        <v/>
      </c>
      <c r="AI420" s="63" t="str">
        <f>if(AH420,_xlfn.workday.intl(int(AH420),0,"1000000",Holidays!A:A)+18/24,"")</f>
        <v/>
      </c>
      <c r="AJ420" s="64" t="str">
        <f t="shared" si="24"/>
        <v/>
      </c>
      <c r="AL420" s="66" t="str">
        <f t="shared" si="9"/>
        <v/>
      </c>
      <c r="AM420" s="66"/>
      <c r="AN420" s="63" t="str">
        <f>if(AJ420,if(and(hour(AJ420+AN$5)&gt;11,(hour(AJ420+AN$5)&lt;20)),AJ420+AN$5,_xlfn.workday.intl(int(AJ420),1,"1000000",Holidays!A:A)+hour(AJ420+AN$5-$B$1)/24+minute(AJ420)/1440),"")</f>
        <v/>
      </c>
      <c r="AO420" s="64" t="str">
        <f t="shared" si="15"/>
        <v/>
      </c>
      <c r="AQ420" s="66" t="str">
        <f t="shared" si="16"/>
        <v/>
      </c>
      <c r="AR420" s="66"/>
      <c r="AS420" s="63" t="str">
        <f>if(AJ420,if(and(hour(AJ420+AS$5)&gt;11,(hour(AJ420+AS$5)&lt;20)),AJ420+AS$5,_xlfn.workday.intl(int(AJ420),1,"1000000",Holidays!A:A)+hour(AJ420+AS$5-$B$1)/24+minute(AJ420)/1440),"")</f>
        <v/>
      </c>
      <c r="AT420" s="64" t="str">
        <f t="shared" si="21"/>
        <v/>
      </c>
      <c r="AV420" s="66" t="str">
        <f t="shared" si="25"/>
        <v/>
      </c>
      <c r="AW420" s="66"/>
      <c r="AX420" s="56"/>
    </row>
    <row r="421">
      <c r="A421" s="55">
        <v>45328.67058766204</v>
      </c>
      <c r="B421" s="56"/>
      <c r="C421" s="57"/>
      <c r="D421" s="57"/>
      <c r="E421" s="57"/>
      <c r="F421" s="57"/>
      <c r="G421" s="58">
        <f>if(A421,_xlfn.workday.intl(int(A421),1,"1000000",Holidays!A:A)+17/24,"")</f>
        <v>45329.70833</v>
      </c>
      <c r="H421" s="59" t="str">
        <f t="shared" si="23"/>
        <v/>
      </c>
      <c r="I421" s="60"/>
      <c r="J421" s="61">
        <f t="shared" si="2"/>
        <v>804.2755766</v>
      </c>
      <c r="K421" s="58">
        <f>if(G421,_xlfn.workday.intl(int(G421),0,"1000000",Holidays!A:A)+19/24,"")</f>
        <v>45329.79167</v>
      </c>
      <c r="L421" s="59" t="str">
        <f t="shared" si="3"/>
        <v/>
      </c>
      <c r="M421" s="60"/>
      <c r="N421" s="61">
        <f t="shared" si="4"/>
        <v>804.1922432</v>
      </c>
      <c r="O421" s="63">
        <f>if(A421,_xlfn.WORKDAY.INTL(A421,O$5,"1000000",Holidays!A:A)+hour(A421)/24+MINUTE(A421)/1440,"")</f>
        <v>45329.67014</v>
      </c>
      <c r="P421" s="64" t="s">
        <v>2718</v>
      </c>
      <c r="R421" s="66">
        <f t="shared" si="5"/>
        <v>804.313771</v>
      </c>
      <c r="S421" s="66"/>
      <c r="T421" s="66"/>
      <c r="U421" s="64">
        <f>if(O421,_xlfn.WORKDAY.INTL(O421,U$5,"1000000",Holidays!A:A)+hour(O421)/24+MINUTE(O421)/1440,"")</f>
        <v>45330.67014</v>
      </c>
      <c r="V421" s="64" t="str">
        <f t="shared" si="6"/>
        <v/>
      </c>
      <c r="W421" s="66"/>
      <c r="X421" s="66">
        <f t="shared" si="7"/>
        <v>803.313771</v>
      </c>
      <c r="Y421" s="66"/>
      <c r="Z421" s="66"/>
      <c r="AA421" s="66"/>
      <c r="AB421" s="63"/>
      <c r="AC421" s="63"/>
      <c r="AD421" s="63"/>
      <c r="AE421" s="63"/>
      <c r="AF421" s="63"/>
      <c r="AG421" s="63"/>
      <c r="AH421" s="63" t="str">
        <f t="shared" si="14"/>
        <v/>
      </c>
      <c r="AI421" s="63" t="str">
        <f>if(AH421,_xlfn.workday.intl(int(AH421),0,"1000000",Holidays!A:A)+18/24,"")</f>
        <v/>
      </c>
      <c r="AJ421" s="64" t="str">
        <f t="shared" si="24"/>
        <v/>
      </c>
      <c r="AL421" s="66" t="str">
        <f t="shared" si="9"/>
        <v/>
      </c>
      <c r="AM421" s="66"/>
      <c r="AN421" s="63" t="str">
        <f>if(AJ421,if(and(hour(AJ421+AN$5)&gt;11,(hour(AJ421+AN$5)&lt;20)),AJ421+AN$5,_xlfn.workday.intl(int(AJ421),1,"1000000",Holidays!A:A)+hour(AJ421+AN$5-$B$1)/24+minute(AJ421)/1440),"")</f>
        <v/>
      </c>
      <c r="AO421" s="64" t="str">
        <f t="shared" si="15"/>
        <v/>
      </c>
      <c r="AQ421" s="66" t="str">
        <f t="shared" si="16"/>
        <v/>
      </c>
      <c r="AR421" s="66"/>
      <c r="AS421" s="63" t="str">
        <f>if(AJ421,if(and(hour(AJ421+AS$5)&gt;11,(hour(AJ421+AS$5)&lt;20)),AJ421+AS$5,_xlfn.workday.intl(int(AJ421),1,"1000000",Holidays!A:A)+hour(AJ421+AS$5-$B$1)/24+minute(AJ421)/1440),"")</f>
        <v/>
      </c>
      <c r="AT421" s="64" t="str">
        <f t="shared" si="21"/>
        <v/>
      </c>
      <c r="AV421" s="66" t="str">
        <f t="shared" si="25"/>
        <v/>
      </c>
      <c r="AW421" s="66"/>
      <c r="AX421" s="56"/>
    </row>
    <row r="422">
      <c r="A422" s="55">
        <v>45328.6731569213</v>
      </c>
      <c r="B422" s="56"/>
      <c r="C422" s="57"/>
      <c r="D422" s="57"/>
      <c r="E422" s="57"/>
      <c r="F422" s="57"/>
      <c r="G422" s="58">
        <f>if(A422,_xlfn.workday.intl(int(A422),1,"1000000",Holidays!A:A)+17/24,"")</f>
        <v>45329.70833</v>
      </c>
      <c r="H422" s="59" t="str">
        <f t="shared" si="23"/>
        <v/>
      </c>
      <c r="I422" s="60"/>
      <c r="J422" s="61">
        <f t="shared" si="2"/>
        <v>804.2755766</v>
      </c>
      <c r="K422" s="58">
        <f>if(G422,_xlfn.workday.intl(int(G422),0,"1000000",Holidays!A:A)+19/24,"")</f>
        <v>45329.79167</v>
      </c>
      <c r="L422" s="59" t="str">
        <f t="shared" si="3"/>
        <v/>
      </c>
      <c r="M422" s="60"/>
      <c r="N422" s="61">
        <f t="shared" si="4"/>
        <v>804.1922432</v>
      </c>
      <c r="O422" s="63">
        <f>if(A422,_xlfn.WORKDAY.INTL(A422,O$5,"1000000",Holidays!A:A)+hour(A422)/24+MINUTE(A422)/1440,"")</f>
        <v>45329.67292</v>
      </c>
      <c r="P422" s="64" t="s">
        <v>2718</v>
      </c>
      <c r="R422" s="66">
        <f t="shared" si="5"/>
        <v>804.3109932</v>
      </c>
      <c r="S422" s="66"/>
      <c r="T422" s="66"/>
      <c r="U422" s="64">
        <f>if(O422,_xlfn.WORKDAY.INTL(O422,U$5,"1000000",Holidays!A:A)+hour(O422)/24+MINUTE(O422)/1440,"")</f>
        <v>45330.67292</v>
      </c>
      <c r="V422" s="64" t="str">
        <f t="shared" si="6"/>
        <v/>
      </c>
      <c r="W422" s="66"/>
      <c r="X422" s="66">
        <f t="shared" si="7"/>
        <v>803.3109932</v>
      </c>
      <c r="Y422" s="66"/>
      <c r="Z422" s="66"/>
      <c r="AA422" s="66"/>
      <c r="AB422" s="63"/>
      <c r="AC422" s="63"/>
      <c r="AD422" s="63"/>
      <c r="AE422" s="63"/>
      <c r="AF422" s="63"/>
      <c r="AG422" s="63"/>
      <c r="AH422" s="63" t="str">
        <f t="shared" si="14"/>
        <v/>
      </c>
      <c r="AI422" s="63" t="str">
        <f>if(AH422,_xlfn.workday.intl(int(AH422),0,"1000000",Holidays!A:A)+18/24,"")</f>
        <v/>
      </c>
      <c r="AJ422" s="64" t="str">
        <f t="shared" si="24"/>
        <v/>
      </c>
      <c r="AL422" s="66" t="str">
        <f t="shared" si="9"/>
        <v/>
      </c>
      <c r="AM422" s="66"/>
      <c r="AN422" s="63" t="str">
        <f>if(AJ422,if(and(hour(AJ422+AN$5)&gt;11,(hour(AJ422+AN$5)&lt;20)),AJ422+AN$5,_xlfn.workday.intl(int(AJ422),1,"1000000",Holidays!A:A)+hour(AJ422+AN$5-$B$1)/24+minute(AJ422)/1440),"")</f>
        <v/>
      </c>
      <c r="AO422" s="64" t="str">
        <f t="shared" si="15"/>
        <v/>
      </c>
      <c r="AQ422" s="66" t="str">
        <f t="shared" si="16"/>
        <v/>
      </c>
      <c r="AR422" s="66"/>
      <c r="AS422" s="63" t="str">
        <f>if(AJ422,if(and(hour(AJ422+AS$5)&gt;11,(hour(AJ422+AS$5)&lt;20)),AJ422+AS$5,_xlfn.workday.intl(int(AJ422),1,"1000000",Holidays!A:A)+hour(AJ422+AS$5-$B$1)/24+minute(AJ422)/1440),"")</f>
        <v/>
      </c>
      <c r="AT422" s="64" t="str">
        <f t="shared" si="21"/>
        <v/>
      </c>
      <c r="AV422" s="66" t="str">
        <f t="shared" si="25"/>
        <v/>
      </c>
      <c r="AW422" s="66"/>
      <c r="AX422" s="56"/>
    </row>
    <row r="423">
      <c r="A423" s="55">
        <v>45328.68156358796</v>
      </c>
      <c r="B423" s="56"/>
      <c r="C423" s="57"/>
      <c r="D423" s="57"/>
      <c r="E423" s="57"/>
      <c r="F423" s="57"/>
      <c r="G423" s="58">
        <f>if(A423,_xlfn.workday.intl(int(A423),1,"1000000",Holidays!A:A)+17/24,"")</f>
        <v>45329.70833</v>
      </c>
      <c r="H423" s="59" t="str">
        <f t="shared" si="23"/>
        <v/>
      </c>
      <c r="I423" s="60"/>
      <c r="J423" s="61">
        <f t="shared" si="2"/>
        <v>804.2755766</v>
      </c>
      <c r="K423" s="58">
        <f>if(G423,_xlfn.workday.intl(int(G423),0,"1000000",Holidays!A:A)+19/24,"")</f>
        <v>45329.79167</v>
      </c>
      <c r="L423" s="59" t="str">
        <f t="shared" si="3"/>
        <v/>
      </c>
      <c r="M423" s="60"/>
      <c r="N423" s="61">
        <f t="shared" si="4"/>
        <v>804.1922432</v>
      </c>
      <c r="O423" s="63">
        <f>if(A423,_xlfn.WORKDAY.INTL(A423,O$5,"1000000",Holidays!A:A)+hour(A423)/24+MINUTE(A423)/1440,"")</f>
        <v>45329.68125</v>
      </c>
      <c r="P423" s="64" t="s">
        <v>2718</v>
      </c>
      <c r="R423" s="66">
        <f t="shared" si="5"/>
        <v>804.3026599</v>
      </c>
      <c r="S423" s="66"/>
      <c r="T423" s="66"/>
      <c r="U423" s="64">
        <f>if(O423,_xlfn.WORKDAY.INTL(O423,U$5,"1000000",Holidays!A:A)+hour(O423)/24+MINUTE(O423)/1440,"")</f>
        <v>45330.68125</v>
      </c>
      <c r="V423" s="64" t="str">
        <f t="shared" si="6"/>
        <v/>
      </c>
      <c r="W423" s="66"/>
      <c r="X423" s="66">
        <f t="shared" si="7"/>
        <v>803.3026599</v>
      </c>
      <c r="Y423" s="66"/>
      <c r="Z423" s="66"/>
      <c r="AA423" s="66"/>
      <c r="AB423" s="63"/>
      <c r="AC423" s="63"/>
      <c r="AD423" s="63"/>
      <c r="AE423" s="63"/>
      <c r="AF423" s="63"/>
      <c r="AG423" s="63"/>
      <c r="AH423" s="63" t="str">
        <f t="shared" si="14"/>
        <v/>
      </c>
      <c r="AI423" s="63" t="str">
        <f>if(AH423,_xlfn.workday.intl(int(AH423),0,"1000000",Holidays!A:A)+18/24,"")</f>
        <v/>
      </c>
      <c r="AJ423" s="64" t="str">
        <f t="shared" si="24"/>
        <v/>
      </c>
      <c r="AL423" s="66" t="str">
        <f t="shared" si="9"/>
        <v/>
      </c>
      <c r="AM423" s="66"/>
      <c r="AN423" s="63" t="str">
        <f>if(AJ423,if(and(hour(AJ423+AN$5)&gt;11,(hour(AJ423+AN$5)&lt;20)),AJ423+AN$5,_xlfn.workday.intl(int(AJ423),1,"1000000",Holidays!A:A)+hour(AJ423+AN$5-$B$1)/24+minute(AJ423)/1440),"")</f>
        <v/>
      </c>
      <c r="AO423" s="64" t="str">
        <f t="shared" si="15"/>
        <v/>
      </c>
      <c r="AQ423" s="66" t="str">
        <f t="shared" si="16"/>
        <v/>
      </c>
      <c r="AR423" s="66"/>
      <c r="AS423" s="63" t="str">
        <f>if(AJ423,if(and(hour(AJ423+AS$5)&gt;11,(hour(AJ423+AS$5)&lt;20)),AJ423+AS$5,_xlfn.workday.intl(int(AJ423),1,"1000000",Holidays!A:A)+hour(AJ423+AS$5-$B$1)/24+minute(AJ423)/1440),"")</f>
        <v/>
      </c>
      <c r="AT423" s="64" t="str">
        <f t="shared" si="21"/>
        <v/>
      </c>
      <c r="AV423" s="66" t="str">
        <f t="shared" si="25"/>
        <v/>
      </c>
      <c r="AW423" s="66"/>
      <c r="AX423" s="56"/>
    </row>
    <row r="424">
      <c r="A424" s="55">
        <v>45328.684269571764</v>
      </c>
      <c r="B424" s="56"/>
      <c r="C424" s="57"/>
      <c r="D424" s="57"/>
      <c r="E424" s="57"/>
      <c r="F424" s="57"/>
      <c r="G424" s="58">
        <f>if(A424,_xlfn.workday.intl(int(A424),1,"1000000",Holidays!A:A)+17/24,"")</f>
        <v>45329.70833</v>
      </c>
      <c r="H424" s="59" t="str">
        <f t="shared" si="23"/>
        <v/>
      </c>
      <c r="I424" s="60"/>
      <c r="J424" s="61">
        <f t="shared" si="2"/>
        <v>804.2755766</v>
      </c>
      <c r="K424" s="58">
        <f>if(G424,_xlfn.workday.intl(int(G424),0,"1000000",Holidays!A:A)+19/24,"")</f>
        <v>45329.79167</v>
      </c>
      <c r="L424" s="59" t="str">
        <f t="shared" si="3"/>
        <v/>
      </c>
      <c r="M424" s="60"/>
      <c r="N424" s="61">
        <f t="shared" si="4"/>
        <v>804.1922432</v>
      </c>
      <c r="O424" s="63">
        <f>if(A424,_xlfn.WORKDAY.INTL(A424,O$5,"1000000",Holidays!A:A)+hour(A424)/24+MINUTE(A424)/1440,"")</f>
        <v>45329.68403</v>
      </c>
      <c r="P424" s="64" t="s">
        <v>2718</v>
      </c>
      <c r="R424" s="66">
        <f t="shared" si="5"/>
        <v>804.2998821</v>
      </c>
      <c r="S424" s="66"/>
      <c r="T424" s="66"/>
      <c r="U424" s="64">
        <f>if(O424,_xlfn.WORKDAY.INTL(O424,U$5,"1000000",Holidays!A:A)+hour(O424)/24+MINUTE(O424)/1440,"")</f>
        <v>45330.68403</v>
      </c>
      <c r="V424" s="64" t="str">
        <f t="shared" si="6"/>
        <v/>
      </c>
      <c r="W424" s="66"/>
      <c r="X424" s="66">
        <f t="shared" si="7"/>
        <v>803.2998821</v>
      </c>
      <c r="Y424" s="66"/>
      <c r="Z424" s="66"/>
      <c r="AA424" s="66"/>
      <c r="AB424" s="63"/>
      <c r="AC424" s="63"/>
      <c r="AD424" s="63"/>
      <c r="AE424" s="63"/>
      <c r="AF424" s="63"/>
      <c r="AG424" s="63"/>
      <c r="AH424" s="63" t="str">
        <f t="shared" si="14"/>
        <v/>
      </c>
      <c r="AI424" s="63" t="str">
        <f>if(AH424,_xlfn.workday.intl(int(AH424),0,"1000000",Holidays!A:A)+18/24,"")</f>
        <v/>
      </c>
      <c r="AJ424" s="64" t="str">
        <f t="shared" si="24"/>
        <v/>
      </c>
      <c r="AL424" s="66" t="str">
        <f t="shared" si="9"/>
        <v/>
      </c>
      <c r="AM424" s="66"/>
      <c r="AN424" s="63" t="str">
        <f>if(AJ424,if(and(hour(AJ424+AN$5)&gt;11,(hour(AJ424+AN$5)&lt;20)),AJ424+AN$5,_xlfn.workday.intl(int(AJ424),1,"1000000",Holidays!A:A)+hour(AJ424+AN$5-$B$1)/24+minute(AJ424)/1440),"")</f>
        <v/>
      </c>
      <c r="AO424" s="64" t="str">
        <f t="shared" si="15"/>
        <v/>
      </c>
      <c r="AQ424" s="66" t="str">
        <f t="shared" si="16"/>
        <v/>
      </c>
      <c r="AR424" s="66"/>
      <c r="AS424" s="63" t="str">
        <f>if(AJ424,if(and(hour(AJ424+AS$5)&gt;11,(hour(AJ424+AS$5)&lt;20)),AJ424+AS$5,_xlfn.workday.intl(int(AJ424),1,"1000000",Holidays!A:A)+hour(AJ424+AS$5-$B$1)/24+minute(AJ424)/1440),"")</f>
        <v/>
      </c>
      <c r="AT424" s="64" t="str">
        <f t="shared" si="21"/>
        <v/>
      </c>
      <c r="AV424" s="66" t="str">
        <f t="shared" si="25"/>
        <v/>
      </c>
      <c r="AW424" s="66"/>
      <c r="AX424" s="56"/>
    </row>
    <row r="425">
      <c r="A425" s="55">
        <v>45328.692380312496</v>
      </c>
      <c r="B425" s="56"/>
      <c r="C425" s="57"/>
      <c r="D425" s="57"/>
      <c r="E425" s="57"/>
      <c r="F425" s="57"/>
      <c r="G425" s="58">
        <f>if(A425,_xlfn.workday.intl(int(A425),1,"1000000",Holidays!A:A)+17/24,"")</f>
        <v>45329.70833</v>
      </c>
      <c r="H425" s="59" t="str">
        <f t="shared" si="23"/>
        <v/>
      </c>
      <c r="I425" s="60"/>
      <c r="J425" s="61">
        <f t="shared" si="2"/>
        <v>804.2755766</v>
      </c>
      <c r="K425" s="58">
        <f>if(G425,_xlfn.workday.intl(int(G425),0,"1000000",Holidays!A:A)+19/24,"")</f>
        <v>45329.79167</v>
      </c>
      <c r="L425" s="59" t="str">
        <f t="shared" si="3"/>
        <v/>
      </c>
      <c r="M425" s="60"/>
      <c r="N425" s="61">
        <f t="shared" si="4"/>
        <v>804.1922432</v>
      </c>
      <c r="O425" s="63">
        <f>if(A425,_xlfn.WORKDAY.INTL(A425,O$5,"1000000",Holidays!A:A)+hour(A425)/24+MINUTE(A425)/1440,"")</f>
        <v>45329.69236</v>
      </c>
      <c r="P425" s="64" t="s">
        <v>2718</v>
      </c>
      <c r="R425" s="66">
        <f t="shared" si="5"/>
        <v>804.2915488</v>
      </c>
      <c r="S425" s="66"/>
      <c r="T425" s="66"/>
      <c r="U425" s="64">
        <f>if(O425,_xlfn.WORKDAY.INTL(O425,U$5,"1000000",Holidays!A:A)+hour(O425)/24+MINUTE(O425)/1440,"")</f>
        <v>45330.69236</v>
      </c>
      <c r="V425" s="64" t="str">
        <f t="shared" si="6"/>
        <v/>
      </c>
      <c r="W425" s="66"/>
      <c r="X425" s="66">
        <f t="shared" si="7"/>
        <v>803.2915488</v>
      </c>
      <c r="Y425" s="66"/>
      <c r="Z425" s="66"/>
      <c r="AA425" s="66"/>
      <c r="AB425" s="63"/>
      <c r="AC425" s="63"/>
      <c r="AD425" s="63"/>
      <c r="AE425" s="63"/>
      <c r="AF425" s="63"/>
      <c r="AG425" s="63"/>
      <c r="AH425" s="63" t="str">
        <f t="shared" si="14"/>
        <v/>
      </c>
      <c r="AI425" s="63" t="str">
        <f>if(AH425,_xlfn.workday.intl(int(AH425),0,"1000000",Holidays!A:A)+18/24,"")</f>
        <v/>
      </c>
      <c r="AJ425" s="64" t="str">
        <f t="shared" si="24"/>
        <v/>
      </c>
      <c r="AL425" s="66" t="str">
        <f t="shared" si="9"/>
        <v/>
      </c>
      <c r="AM425" s="66"/>
      <c r="AN425" s="63" t="str">
        <f>if(AJ425,if(and(hour(AJ425+AN$5)&gt;11,(hour(AJ425+AN$5)&lt;20)),AJ425+AN$5,_xlfn.workday.intl(int(AJ425),1,"1000000",Holidays!A:A)+hour(AJ425+AN$5-$B$1)/24+minute(AJ425)/1440),"")</f>
        <v/>
      </c>
      <c r="AO425" s="64" t="str">
        <f t="shared" si="15"/>
        <v/>
      </c>
      <c r="AQ425" s="66" t="str">
        <f t="shared" si="16"/>
        <v/>
      </c>
      <c r="AR425" s="66"/>
      <c r="AS425" s="63" t="str">
        <f>if(AJ425,if(and(hour(AJ425+AS$5)&gt;11,(hour(AJ425+AS$5)&lt;20)),AJ425+AS$5,_xlfn.workday.intl(int(AJ425),1,"1000000",Holidays!A:A)+hour(AJ425+AS$5-$B$1)/24+minute(AJ425)/1440),"")</f>
        <v/>
      </c>
      <c r="AT425" s="64" t="str">
        <f t="shared" si="21"/>
        <v/>
      </c>
      <c r="AV425" s="66" t="str">
        <f t="shared" si="25"/>
        <v/>
      </c>
      <c r="AW425" s="66"/>
      <c r="AX425" s="56"/>
    </row>
    <row r="426">
      <c r="A426" s="55">
        <v>45328.69414196759</v>
      </c>
      <c r="B426" s="56"/>
      <c r="C426" s="57"/>
      <c r="D426" s="57"/>
      <c r="E426" s="57"/>
      <c r="F426" s="57"/>
      <c r="G426" s="58">
        <f>if(A426,_xlfn.workday.intl(int(A426),1,"1000000",Holidays!A:A)+17/24,"")</f>
        <v>45329.70833</v>
      </c>
      <c r="H426" s="59" t="str">
        <f t="shared" si="23"/>
        <v/>
      </c>
      <c r="I426" s="60"/>
      <c r="J426" s="61">
        <f t="shared" si="2"/>
        <v>804.2755766</v>
      </c>
      <c r="K426" s="58">
        <f>if(G426,_xlfn.workday.intl(int(G426),0,"1000000",Holidays!A:A)+19/24,"")</f>
        <v>45329.79167</v>
      </c>
      <c r="L426" s="59" t="str">
        <f t="shared" si="3"/>
        <v/>
      </c>
      <c r="M426" s="60"/>
      <c r="N426" s="61">
        <f t="shared" si="4"/>
        <v>804.1922432</v>
      </c>
      <c r="O426" s="63">
        <f>if(A426,_xlfn.WORKDAY.INTL(A426,O$5,"1000000",Holidays!A:A)+hour(A426)/24+MINUTE(A426)/1440,"")</f>
        <v>45329.69375</v>
      </c>
      <c r="P426" s="64" t="s">
        <v>2718</v>
      </c>
      <c r="R426" s="66">
        <f t="shared" si="5"/>
        <v>804.2901599</v>
      </c>
      <c r="S426" s="66"/>
      <c r="T426" s="66"/>
      <c r="U426" s="64">
        <f>if(O426,_xlfn.WORKDAY.INTL(O426,U$5,"1000000",Holidays!A:A)+hour(O426)/24+MINUTE(O426)/1440,"")</f>
        <v>45330.69375</v>
      </c>
      <c r="V426" s="64" t="str">
        <f t="shared" si="6"/>
        <v/>
      </c>
      <c r="W426" s="66"/>
      <c r="X426" s="66">
        <f t="shared" si="7"/>
        <v>803.2901599</v>
      </c>
      <c r="Y426" s="66"/>
      <c r="Z426" s="66"/>
      <c r="AA426" s="66"/>
      <c r="AB426" s="63"/>
      <c r="AC426" s="63"/>
      <c r="AD426" s="63"/>
      <c r="AE426" s="63"/>
      <c r="AF426" s="63"/>
      <c r="AG426" s="63"/>
      <c r="AH426" s="63" t="str">
        <f t="shared" si="14"/>
        <v/>
      </c>
      <c r="AI426" s="63" t="str">
        <f>if(AH426,_xlfn.workday.intl(int(AH426),0,"1000000",Holidays!A:A)+18/24,"")</f>
        <v/>
      </c>
      <c r="AJ426" s="64" t="str">
        <f t="shared" si="24"/>
        <v/>
      </c>
      <c r="AL426" s="66" t="str">
        <f t="shared" si="9"/>
        <v/>
      </c>
      <c r="AM426" s="66"/>
      <c r="AN426" s="63" t="str">
        <f>if(AJ426,if(and(hour(AJ426+AN$5)&gt;11,(hour(AJ426+AN$5)&lt;20)),AJ426+AN$5,_xlfn.workday.intl(int(AJ426),1,"1000000",Holidays!A:A)+hour(AJ426+AN$5-$B$1)/24+minute(AJ426)/1440),"")</f>
        <v/>
      </c>
      <c r="AO426" s="64" t="str">
        <f t="shared" si="15"/>
        <v/>
      </c>
      <c r="AQ426" s="66" t="str">
        <f t="shared" si="16"/>
        <v/>
      </c>
      <c r="AR426" s="66"/>
      <c r="AS426" s="63" t="str">
        <f>if(AJ426,if(and(hour(AJ426+AS$5)&gt;11,(hour(AJ426+AS$5)&lt;20)),AJ426+AS$5,_xlfn.workday.intl(int(AJ426),1,"1000000",Holidays!A:A)+hour(AJ426+AS$5-$B$1)/24+minute(AJ426)/1440),"")</f>
        <v/>
      </c>
      <c r="AT426" s="64" t="str">
        <f t="shared" si="21"/>
        <v/>
      </c>
      <c r="AV426" s="66" t="str">
        <f t="shared" si="25"/>
        <v/>
      </c>
      <c r="AW426" s="66"/>
      <c r="AX426" s="56"/>
    </row>
    <row r="427">
      <c r="A427" s="55">
        <v>45328.695313495366</v>
      </c>
      <c r="B427" s="56"/>
      <c r="C427" s="57"/>
      <c r="D427" s="57"/>
      <c r="E427" s="57"/>
      <c r="F427" s="57"/>
      <c r="G427" s="58">
        <f>if(A427,_xlfn.workday.intl(int(A427),1,"1000000",Holidays!A:A)+17/24,"")</f>
        <v>45329.70833</v>
      </c>
      <c r="H427" s="59" t="str">
        <f t="shared" si="23"/>
        <v/>
      </c>
      <c r="I427" s="60"/>
      <c r="J427" s="61">
        <f t="shared" si="2"/>
        <v>804.2755766</v>
      </c>
      <c r="K427" s="58">
        <f>if(G427,_xlfn.workday.intl(int(G427),0,"1000000",Holidays!A:A)+19/24,"")</f>
        <v>45329.79167</v>
      </c>
      <c r="L427" s="59" t="str">
        <f t="shared" si="3"/>
        <v/>
      </c>
      <c r="M427" s="60"/>
      <c r="N427" s="61">
        <f t="shared" si="4"/>
        <v>804.1922432</v>
      </c>
      <c r="O427" s="63">
        <f>if(A427,_xlfn.WORKDAY.INTL(A427,O$5,"1000000",Holidays!A:A)+hour(A427)/24+MINUTE(A427)/1440,"")</f>
        <v>45329.69514</v>
      </c>
      <c r="P427" s="64" t="s">
        <v>2718</v>
      </c>
      <c r="R427" s="66">
        <f t="shared" si="5"/>
        <v>804.288771</v>
      </c>
      <c r="S427" s="66"/>
      <c r="T427" s="66"/>
      <c r="U427" s="64">
        <f>if(O427,_xlfn.WORKDAY.INTL(O427,U$5,"1000000",Holidays!A:A)+hour(O427)/24+MINUTE(O427)/1440,"")</f>
        <v>45330.69514</v>
      </c>
      <c r="V427" s="64" t="str">
        <f t="shared" si="6"/>
        <v/>
      </c>
      <c r="W427" s="66"/>
      <c r="X427" s="66">
        <f t="shared" si="7"/>
        <v>803.288771</v>
      </c>
      <c r="Y427" s="66"/>
      <c r="Z427" s="66"/>
      <c r="AA427" s="66"/>
      <c r="AB427" s="63"/>
      <c r="AC427" s="63"/>
      <c r="AD427" s="63"/>
      <c r="AE427" s="63"/>
      <c r="AF427" s="63"/>
      <c r="AG427" s="63"/>
      <c r="AH427" s="63" t="str">
        <f t="shared" si="14"/>
        <v/>
      </c>
      <c r="AI427" s="63" t="str">
        <f>if(AH427,_xlfn.workday.intl(int(AH427),0,"1000000",Holidays!A:A)+18/24,"")</f>
        <v/>
      </c>
      <c r="AJ427" s="64" t="str">
        <f t="shared" si="24"/>
        <v/>
      </c>
      <c r="AL427" s="66" t="str">
        <f t="shared" si="9"/>
        <v/>
      </c>
      <c r="AM427" s="66"/>
      <c r="AN427" s="63" t="str">
        <f>if(AJ427,if(and(hour(AJ427+AN$5)&gt;11,(hour(AJ427+AN$5)&lt;20)),AJ427+AN$5,_xlfn.workday.intl(int(AJ427),1,"1000000",Holidays!A:A)+hour(AJ427+AN$5-$B$1)/24+minute(AJ427)/1440),"")</f>
        <v/>
      </c>
      <c r="AO427" s="64" t="str">
        <f t="shared" si="15"/>
        <v/>
      </c>
      <c r="AQ427" s="66" t="str">
        <f t="shared" si="16"/>
        <v/>
      </c>
      <c r="AR427" s="66"/>
      <c r="AS427" s="63" t="str">
        <f>if(AJ427,if(and(hour(AJ427+AS$5)&gt;11,(hour(AJ427+AS$5)&lt;20)),AJ427+AS$5,_xlfn.workday.intl(int(AJ427),1,"1000000",Holidays!A:A)+hour(AJ427+AS$5-$B$1)/24+minute(AJ427)/1440),"")</f>
        <v/>
      </c>
      <c r="AT427" s="64" t="str">
        <f t="shared" si="21"/>
        <v/>
      </c>
      <c r="AV427" s="66" t="str">
        <f t="shared" si="25"/>
        <v/>
      </c>
      <c r="AW427" s="66"/>
      <c r="AX427" s="56"/>
    </row>
    <row r="428">
      <c r="A428" s="55">
        <v>45329.70899944444</v>
      </c>
      <c r="B428" s="56"/>
      <c r="C428" s="57"/>
      <c r="D428" s="57"/>
      <c r="E428" s="57"/>
      <c r="F428" s="57"/>
      <c r="G428" s="58">
        <f>if(A428,_xlfn.workday.intl(int(A428),1,"1000000",Holidays!A:A)+17/24,"")</f>
        <v>45330.70833</v>
      </c>
      <c r="H428" s="59" t="str">
        <f t="shared" si="23"/>
        <v/>
      </c>
      <c r="I428" s="60"/>
      <c r="J428" s="61">
        <f t="shared" si="2"/>
        <v>803.2755766</v>
      </c>
      <c r="K428" s="58">
        <f>if(G428,_xlfn.workday.intl(int(G428),0,"1000000",Holidays!A:A)+19/24,"")</f>
        <v>45330.79167</v>
      </c>
      <c r="L428" s="59" t="str">
        <f t="shared" si="3"/>
        <v/>
      </c>
      <c r="M428" s="60"/>
      <c r="N428" s="61">
        <f t="shared" si="4"/>
        <v>803.1922432</v>
      </c>
      <c r="O428" s="63">
        <f>if(A428,_xlfn.WORKDAY.INTL(A428,O$5,"1000000",Holidays!A:A)+hour(A428)/24+MINUTE(A428)/1440,"")</f>
        <v>45330.70833</v>
      </c>
      <c r="P428" s="64" t="s">
        <v>2718</v>
      </c>
      <c r="R428" s="66">
        <f t="shared" si="5"/>
        <v>803.2755766</v>
      </c>
      <c r="S428" s="66"/>
      <c r="T428" s="66"/>
      <c r="U428" s="64">
        <f>if(O428,_xlfn.WORKDAY.INTL(O428,U$5,"1000000",Holidays!A:A)+hour(O428)/24+MINUTE(O428)/1440,"")</f>
        <v>45331.70833</v>
      </c>
      <c r="V428" s="64" t="str">
        <f t="shared" si="6"/>
        <v/>
      </c>
      <c r="W428" s="66"/>
      <c r="X428" s="66">
        <f t="shared" si="7"/>
        <v>802.2755766</v>
      </c>
      <c r="Y428" s="66"/>
      <c r="Z428" s="66"/>
      <c r="AA428" s="66"/>
      <c r="AB428" s="63"/>
      <c r="AC428" s="63"/>
      <c r="AD428" s="63"/>
      <c r="AE428" s="63"/>
      <c r="AF428" s="63"/>
      <c r="AG428" s="63"/>
      <c r="AH428" s="63" t="str">
        <f t="shared" si="14"/>
        <v/>
      </c>
      <c r="AI428" s="63" t="str">
        <f>if(AH428,_xlfn.workday.intl(int(AH428),0,"1000000",Holidays!A:A)+18/24,"")</f>
        <v/>
      </c>
      <c r="AJ428" s="64" t="str">
        <f t="shared" si="24"/>
        <v/>
      </c>
      <c r="AL428" s="66" t="str">
        <f t="shared" si="9"/>
        <v/>
      </c>
      <c r="AM428" s="66"/>
      <c r="AN428" s="63" t="str">
        <f>if(AJ428,if(and(hour(AJ428+AN$5)&gt;11,(hour(AJ428+AN$5)&lt;20)),AJ428+AN$5,_xlfn.workday.intl(int(AJ428),1,"1000000",Holidays!A:A)+hour(AJ428+AN$5-$B$1)/24+minute(AJ428)/1440),"")</f>
        <v/>
      </c>
      <c r="AO428" s="64" t="str">
        <f t="shared" si="15"/>
        <v/>
      </c>
      <c r="AQ428" s="66" t="str">
        <f t="shared" si="16"/>
        <v/>
      </c>
      <c r="AR428" s="66"/>
      <c r="AS428" s="63" t="str">
        <f>if(AJ428,if(and(hour(AJ428+AS$5)&gt;11,(hour(AJ428+AS$5)&lt;20)),AJ428+AS$5,_xlfn.workday.intl(int(AJ428),1,"1000000",Holidays!A:A)+hour(AJ428+AS$5-$B$1)/24+minute(AJ428)/1440),"")</f>
        <v/>
      </c>
      <c r="AT428" s="64" t="str">
        <f t="shared" si="21"/>
        <v/>
      </c>
      <c r="AV428" s="66" t="str">
        <f t="shared" si="25"/>
        <v/>
      </c>
      <c r="AW428" s="66"/>
      <c r="AX428" s="56"/>
    </row>
    <row r="429">
      <c r="A429" s="55">
        <v>45329.710175995366</v>
      </c>
      <c r="B429" s="56"/>
      <c r="C429" s="57"/>
      <c r="D429" s="57"/>
      <c r="E429" s="57"/>
      <c r="F429" s="57"/>
      <c r="G429" s="58">
        <f>if(A429,_xlfn.workday.intl(int(A429),1,"1000000",Holidays!A:A)+17/24,"")</f>
        <v>45330.70833</v>
      </c>
      <c r="H429" s="59" t="str">
        <f t="shared" si="23"/>
        <v/>
      </c>
      <c r="I429" s="60"/>
      <c r="J429" s="61">
        <f t="shared" si="2"/>
        <v>803.2755766</v>
      </c>
      <c r="K429" s="58">
        <f>if(G429,_xlfn.workday.intl(int(G429),0,"1000000",Holidays!A:A)+19/24,"")</f>
        <v>45330.79167</v>
      </c>
      <c r="L429" s="59" t="str">
        <f t="shared" si="3"/>
        <v/>
      </c>
      <c r="M429" s="60"/>
      <c r="N429" s="61">
        <f t="shared" si="4"/>
        <v>803.1922432</v>
      </c>
      <c r="O429" s="63">
        <f>if(A429,_xlfn.WORKDAY.INTL(A429,O$5,"1000000",Holidays!A:A)+hour(A429)/24+MINUTE(A429)/1440,"")</f>
        <v>45330.70972</v>
      </c>
      <c r="P429" s="64" t="s">
        <v>2718</v>
      </c>
      <c r="R429" s="66">
        <f t="shared" si="5"/>
        <v>803.2741877</v>
      </c>
      <c r="S429" s="66"/>
      <c r="T429" s="66"/>
      <c r="U429" s="64">
        <f>if(O429,_xlfn.WORKDAY.INTL(O429,U$5,"1000000",Holidays!A:A)+hour(O429)/24+MINUTE(O429)/1440,"")</f>
        <v>45331.70972</v>
      </c>
      <c r="V429" s="64" t="str">
        <f t="shared" si="6"/>
        <v/>
      </c>
      <c r="W429" s="66"/>
      <c r="X429" s="66">
        <f t="shared" si="7"/>
        <v>802.2741877</v>
      </c>
      <c r="Y429" s="66"/>
      <c r="Z429" s="66"/>
      <c r="AA429" s="66"/>
      <c r="AB429" s="63"/>
      <c r="AC429" s="63"/>
      <c r="AD429" s="63"/>
      <c r="AE429" s="63"/>
      <c r="AF429" s="63"/>
      <c r="AG429" s="63"/>
      <c r="AH429" s="63" t="str">
        <f t="shared" si="14"/>
        <v/>
      </c>
      <c r="AI429" s="63" t="str">
        <f>if(AH429,_xlfn.workday.intl(int(AH429),0,"1000000",Holidays!A:A)+18/24,"")</f>
        <v/>
      </c>
      <c r="AJ429" s="64" t="str">
        <f t="shared" si="24"/>
        <v/>
      </c>
      <c r="AL429" s="66" t="str">
        <f t="shared" si="9"/>
        <v/>
      </c>
      <c r="AM429" s="66"/>
      <c r="AN429" s="63" t="str">
        <f>if(AJ429,if(and(hour(AJ429+AN$5)&gt;11,(hour(AJ429+AN$5)&lt;20)),AJ429+AN$5,_xlfn.workday.intl(int(AJ429),1,"1000000",Holidays!A:A)+hour(AJ429+AN$5-$B$1)/24+minute(AJ429)/1440),"")</f>
        <v/>
      </c>
      <c r="AO429" s="64" t="str">
        <f t="shared" si="15"/>
        <v/>
      </c>
      <c r="AQ429" s="66" t="str">
        <f t="shared" si="16"/>
        <v/>
      </c>
      <c r="AR429" s="66"/>
      <c r="AS429" s="63" t="str">
        <f>if(AJ429,if(and(hour(AJ429+AS$5)&gt;11,(hour(AJ429+AS$5)&lt;20)),AJ429+AS$5,_xlfn.workday.intl(int(AJ429),1,"1000000",Holidays!A:A)+hour(AJ429+AS$5-$B$1)/24+minute(AJ429)/1440),"")</f>
        <v/>
      </c>
      <c r="AT429" s="64" t="str">
        <f t="shared" si="21"/>
        <v/>
      </c>
      <c r="AV429" s="66" t="str">
        <f t="shared" si="25"/>
        <v/>
      </c>
      <c r="AW429" s="66"/>
      <c r="AX429" s="56"/>
    </row>
    <row r="430">
      <c r="A430" s="55">
        <v>45329.71150770833</v>
      </c>
      <c r="B430" s="56"/>
      <c r="C430" s="57"/>
      <c r="D430" s="57"/>
      <c r="E430" s="57"/>
      <c r="F430" s="57"/>
      <c r="G430" s="58">
        <f>if(A430,_xlfn.workday.intl(int(A430),1,"1000000",Holidays!A:A)+17/24,"")</f>
        <v>45330.70833</v>
      </c>
      <c r="H430" s="59" t="str">
        <f t="shared" si="23"/>
        <v/>
      </c>
      <c r="I430" s="60"/>
      <c r="J430" s="61">
        <f t="shared" si="2"/>
        <v>803.2755766</v>
      </c>
      <c r="K430" s="58">
        <f>if(G430,_xlfn.workday.intl(int(G430),0,"1000000",Holidays!A:A)+19/24,"")</f>
        <v>45330.79167</v>
      </c>
      <c r="L430" s="59" t="str">
        <f t="shared" si="3"/>
        <v/>
      </c>
      <c r="M430" s="60"/>
      <c r="N430" s="61">
        <f t="shared" si="4"/>
        <v>803.1922432</v>
      </c>
      <c r="O430" s="63">
        <f>if(A430,_xlfn.WORKDAY.INTL(A430,O$5,"1000000",Holidays!A:A)+hour(A430)/24+MINUTE(A430)/1440,"")</f>
        <v>45330.71111</v>
      </c>
      <c r="P430" s="64" t="s">
        <v>2718</v>
      </c>
      <c r="R430" s="66">
        <f t="shared" si="5"/>
        <v>803.2727988</v>
      </c>
      <c r="S430" s="66"/>
      <c r="T430" s="66"/>
      <c r="U430" s="64">
        <f>if(O430,_xlfn.WORKDAY.INTL(O430,U$5,"1000000",Holidays!A:A)+hour(O430)/24+MINUTE(O430)/1440,"")</f>
        <v>45331.71111</v>
      </c>
      <c r="V430" s="64" t="str">
        <f t="shared" si="6"/>
        <v/>
      </c>
      <c r="W430" s="66"/>
      <c r="X430" s="66">
        <f t="shared" si="7"/>
        <v>802.2727988</v>
      </c>
      <c r="Y430" s="66"/>
      <c r="Z430" s="66"/>
      <c r="AA430" s="66"/>
      <c r="AB430" s="63"/>
      <c r="AC430" s="63"/>
      <c r="AD430" s="63"/>
      <c r="AE430" s="63"/>
      <c r="AF430" s="63"/>
      <c r="AG430" s="63"/>
      <c r="AH430" s="63" t="str">
        <f t="shared" si="14"/>
        <v/>
      </c>
      <c r="AI430" s="63" t="str">
        <f>if(AH430,_xlfn.workday.intl(int(AH430),0,"1000000",Holidays!A:A)+18/24,"")</f>
        <v/>
      </c>
      <c r="AJ430" s="64" t="str">
        <f t="shared" si="24"/>
        <v/>
      </c>
      <c r="AL430" s="66" t="str">
        <f t="shared" si="9"/>
        <v/>
      </c>
      <c r="AM430" s="66"/>
      <c r="AN430" s="63" t="str">
        <f>if(AJ430,if(and(hour(AJ430+AN$5)&gt;11,(hour(AJ430+AN$5)&lt;20)),AJ430+AN$5,_xlfn.workday.intl(int(AJ430),1,"1000000",Holidays!A:A)+hour(AJ430+AN$5-$B$1)/24+minute(AJ430)/1440),"")</f>
        <v/>
      </c>
      <c r="AO430" s="64" t="str">
        <f t="shared" si="15"/>
        <v/>
      </c>
      <c r="AQ430" s="66" t="str">
        <f t="shared" si="16"/>
        <v/>
      </c>
      <c r="AR430" s="66"/>
      <c r="AS430" s="63" t="str">
        <f>if(AJ430,if(and(hour(AJ430+AS$5)&gt;11,(hour(AJ430+AS$5)&lt;20)),AJ430+AS$5,_xlfn.workday.intl(int(AJ430),1,"1000000",Holidays!A:A)+hour(AJ430+AS$5-$B$1)/24+minute(AJ430)/1440),"")</f>
        <v/>
      </c>
      <c r="AT430" s="64" t="str">
        <f t="shared" si="21"/>
        <v/>
      </c>
      <c r="AV430" s="66" t="str">
        <f t="shared" si="25"/>
        <v/>
      </c>
      <c r="AW430" s="66"/>
      <c r="AX430" s="56"/>
    </row>
    <row r="431">
      <c r="A431" s="55">
        <v>45329.71257053241</v>
      </c>
      <c r="B431" s="56"/>
      <c r="C431" s="57"/>
      <c r="D431" s="57"/>
      <c r="E431" s="57"/>
      <c r="F431" s="57"/>
      <c r="G431" s="58">
        <f>if(A431,_xlfn.workday.intl(int(A431),1,"1000000",Holidays!A:A)+17/24,"")</f>
        <v>45330.70833</v>
      </c>
      <c r="H431" s="59" t="str">
        <f t="shared" si="23"/>
        <v/>
      </c>
      <c r="I431" s="60"/>
      <c r="J431" s="61">
        <f t="shared" si="2"/>
        <v>803.2755766</v>
      </c>
      <c r="K431" s="58">
        <f>if(G431,_xlfn.workday.intl(int(G431),0,"1000000",Holidays!A:A)+19/24,"")</f>
        <v>45330.79167</v>
      </c>
      <c r="L431" s="59" t="str">
        <f t="shared" si="3"/>
        <v/>
      </c>
      <c r="M431" s="60"/>
      <c r="N431" s="61">
        <f t="shared" si="4"/>
        <v>803.1922432</v>
      </c>
      <c r="O431" s="63">
        <f>if(A431,_xlfn.WORKDAY.INTL(A431,O$5,"1000000",Holidays!A:A)+hour(A431)/24+MINUTE(A431)/1440,"")</f>
        <v>45330.7125</v>
      </c>
      <c r="P431" s="64" t="s">
        <v>2718</v>
      </c>
      <c r="R431" s="66">
        <f t="shared" si="5"/>
        <v>803.2714099</v>
      </c>
      <c r="S431" s="66"/>
      <c r="T431" s="66"/>
      <c r="U431" s="64">
        <f>if(O431,_xlfn.WORKDAY.INTL(O431,U$5,"1000000",Holidays!A:A)+hour(O431)/24+MINUTE(O431)/1440,"")</f>
        <v>45331.7125</v>
      </c>
      <c r="V431" s="64" t="str">
        <f t="shared" si="6"/>
        <v/>
      </c>
      <c r="W431" s="66"/>
      <c r="X431" s="66">
        <f t="shared" si="7"/>
        <v>802.2714099</v>
      </c>
      <c r="Y431" s="66"/>
      <c r="Z431" s="66"/>
      <c r="AA431" s="66"/>
      <c r="AB431" s="63"/>
      <c r="AC431" s="63"/>
      <c r="AD431" s="63"/>
      <c r="AE431" s="63"/>
      <c r="AF431" s="63"/>
      <c r="AG431" s="63"/>
      <c r="AH431" s="63" t="str">
        <f t="shared" si="14"/>
        <v/>
      </c>
      <c r="AI431" s="63" t="str">
        <f>if(AH431,_xlfn.workday.intl(int(AH431),0,"1000000",Holidays!A:A)+18/24,"")</f>
        <v/>
      </c>
      <c r="AJ431" s="64" t="str">
        <f t="shared" si="24"/>
        <v/>
      </c>
      <c r="AL431" s="66" t="str">
        <f t="shared" si="9"/>
        <v/>
      </c>
      <c r="AM431" s="66"/>
      <c r="AN431" s="63" t="str">
        <f>if(AJ431,if(and(hour(AJ431+AN$5)&gt;11,(hour(AJ431+AN$5)&lt;20)),AJ431+AN$5,_xlfn.workday.intl(int(AJ431),1,"1000000",Holidays!A:A)+hour(AJ431+AN$5-$B$1)/24+minute(AJ431)/1440),"")</f>
        <v/>
      </c>
      <c r="AO431" s="64" t="str">
        <f t="shared" si="15"/>
        <v/>
      </c>
      <c r="AQ431" s="66" t="str">
        <f t="shared" si="16"/>
        <v/>
      </c>
      <c r="AR431" s="66"/>
      <c r="AS431" s="63" t="str">
        <f>if(AJ431,if(and(hour(AJ431+AS$5)&gt;11,(hour(AJ431+AS$5)&lt;20)),AJ431+AS$5,_xlfn.workday.intl(int(AJ431),1,"1000000",Holidays!A:A)+hour(AJ431+AS$5-$B$1)/24+minute(AJ431)/1440),"")</f>
        <v/>
      </c>
      <c r="AT431" s="64" t="str">
        <f t="shared" si="21"/>
        <v/>
      </c>
      <c r="AV431" s="66" t="str">
        <f t="shared" si="25"/>
        <v/>
      </c>
      <c r="AW431" s="66"/>
      <c r="AX431" s="56"/>
    </row>
    <row r="432">
      <c r="A432" s="55">
        <v>45329.71341560185</v>
      </c>
      <c r="B432" s="56"/>
      <c r="C432" s="57"/>
      <c r="D432" s="57"/>
      <c r="E432" s="57"/>
      <c r="F432" s="57"/>
      <c r="G432" s="58">
        <f>if(A432,_xlfn.workday.intl(int(A432),1,"1000000",Holidays!A:A)+17/24,"")</f>
        <v>45330.70833</v>
      </c>
      <c r="H432" s="59" t="str">
        <f t="shared" si="23"/>
        <v/>
      </c>
      <c r="I432" s="60"/>
      <c r="J432" s="61">
        <f t="shared" si="2"/>
        <v>803.2755766</v>
      </c>
      <c r="K432" s="58">
        <f>if(G432,_xlfn.workday.intl(int(G432),0,"1000000",Holidays!A:A)+19/24,"")</f>
        <v>45330.79167</v>
      </c>
      <c r="L432" s="59" t="str">
        <f t="shared" si="3"/>
        <v/>
      </c>
      <c r="M432" s="60"/>
      <c r="N432" s="61">
        <f t="shared" si="4"/>
        <v>803.1922432</v>
      </c>
      <c r="O432" s="63">
        <f>if(A432,_xlfn.WORKDAY.INTL(A432,O$5,"1000000",Holidays!A:A)+hour(A432)/24+MINUTE(A432)/1440,"")</f>
        <v>45330.71319</v>
      </c>
      <c r="P432" s="64" t="s">
        <v>2718</v>
      </c>
      <c r="R432" s="66">
        <f t="shared" si="5"/>
        <v>803.2707155</v>
      </c>
      <c r="S432" s="66"/>
      <c r="T432" s="66"/>
      <c r="U432" s="64">
        <f>if(O432,_xlfn.WORKDAY.INTL(O432,U$5,"1000000",Holidays!A:A)+hour(O432)/24+MINUTE(O432)/1440,"")</f>
        <v>45331.71319</v>
      </c>
      <c r="V432" s="64" t="str">
        <f t="shared" si="6"/>
        <v/>
      </c>
      <c r="W432" s="66"/>
      <c r="X432" s="66">
        <f t="shared" si="7"/>
        <v>802.2707155</v>
      </c>
      <c r="Y432" s="66"/>
      <c r="Z432" s="66"/>
      <c r="AA432" s="66"/>
      <c r="AB432" s="63"/>
      <c r="AC432" s="63"/>
      <c r="AD432" s="63"/>
      <c r="AE432" s="63"/>
      <c r="AF432" s="63"/>
      <c r="AG432" s="63"/>
      <c r="AH432" s="63" t="str">
        <f t="shared" si="14"/>
        <v/>
      </c>
      <c r="AI432" s="63" t="str">
        <f>if(AH432,_xlfn.workday.intl(int(AH432),0,"1000000",Holidays!A:A)+18/24,"")</f>
        <v/>
      </c>
      <c r="AJ432" s="64" t="str">
        <f t="shared" si="24"/>
        <v/>
      </c>
      <c r="AL432" s="66" t="str">
        <f t="shared" si="9"/>
        <v/>
      </c>
      <c r="AM432" s="66"/>
      <c r="AN432" s="63" t="str">
        <f>if(AJ432,if(and(hour(AJ432+AN$5)&gt;11,(hour(AJ432+AN$5)&lt;20)),AJ432+AN$5,_xlfn.workday.intl(int(AJ432),1,"1000000",Holidays!A:A)+hour(AJ432+AN$5-$B$1)/24+minute(AJ432)/1440),"")</f>
        <v/>
      </c>
      <c r="AO432" s="64" t="str">
        <f t="shared" si="15"/>
        <v/>
      </c>
      <c r="AQ432" s="66" t="str">
        <f t="shared" si="16"/>
        <v/>
      </c>
      <c r="AR432" s="66"/>
      <c r="AS432" s="63" t="str">
        <f>if(AJ432,if(and(hour(AJ432+AS$5)&gt;11,(hour(AJ432+AS$5)&lt;20)),AJ432+AS$5,_xlfn.workday.intl(int(AJ432),1,"1000000",Holidays!A:A)+hour(AJ432+AS$5-$B$1)/24+minute(AJ432)/1440),"")</f>
        <v/>
      </c>
      <c r="AT432" s="64" t="str">
        <f t="shared" si="21"/>
        <v/>
      </c>
      <c r="AV432" s="66" t="str">
        <f t="shared" si="25"/>
        <v/>
      </c>
      <c r="AW432" s="66"/>
      <c r="AX432" s="56"/>
    </row>
    <row r="433">
      <c r="A433" s="55">
        <v>45329.71448228009</v>
      </c>
      <c r="B433" s="56"/>
      <c r="C433" s="57"/>
      <c r="D433" s="57"/>
      <c r="E433" s="57"/>
      <c r="F433" s="57"/>
      <c r="G433" s="58">
        <f>if(A433,_xlfn.workday.intl(int(A433),1,"1000000",Holidays!A:A)+17/24,"")</f>
        <v>45330.70833</v>
      </c>
      <c r="H433" s="59" t="str">
        <f t="shared" si="23"/>
        <v/>
      </c>
      <c r="I433" s="60"/>
      <c r="J433" s="61">
        <f t="shared" si="2"/>
        <v>803.2755766</v>
      </c>
      <c r="K433" s="58">
        <f>if(G433,_xlfn.workday.intl(int(G433),0,"1000000",Holidays!A:A)+19/24,"")</f>
        <v>45330.79167</v>
      </c>
      <c r="L433" s="59" t="str">
        <f t="shared" si="3"/>
        <v/>
      </c>
      <c r="M433" s="60"/>
      <c r="N433" s="61">
        <f t="shared" si="4"/>
        <v>803.1922432</v>
      </c>
      <c r="O433" s="63">
        <f>if(A433,_xlfn.WORKDAY.INTL(A433,O$5,"1000000",Holidays!A:A)+hour(A433)/24+MINUTE(A433)/1440,"")</f>
        <v>45330.71389</v>
      </c>
      <c r="P433" s="64" t="s">
        <v>2718</v>
      </c>
      <c r="R433" s="66">
        <f t="shared" si="5"/>
        <v>803.270021</v>
      </c>
      <c r="S433" s="66"/>
      <c r="T433" s="66"/>
      <c r="U433" s="64">
        <f>if(O433,_xlfn.WORKDAY.INTL(O433,U$5,"1000000",Holidays!A:A)+hour(O433)/24+MINUTE(O433)/1440,"")</f>
        <v>45331.71389</v>
      </c>
      <c r="V433" s="64" t="str">
        <f t="shared" si="6"/>
        <v/>
      </c>
      <c r="W433" s="66"/>
      <c r="X433" s="66">
        <f t="shared" si="7"/>
        <v>802.270021</v>
      </c>
      <c r="Y433" s="66"/>
      <c r="Z433" s="66"/>
      <c r="AA433" s="66"/>
      <c r="AB433" s="63"/>
      <c r="AC433" s="63"/>
      <c r="AD433" s="63"/>
      <c r="AE433" s="63"/>
      <c r="AF433" s="63"/>
      <c r="AG433" s="63"/>
      <c r="AH433" s="63" t="str">
        <f t="shared" si="14"/>
        <v/>
      </c>
      <c r="AI433" s="63" t="str">
        <f>if(AH433,_xlfn.workday.intl(int(AH433),0,"1000000",Holidays!A:A)+18/24,"")</f>
        <v/>
      </c>
      <c r="AJ433" s="64" t="str">
        <f t="shared" si="24"/>
        <v/>
      </c>
      <c r="AL433" s="66" t="str">
        <f t="shared" si="9"/>
        <v/>
      </c>
      <c r="AM433" s="66"/>
      <c r="AN433" s="63" t="str">
        <f>if(AJ433,if(and(hour(AJ433+AN$5)&gt;11,(hour(AJ433+AN$5)&lt;20)),AJ433+AN$5,_xlfn.workday.intl(int(AJ433),1,"1000000",Holidays!A:A)+hour(AJ433+AN$5-$B$1)/24+minute(AJ433)/1440),"")</f>
        <v/>
      </c>
      <c r="AO433" s="64" t="str">
        <f t="shared" si="15"/>
        <v/>
      </c>
      <c r="AQ433" s="66" t="str">
        <f t="shared" si="16"/>
        <v/>
      </c>
      <c r="AR433" s="66"/>
      <c r="AS433" s="63" t="str">
        <f>if(AJ433,if(and(hour(AJ433+AS$5)&gt;11,(hour(AJ433+AS$5)&lt;20)),AJ433+AS$5,_xlfn.workday.intl(int(AJ433),1,"1000000",Holidays!A:A)+hour(AJ433+AS$5-$B$1)/24+minute(AJ433)/1440),"")</f>
        <v/>
      </c>
      <c r="AT433" s="64" t="str">
        <f t="shared" si="21"/>
        <v/>
      </c>
      <c r="AV433" s="66" t="str">
        <f t="shared" si="25"/>
        <v/>
      </c>
      <c r="AW433" s="66"/>
      <c r="AX433" s="56"/>
    </row>
    <row r="434">
      <c r="A434" s="55">
        <v>45329.71551364583</v>
      </c>
      <c r="B434" s="56"/>
      <c r="C434" s="57"/>
      <c r="D434" s="57"/>
      <c r="E434" s="57"/>
      <c r="F434" s="57"/>
      <c r="G434" s="58">
        <f>if(A434,_xlfn.workday.intl(int(A434),1,"1000000",Holidays!A:A)+17/24,"")</f>
        <v>45330.70833</v>
      </c>
      <c r="H434" s="59" t="str">
        <f t="shared" si="23"/>
        <v/>
      </c>
      <c r="I434" s="60"/>
      <c r="J434" s="61">
        <f t="shared" si="2"/>
        <v>803.2755766</v>
      </c>
      <c r="K434" s="58">
        <f>if(G434,_xlfn.workday.intl(int(G434),0,"1000000",Holidays!A:A)+19/24,"")</f>
        <v>45330.79167</v>
      </c>
      <c r="L434" s="59" t="str">
        <f t="shared" si="3"/>
        <v/>
      </c>
      <c r="M434" s="60"/>
      <c r="N434" s="61">
        <f t="shared" si="4"/>
        <v>803.1922432</v>
      </c>
      <c r="O434" s="63">
        <f>if(A434,_xlfn.WORKDAY.INTL(A434,O$5,"1000000",Holidays!A:A)+hour(A434)/24+MINUTE(A434)/1440,"")</f>
        <v>45330.71528</v>
      </c>
      <c r="P434" s="64" t="s">
        <v>2718</v>
      </c>
      <c r="R434" s="66">
        <f t="shared" si="5"/>
        <v>803.2686321</v>
      </c>
      <c r="S434" s="66"/>
      <c r="T434" s="66"/>
      <c r="U434" s="64">
        <f>if(O434,_xlfn.WORKDAY.INTL(O434,U$5,"1000000",Holidays!A:A)+hour(O434)/24+MINUTE(O434)/1440,"")</f>
        <v>45331.71528</v>
      </c>
      <c r="V434" s="64" t="str">
        <f t="shared" si="6"/>
        <v/>
      </c>
      <c r="W434" s="66"/>
      <c r="X434" s="66">
        <f t="shared" si="7"/>
        <v>802.2686321</v>
      </c>
      <c r="Y434" s="66"/>
      <c r="Z434" s="66"/>
      <c r="AA434" s="66"/>
      <c r="AB434" s="63"/>
      <c r="AC434" s="63"/>
      <c r="AD434" s="63"/>
      <c r="AE434" s="63"/>
      <c r="AF434" s="63"/>
      <c r="AG434" s="63"/>
      <c r="AH434" s="63" t="str">
        <f t="shared" si="14"/>
        <v/>
      </c>
      <c r="AI434" s="63" t="str">
        <f>if(AH434,_xlfn.workday.intl(int(AH434),0,"1000000",Holidays!A:A)+18/24,"")</f>
        <v/>
      </c>
      <c r="AJ434" s="64" t="str">
        <f t="shared" si="24"/>
        <v/>
      </c>
      <c r="AL434" s="66" t="str">
        <f t="shared" si="9"/>
        <v/>
      </c>
      <c r="AM434" s="66"/>
      <c r="AN434" s="63" t="str">
        <f>if(AJ434,if(and(hour(AJ434+AN$5)&gt;11,(hour(AJ434+AN$5)&lt;20)),AJ434+AN$5,_xlfn.workday.intl(int(AJ434),1,"1000000",Holidays!A:A)+hour(AJ434+AN$5-$B$1)/24+minute(AJ434)/1440),"")</f>
        <v/>
      </c>
      <c r="AO434" s="64" t="str">
        <f t="shared" si="15"/>
        <v/>
      </c>
      <c r="AQ434" s="66" t="str">
        <f t="shared" si="16"/>
        <v/>
      </c>
      <c r="AR434" s="66"/>
      <c r="AS434" s="63" t="str">
        <f>if(AJ434,if(and(hour(AJ434+AS$5)&gt;11,(hour(AJ434+AS$5)&lt;20)),AJ434+AS$5,_xlfn.workday.intl(int(AJ434),1,"1000000",Holidays!A:A)+hour(AJ434+AS$5-$B$1)/24+minute(AJ434)/1440),"")</f>
        <v/>
      </c>
      <c r="AT434" s="64" t="str">
        <f t="shared" si="21"/>
        <v/>
      </c>
      <c r="AV434" s="66" t="str">
        <f t="shared" si="25"/>
        <v/>
      </c>
      <c r="AW434" s="66"/>
      <c r="AX434" s="56"/>
    </row>
    <row r="435">
      <c r="A435" s="55">
        <v>45329.71644804398</v>
      </c>
      <c r="B435" s="56"/>
      <c r="C435" s="57"/>
      <c r="D435" s="57"/>
      <c r="E435" s="57"/>
      <c r="F435" s="57"/>
      <c r="G435" s="58">
        <f>if(A435,_xlfn.workday.intl(int(A435),1,"1000000",Holidays!A:A)+17/24,"")</f>
        <v>45330.70833</v>
      </c>
      <c r="H435" s="59" t="str">
        <f t="shared" si="23"/>
        <v/>
      </c>
      <c r="I435" s="60"/>
      <c r="J435" s="61">
        <f t="shared" si="2"/>
        <v>803.2755766</v>
      </c>
      <c r="K435" s="58">
        <f>if(G435,_xlfn.workday.intl(int(G435),0,"1000000",Holidays!A:A)+19/24,"")</f>
        <v>45330.79167</v>
      </c>
      <c r="L435" s="59" t="str">
        <f t="shared" si="3"/>
        <v/>
      </c>
      <c r="M435" s="60"/>
      <c r="N435" s="61">
        <f t="shared" si="4"/>
        <v>803.1922432</v>
      </c>
      <c r="O435" s="63">
        <f>if(A435,_xlfn.WORKDAY.INTL(A435,O$5,"1000000",Holidays!A:A)+hour(A435)/24+MINUTE(A435)/1440,"")</f>
        <v>45330.71597</v>
      </c>
      <c r="P435" s="64" t="s">
        <v>2718</v>
      </c>
      <c r="R435" s="66">
        <f t="shared" si="5"/>
        <v>803.2679377</v>
      </c>
      <c r="S435" s="66"/>
      <c r="T435" s="66"/>
      <c r="U435" s="64">
        <f>if(O435,_xlfn.WORKDAY.INTL(O435,U$5,"1000000",Holidays!A:A)+hour(O435)/24+MINUTE(O435)/1440,"")</f>
        <v>45331.71597</v>
      </c>
      <c r="V435" s="64" t="str">
        <f t="shared" si="6"/>
        <v/>
      </c>
      <c r="W435" s="66"/>
      <c r="X435" s="66">
        <f t="shared" si="7"/>
        <v>802.2679377</v>
      </c>
      <c r="Y435" s="66"/>
      <c r="Z435" s="66"/>
      <c r="AA435" s="66"/>
      <c r="AB435" s="63"/>
      <c r="AC435" s="63"/>
      <c r="AD435" s="63"/>
      <c r="AE435" s="63"/>
      <c r="AF435" s="63"/>
      <c r="AG435" s="63"/>
      <c r="AH435" s="63" t="str">
        <f t="shared" si="14"/>
        <v/>
      </c>
      <c r="AI435" s="63" t="str">
        <f>if(AH435,_xlfn.workday.intl(int(AH435),0,"1000000",Holidays!A:A)+18/24,"")</f>
        <v/>
      </c>
      <c r="AJ435" s="64" t="str">
        <f t="shared" si="24"/>
        <v/>
      </c>
      <c r="AL435" s="66" t="str">
        <f t="shared" si="9"/>
        <v/>
      </c>
      <c r="AM435" s="66"/>
      <c r="AN435" s="63" t="str">
        <f>if(AJ435,if(and(hour(AJ435+AN$5)&gt;11,(hour(AJ435+AN$5)&lt;20)),AJ435+AN$5,_xlfn.workday.intl(int(AJ435),1,"1000000",Holidays!A:A)+hour(AJ435+AN$5-$B$1)/24+minute(AJ435)/1440),"")</f>
        <v/>
      </c>
      <c r="AO435" s="64" t="str">
        <f t="shared" si="15"/>
        <v/>
      </c>
      <c r="AQ435" s="66" t="str">
        <f t="shared" si="16"/>
        <v/>
      </c>
      <c r="AR435" s="66"/>
      <c r="AS435" s="63" t="str">
        <f>if(AJ435,if(and(hour(AJ435+AS$5)&gt;11,(hour(AJ435+AS$5)&lt;20)),AJ435+AS$5,_xlfn.workday.intl(int(AJ435),1,"1000000",Holidays!A:A)+hour(AJ435+AS$5-$B$1)/24+minute(AJ435)/1440),"")</f>
        <v/>
      </c>
      <c r="AT435" s="64" t="str">
        <f t="shared" si="21"/>
        <v/>
      </c>
      <c r="AV435" s="66" t="str">
        <f t="shared" si="25"/>
        <v/>
      </c>
      <c r="AW435" s="66"/>
      <c r="AX435" s="56"/>
    </row>
    <row r="436">
      <c r="A436" s="55">
        <v>45329.71751938657</v>
      </c>
      <c r="B436" s="56"/>
      <c r="C436" s="57"/>
      <c r="D436" s="57"/>
      <c r="E436" s="57"/>
      <c r="F436" s="57"/>
      <c r="G436" s="58">
        <f>if(A436,_xlfn.workday.intl(int(A436),1,"1000000",Holidays!A:A)+17/24,"")</f>
        <v>45330.70833</v>
      </c>
      <c r="H436" s="59" t="str">
        <f t="shared" si="23"/>
        <v/>
      </c>
      <c r="I436" s="60"/>
      <c r="J436" s="61">
        <f t="shared" si="2"/>
        <v>803.2755766</v>
      </c>
      <c r="K436" s="58">
        <f>if(G436,_xlfn.workday.intl(int(G436),0,"1000000",Holidays!A:A)+19/24,"")</f>
        <v>45330.79167</v>
      </c>
      <c r="L436" s="59" t="str">
        <f t="shared" si="3"/>
        <v/>
      </c>
      <c r="M436" s="60"/>
      <c r="N436" s="61">
        <f t="shared" si="4"/>
        <v>803.1922432</v>
      </c>
      <c r="O436" s="63">
        <f>if(A436,_xlfn.WORKDAY.INTL(A436,O$5,"1000000",Holidays!A:A)+hour(A436)/24+MINUTE(A436)/1440,"")</f>
        <v>45330.71736</v>
      </c>
      <c r="P436" s="64" t="s">
        <v>2718</v>
      </c>
      <c r="R436" s="66">
        <f t="shared" si="5"/>
        <v>803.2665488</v>
      </c>
      <c r="S436" s="66"/>
      <c r="T436" s="66"/>
      <c r="U436" s="64">
        <f>if(O436,_xlfn.WORKDAY.INTL(O436,U$5,"1000000",Holidays!A:A)+hour(O436)/24+MINUTE(O436)/1440,"")</f>
        <v>45331.71736</v>
      </c>
      <c r="V436" s="64" t="str">
        <f t="shared" si="6"/>
        <v/>
      </c>
      <c r="W436" s="66"/>
      <c r="X436" s="66">
        <f t="shared" si="7"/>
        <v>802.2665488</v>
      </c>
      <c r="Y436" s="66"/>
      <c r="Z436" s="66"/>
      <c r="AA436" s="66"/>
      <c r="AB436" s="63"/>
      <c r="AC436" s="63"/>
      <c r="AD436" s="63"/>
      <c r="AE436" s="63"/>
      <c r="AF436" s="63"/>
      <c r="AG436" s="63"/>
      <c r="AH436" s="63" t="str">
        <f t="shared" si="14"/>
        <v/>
      </c>
      <c r="AI436" s="63" t="str">
        <f>if(AH436,_xlfn.workday.intl(int(AH436),0,"1000000",Holidays!A:A)+18/24,"")</f>
        <v/>
      </c>
      <c r="AJ436" s="64" t="str">
        <f t="shared" si="24"/>
        <v/>
      </c>
      <c r="AL436" s="66" t="str">
        <f t="shared" si="9"/>
        <v/>
      </c>
      <c r="AM436" s="66"/>
      <c r="AN436" s="63" t="str">
        <f>if(AJ436,if(and(hour(AJ436+AN$5)&gt;11,(hour(AJ436+AN$5)&lt;20)),AJ436+AN$5,_xlfn.workday.intl(int(AJ436),1,"1000000",Holidays!A:A)+hour(AJ436+AN$5-$B$1)/24+minute(AJ436)/1440),"")</f>
        <v/>
      </c>
      <c r="AO436" s="64" t="str">
        <f t="shared" si="15"/>
        <v/>
      </c>
      <c r="AQ436" s="66" t="str">
        <f t="shared" si="16"/>
        <v/>
      </c>
      <c r="AR436" s="66"/>
      <c r="AS436" s="63" t="str">
        <f>if(AJ436,if(and(hour(AJ436+AS$5)&gt;11,(hour(AJ436+AS$5)&lt;20)),AJ436+AS$5,_xlfn.workday.intl(int(AJ436),1,"1000000",Holidays!A:A)+hour(AJ436+AS$5-$B$1)/24+minute(AJ436)/1440),"")</f>
        <v/>
      </c>
      <c r="AT436" s="64" t="str">
        <f t="shared" si="21"/>
        <v/>
      </c>
      <c r="AV436" s="66" t="str">
        <f t="shared" si="25"/>
        <v/>
      </c>
      <c r="AW436" s="66"/>
      <c r="AX436" s="56"/>
    </row>
    <row r="437">
      <c r="A437" s="55">
        <v>45329.71825820602</v>
      </c>
      <c r="B437" s="56"/>
      <c r="C437" s="57"/>
      <c r="D437" s="57"/>
      <c r="E437" s="57"/>
      <c r="F437" s="57"/>
      <c r="G437" s="58">
        <f>if(A437,_xlfn.workday.intl(int(A437),1,"1000000",Holidays!A:A)+17/24,"")</f>
        <v>45330.70833</v>
      </c>
      <c r="H437" s="59" t="str">
        <f t="shared" si="23"/>
        <v/>
      </c>
      <c r="I437" s="60"/>
      <c r="J437" s="61">
        <f t="shared" si="2"/>
        <v>803.2755766</v>
      </c>
      <c r="K437" s="58">
        <f>if(G437,_xlfn.workday.intl(int(G437),0,"1000000",Holidays!A:A)+19/24,"")</f>
        <v>45330.79167</v>
      </c>
      <c r="L437" s="59" t="str">
        <f t="shared" si="3"/>
        <v/>
      </c>
      <c r="M437" s="60"/>
      <c r="N437" s="61">
        <f t="shared" si="4"/>
        <v>803.1922432</v>
      </c>
      <c r="O437" s="63">
        <f>if(A437,_xlfn.WORKDAY.INTL(A437,O$5,"1000000",Holidays!A:A)+hour(A437)/24+MINUTE(A437)/1440,"")</f>
        <v>45330.71806</v>
      </c>
      <c r="P437" s="64" t="s">
        <v>2718</v>
      </c>
      <c r="R437" s="66">
        <f t="shared" si="5"/>
        <v>803.2658543</v>
      </c>
      <c r="S437" s="66"/>
      <c r="T437" s="66"/>
      <c r="U437" s="64">
        <f>if(O437,_xlfn.WORKDAY.INTL(O437,U$5,"1000000",Holidays!A:A)+hour(O437)/24+MINUTE(O437)/1440,"")</f>
        <v>45331.71806</v>
      </c>
      <c r="V437" s="64" t="str">
        <f t="shared" si="6"/>
        <v/>
      </c>
      <c r="W437" s="66"/>
      <c r="X437" s="66">
        <f t="shared" si="7"/>
        <v>802.2658543</v>
      </c>
      <c r="Y437" s="66"/>
      <c r="Z437" s="66"/>
      <c r="AA437" s="66"/>
      <c r="AB437" s="63"/>
      <c r="AC437" s="63"/>
      <c r="AD437" s="63"/>
      <c r="AE437" s="63"/>
      <c r="AF437" s="63"/>
      <c r="AG437" s="63"/>
      <c r="AH437" s="63" t="str">
        <f t="shared" si="14"/>
        <v/>
      </c>
      <c r="AI437" s="63" t="str">
        <f>if(AH437,_xlfn.workday.intl(int(AH437),0,"1000000",Holidays!A:A)+18/24,"")</f>
        <v/>
      </c>
      <c r="AJ437" s="64" t="str">
        <f t="shared" si="24"/>
        <v/>
      </c>
      <c r="AL437" s="66" t="str">
        <f t="shared" si="9"/>
        <v/>
      </c>
      <c r="AM437" s="66"/>
      <c r="AN437" s="63" t="str">
        <f>if(AJ437,if(and(hour(AJ437+AN$5)&gt;11,(hour(AJ437+AN$5)&lt;20)),AJ437+AN$5,_xlfn.workday.intl(int(AJ437),1,"1000000",Holidays!A:A)+hour(AJ437+AN$5-$B$1)/24+minute(AJ437)/1440),"")</f>
        <v/>
      </c>
      <c r="AO437" s="64" t="str">
        <f t="shared" si="15"/>
        <v/>
      </c>
      <c r="AQ437" s="66" t="str">
        <f t="shared" si="16"/>
        <v/>
      </c>
      <c r="AR437" s="66"/>
      <c r="AS437" s="63" t="str">
        <f>if(AJ437,if(and(hour(AJ437+AS$5)&gt;11,(hour(AJ437+AS$5)&lt;20)),AJ437+AS$5,_xlfn.workday.intl(int(AJ437),1,"1000000",Holidays!A:A)+hour(AJ437+AS$5-$B$1)/24+minute(AJ437)/1440),"")</f>
        <v/>
      </c>
      <c r="AT437" s="64" t="str">
        <f t="shared" si="21"/>
        <v/>
      </c>
      <c r="AV437" s="66" t="str">
        <f t="shared" si="25"/>
        <v/>
      </c>
      <c r="AW437" s="66"/>
      <c r="AX437" s="56"/>
    </row>
    <row r="438">
      <c r="A438" s="55">
        <v>45329.719146724536</v>
      </c>
      <c r="B438" s="56"/>
      <c r="C438" s="57"/>
      <c r="D438" s="57"/>
      <c r="E438" s="57"/>
      <c r="F438" s="57"/>
      <c r="G438" s="58">
        <f>if(A438,_xlfn.workday.intl(int(A438),1,"1000000",Holidays!A:A)+17/24,"")</f>
        <v>45330.70833</v>
      </c>
      <c r="H438" s="59" t="str">
        <f t="shared" si="23"/>
        <v/>
      </c>
      <c r="I438" s="60"/>
      <c r="J438" s="61">
        <f t="shared" si="2"/>
        <v>803.2755766</v>
      </c>
      <c r="K438" s="58">
        <f>if(G438,_xlfn.workday.intl(int(G438),0,"1000000",Holidays!A:A)+19/24,"")</f>
        <v>45330.79167</v>
      </c>
      <c r="L438" s="59" t="str">
        <f t="shared" si="3"/>
        <v/>
      </c>
      <c r="M438" s="60"/>
      <c r="N438" s="61">
        <f t="shared" si="4"/>
        <v>803.1922432</v>
      </c>
      <c r="O438" s="63">
        <f>if(A438,_xlfn.WORKDAY.INTL(A438,O$5,"1000000",Holidays!A:A)+hour(A438)/24+MINUTE(A438)/1440,"")</f>
        <v>45330.71875</v>
      </c>
      <c r="P438" s="64" t="s">
        <v>2718</v>
      </c>
      <c r="R438" s="66">
        <f t="shared" si="5"/>
        <v>803.2651599</v>
      </c>
      <c r="S438" s="66"/>
      <c r="T438" s="66"/>
      <c r="U438" s="64">
        <f>if(O438,_xlfn.WORKDAY.INTL(O438,U$5,"1000000",Holidays!A:A)+hour(O438)/24+MINUTE(O438)/1440,"")</f>
        <v>45331.71875</v>
      </c>
      <c r="V438" s="64" t="str">
        <f t="shared" si="6"/>
        <v/>
      </c>
      <c r="W438" s="66"/>
      <c r="X438" s="66">
        <f t="shared" si="7"/>
        <v>802.2651599</v>
      </c>
      <c r="Y438" s="66"/>
      <c r="Z438" s="66"/>
      <c r="AA438" s="66"/>
      <c r="AB438" s="63"/>
      <c r="AC438" s="63"/>
      <c r="AD438" s="63"/>
      <c r="AE438" s="63"/>
      <c r="AF438" s="63"/>
      <c r="AG438" s="63"/>
      <c r="AH438" s="63" t="str">
        <f t="shared" si="14"/>
        <v/>
      </c>
      <c r="AI438" s="63" t="str">
        <f>if(AH438,_xlfn.workday.intl(int(AH438),0,"1000000",Holidays!A:A)+18/24,"")</f>
        <v/>
      </c>
      <c r="AJ438" s="64" t="str">
        <f t="shared" si="24"/>
        <v/>
      </c>
      <c r="AL438" s="66" t="str">
        <f t="shared" si="9"/>
        <v/>
      </c>
      <c r="AM438" s="66"/>
      <c r="AN438" s="63" t="str">
        <f>if(AJ438,if(and(hour(AJ438+AN$5)&gt;11,(hour(AJ438+AN$5)&lt;20)),AJ438+AN$5,_xlfn.workday.intl(int(AJ438),1,"1000000",Holidays!A:A)+hour(AJ438+AN$5-$B$1)/24+minute(AJ438)/1440),"")</f>
        <v/>
      </c>
      <c r="AO438" s="64" t="str">
        <f t="shared" si="15"/>
        <v/>
      </c>
      <c r="AQ438" s="66" t="str">
        <f t="shared" si="16"/>
        <v/>
      </c>
      <c r="AR438" s="66"/>
      <c r="AS438" s="63" t="str">
        <f>if(AJ438,if(and(hour(AJ438+AS$5)&gt;11,(hour(AJ438+AS$5)&lt;20)),AJ438+AS$5,_xlfn.workday.intl(int(AJ438),1,"1000000",Holidays!A:A)+hour(AJ438+AS$5-$B$1)/24+minute(AJ438)/1440),"")</f>
        <v/>
      </c>
      <c r="AT438" s="64" t="str">
        <f t="shared" si="21"/>
        <v/>
      </c>
      <c r="AV438" s="66" t="str">
        <f t="shared" si="25"/>
        <v/>
      </c>
      <c r="AW438" s="66"/>
      <c r="AX438" s="56"/>
    </row>
    <row r="439">
      <c r="A439" s="55">
        <v>45329.71994589121</v>
      </c>
      <c r="B439" s="56"/>
      <c r="C439" s="57"/>
      <c r="D439" s="57"/>
      <c r="E439" s="57"/>
      <c r="F439" s="57"/>
      <c r="G439" s="58">
        <f>if(A439,_xlfn.workday.intl(int(A439),1,"1000000",Holidays!A:A)+17/24,"")</f>
        <v>45330.70833</v>
      </c>
      <c r="H439" s="59" t="str">
        <f t="shared" si="23"/>
        <v/>
      </c>
      <c r="I439" s="60"/>
      <c r="J439" s="61">
        <f t="shared" si="2"/>
        <v>803.2755766</v>
      </c>
      <c r="K439" s="58">
        <f>if(G439,_xlfn.workday.intl(int(G439),0,"1000000",Holidays!A:A)+19/24,"")</f>
        <v>45330.79167</v>
      </c>
      <c r="L439" s="59" t="str">
        <f t="shared" si="3"/>
        <v/>
      </c>
      <c r="M439" s="60"/>
      <c r="N439" s="61">
        <f t="shared" si="4"/>
        <v>803.1922432</v>
      </c>
      <c r="O439" s="63">
        <f>if(A439,_xlfn.WORKDAY.INTL(A439,O$5,"1000000",Holidays!A:A)+hour(A439)/24+MINUTE(A439)/1440,"")</f>
        <v>45330.71944</v>
      </c>
      <c r="P439" s="64" t="s">
        <v>2718</v>
      </c>
      <c r="R439" s="66">
        <f t="shared" si="5"/>
        <v>803.2644655</v>
      </c>
      <c r="S439" s="66"/>
      <c r="T439" s="66"/>
      <c r="U439" s="64">
        <f>if(O439,_xlfn.WORKDAY.INTL(O439,U$5,"1000000",Holidays!A:A)+hour(O439)/24+MINUTE(O439)/1440,"")</f>
        <v>45331.71944</v>
      </c>
      <c r="V439" s="64" t="str">
        <f t="shared" si="6"/>
        <v/>
      </c>
      <c r="W439" s="66"/>
      <c r="X439" s="66">
        <f t="shared" si="7"/>
        <v>802.2644655</v>
      </c>
      <c r="Y439" s="66"/>
      <c r="Z439" s="66"/>
      <c r="AA439" s="66"/>
      <c r="AB439" s="63"/>
      <c r="AC439" s="63"/>
      <c r="AD439" s="63"/>
      <c r="AE439" s="63"/>
      <c r="AF439" s="63"/>
      <c r="AG439" s="63"/>
      <c r="AH439" s="63" t="str">
        <f t="shared" si="14"/>
        <v/>
      </c>
      <c r="AI439" s="63" t="str">
        <f>if(AH439,_xlfn.workday.intl(int(AH439),0,"1000000",Holidays!A:A)+18/24,"")</f>
        <v/>
      </c>
      <c r="AJ439" s="64" t="str">
        <f t="shared" si="24"/>
        <v/>
      </c>
      <c r="AL439" s="66" t="str">
        <f t="shared" si="9"/>
        <v/>
      </c>
      <c r="AM439" s="66"/>
      <c r="AN439" s="63" t="str">
        <f>if(AJ439,if(and(hour(AJ439+AN$5)&gt;11,(hour(AJ439+AN$5)&lt;20)),AJ439+AN$5,_xlfn.workday.intl(int(AJ439),1,"1000000",Holidays!A:A)+hour(AJ439+AN$5-$B$1)/24+minute(AJ439)/1440),"")</f>
        <v/>
      </c>
      <c r="AO439" s="64" t="str">
        <f t="shared" si="15"/>
        <v/>
      </c>
      <c r="AQ439" s="66" t="str">
        <f t="shared" si="16"/>
        <v/>
      </c>
      <c r="AR439" s="66"/>
      <c r="AS439" s="63" t="str">
        <f>if(AJ439,if(and(hour(AJ439+AS$5)&gt;11,(hour(AJ439+AS$5)&lt;20)),AJ439+AS$5,_xlfn.workday.intl(int(AJ439),1,"1000000",Holidays!A:A)+hour(AJ439+AS$5-$B$1)/24+minute(AJ439)/1440),"")</f>
        <v/>
      </c>
      <c r="AT439" s="64" t="str">
        <f t="shared" si="21"/>
        <v/>
      </c>
      <c r="AV439" s="66" t="str">
        <f t="shared" si="25"/>
        <v/>
      </c>
      <c r="AW439" s="66"/>
      <c r="AX439" s="56"/>
    </row>
    <row r="440">
      <c r="A440" s="55">
        <v>45329.72735385416</v>
      </c>
      <c r="B440" s="56"/>
      <c r="C440" s="57"/>
      <c r="D440" s="57"/>
      <c r="E440" s="57"/>
      <c r="F440" s="57"/>
      <c r="G440" s="58">
        <f>if(A440,_xlfn.workday.intl(int(A440),1,"1000000",Holidays!A:A)+17/24,"")</f>
        <v>45330.70833</v>
      </c>
      <c r="H440" s="59" t="str">
        <f t="shared" si="23"/>
        <v/>
      </c>
      <c r="I440" s="60"/>
      <c r="J440" s="61">
        <f t="shared" si="2"/>
        <v>803.2755766</v>
      </c>
      <c r="K440" s="58">
        <f>if(G440,_xlfn.workday.intl(int(G440),0,"1000000",Holidays!A:A)+19/24,"")</f>
        <v>45330.79167</v>
      </c>
      <c r="L440" s="59" t="str">
        <f t="shared" si="3"/>
        <v/>
      </c>
      <c r="M440" s="60"/>
      <c r="N440" s="61">
        <f t="shared" si="4"/>
        <v>803.1922432</v>
      </c>
      <c r="O440" s="63">
        <f>if(A440,_xlfn.WORKDAY.INTL(A440,O$5,"1000000",Holidays!A:A)+hour(A440)/24+MINUTE(A440)/1440,"")</f>
        <v>45330.72708</v>
      </c>
      <c r="P440" s="64" t="s">
        <v>2718</v>
      </c>
      <c r="R440" s="66">
        <f t="shared" si="5"/>
        <v>803.2568266</v>
      </c>
      <c r="S440" s="66"/>
      <c r="T440" s="66"/>
      <c r="U440" s="64">
        <f>if(O440,_xlfn.WORKDAY.INTL(O440,U$5,"1000000",Holidays!A:A)+hour(O440)/24+MINUTE(O440)/1440,"")</f>
        <v>45331.72708</v>
      </c>
      <c r="V440" s="64" t="str">
        <f t="shared" si="6"/>
        <v/>
      </c>
      <c r="W440" s="66"/>
      <c r="X440" s="66">
        <f t="shared" si="7"/>
        <v>802.2568266</v>
      </c>
      <c r="Y440" s="66"/>
      <c r="Z440" s="66"/>
      <c r="AA440" s="66"/>
      <c r="AB440" s="63"/>
      <c r="AC440" s="63"/>
      <c r="AD440" s="63"/>
      <c r="AE440" s="63"/>
      <c r="AF440" s="63"/>
      <c r="AG440" s="63"/>
      <c r="AH440" s="63" t="str">
        <f t="shared" si="14"/>
        <v/>
      </c>
      <c r="AI440" s="63" t="str">
        <f>if(AH440,_xlfn.workday.intl(int(AH440),0,"1000000",Holidays!A:A)+18/24,"")</f>
        <v/>
      </c>
      <c r="AJ440" s="64" t="str">
        <f t="shared" si="24"/>
        <v/>
      </c>
      <c r="AL440" s="66" t="str">
        <f t="shared" si="9"/>
        <v/>
      </c>
      <c r="AM440" s="66"/>
      <c r="AN440" s="63" t="str">
        <f>if(AJ440,if(and(hour(AJ440+AN$5)&gt;11,(hour(AJ440+AN$5)&lt;20)),AJ440+AN$5,_xlfn.workday.intl(int(AJ440),1,"1000000",Holidays!A:A)+hour(AJ440+AN$5-$B$1)/24+minute(AJ440)/1440),"")</f>
        <v/>
      </c>
      <c r="AO440" s="64" t="str">
        <f t="shared" si="15"/>
        <v/>
      </c>
      <c r="AQ440" s="66" t="str">
        <f t="shared" si="16"/>
        <v/>
      </c>
      <c r="AR440" s="66"/>
      <c r="AS440" s="63" t="str">
        <f>if(AJ440,if(and(hour(AJ440+AS$5)&gt;11,(hour(AJ440+AS$5)&lt;20)),AJ440+AS$5,_xlfn.workday.intl(int(AJ440),1,"1000000",Holidays!A:A)+hour(AJ440+AS$5-$B$1)/24+minute(AJ440)/1440),"")</f>
        <v/>
      </c>
      <c r="AT440" s="64" t="str">
        <f t="shared" si="21"/>
        <v/>
      </c>
      <c r="AV440" s="66" t="str">
        <f t="shared" si="25"/>
        <v/>
      </c>
      <c r="AW440" s="66"/>
      <c r="AX440" s="56"/>
    </row>
    <row r="441">
      <c r="A441" s="55">
        <v>45329.728500729165</v>
      </c>
      <c r="B441" s="56"/>
      <c r="C441" s="57"/>
      <c r="D441" s="57"/>
      <c r="E441" s="57"/>
      <c r="F441" s="57"/>
      <c r="G441" s="58">
        <f>if(A441,_xlfn.workday.intl(int(A441),1,"1000000",Holidays!A:A)+17/24,"")</f>
        <v>45330.70833</v>
      </c>
      <c r="H441" s="59" t="str">
        <f t="shared" si="23"/>
        <v/>
      </c>
      <c r="I441" s="60"/>
      <c r="J441" s="61">
        <f t="shared" si="2"/>
        <v>803.2755766</v>
      </c>
      <c r="K441" s="58">
        <f>if(G441,_xlfn.workday.intl(int(G441),0,"1000000",Holidays!A:A)+19/24,"")</f>
        <v>45330.79167</v>
      </c>
      <c r="L441" s="59" t="str">
        <f t="shared" si="3"/>
        <v/>
      </c>
      <c r="M441" s="60"/>
      <c r="N441" s="61">
        <f t="shared" si="4"/>
        <v>803.1922432</v>
      </c>
      <c r="O441" s="63">
        <f>if(A441,_xlfn.WORKDAY.INTL(A441,O$5,"1000000",Holidays!A:A)+hour(A441)/24+MINUTE(A441)/1440,"")</f>
        <v>45330.72847</v>
      </c>
      <c r="P441" s="64" t="s">
        <v>2718</v>
      </c>
      <c r="R441" s="66">
        <f t="shared" si="5"/>
        <v>803.2554377</v>
      </c>
      <c r="S441" s="66"/>
      <c r="T441" s="66"/>
      <c r="U441" s="64">
        <f>if(O441,_xlfn.WORKDAY.INTL(O441,U$5,"1000000",Holidays!A:A)+hour(O441)/24+MINUTE(O441)/1440,"")</f>
        <v>45331.72847</v>
      </c>
      <c r="V441" s="64" t="str">
        <f t="shared" si="6"/>
        <v/>
      </c>
      <c r="W441" s="66"/>
      <c r="X441" s="66">
        <f t="shared" si="7"/>
        <v>802.2554377</v>
      </c>
      <c r="Y441" s="66"/>
      <c r="Z441" s="66"/>
      <c r="AA441" s="66"/>
      <c r="AB441" s="63"/>
      <c r="AC441" s="63"/>
      <c r="AD441" s="63"/>
      <c r="AE441" s="63"/>
      <c r="AF441" s="63"/>
      <c r="AG441" s="63"/>
      <c r="AH441" s="63" t="str">
        <f t="shared" si="14"/>
        <v/>
      </c>
      <c r="AI441" s="63" t="str">
        <f>if(AH441,_xlfn.workday.intl(int(AH441),0,"1000000",Holidays!A:A)+18/24,"")</f>
        <v/>
      </c>
      <c r="AJ441" s="64" t="str">
        <f t="shared" si="24"/>
        <v/>
      </c>
      <c r="AL441" s="66" t="str">
        <f t="shared" si="9"/>
        <v/>
      </c>
      <c r="AM441" s="66"/>
      <c r="AN441" s="63" t="str">
        <f>if(AJ441,if(and(hour(AJ441+AN$5)&gt;11,(hour(AJ441+AN$5)&lt;20)),AJ441+AN$5,_xlfn.workday.intl(int(AJ441),1,"1000000",Holidays!A:A)+hour(AJ441+AN$5-$B$1)/24+minute(AJ441)/1440),"")</f>
        <v/>
      </c>
      <c r="AO441" s="64" t="str">
        <f t="shared" si="15"/>
        <v/>
      </c>
      <c r="AQ441" s="66" t="str">
        <f t="shared" si="16"/>
        <v/>
      </c>
      <c r="AR441" s="66"/>
      <c r="AS441" s="63" t="str">
        <f>if(AJ441,if(and(hour(AJ441+AS$5)&gt;11,(hour(AJ441+AS$5)&lt;20)),AJ441+AS$5,_xlfn.workday.intl(int(AJ441),1,"1000000",Holidays!A:A)+hour(AJ441+AS$5-$B$1)/24+minute(AJ441)/1440),"")</f>
        <v/>
      </c>
      <c r="AT441" s="64" t="str">
        <f t="shared" si="21"/>
        <v/>
      </c>
      <c r="AV441" s="66" t="str">
        <f t="shared" si="25"/>
        <v/>
      </c>
      <c r="AW441" s="66"/>
      <c r="AX441" s="56"/>
    </row>
    <row r="442">
      <c r="A442" s="55">
        <v>45329.72926583333</v>
      </c>
      <c r="B442" s="56"/>
      <c r="C442" s="57"/>
      <c r="D442" s="57"/>
      <c r="E442" s="57"/>
      <c r="F442" s="57"/>
      <c r="G442" s="58">
        <f>if(A442,_xlfn.workday.intl(int(A442),1,"1000000",Holidays!A:A)+17/24,"")</f>
        <v>45330.70833</v>
      </c>
      <c r="H442" s="59" t="str">
        <f t="shared" si="23"/>
        <v/>
      </c>
      <c r="I442" s="60"/>
      <c r="J442" s="61">
        <f t="shared" si="2"/>
        <v>803.2755766</v>
      </c>
      <c r="K442" s="58">
        <f>if(G442,_xlfn.workday.intl(int(G442),0,"1000000",Holidays!A:A)+19/24,"")</f>
        <v>45330.79167</v>
      </c>
      <c r="L442" s="59" t="str">
        <f t="shared" si="3"/>
        <v/>
      </c>
      <c r="M442" s="60"/>
      <c r="N442" s="61">
        <f t="shared" si="4"/>
        <v>803.1922432</v>
      </c>
      <c r="O442" s="63">
        <f>if(A442,_xlfn.WORKDAY.INTL(A442,O$5,"1000000",Holidays!A:A)+hour(A442)/24+MINUTE(A442)/1440,"")</f>
        <v>45330.72917</v>
      </c>
      <c r="P442" s="64" t="s">
        <v>2718</v>
      </c>
      <c r="R442" s="66">
        <f t="shared" si="5"/>
        <v>803.2547432</v>
      </c>
      <c r="S442" s="66"/>
      <c r="T442" s="66"/>
      <c r="U442" s="64">
        <f>if(O442,_xlfn.WORKDAY.INTL(O442,U$5,"1000000",Holidays!A:A)+hour(O442)/24+MINUTE(O442)/1440,"")</f>
        <v>45331.72917</v>
      </c>
      <c r="V442" s="64" t="str">
        <f t="shared" si="6"/>
        <v/>
      </c>
      <c r="W442" s="66"/>
      <c r="X442" s="66">
        <f t="shared" si="7"/>
        <v>802.2547432</v>
      </c>
      <c r="Y442" s="66"/>
      <c r="Z442" s="66"/>
      <c r="AA442" s="66"/>
      <c r="AB442" s="63"/>
      <c r="AC442" s="63"/>
      <c r="AD442" s="63"/>
      <c r="AE442" s="63"/>
      <c r="AF442" s="63"/>
      <c r="AG442" s="63"/>
      <c r="AH442" s="63" t="str">
        <f t="shared" si="14"/>
        <v/>
      </c>
      <c r="AI442" s="63" t="str">
        <f>if(AH442,_xlfn.workday.intl(int(AH442),0,"1000000",Holidays!A:A)+18/24,"")</f>
        <v/>
      </c>
      <c r="AJ442" s="64" t="str">
        <f t="shared" si="24"/>
        <v/>
      </c>
      <c r="AL442" s="66" t="str">
        <f t="shared" si="9"/>
        <v/>
      </c>
      <c r="AM442" s="66"/>
      <c r="AN442" s="63" t="str">
        <f>if(AJ442,if(and(hour(AJ442+AN$5)&gt;11,(hour(AJ442+AN$5)&lt;20)),AJ442+AN$5,_xlfn.workday.intl(int(AJ442),1,"1000000",Holidays!A:A)+hour(AJ442+AN$5-$B$1)/24+minute(AJ442)/1440),"")</f>
        <v/>
      </c>
      <c r="AO442" s="64" t="str">
        <f t="shared" si="15"/>
        <v/>
      </c>
      <c r="AQ442" s="66" t="str">
        <f t="shared" si="16"/>
        <v/>
      </c>
      <c r="AR442" s="66"/>
      <c r="AS442" s="63" t="str">
        <f>if(AJ442,if(and(hour(AJ442+AS$5)&gt;11,(hour(AJ442+AS$5)&lt;20)),AJ442+AS$5,_xlfn.workday.intl(int(AJ442),1,"1000000",Holidays!A:A)+hour(AJ442+AS$5-$B$1)/24+minute(AJ442)/1440),"")</f>
        <v/>
      </c>
      <c r="AT442" s="64" t="str">
        <f t="shared" si="21"/>
        <v/>
      </c>
      <c r="AV442" s="66" t="str">
        <f t="shared" si="25"/>
        <v/>
      </c>
      <c r="AW442" s="66"/>
      <c r="AX442" s="56"/>
    </row>
    <row r="443">
      <c r="A443" s="55">
        <v>45329.730538020835</v>
      </c>
      <c r="B443" s="56"/>
      <c r="C443" s="57"/>
      <c r="D443" s="57"/>
      <c r="E443" s="57"/>
      <c r="F443" s="57"/>
      <c r="G443" s="58">
        <f>if(A443,_xlfn.workday.intl(int(A443),1,"1000000",Holidays!A:A)+17/24,"")</f>
        <v>45330.70833</v>
      </c>
      <c r="H443" s="59" t="str">
        <f t="shared" si="23"/>
        <v/>
      </c>
      <c r="I443" s="60"/>
      <c r="J443" s="61">
        <f t="shared" si="2"/>
        <v>803.2755766</v>
      </c>
      <c r="K443" s="58">
        <f>if(G443,_xlfn.workday.intl(int(G443),0,"1000000",Holidays!A:A)+19/24,"")</f>
        <v>45330.79167</v>
      </c>
      <c r="L443" s="59" t="str">
        <f t="shared" si="3"/>
        <v/>
      </c>
      <c r="M443" s="60"/>
      <c r="N443" s="61">
        <f t="shared" si="4"/>
        <v>803.1922432</v>
      </c>
      <c r="O443" s="63">
        <f>if(A443,_xlfn.WORKDAY.INTL(A443,O$5,"1000000",Holidays!A:A)+hour(A443)/24+MINUTE(A443)/1440,"")</f>
        <v>45330.72986</v>
      </c>
      <c r="P443" s="64" t="s">
        <v>2718</v>
      </c>
      <c r="R443" s="66">
        <f t="shared" si="5"/>
        <v>803.2540488</v>
      </c>
      <c r="S443" s="66"/>
      <c r="T443" s="66"/>
      <c r="U443" s="64">
        <f>if(O443,_xlfn.WORKDAY.INTL(O443,U$5,"1000000",Holidays!A:A)+hour(O443)/24+MINUTE(O443)/1440,"")</f>
        <v>45331.72986</v>
      </c>
      <c r="V443" s="64" t="str">
        <f t="shared" si="6"/>
        <v/>
      </c>
      <c r="W443" s="66"/>
      <c r="X443" s="66">
        <f t="shared" si="7"/>
        <v>802.2540488</v>
      </c>
      <c r="Y443" s="66"/>
      <c r="Z443" s="66"/>
      <c r="AA443" s="66"/>
      <c r="AB443" s="63"/>
      <c r="AC443" s="63"/>
      <c r="AD443" s="63"/>
      <c r="AE443" s="63"/>
      <c r="AF443" s="63"/>
      <c r="AG443" s="63"/>
      <c r="AH443" s="63" t="str">
        <f t="shared" si="14"/>
        <v/>
      </c>
      <c r="AI443" s="63" t="str">
        <f>if(AH443,_xlfn.workday.intl(int(AH443),0,"1000000",Holidays!A:A)+18/24,"")</f>
        <v/>
      </c>
      <c r="AJ443" s="64" t="str">
        <f t="shared" si="24"/>
        <v/>
      </c>
      <c r="AL443" s="66" t="str">
        <f t="shared" si="9"/>
        <v/>
      </c>
      <c r="AM443" s="66"/>
      <c r="AN443" s="63" t="str">
        <f>if(AJ443,if(and(hour(AJ443+AN$5)&gt;11,(hour(AJ443+AN$5)&lt;20)),AJ443+AN$5,_xlfn.workday.intl(int(AJ443),1,"1000000",Holidays!A:A)+hour(AJ443+AN$5-$B$1)/24+minute(AJ443)/1440),"")</f>
        <v/>
      </c>
      <c r="AO443" s="64" t="str">
        <f t="shared" si="15"/>
        <v/>
      </c>
      <c r="AQ443" s="66" t="str">
        <f t="shared" si="16"/>
        <v/>
      </c>
      <c r="AR443" s="66"/>
      <c r="AS443" s="63" t="str">
        <f>if(AJ443,if(and(hour(AJ443+AS$5)&gt;11,(hour(AJ443+AS$5)&lt;20)),AJ443+AS$5,_xlfn.workday.intl(int(AJ443),1,"1000000",Holidays!A:A)+hour(AJ443+AS$5-$B$1)/24+minute(AJ443)/1440),"")</f>
        <v/>
      </c>
      <c r="AT443" s="64" t="str">
        <f t="shared" si="21"/>
        <v/>
      </c>
      <c r="AV443" s="66" t="str">
        <f t="shared" si="25"/>
        <v/>
      </c>
      <c r="AW443" s="66"/>
      <c r="AX443" s="56"/>
    </row>
    <row r="444">
      <c r="A444" s="55">
        <v>45329.73119560185</v>
      </c>
      <c r="B444" s="56"/>
      <c r="C444" s="57"/>
      <c r="D444" s="57"/>
      <c r="E444" s="57"/>
      <c r="F444" s="57"/>
      <c r="G444" s="58">
        <f>if(A444,_xlfn.workday.intl(int(A444),1,"1000000",Holidays!A:A)+17/24,"")</f>
        <v>45330.70833</v>
      </c>
      <c r="H444" s="59" t="str">
        <f t="shared" si="23"/>
        <v/>
      </c>
      <c r="I444" s="60"/>
      <c r="J444" s="61">
        <f t="shared" si="2"/>
        <v>803.2755766</v>
      </c>
      <c r="K444" s="58">
        <f>if(G444,_xlfn.workday.intl(int(G444),0,"1000000",Holidays!A:A)+19/24,"")</f>
        <v>45330.79167</v>
      </c>
      <c r="L444" s="59" t="str">
        <f t="shared" si="3"/>
        <v/>
      </c>
      <c r="M444" s="60"/>
      <c r="N444" s="61">
        <f t="shared" si="4"/>
        <v>803.1922432</v>
      </c>
      <c r="O444" s="63">
        <f>if(A444,_xlfn.WORKDAY.INTL(A444,O$5,"1000000",Holidays!A:A)+hour(A444)/24+MINUTE(A444)/1440,"")</f>
        <v>45330.73056</v>
      </c>
      <c r="P444" s="64" t="s">
        <v>2718</v>
      </c>
      <c r="R444" s="66">
        <f t="shared" si="5"/>
        <v>803.2533543</v>
      </c>
      <c r="S444" s="66"/>
      <c r="T444" s="66"/>
      <c r="U444" s="64">
        <f>if(O444,_xlfn.WORKDAY.INTL(O444,U$5,"1000000",Holidays!A:A)+hour(O444)/24+MINUTE(O444)/1440,"")</f>
        <v>45331.73056</v>
      </c>
      <c r="V444" s="64" t="str">
        <f t="shared" si="6"/>
        <v/>
      </c>
      <c r="W444" s="66"/>
      <c r="X444" s="66">
        <f t="shared" si="7"/>
        <v>802.2533543</v>
      </c>
      <c r="Y444" s="66"/>
      <c r="Z444" s="66"/>
      <c r="AA444" s="66"/>
      <c r="AB444" s="63"/>
      <c r="AC444" s="63"/>
      <c r="AD444" s="63"/>
      <c r="AE444" s="63"/>
      <c r="AF444" s="63"/>
      <c r="AG444" s="63"/>
      <c r="AH444" s="63" t="str">
        <f t="shared" si="14"/>
        <v/>
      </c>
      <c r="AI444" s="63" t="str">
        <f>if(AH444,_xlfn.workday.intl(int(AH444),0,"1000000",Holidays!A:A)+18/24,"")</f>
        <v/>
      </c>
      <c r="AJ444" s="64" t="str">
        <f t="shared" si="24"/>
        <v/>
      </c>
      <c r="AL444" s="66" t="str">
        <f t="shared" si="9"/>
        <v/>
      </c>
      <c r="AM444" s="66"/>
      <c r="AN444" s="63" t="str">
        <f>if(AJ444,if(and(hour(AJ444+AN$5)&gt;11,(hour(AJ444+AN$5)&lt;20)),AJ444+AN$5,_xlfn.workday.intl(int(AJ444),1,"1000000",Holidays!A:A)+hour(AJ444+AN$5-$B$1)/24+minute(AJ444)/1440),"")</f>
        <v/>
      </c>
      <c r="AO444" s="64" t="str">
        <f t="shared" si="15"/>
        <v/>
      </c>
      <c r="AQ444" s="66" t="str">
        <f t="shared" si="16"/>
        <v/>
      </c>
      <c r="AR444" s="66"/>
      <c r="AS444" s="63" t="str">
        <f>if(AJ444,if(and(hour(AJ444+AS$5)&gt;11,(hour(AJ444+AS$5)&lt;20)),AJ444+AS$5,_xlfn.workday.intl(int(AJ444),1,"1000000",Holidays!A:A)+hour(AJ444+AS$5-$B$1)/24+minute(AJ444)/1440),"")</f>
        <v/>
      </c>
      <c r="AT444" s="64" t="str">
        <f t="shared" si="21"/>
        <v/>
      </c>
      <c r="AV444" s="66" t="str">
        <f t="shared" si="25"/>
        <v/>
      </c>
      <c r="AW444" s="66"/>
      <c r="AX444" s="56"/>
    </row>
    <row r="445">
      <c r="A445" s="55">
        <v>45329.732004618054</v>
      </c>
      <c r="B445" s="56"/>
      <c r="C445" s="57"/>
      <c r="D445" s="57"/>
      <c r="E445" s="57"/>
      <c r="F445" s="57"/>
      <c r="G445" s="58">
        <f>if(A445,_xlfn.workday.intl(int(A445),1,"1000000",Holidays!A:A)+17/24,"")</f>
        <v>45330.70833</v>
      </c>
      <c r="H445" s="59" t="str">
        <f t="shared" si="23"/>
        <v/>
      </c>
      <c r="I445" s="60"/>
      <c r="J445" s="61">
        <f t="shared" si="2"/>
        <v>803.2755766</v>
      </c>
      <c r="K445" s="58">
        <f>if(G445,_xlfn.workday.intl(int(G445),0,"1000000",Holidays!A:A)+19/24,"")</f>
        <v>45330.79167</v>
      </c>
      <c r="L445" s="59" t="str">
        <f t="shared" si="3"/>
        <v/>
      </c>
      <c r="M445" s="60"/>
      <c r="N445" s="61">
        <f t="shared" si="4"/>
        <v>803.1922432</v>
      </c>
      <c r="O445" s="63">
        <f>if(A445,_xlfn.WORKDAY.INTL(A445,O$5,"1000000",Holidays!A:A)+hour(A445)/24+MINUTE(A445)/1440,"")</f>
        <v>45330.73194</v>
      </c>
      <c r="P445" s="64" t="s">
        <v>2718</v>
      </c>
      <c r="R445" s="66">
        <f t="shared" si="5"/>
        <v>803.2519655</v>
      </c>
      <c r="S445" s="66"/>
      <c r="T445" s="66"/>
      <c r="U445" s="64">
        <f>if(O445,_xlfn.WORKDAY.INTL(O445,U$5,"1000000",Holidays!A:A)+hour(O445)/24+MINUTE(O445)/1440,"")</f>
        <v>45331.73194</v>
      </c>
      <c r="V445" s="64" t="str">
        <f t="shared" si="6"/>
        <v/>
      </c>
      <c r="W445" s="66"/>
      <c r="X445" s="66">
        <f t="shared" si="7"/>
        <v>802.2519655</v>
      </c>
      <c r="Y445" s="66"/>
      <c r="Z445" s="66"/>
      <c r="AA445" s="66"/>
      <c r="AB445" s="63"/>
      <c r="AC445" s="63"/>
      <c r="AD445" s="63"/>
      <c r="AE445" s="63"/>
      <c r="AF445" s="63"/>
      <c r="AG445" s="63"/>
      <c r="AH445" s="63" t="str">
        <f t="shared" si="14"/>
        <v/>
      </c>
      <c r="AI445" s="63" t="str">
        <f>if(AH445,_xlfn.workday.intl(int(AH445),0,"1000000",Holidays!A:A)+18/24,"")</f>
        <v/>
      </c>
      <c r="AJ445" s="64" t="str">
        <f t="shared" si="24"/>
        <v/>
      </c>
      <c r="AL445" s="66" t="str">
        <f t="shared" si="9"/>
        <v/>
      </c>
      <c r="AM445" s="66"/>
      <c r="AN445" s="63" t="str">
        <f>if(AJ445,if(and(hour(AJ445+AN$5)&gt;11,(hour(AJ445+AN$5)&lt;20)),AJ445+AN$5,_xlfn.workday.intl(int(AJ445),1,"1000000",Holidays!A:A)+hour(AJ445+AN$5-$B$1)/24+minute(AJ445)/1440),"")</f>
        <v/>
      </c>
      <c r="AO445" s="64" t="str">
        <f t="shared" si="15"/>
        <v/>
      </c>
      <c r="AQ445" s="66" t="str">
        <f t="shared" si="16"/>
        <v/>
      </c>
      <c r="AR445" s="66"/>
      <c r="AS445" s="63" t="str">
        <f>if(AJ445,if(and(hour(AJ445+AS$5)&gt;11,(hour(AJ445+AS$5)&lt;20)),AJ445+AS$5,_xlfn.workday.intl(int(AJ445),1,"1000000",Holidays!A:A)+hour(AJ445+AS$5-$B$1)/24+minute(AJ445)/1440),"")</f>
        <v/>
      </c>
      <c r="AT445" s="64" t="str">
        <f t="shared" si="21"/>
        <v/>
      </c>
      <c r="AV445" s="66" t="str">
        <f t="shared" si="25"/>
        <v/>
      </c>
      <c r="AW445" s="66"/>
      <c r="AX445" s="56"/>
    </row>
    <row r="446">
      <c r="A446" s="55">
        <v>45329.73317673611</v>
      </c>
      <c r="B446" s="56"/>
      <c r="C446" s="57"/>
      <c r="D446" s="57"/>
      <c r="E446" s="57"/>
      <c r="F446" s="57"/>
      <c r="G446" s="58">
        <f>if(A446,_xlfn.workday.intl(int(A446),1,"1000000",Holidays!A:A)+17/24,"")</f>
        <v>45330.70833</v>
      </c>
      <c r="H446" s="59" t="str">
        <f t="shared" si="23"/>
        <v/>
      </c>
      <c r="I446" s="60"/>
      <c r="J446" s="61">
        <f t="shared" si="2"/>
        <v>803.2755766</v>
      </c>
      <c r="K446" s="58">
        <f>if(G446,_xlfn.workday.intl(int(G446),0,"1000000",Holidays!A:A)+19/24,"")</f>
        <v>45330.79167</v>
      </c>
      <c r="L446" s="59" t="str">
        <f t="shared" si="3"/>
        <v/>
      </c>
      <c r="M446" s="60"/>
      <c r="N446" s="61">
        <f t="shared" si="4"/>
        <v>803.1922432</v>
      </c>
      <c r="O446" s="63">
        <f>if(A446,_xlfn.WORKDAY.INTL(A446,O$5,"1000000",Holidays!A:A)+hour(A446)/24+MINUTE(A446)/1440,"")</f>
        <v>45330.73264</v>
      </c>
      <c r="P446" s="64" t="s">
        <v>2718</v>
      </c>
      <c r="R446" s="66">
        <f t="shared" si="5"/>
        <v>803.251271</v>
      </c>
      <c r="S446" s="66"/>
      <c r="T446" s="66"/>
      <c r="U446" s="64">
        <f>if(O446,_xlfn.WORKDAY.INTL(O446,U$5,"1000000",Holidays!A:A)+hour(O446)/24+MINUTE(O446)/1440,"")</f>
        <v>45331.73264</v>
      </c>
      <c r="V446" s="64" t="str">
        <f t="shared" si="6"/>
        <v/>
      </c>
      <c r="W446" s="66"/>
      <c r="X446" s="66">
        <f t="shared" si="7"/>
        <v>802.251271</v>
      </c>
      <c r="Y446" s="66"/>
      <c r="Z446" s="66"/>
      <c r="AA446" s="66"/>
      <c r="AB446" s="63"/>
      <c r="AC446" s="63"/>
      <c r="AD446" s="63"/>
      <c r="AE446" s="63"/>
      <c r="AF446" s="63"/>
      <c r="AG446" s="63"/>
      <c r="AH446" s="63" t="str">
        <f t="shared" si="14"/>
        <v/>
      </c>
      <c r="AI446" s="63" t="str">
        <f>if(AH446,_xlfn.workday.intl(int(AH446),0,"1000000",Holidays!A:A)+18/24,"")</f>
        <v/>
      </c>
      <c r="AJ446" s="64" t="str">
        <f t="shared" si="24"/>
        <v/>
      </c>
      <c r="AL446" s="66" t="str">
        <f t="shared" si="9"/>
        <v/>
      </c>
      <c r="AM446" s="66"/>
      <c r="AN446" s="63" t="str">
        <f>if(AJ446,if(and(hour(AJ446+AN$5)&gt;11,(hour(AJ446+AN$5)&lt;20)),AJ446+AN$5,_xlfn.workday.intl(int(AJ446),1,"1000000",Holidays!A:A)+hour(AJ446+AN$5-$B$1)/24+minute(AJ446)/1440),"")</f>
        <v/>
      </c>
      <c r="AO446" s="64" t="str">
        <f t="shared" si="15"/>
        <v/>
      </c>
      <c r="AQ446" s="66" t="str">
        <f t="shared" si="16"/>
        <v/>
      </c>
      <c r="AR446" s="66"/>
      <c r="AS446" s="63" t="str">
        <f>if(AJ446,if(and(hour(AJ446+AS$5)&gt;11,(hour(AJ446+AS$5)&lt;20)),AJ446+AS$5,_xlfn.workday.intl(int(AJ446),1,"1000000",Holidays!A:A)+hour(AJ446+AS$5-$B$1)/24+minute(AJ446)/1440),"")</f>
        <v/>
      </c>
      <c r="AT446" s="64" t="str">
        <f t="shared" si="21"/>
        <v/>
      </c>
      <c r="AV446" s="66" t="str">
        <f t="shared" si="25"/>
        <v/>
      </c>
      <c r="AW446" s="66"/>
      <c r="AX446" s="56"/>
    </row>
    <row r="447">
      <c r="A447" s="55">
        <v>45329.73443783565</v>
      </c>
      <c r="B447" s="56"/>
      <c r="C447" s="57"/>
      <c r="D447" s="57"/>
      <c r="E447" s="57"/>
      <c r="F447" s="57"/>
      <c r="G447" s="58">
        <f>if(A447,_xlfn.workday.intl(int(A447),1,"1000000",Holidays!A:A)+17/24,"")</f>
        <v>45330.70833</v>
      </c>
      <c r="H447" s="59" t="str">
        <f t="shared" si="23"/>
        <v/>
      </c>
      <c r="I447" s="60"/>
      <c r="J447" s="61">
        <f t="shared" si="2"/>
        <v>803.2755766</v>
      </c>
      <c r="K447" s="58">
        <f>if(G447,_xlfn.workday.intl(int(G447),0,"1000000",Holidays!A:A)+19/24,"")</f>
        <v>45330.79167</v>
      </c>
      <c r="L447" s="59" t="str">
        <f t="shared" si="3"/>
        <v/>
      </c>
      <c r="M447" s="60"/>
      <c r="N447" s="61">
        <f t="shared" si="4"/>
        <v>803.1922432</v>
      </c>
      <c r="O447" s="63">
        <f>if(A447,_xlfn.WORKDAY.INTL(A447,O$5,"1000000",Holidays!A:A)+hour(A447)/24+MINUTE(A447)/1440,"")</f>
        <v>45330.73403</v>
      </c>
      <c r="P447" s="64" t="s">
        <v>2718</v>
      </c>
      <c r="R447" s="66">
        <f t="shared" si="5"/>
        <v>803.2498821</v>
      </c>
      <c r="S447" s="66"/>
      <c r="T447" s="66"/>
      <c r="U447" s="64">
        <f>if(O447,_xlfn.WORKDAY.INTL(O447,U$5,"1000000",Holidays!A:A)+hour(O447)/24+MINUTE(O447)/1440,"")</f>
        <v>45331.73403</v>
      </c>
      <c r="V447" s="64" t="str">
        <f t="shared" si="6"/>
        <v/>
      </c>
      <c r="W447" s="66"/>
      <c r="X447" s="66">
        <f t="shared" si="7"/>
        <v>802.2498821</v>
      </c>
      <c r="Y447" s="66"/>
      <c r="Z447" s="66"/>
      <c r="AA447" s="66"/>
      <c r="AB447" s="63"/>
      <c r="AC447" s="63"/>
      <c r="AD447" s="63"/>
      <c r="AE447" s="63"/>
      <c r="AF447" s="63"/>
      <c r="AG447" s="63"/>
      <c r="AH447" s="63" t="str">
        <f t="shared" si="14"/>
        <v/>
      </c>
      <c r="AI447" s="63" t="str">
        <f>if(AH447,_xlfn.workday.intl(int(AH447),0,"1000000",Holidays!A:A)+18/24,"")</f>
        <v/>
      </c>
      <c r="AJ447" s="64" t="str">
        <f t="shared" si="24"/>
        <v/>
      </c>
      <c r="AL447" s="66" t="str">
        <f t="shared" si="9"/>
        <v/>
      </c>
      <c r="AM447" s="66"/>
      <c r="AN447" s="63" t="str">
        <f>if(AJ447,if(and(hour(AJ447+AN$5)&gt;11,(hour(AJ447+AN$5)&lt;20)),AJ447+AN$5,_xlfn.workday.intl(int(AJ447),1,"1000000",Holidays!A:A)+hour(AJ447+AN$5-$B$1)/24+minute(AJ447)/1440),"")</f>
        <v/>
      </c>
      <c r="AO447" s="64" t="str">
        <f t="shared" si="15"/>
        <v/>
      </c>
      <c r="AQ447" s="66" t="str">
        <f t="shared" si="16"/>
        <v/>
      </c>
      <c r="AR447" s="66"/>
      <c r="AS447" s="63" t="str">
        <f>if(AJ447,if(and(hour(AJ447+AS$5)&gt;11,(hour(AJ447+AS$5)&lt;20)),AJ447+AS$5,_xlfn.workday.intl(int(AJ447),1,"1000000",Holidays!A:A)+hour(AJ447+AS$5-$B$1)/24+minute(AJ447)/1440),"")</f>
        <v/>
      </c>
      <c r="AT447" s="64" t="str">
        <f t="shared" si="21"/>
        <v/>
      </c>
      <c r="AV447" s="66" t="str">
        <f t="shared" si="25"/>
        <v/>
      </c>
      <c r="AW447" s="66"/>
      <c r="AX447" s="56"/>
    </row>
    <row r="448">
      <c r="A448" s="55">
        <v>45329.735504282406</v>
      </c>
      <c r="B448" s="56"/>
      <c r="C448" s="57"/>
      <c r="D448" s="57"/>
      <c r="E448" s="57"/>
      <c r="F448" s="57"/>
      <c r="G448" s="58">
        <f>if(A448,_xlfn.workday.intl(int(A448),1,"1000000",Holidays!A:A)+17/24,"")</f>
        <v>45330.70833</v>
      </c>
      <c r="H448" s="59" t="str">
        <f t="shared" si="23"/>
        <v/>
      </c>
      <c r="I448" s="60"/>
      <c r="J448" s="61">
        <f t="shared" si="2"/>
        <v>803.2755766</v>
      </c>
      <c r="K448" s="58">
        <f>if(G448,_xlfn.workday.intl(int(G448),0,"1000000",Holidays!A:A)+19/24,"")</f>
        <v>45330.79167</v>
      </c>
      <c r="L448" s="59" t="str">
        <f t="shared" si="3"/>
        <v/>
      </c>
      <c r="M448" s="60"/>
      <c r="N448" s="61">
        <f t="shared" si="4"/>
        <v>803.1922432</v>
      </c>
      <c r="O448" s="63">
        <f>if(A448,_xlfn.WORKDAY.INTL(A448,O$5,"1000000",Holidays!A:A)+hour(A448)/24+MINUTE(A448)/1440,"")</f>
        <v>45330.73542</v>
      </c>
      <c r="P448" s="64" t="s">
        <v>2718</v>
      </c>
      <c r="R448" s="66">
        <f t="shared" si="5"/>
        <v>803.2484932</v>
      </c>
      <c r="S448" s="66"/>
      <c r="T448" s="66"/>
      <c r="U448" s="64">
        <f>if(O448,_xlfn.WORKDAY.INTL(O448,U$5,"1000000",Holidays!A:A)+hour(O448)/24+MINUTE(O448)/1440,"")</f>
        <v>45331.73542</v>
      </c>
      <c r="V448" s="64" t="str">
        <f t="shared" si="6"/>
        <v/>
      </c>
      <c r="W448" s="66"/>
      <c r="X448" s="66">
        <f t="shared" si="7"/>
        <v>802.2484932</v>
      </c>
      <c r="Y448" s="66"/>
      <c r="Z448" s="66"/>
      <c r="AA448" s="66"/>
      <c r="AB448" s="63"/>
      <c r="AC448" s="63"/>
      <c r="AD448" s="63"/>
      <c r="AE448" s="63"/>
      <c r="AF448" s="63"/>
      <c r="AG448" s="63"/>
      <c r="AH448" s="63" t="str">
        <f t="shared" si="14"/>
        <v/>
      </c>
      <c r="AI448" s="63" t="str">
        <f>if(AH448,_xlfn.workday.intl(int(AH448),0,"1000000",Holidays!A:A)+18/24,"")</f>
        <v/>
      </c>
      <c r="AJ448" s="64" t="str">
        <f t="shared" si="24"/>
        <v/>
      </c>
      <c r="AL448" s="66" t="str">
        <f t="shared" si="9"/>
        <v/>
      </c>
      <c r="AM448" s="66"/>
      <c r="AN448" s="63" t="str">
        <f>if(AJ448,if(and(hour(AJ448+AN$5)&gt;11,(hour(AJ448+AN$5)&lt;20)),AJ448+AN$5,_xlfn.workday.intl(int(AJ448),1,"1000000",Holidays!A:A)+hour(AJ448+AN$5-$B$1)/24+minute(AJ448)/1440),"")</f>
        <v/>
      </c>
      <c r="AO448" s="64" t="str">
        <f t="shared" si="15"/>
        <v/>
      </c>
      <c r="AQ448" s="66" t="str">
        <f t="shared" si="16"/>
        <v/>
      </c>
      <c r="AR448" s="66"/>
      <c r="AS448" s="63" t="str">
        <f>if(AJ448,if(and(hour(AJ448+AS$5)&gt;11,(hour(AJ448+AS$5)&lt;20)),AJ448+AS$5,_xlfn.workday.intl(int(AJ448),1,"1000000",Holidays!A:A)+hour(AJ448+AS$5-$B$1)/24+minute(AJ448)/1440),"")</f>
        <v/>
      </c>
      <c r="AT448" s="64" t="str">
        <f t="shared" si="21"/>
        <v/>
      </c>
      <c r="AV448" s="66" t="str">
        <f t="shared" si="25"/>
        <v/>
      </c>
      <c r="AW448" s="66"/>
      <c r="AX448" s="56"/>
    </row>
    <row r="449">
      <c r="A449" s="55">
        <v>45329.736409537036</v>
      </c>
      <c r="B449" s="56"/>
      <c r="C449" s="57"/>
      <c r="D449" s="57"/>
      <c r="E449" s="57"/>
      <c r="F449" s="57"/>
      <c r="G449" s="58">
        <f>if(A449,_xlfn.workday.intl(int(A449),1,"1000000",Holidays!A:A)+17/24,"")</f>
        <v>45330.70833</v>
      </c>
      <c r="H449" s="59" t="str">
        <f t="shared" si="23"/>
        <v/>
      </c>
      <c r="I449" s="60"/>
      <c r="J449" s="61">
        <f t="shared" si="2"/>
        <v>803.2755766</v>
      </c>
      <c r="K449" s="58">
        <f>if(G449,_xlfn.workday.intl(int(G449),0,"1000000",Holidays!A:A)+19/24,"")</f>
        <v>45330.79167</v>
      </c>
      <c r="L449" s="59" t="str">
        <f t="shared" si="3"/>
        <v/>
      </c>
      <c r="M449" s="60"/>
      <c r="N449" s="61">
        <f t="shared" si="4"/>
        <v>803.1922432</v>
      </c>
      <c r="O449" s="63">
        <f>if(A449,_xlfn.WORKDAY.INTL(A449,O$5,"1000000",Holidays!A:A)+hour(A449)/24+MINUTE(A449)/1440,"")</f>
        <v>45330.73611</v>
      </c>
      <c r="P449" s="64" t="s">
        <v>2718</v>
      </c>
      <c r="R449" s="66">
        <f t="shared" si="5"/>
        <v>803.2477988</v>
      </c>
      <c r="S449" s="66"/>
      <c r="T449" s="66"/>
      <c r="U449" s="64">
        <f>if(O449,_xlfn.WORKDAY.INTL(O449,U$5,"1000000",Holidays!A:A)+hour(O449)/24+MINUTE(O449)/1440,"")</f>
        <v>45331.73611</v>
      </c>
      <c r="V449" s="64" t="str">
        <f t="shared" si="6"/>
        <v/>
      </c>
      <c r="W449" s="66"/>
      <c r="X449" s="66">
        <f t="shared" si="7"/>
        <v>802.2477988</v>
      </c>
      <c r="Y449" s="66"/>
      <c r="Z449" s="66"/>
      <c r="AA449" s="66"/>
      <c r="AB449" s="63"/>
      <c r="AC449" s="63"/>
      <c r="AD449" s="63"/>
      <c r="AE449" s="63"/>
      <c r="AF449" s="63"/>
      <c r="AG449" s="63"/>
      <c r="AH449" s="63" t="str">
        <f t="shared" si="14"/>
        <v/>
      </c>
      <c r="AI449" s="63" t="str">
        <f>if(AH449,_xlfn.workday.intl(int(AH449),0,"1000000",Holidays!A:A)+18/24,"")</f>
        <v/>
      </c>
      <c r="AJ449" s="64" t="str">
        <f t="shared" si="24"/>
        <v/>
      </c>
      <c r="AL449" s="66" t="str">
        <f t="shared" si="9"/>
        <v/>
      </c>
      <c r="AM449" s="66"/>
      <c r="AN449" s="63" t="str">
        <f>if(AJ449,if(and(hour(AJ449+AN$5)&gt;11,(hour(AJ449+AN$5)&lt;20)),AJ449+AN$5,_xlfn.workday.intl(int(AJ449),1,"1000000",Holidays!A:A)+hour(AJ449+AN$5-$B$1)/24+minute(AJ449)/1440),"")</f>
        <v/>
      </c>
      <c r="AO449" s="64" t="str">
        <f t="shared" si="15"/>
        <v/>
      </c>
      <c r="AQ449" s="66" t="str">
        <f t="shared" si="16"/>
        <v/>
      </c>
      <c r="AR449" s="66"/>
      <c r="AS449" s="63" t="str">
        <f>if(AJ449,if(and(hour(AJ449+AS$5)&gt;11,(hour(AJ449+AS$5)&lt;20)),AJ449+AS$5,_xlfn.workday.intl(int(AJ449),1,"1000000",Holidays!A:A)+hour(AJ449+AS$5-$B$1)/24+minute(AJ449)/1440),"")</f>
        <v/>
      </c>
      <c r="AT449" s="64" t="str">
        <f t="shared" si="21"/>
        <v/>
      </c>
      <c r="AV449" s="66" t="str">
        <f t="shared" si="25"/>
        <v/>
      </c>
      <c r="AW449" s="66"/>
      <c r="AX449" s="56"/>
    </row>
    <row r="450">
      <c r="A450" s="55">
        <v>45329.737298645836</v>
      </c>
      <c r="B450" s="56"/>
      <c r="C450" s="57"/>
      <c r="D450" s="57"/>
      <c r="E450" s="57"/>
      <c r="F450" s="57"/>
      <c r="G450" s="58">
        <f>if(A450,_xlfn.workday.intl(int(A450),1,"1000000",Holidays!A:A)+17/24,"")</f>
        <v>45330.70833</v>
      </c>
      <c r="H450" s="59" t="str">
        <f t="shared" si="23"/>
        <v/>
      </c>
      <c r="I450" s="60"/>
      <c r="J450" s="61">
        <f t="shared" si="2"/>
        <v>803.2755766</v>
      </c>
      <c r="K450" s="58">
        <f>if(G450,_xlfn.workday.intl(int(G450),0,"1000000",Holidays!A:A)+19/24,"")</f>
        <v>45330.79167</v>
      </c>
      <c r="L450" s="59" t="str">
        <f t="shared" si="3"/>
        <v/>
      </c>
      <c r="M450" s="60"/>
      <c r="N450" s="61">
        <f t="shared" si="4"/>
        <v>803.1922432</v>
      </c>
      <c r="O450" s="63">
        <f>if(A450,_xlfn.WORKDAY.INTL(A450,O$5,"1000000",Holidays!A:A)+hour(A450)/24+MINUTE(A450)/1440,"")</f>
        <v>45330.73681</v>
      </c>
      <c r="P450" s="64" t="s">
        <v>2718</v>
      </c>
      <c r="R450" s="66">
        <f t="shared" si="5"/>
        <v>803.2471043</v>
      </c>
      <c r="S450" s="66"/>
      <c r="T450" s="66"/>
      <c r="U450" s="64">
        <f>if(O450,_xlfn.WORKDAY.INTL(O450,U$5,"1000000",Holidays!A:A)+hour(O450)/24+MINUTE(O450)/1440,"")</f>
        <v>45331.73681</v>
      </c>
      <c r="V450" s="64" t="str">
        <f t="shared" si="6"/>
        <v/>
      </c>
      <c r="W450" s="66"/>
      <c r="X450" s="66">
        <f t="shared" si="7"/>
        <v>802.2471043</v>
      </c>
      <c r="Y450" s="66"/>
      <c r="Z450" s="66"/>
      <c r="AA450" s="66"/>
      <c r="AB450" s="63"/>
      <c r="AC450" s="63"/>
      <c r="AD450" s="63"/>
      <c r="AE450" s="63"/>
      <c r="AF450" s="63"/>
      <c r="AG450" s="63"/>
      <c r="AH450" s="63" t="str">
        <f t="shared" si="14"/>
        <v/>
      </c>
      <c r="AI450" s="63" t="str">
        <f>if(AH450,_xlfn.workday.intl(int(AH450),0,"1000000",Holidays!A:A)+18/24,"")</f>
        <v/>
      </c>
      <c r="AJ450" s="64" t="str">
        <f t="shared" si="24"/>
        <v/>
      </c>
      <c r="AL450" s="66" t="str">
        <f t="shared" si="9"/>
        <v/>
      </c>
      <c r="AM450" s="66"/>
      <c r="AN450" s="63" t="str">
        <f>if(AJ450,if(and(hour(AJ450+AN$5)&gt;11,(hour(AJ450+AN$5)&lt;20)),AJ450+AN$5,_xlfn.workday.intl(int(AJ450),1,"1000000",Holidays!A:A)+hour(AJ450+AN$5-$B$1)/24+minute(AJ450)/1440),"")</f>
        <v/>
      </c>
      <c r="AO450" s="64" t="str">
        <f t="shared" si="15"/>
        <v/>
      </c>
      <c r="AQ450" s="66" t="str">
        <f t="shared" si="16"/>
        <v/>
      </c>
      <c r="AR450" s="66"/>
      <c r="AS450" s="63" t="str">
        <f>if(AJ450,if(and(hour(AJ450+AS$5)&gt;11,(hour(AJ450+AS$5)&lt;20)),AJ450+AS$5,_xlfn.workday.intl(int(AJ450),1,"1000000",Holidays!A:A)+hour(AJ450+AS$5-$B$1)/24+minute(AJ450)/1440),"")</f>
        <v/>
      </c>
      <c r="AT450" s="64" t="str">
        <f t="shared" si="21"/>
        <v/>
      </c>
      <c r="AV450" s="66" t="str">
        <f t="shared" si="25"/>
        <v/>
      </c>
      <c r="AW450" s="66"/>
      <c r="AX450" s="56"/>
    </row>
    <row r="451">
      <c r="A451" s="55">
        <v>45329.74287449074</v>
      </c>
      <c r="B451" s="56"/>
      <c r="C451" s="57"/>
      <c r="D451" s="57"/>
      <c r="E451" s="57"/>
      <c r="F451" s="57"/>
      <c r="G451" s="58">
        <f>if(A451,_xlfn.workday.intl(int(A451),1,"1000000",Holidays!A:A)+17/24,"")</f>
        <v>45330.70833</v>
      </c>
      <c r="H451" s="59" t="str">
        <f t="shared" si="23"/>
        <v/>
      </c>
      <c r="I451" s="60"/>
      <c r="J451" s="61">
        <f t="shared" si="2"/>
        <v>803.2755766</v>
      </c>
      <c r="K451" s="58">
        <f>if(G451,_xlfn.workday.intl(int(G451),0,"1000000",Holidays!A:A)+19/24,"")</f>
        <v>45330.79167</v>
      </c>
      <c r="L451" s="59" t="str">
        <f t="shared" si="3"/>
        <v/>
      </c>
      <c r="M451" s="60"/>
      <c r="N451" s="61">
        <f t="shared" si="4"/>
        <v>803.1922432</v>
      </c>
      <c r="O451" s="63">
        <f>if(A451,_xlfn.WORKDAY.INTL(A451,O$5,"1000000",Holidays!A:A)+hour(A451)/24+MINUTE(A451)/1440,"")</f>
        <v>45330.74236</v>
      </c>
      <c r="P451" s="64" t="s">
        <v>2718</v>
      </c>
      <c r="R451" s="66">
        <f t="shared" si="5"/>
        <v>803.2415488</v>
      </c>
      <c r="S451" s="66"/>
      <c r="T451" s="66"/>
      <c r="U451" s="64">
        <f>if(O451,_xlfn.WORKDAY.INTL(O451,U$5,"1000000",Holidays!A:A)+hour(O451)/24+MINUTE(O451)/1440,"")</f>
        <v>45331.74236</v>
      </c>
      <c r="V451" s="64" t="str">
        <f t="shared" si="6"/>
        <v/>
      </c>
      <c r="W451" s="66"/>
      <c r="X451" s="66">
        <f t="shared" si="7"/>
        <v>802.2415488</v>
      </c>
      <c r="Y451" s="66"/>
      <c r="Z451" s="66"/>
      <c r="AA451" s="66"/>
      <c r="AB451" s="63"/>
      <c r="AC451" s="63"/>
      <c r="AD451" s="63"/>
      <c r="AE451" s="63"/>
      <c r="AF451" s="63"/>
      <c r="AG451" s="63"/>
      <c r="AH451" s="63" t="str">
        <f t="shared" si="14"/>
        <v/>
      </c>
      <c r="AI451" s="63" t="str">
        <f>if(AH451,_xlfn.workday.intl(int(AH451),0,"1000000",Holidays!A:A)+18/24,"")</f>
        <v/>
      </c>
      <c r="AJ451" s="64" t="str">
        <f t="shared" si="24"/>
        <v/>
      </c>
      <c r="AL451" s="66" t="str">
        <f t="shared" si="9"/>
        <v/>
      </c>
      <c r="AM451" s="66"/>
      <c r="AN451" s="63" t="str">
        <f>if(AJ451,if(and(hour(AJ451+AN$5)&gt;11,(hour(AJ451+AN$5)&lt;20)),AJ451+AN$5,_xlfn.workday.intl(int(AJ451),1,"1000000",Holidays!A:A)+hour(AJ451+AN$5-$B$1)/24+minute(AJ451)/1440),"")</f>
        <v/>
      </c>
      <c r="AO451" s="64" t="str">
        <f t="shared" si="15"/>
        <v/>
      </c>
      <c r="AQ451" s="66" t="str">
        <f t="shared" si="16"/>
        <v/>
      </c>
      <c r="AR451" s="66"/>
      <c r="AS451" s="63" t="str">
        <f>if(AJ451,if(and(hour(AJ451+AS$5)&gt;11,(hour(AJ451+AS$5)&lt;20)),AJ451+AS$5,_xlfn.workday.intl(int(AJ451),1,"1000000",Holidays!A:A)+hour(AJ451+AS$5-$B$1)/24+minute(AJ451)/1440),"")</f>
        <v/>
      </c>
      <c r="AT451" s="64" t="str">
        <f t="shared" si="21"/>
        <v/>
      </c>
      <c r="AV451" s="66" t="str">
        <f t="shared" si="25"/>
        <v/>
      </c>
      <c r="AW451" s="66"/>
      <c r="AX451" s="56"/>
    </row>
    <row r="452">
      <c r="A452" s="55">
        <v>45329.74458483796</v>
      </c>
      <c r="B452" s="56"/>
      <c r="C452" s="57"/>
      <c r="D452" s="57"/>
      <c r="E452" s="57"/>
      <c r="F452" s="57"/>
      <c r="G452" s="58">
        <f>if(A452,_xlfn.workday.intl(int(A452),1,"1000000",Holidays!A:A)+17/24,"")</f>
        <v>45330.70833</v>
      </c>
      <c r="H452" s="59" t="str">
        <f t="shared" si="23"/>
        <v/>
      </c>
      <c r="I452" s="60"/>
      <c r="J452" s="61">
        <f t="shared" si="2"/>
        <v>803.2755766</v>
      </c>
      <c r="K452" s="58">
        <f>if(G452,_xlfn.workday.intl(int(G452),0,"1000000",Holidays!A:A)+19/24,"")</f>
        <v>45330.79167</v>
      </c>
      <c r="L452" s="59" t="str">
        <f t="shared" si="3"/>
        <v/>
      </c>
      <c r="M452" s="60"/>
      <c r="N452" s="61">
        <f t="shared" si="4"/>
        <v>803.1922432</v>
      </c>
      <c r="O452" s="63">
        <f>if(A452,_xlfn.WORKDAY.INTL(A452,O$5,"1000000",Holidays!A:A)+hour(A452)/24+MINUTE(A452)/1440,"")</f>
        <v>45330.74444</v>
      </c>
      <c r="P452" s="64" t="s">
        <v>2718</v>
      </c>
      <c r="R452" s="66">
        <f t="shared" si="5"/>
        <v>803.2394655</v>
      </c>
      <c r="S452" s="66"/>
      <c r="T452" s="66"/>
      <c r="U452" s="64">
        <f>if(O452,_xlfn.WORKDAY.INTL(O452,U$5,"1000000",Holidays!A:A)+hour(O452)/24+MINUTE(O452)/1440,"")</f>
        <v>45331.74444</v>
      </c>
      <c r="V452" s="64" t="str">
        <f t="shared" si="6"/>
        <v/>
      </c>
      <c r="W452" s="66"/>
      <c r="X452" s="66">
        <f t="shared" si="7"/>
        <v>802.2394655</v>
      </c>
      <c r="Y452" s="66"/>
      <c r="Z452" s="66"/>
      <c r="AA452" s="66"/>
      <c r="AB452" s="63"/>
      <c r="AC452" s="63"/>
      <c r="AD452" s="63"/>
      <c r="AE452" s="63"/>
      <c r="AF452" s="63"/>
      <c r="AG452" s="63"/>
      <c r="AH452" s="63" t="str">
        <f t="shared" si="14"/>
        <v/>
      </c>
      <c r="AI452" s="63" t="str">
        <f>if(AH452,_xlfn.workday.intl(int(AH452),0,"1000000",Holidays!A:A)+18/24,"")</f>
        <v/>
      </c>
      <c r="AJ452" s="64" t="str">
        <f t="shared" si="24"/>
        <v/>
      </c>
      <c r="AL452" s="66" t="str">
        <f t="shared" si="9"/>
        <v/>
      </c>
      <c r="AM452" s="66"/>
      <c r="AN452" s="63" t="str">
        <f>if(AJ452,if(and(hour(AJ452+AN$5)&gt;11,(hour(AJ452+AN$5)&lt;20)),AJ452+AN$5,_xlfn.workday.intl(int(AJ452),1,"1000000",Holidays!A:A)+hour(AJ452+AN$5-$B$1)/24+minute(AJ452)/1440),"")</f>
        <v/>
      </c>
      <c r="AO452" s="64" t="str">
        <f t="shared" si="15"/>
        <v/>
      </c>
      <c r="AQ452" s="66" t="str">
        <f t="shared" si="16"/>
        <v/>
      </c>
      <c r="AR452" s="66"/>
      <c r="AS452" s="63" t="str">
        <f>if(AJ452,if(and(hour(AJ452+AS$5)&gt;11,(hour(AJ452+AS$5)&lt;20)),AJ452+AS$5,_xlfn.workday.intl(int(AJ452),1,"1000000",Holidays!A:A)+hour(AJ452+AS$5-$B$1)/24+minute(AJ452)/1440),"")</f>
        <v/>
      </c>
      <c r="AT452" s="64" t="str">
        <f t="shared" si="21"/>
        <v/>
      </c>
      <c r="AV452" s="66" t="str">
        <f t="shared" si="25"/>
        <v/>
      </c>
      <c r="AW452" s="66"/>
      <c r="AX452" s="56"/>
    </row>
    <row r="453">
      <c r="A453" s="55">
        <v>45329.745304386575</v>
      </c>
      <c r="B453" s="56"/>
      <c r="C453" s="57"/>
      <c r="D453" s="57"/>
      <c r="E453" s="57"/>
      <c r="F453" s="57"/>
      <c r="G453" s="58">
        <f>if(A453,_xlfn.workday.intl(int(A453),1,"1000000",Holidays!A:A)+17/24,"")</f>
        <v>45330.70833</v>
      </c>
      <c r="H453" s="59" t="str">
        <f t="shared" si="23"/>
        <v/>
      </c>
      <c r="I453" s="60"/>
      <c r="J453" s="61">
        <f t="shared" si="2"/>
        <v>803.2755766</v>
      </c>
      <c r="K453" s="58">
        <f>if(G453,_xlfn.workday.intl(int(G453),0,"1000000",Holidays!A:A)+19/24,"")</f>
        <v>45330.79167</v>
      </c>
      <c r="L453" s="59" t="str">
        <f t="shared" si="3"/>
        <v/>
      </c>
      <c r="M453" s="60"/>
      <c r="N453" s="61">
        <f t="shared" si="4"/>
        <v>803.1922432</v>
      </c>
      <c r="O453" s="63">
        <f>if(A453,_xlfn.WORKDAY.INTL(A453,O$5,"1000000",Holidays!A:A)+hour(A453)/24+MINUTE(A453)/1440,"")</f>
        <v>45330.74514</v>
      </c>
      <c r="P453" s="64" t="s">
        <v>2718</v>
      </c>
      <c r="R453" s="66">
        <f t="shared" si="5"/>
        <v>803.238771</v>
      </c>
      <c r="S453" s="66"/>
      <c r="T453" s="66"/>
      <c r="U453" s="64">
        <f>if(O453,_xlfn.WORKDAY.INTL(O453,U$5,"1000000",Holidays!A:A)+hour(O453)/24+MINUTE(O453)/1440,"")</f>
        <v>45331.74514</v>
      </c>
      <c r="V453" s="64" t="str">
        <f t="shared" si="6"/>
        <v/>
      </c>
      <c r="W453" s="66"/>
      <c r="X453" s="66">
        <f t="shared" si="7"/>
        <v>802.238771</v>
      </c>
      <c r="Y453" s="66"/>
      <c r="Z453" s="66"/>
      <c r="AA453" s="66"/>
      <c r="AB453" s="63"/>
      <c r="AC453" s="63"/>
      <c r="AD453" s="63"/>
      <c r="AE453" s="63"/>
      <c r="AF453" s="63"/>
      <c r="AG453" s="63"/>
      <c r="AH453" s="63" t="str">
        <f t="shared" si="14"/>
        <v/>
      </c>
      <c r="AI453" s="63" t="str">
        <f>if(AH453,_xlfn.workday.intl(int(AH453),0,"1000000",Holidays!A:A)+18/24,"")</f>
        <v/>
      </c>
      <c r="AJ453" s="64" t="str">
        <f t="shared" si="24"/>
        <v/>
      </c>
      <c r="AL453" s="66" t="str">
        <f t="shared" si="9"/>
        <v/>
      </c>
      <c r="AM453" s="66"/>
      <c r="AN453" s="63" t="str">
        <f>if(AJ453,if(and(hour(AJ453+AN$5)&gt;11,(hour(AJ453+AN$5)&lt;20)),AJ453+AN$5,_xlfn.workday.intl(int(AJ453),1,"1000000",Holidays!A:A)+hour(AJ453+AN$5-$B$1)/24+minute(AJ453)/1440),"")</f>
        <v/>
      </c>
      <c r="AO453" s="64" t="str">
        <f t="shared" si="15"/>
        <v/>
      </c>
      <c r="AQ453" s="66" t="str">
        <f t="shared" si="16"/>
        <v/>
      </c>
      <c r="AR453" s="66"/>
      <c r="AS453" s="63" t="str">
        <f>if(AJ453,if(and(hour(AJ453+AS$5)&gt;11,(hour(AJ453+AS$5)&lt;20)),AJ453+AS$5,_xlfn.workday.intl(int(AJ453),1,"1000000",Holidays!A:A)+hour(AJ453+AS$5-$B$1)/24+minute(AJ453)/1440),"")</f>
        <v/>
      </c>
      <c r="AT453" s="64" t="str">
        <f t="shared" si="21"/>
        <v/>
      </c>
      <c r="AV453" s="66" t="str">
        <f t="shared" si="25"/>
        <v/>
      </c>
      <c r="AW453" s="66"/>
      <c r="AX453" s="56"/>
    </row>
    <row r="454">
      <c r="A454" s="55">
        <v>45329.74689015046</v>
      </c>
      <c r="B454" s="56"/>
      <c r="C454" s="57"/>
      <c r="D454" s="57"/>
      <c r="E454" s="57"/>
      <c r="F454" s="57"/>
      <c r="G454" s="58">
        <f>if(A454,_xlfn.workday.intl(int(A454),1,"1000000",Holidays!A:A)+17/24,"")</f>
        <v>45330.70833</v>
      </c>
      <c r="H454" s="59" t="str">
        <f t="shared" si="23"/>
        <v/>
      </c>
      <c r="I454" s="60"/>
      <c r="J454" s="61">
        <f t="shared" si="2"/>
        <v>803.2755766</v>
      </c>
      <c r="K454" s="58">
        <f>if(G454,_xlfn.workday.intl(int(G454),0,"1000000",Holidays!A:A)+19/24,"")</f>
        <v>45330.79167</v>
      </c>
      <c r="L454" s="59" t="str">
        <f t="shared" si="3"/>
        <v/>
      </c>
      <c r="M454" s="60"/>
      <c r="N454" s="61">
        <f t="shared" si="4"/>
        <v>803.1922432</v>
      </c>
      <c r="O454" s="63">
        <f>if(A454,_xlfn.WORKDAY.INTL(A454,O$5,"1000000",Holidays!A:A)+hour(A454)/24+MINUTE(A454)/1440,"")</f>
        <v>45330.74653</v>
      </c>
      <c r="P454" s="64" t="s">
        <v>2718</v>
      </c>
      <c r="R454" s="66">
        <f t="shared" si="5"/>
        <v>803.2373821</v>
      </c>
      <c r="S454" s="66"/>
      <c r="T454" s="66"/>
      <c r="U454" s="64">
        <f>if(O454,_xlfn.WORKDAY.INTL(O454,U$5,"1000000",Holidays!A:A)+hour(O454)/24+MINUTE(O454)/1440,"")</f>
        <v>45331.74653</v>
      </c>
      <c r="V454" s="64" t="str">
        <f t="shared" si="6"/>
        <v/>
      </c>
      <c r="W454" s="66"/>
      <c r="X454" s="66">
        <f t="shared" si="7"/>
        <v>802.2373821</v>
      </c>
      <c r="Y454" s="66"/>
      <c r="Z454" s="66"/>
      <c r="AA454" s="66"/>
      <c r="AB454" s="63"/>
      <c r="AC454" s="63"/>
      <c r="AD454" s="63"/>
      <c r="AE454" s="63"/>
      <c r="AF454" s="63"/>
      <c r="AG454" s="63"/>
      <c r="AH454" s="63" t="str">
        <f t="shared" si="14"/>
        <v/>
      </c>
      <c r="AI454" s="63" t="str">
        <f>if(AH454,_xlfn.workday.intl(int(AH454),0,"1000000",Holidays!A:A)+18/24,"")</f>
        <v/>
      </c>
      <c r="AJ454" s="64" t="str">
        <f t="shared" si="24"/>
        <v/>
      </c>
      <c r="AL454" s="66" t="str">
        <f t="shared" si="9"/>
        <v/>
      </c>
      <c r="AM454" s="66"/>
      <c r="AN454" s="63" t="str">
        <f>if(AJ454,if(and(hour(AJ454+AN$5)&gt;11,(hour(AJ454+AN$5)&lt;20)),AJ454+AN$5,_xlfn.workday.intl(int(AJ454),1,"1000000",Holidays!A:A)+hour(AJ454+AN$5-$B$1)/24+minute(AJ454)/1440),"")</f>
        <v/>
      </c>
      <c r="AO454" s="64" t="str">
        <f t="shared" si="15"/>
        <v/>
      </c>
      <c r="AQ454" s="66" t="str">
        <f t="shared" si="16"/>
        <v/>
      </c>
      <c r="AR454" s="66"/>
      <c r="AS454" s="63" t="str">
        <f>if(AJ454,if(and(hour(AJ454+AS$5)&gt;11,(hour(AJ454+AS$5)&lt;20)),AJ454+AS$5,_xlfn.workday.intl(int(AJ454),1,"1000000",Holidays!A:A)+hour(AJ454+AS$5-$B$1)/24+minute(AJ454)/1440),"")</f>
        <v/>
      </c>
      <c r="AT454" s="64" t="str">
        <f t="shared" si="21"/>
        <v/>
      </c>
      <c r="AV454" s="66" t="str">
        <f t="shared" si="25"/>
        <v/>
      </c>
      <c r="AW454" s="66"/>
      <c r="AX454" s="56"/>
    </row>
    <row r="455">
      <c r="A455" s="55">
        <v>45329.749187256944</v>
      </c>
      <c r="B455" s="56"/>
      <c r="C455" s="57"/>
      <c r="D455" s="57"/>
      <c r="E455" s="57"/>
      <c r="F455" s="57"/>
      <c r="G455" s="58">
        <f>if(A455,_xlfn.workday.intl(int(A455),1,"1000000",Holidays!A:A)+17/24,"")</f>
        <v>45330.70833</v>
      </c>
      <c r="H455" s="59" t="str">
        <f t="shared" si="23"/>
        <v/>
      </c>
      <c r="I455" s="60"/>
      <c r="J455" s="61">
        <f t="shared" si="2"/>
        <v>803.2755766</v>
      </c>
      <c r="K455" s="58">
        <f>if(G455,_xlfn.workday.intl(int(G455),0,"1000000",Holidays!A:A)+19/24,"")</f>
        <v>45330.79167</v>
      </c>
      <c r="L455" s="59" t="str">
        <f t="shared" si="3"/>
        <v/>
      </c>
      <c r="M455" s="60"/>
      <c r="N455" s="61">
        <f t="shared" si="4"/>
        <v>803.1922432</v>
      </c>
      <c r="O455" s="63">
        <f>if(A455,_xlfn.WORKDAY.INTL(A455,O$5,"1000000",Holidays!A:A)+hour(A455)/24+MINUTE(A455)/1440,"")</f>
        <v>45330.74861</v>
      </c>
      <c r="P455" s="64" t="s">
        <v>2718</v>
      </c>
      <c r="R455" s="66">
        <f t="shared" si="5"/>
        <v>803.2352988</v>
      </c>
      <c r="S455" s="66"/>
      <c r="T455" s="66"/>
      <c r="U455" s="64">
        <f>if(O455,_xlfn.WORKDAY.INTL(O455,U$5,"1000000",Holidays!A:A)+hour(O455)/24+MINUTE(O455)/1440,"")</f>
        <v>45331.74861</v>
      </c>
      <c r="V455" s="64" t="str">
        <f t="shared" si="6"/>
        <v/>
      </c>
      <c r="W455" s="66"/>
      <c r="X455" s="66">
        <f t="shared" si="7"/>
        <v>802.2352988</v>
      </c>
      <c r="Y455" s="66"/>
      <c r="Z455" s="66"/>
      <c r="AA455" s="66"/>
      <c r="AB455" s="63"/>
      <c r="AC455" s="63"/>
      <c r="AD455" s="63"/>
      <c r="AE455" s="63"/>
      <c r="AF455" s="63"/>
      <c r="AG455" s="63"/>
      <c r="AH455" s="63" t="str">
        <f t="shared" si="14"/>
        <v/>
      </c>
      <c r="AI455" s="63" t="str">
        <f>if(AH455,_xlfn.workday.intl(int(AH455),0,"1000000",Holidays!A:A)+18/24,"")</f>
        <v/>
      </c>
      <c r="AJ455" s="64" t="str">
        <f t="shared" si="24"/>
        <v/>
      </c>
      <c r="AL455" s="66" t="str">
        <f t="shared" si="9"/>
        <v/>
      </c>
      <c r="AM455" s="66"/>
      <c r="AN455" s="63" t="str">
        <f>if(AJ455,if(and(hour(AJ455+AN$5)&gt;11,(hour(AJ455+AN$5)&lt;20)),AJ455+AN$5,_xlfn.workday.intl(int(AJ455),1,"1000000",Holidays!A:A)+hour(AJ455+AN$5-$B$1)/24+minute(AJ455)/1440),"")</f>
        <v/>
      </c>
      <c r="AO455" s="64" t="str">
        <f t="shared" si="15"/>
        <v/>
      </c>
      <c r="AQ455" s="66" t="str">
        <f t="shared" si="16"/>
        <v/>
      </c>
      <c r="AR455" s="66"/>
      <c r="AS455" s="63" t="str">
        <f>if(AJ455,if(and(hour(AJ455+AS$5)&gt;11,(hour(AJ455+AS$5)&lt;20)),AJ455+AS$5,_xlfn.workday.intl(int(AJ455),1,"1000000",Holidays!A:A)+hour(AJ455+AS$5-$B$1)/24+minute(AJ455)/1440),"")</f>
        <v/>
      </c>
      <c r="AT455" s="64" t="str">
        <f t="shared" si="21"/>
        <v/>
      </c>
      <c r="AV455" s="66" t="str">
        <f t="shared" si="25"/>
        <v/>
      </c>
      <c r="AW455" s="66"/>
      <c r="AX455" s="56"/>
    </row>
    <row r="456">
      <c r="A456" s="55">
        <v>45329.7499762963</v>
      </c>
      <c r="B456" s="56"/>
      <c r="C456" s="57"/>
      <c r="D456" s="57"/>
      <c r="E456" s="57"/>
      <c r="F456" s="57"/>
      <c r="G456" s="58">
        <f>if(A456,_xlfn.workday.intl(int(A456),1,"1000000",Holidays!A:A)+17/24,"")</f>
        <v>45330.70833</v>
      </c>
      <c r="H456" s="59" t="str">
        <f t="shared" si="23"/>
        <v/>
      </c>
      <c r="I456" s="60"/>
      <c r="J456" s="61">
        <f t="shared" si="2"/>
        <v>803.2755766</v>
      </c>
      <c r="K456" s="58">
        <f>if(G456,_xlfn.workday.intl(int(G456),0,"1000000",Holidays!A:A)+19/24,"")</f>
        <v>45330.79167</v>
      </c>
      <c r="L456" s="59" t="str">
        <f t="shared" si="3"/>
        <v/>
      </c>
      <c r="M456" s="60"/>
      <c r="N456" s="61">
        <f t="shared" si="4"/>
        <v>803.1922432</v>
      </c>
      <c r="O456" s="63">
        <f>if(A456,_xlfn.WORKDAY.INTL(A456,O$5,"1000000",Holidays!A:A)+hour(A456)/24+MINUTE(A456)/1440,"")</f>
        <v>45330.74931</v>
      </c>
      <c r="P456" s="64" t="s">
        <v>2718</v>
      </c>
      <c r="R456" s="66">
        <f t="shared" si="5"/>
        <v>803.2346043</v>
      </c>
      <c r="S456" s="66"/>
      <c r="T456" s="66"/>
      <c r="U456" s="64">
        <f>if(O456,_xlfn.WORKDAY.INTL(O456,U$5,"1000000",Holidays!A:A)+hour(O456)/24+MINUTE(O456)/1440,"")</f>
        <v>45331.74931</v>
      </c>
      <c r="V456" s="64" t="str">
        <f t="shared" si="6"/>
        <v/>
      </c>
      <c r="W456" s="66"/>
      <c r="X456" s="66">
        <f t="shared" si="7"/>
        <v>802.2346043</v>
      </c>
      <c r="Y456" s="66"/>
      <c r="Z456" s="66"/>
      <c r="AA456" s="66"/>
      <c r="AB456" s="63"/>
      <c r="AC456" s="63"/>
      <c r="AD456" s="63"/>
      <c r="AE456" s="63"/>
      <c r="AF456" s="63"/>
      <c r="AG456" s="63"/>
      <c r="AH456" s="63" t="str">
        <f t="shared" si="14"/>
        <v/>
      </c>
      <c r="AI456" s="63" t="str">
        <f>if(AH456,_xlfn.workday.intl(int(AH456),0,"1000000",Holidays!A:A)+18/24,"")</f>
        <v/>
      </c>
      <c r="AJ456" s="64" t="str">
        <f t="shared" si="24"/>
        <v/>
      </c>
      <c r="AL456" s="66" t="str">
        <f t="shared" si="9"/>
        <v/>
      </c>
      <c r="AM456" s="66"/>
      <c r="AN456" s="63" t="str">
        <f>if(AJ456,if(and(hour(AJ456+AN$5)&gt;11,(hour(AJ456+AN$5)&lt;20)),AJ456+AN$5,_xlfn.workday.intl(int(AJ456),1,"1000000",Holidays!A:A)+hour(AJ456+AN$5-$B$1)/24+minute(AJ456)/1440),"")</f>
        <v/>
      </c>
      <c r="AO456" s="64" t="str">
        <f t="shared" si="15"/>
        <v/>
      </c>
      <c r="AQ456" s="66" t="str">
        <f t="shared" si="16"/>
        <v/>
      </c>
      <c r="AR456" s="66"/>
      <c r="AS456" s="63" t="str">
        <f>if(AJ456,if(and(hour(AJ456+AS$5)&gt;11,(hour(AJ456+AS$5)&lt;20)),AJ456+AS$5,_xlfn.workday.intl(int(AJ456),1,"1000000",Holidays!A:A)+hour(AJ456+AS$5-$B$1)/24+minute(AJ456)/1440),"")</f>
        <v/>
      </c>
      <c r="AT456" s="64" t="str">
        <f t="shared" si="21"/>
        <v/>
      </c>
      <c r="AV456" s="66" t="str">
        <f t="shared" si="25"/>
        <v/>
      </c>
      <c r="AW456" s="66"/>
      <c r="AX456" s="56"/>
    </row>
    <row r="457">
      <c r="A457" s="55">
        <v>45329.751687372685</v>
      </c>
      <c r="B457" s="56"/>
      <c r="C457" s="57"/>
      <c r="D457" s="57"/>
      <c r="E457" s="57"/>
      <c r="F457" s="57"/>
      <c r="G457" s="58">
        <f>if(A457,_xlfn.workday.intl(int(A457),1,"1000000",Holidays!A:A)+17/24,"")</f>
        <v>45330.70833</v>
      </c>
      <c r="H457" s="59" t="str">
        <f t="shared" si="23"/>
        <v/>
      </c>
      <c r="I457" s="60"/>
      <c r="J457" s="61">
        <f t="shared" si="2"/>
        <v>803.2755766</v>
      </c>
      <c r="K457" s="58">
        <f>if(G457,_xlfn.workday.intl(int(G457),0,"1000000",Holidays!A:A)+19/24,"")</f>
        <v>45330.79167</v>
      </c>
      <c r="L457" s="59" t="str">
        <f t="shared" si="3"/>
        <v/>
      </c>
      <c r="M457" s="60"/>
      <c r="N457" s="61">
        <f t="shared" si="4"/>
        <v>803.1922432</v>
      </c>
      <c r="O457" s="63">
        <f>if(A457,_xlfn.WORKDAY.INTL(A457,O$5,"1000000",Holidays!A:A)+hour(A457)/24+MINUTE(A457)/1440,"")</f>
        <v>45330.75139</v>
      </c>
      <c r="P457" s="64" t="s">
        <v>2718</v>
      </c>
      <c r="R457" s="66">
        <f t="shared" si="5"/>
        <v>803.232521</v>
      </c>
      <c r="S457" s="66"/>
      <c r="T457" s="66"/>
      <c r="U457" s="64">
        <f>if(O457,_xlfn.WORKDAY.INTL(O457,U$5,"1000000",Holidays!A:A)+hour(O457)/24+MINUTE(O457)/1440,"")</f>
        <v>45331.75139</v>
      </c>
      <c r="V457" s="64" t="str">
        <f t="shared" si="6"/>
        <v/>
      </c>
      <c r="W457" s="66"/>
      <c r="X457" s="66">
        <f t="shared" si="7"/>
        <v>802.232521</v>
      </c>
      <c r="Y457" s="66"/>
      <c r="Z457" s="66"/>
      <c r="AA457" s="66"/>
      <c r="AB457" s="63"/>
      <c r="AC457" s="63"/>
      <c r="AD457" s="63"/>
      <c r="AE457" s="63"/>
      <c r="AF457" s="63"/>
      <c r="AG457" s="63"/>
      <c r="AH457" s="63" t="str">
        <f t="shared" si="14"/>
        <v/>
      </c>
      <c r="AI457" s="63" t="str">
        <f>if(AH457,_xlfn.workday.intl(int(AH457),0,"1000000",Holidays!A:A)+18/24,"")</f>
        <v/>
      </c>
      <c r="AJ457" s="64" t="str">
        <f t="shared" si="24"/>
        <v/>
      </c>
      <c r="AL457" s="66" t="str">
        <f t="shared" si="9"/>
        <v/>
      </c>
      <c r="AM457" s="66"/>
      <c r="AN457" s="63" t="str">
        <f>if(AJ457,if(and(hour(AJ457+AN$5)&gt;11,(hour(AJ457+AN$5)&lt;20)),AJ457+AN$5,_xlfn.workday.intl(int(AJ457),1,"1000000",Holidays!A:A)+hour(AJ457+AN$5-$B$1)/24+minute(AJ457)/1440),"")</f>
        <v/>
      </c>
      <c r="AO457" s="64" t="str">
        <f t="shared" si="15"/>
        <v/>
      </c>
      <c r="AQ457" s="66" t="str">
        <f t="shared" si="16"/>
        <v/>
      </c>
      <c r="AR457" s="66"/>
      <c r="AS457" s="63" t="str">
        <f>if(AJ457,if(and(hour(AJ457+AS$5)&gt;11,(hour(AJ457+AS$5)&lt;20)),AJ457+AS$5,_xlfn.workday.intl(int(AJ457),1,"1000000",Holidays!A:A)+hour(AJ457+AS$5-$B$1)/24+minute(AJ457)/1440),"")</f>
        <v/>
      </c>
      <c r="AT457" s="64" t="str">
        <f t="shared" si="21"/>
        <v/>
      </c>
      <c r="AV457" s="66" t="str">
        <f t="shared" si="25"/>
        <v/>
      </c>
      <c r="AW457" s="66"/>
      <c r="AX457" s="56"/>
    </row>
    <row r="458">
      <c r="A458" s="55">
        <v>45329.75281954861</v>
      </c>
      <c r="B458" s="56"/>
      <c r="C458" s="57"/>
      <c r="D458" s="57"/>
      <c r="E458" s="57"/>
      <c r="F458" s="57"/>
      <c r="G458" s="58">
        <f>if(A458,_xlfn.workday.intl(int(A458),1,"1000000",Holidays!A:A)+17/24,"")</f>
        <v>45330.70833</v>
      </c>
      <c r="H458" s="59" t="str">
        <f t="shared" si="23"/>
        <v/>
      </c>
      <c r="I458" s="60"/>
      <c r="J458" s="61">
        <f t="shared" si="2"/>
        <v>803.2755766</v>
      </c>
      <c r="K458" s="58">
        <f>if(G458,_xlfn.workday.intl(int(G458),0,"1000000",Holidays!A:A)+19/24,"")</f>
        <v>45330.79167</v>
      </c>
      <c r="L458" s="59" t="str">
        <f t="shared" si="3"/>
        <v/>
      </c>
      <c r="M458" s="60"/>
      <c r="N458" s="61">
        <f t="shared" si="4"/>
        <v>803.1922432</v>
      </c>
      <c r="O458" s="63">
        <f>if(A458,_xlfn.WORKDAY.INTL(A458,O$5,"1000000",Holidays!A:A)+hour(A458)/24+MINUTE(A458)/1440,"")</f>
        <v>45330.75278</v>
      </c>
      <c r="P458" s="64" t="s">
        <v>2718</v>
      </c>
      <c r="R458" s="66">
        <f t="shared" si="5"/>
        <v>803.2311321</v>
      </c>
      <c r="S458" s="66"/>
      <c r="T458" s="66"/>
      <c r="U458" s="64">
        <f>if(O458,_xlfn.WORKDAY.INTL(O458,U$5,"1000000",Holidays!A:A)+hour(O458)/24+MINUTE(O458)/1440,"")</f>
        <v>45331.75278</v>
      </c>
      <c r="V458" s="64" t="str">
        <f t="shared" si="6"/>
        <v/>
      </c>
      <c r="W458" s="66"/>
      <c r="X458" s="66">
        <f t="shared" si="7"/>
        <v>802.2311321</v>
      </c>
      <c r="Y458" s="66"/>
      <c r="Z458" s="66"/>
      <c r="AA458" s="66"/>
      <c r="AB458" s="63"/>
      <c r="AC458" s="63"/>
      <c r="AD458" s="63"/>
      <c r="AE458" s="63"/>
      <c r="AF458" s="63"/>
      <c r="AG458" s="63"/>
      <c r="AH458" s="63" t="str">
        <f t="shared" si="14"/>
        <v/>
      </c>
      <c r="AI458" s="63" t="str">
        <f>if(AH458,_xlfn.workday.intl(int(AH458),0,"1000000",Holidays!A:A)+18/24,"")</f>
        <v/>
      </c>
      <c r="AJ458" s="64" t="str">
        <f t="shared" si="24"/>
        <v/>
      </c>
      <c r="AL458" s="66" t="str">
        <f t="shared" si="9"/>
        <v/>
      </c>
      <c r="AM458" s="66"/>
      <c r="AN458" s="63" t="str">
        <f>if(AJ458,if(and(hour(AJ458+AN$5)&gt;11,(hour(AJ458+AN$5)&lt;20)),AJ458+AN$5,_xlfn.workday.intl(int(AJ458),1,"1000000",Holidays!A:A)+hour(AJ458+AN$5-$B$1)/24+minute(AJ458)/1440),"")</f>
        <v/>
      </c>
      <c r="AO458" s="64" t="str">
        <f t="shared" si="15"/>
        <v/>
      </c>
      <c r="AQ458" s="66" t="str">
        <f t="shared" si="16"/>
        <v/>
      </c>
      <c r="AR458" s="66"/>
      <c r="AS458" s="63" t="str">
        <f>if(AJ458,if(and(hour(AJ458+AS$5)&gt;11,(hour(AJ458+AS$5)&lt;20)),AJ458+AS$5,_xlfn.workday.intl(int(AJ458),1,"1000000",Holidays!A:A)+hour(AJ458+AS$5-$B$1)/24+minute(AJ458)/1440),"")</f>
        <v/>
      </c>
      <c r="AT458" s="64" t="str">
        <f t="shared" si="21"/>
        <v/>
      </c>
      <c r="AV458" s="66" t="str">
        <f t="shared" si="25"/>
        <v/>
      </c>
      <c r="AW458" s="66"/>
      <c r="AX458" s="56"/>
    </row>
    <row r="459">
      <c r="A459" s="55">
        <v>45329.75419361111</v>
      </c>
      <c r="B459" s="56"/>
      <c r="C459" s="57"/>
      <c r="D459" s="57"/>
      <c r="E459" s="57"/>
      <c r="F459" s="57"/>
      <c r="G459" s="58">
        <f>if(A459,_xlfn.workday.intl(int(A459),1,"1000000",Holidays!A:A)+17/24,"")</f>
        <v>45330.70833</v>
      </c>
      <c r="H459" s="59" t="str">
        <f t="shared" si="23"/>
        <v/>
      </c>
      <c r="I459" s="60"/>
      <c r="J459" s="61">
        <f t="shared" si="2"/>
        <v>803.2755766</v>
      </c>
      <c r="K459" s="58">
        <f>if(G459,_xlfn.workday.intl(int(G459),0,"1000000",Holidays!A:A)+19/24,"")</f>
        <v>45330.79167</v>
      </c>
      <c r="L459" s="59" t="str">
        <f t="shared" si="3"/>
        <v/>
      </c>
      <c r="M459" s="60"/>
      <c r="N459" s="61">
        <f t="shared" si="4"/>
        <v>803.1922432</v>
      </c>
      <c r="O459" s="63">
        <f>if(A459,_xlfn.WORKDAY.INTL(A459,O$5,"1000000",Holidays!A:A)+hour(A459)/24+MINUTE(A459)/1440,"")</f>
        <v>45330.75417</v>
      </c>
      <c r="P459" s="64" t="s">
        <v>2718</v>
      </c>
      <c r="R459" s="66">
        <f t="shared" si="5"/>
        <v>803.2297432</v>
      </c>
      <c r="S459" s="66"/>
      <c r="T459" s="66"/>
      <c r="U459" s="64">
        <f>if(O459,_xlfn.WORKDAY.INTL(O459,U$5,"1000000",Holidays!A:A)+hour(O459)/24+MINUTE(O459)/1440,"")</f>
        <v>45331.75417</v>
      </c>
      <c r="V459" s="64" t="str">
        <f t="shared" si="6"/>
        <v/>
      </c>
      <c r="W459" s="66"/>
      <c r="X459" s="66">
        <f t="shared" si="7"/>
        <v>802.2297432</v>
      </c>
      <c r="Y459" s="66"/>
      <c r="Z459" s="66"/>
      <c r="AA459" s="66"/>
      <c r="AB459" s="63"/>
      <c r="AC459" s="63"/>
      <c r="AD459" s="63"/>
      <c r="AE459" s="63"/>
      <c r="AF459" s="63"/>
      <c r="AG459" s="63"/>
      <c r="AH459" s="63" t="str">
        <f t="shared" si="14"/>
        <v/>
      </c>
      <c r="AI459" s="63" t="str">
        <f>if(AH459,_xlfn.workday.intl(int(AH459),0,"1000000",Holidays!A:A)+18/24,"")</f>
        <v/>
      </c>
      <c r="AJ459" s="64" t="str">
        <f t="shared" si="24"/>
        <v/>
      </c>
      <c r="AL459" s="66" t="str">
        <f t="shared" si="9"/>
        <v/>
      </c>
      <c r="AM459" s="66"/>
      <c r="AN459" s="63" t="str">
        <f>if(AJ459,if(and(hour(AJ459+AN$5)&gt;11,(hour(AJ459+AN$5)&lt;20)),AJ459+AN$5,_xlfn.workday.intl(int(AJ459),1,"1000000",Holidays!A:A)+hour(AJ459+AN$5-$B$1)/24+minute(AJ459)/1440),"")</f>
        <v/>
      </c>
      <c r="AO459" s="64" t="str">
        <f t="shared" si="15"/>
        <v/>
      </c>
      <c r="AQ459" s="66" t="str">
        <f t="shared" si="16"/>
        <v/>
      </c>
      <c r="AR459" s="66"/>
      <c r="AS459" s="63" t="str">
        <f>if(AJ459,if(and(hour(AJ459+AS$5)&gt;11,(hour(AJ459+AS$5)&lt;20)),AJ459+AS$5,_xlfn.workday.intl(int(AJ459),1,"1000000",Holidays!A:A)+hour(AJ459+AS$5-$B$1)/24+minute(AJ459)/1440),"")</f>
        <v/>
      </c>
      <c r="AT459" s="64" t="str">
        <f t="shared" si="21"/>
        <v/>
      </c>
      <c r="AV459" s="66" t="str">
        <f t="shared" si="25"/>
        <v/>
      </c>
      <c r="AW459" s="66"/>
      <c r="AX459" s="56"/>
    </row>
    <row r="460">
      <c r="A460" s="55">
        <v>45329.75496173611</v>
      </c>
      <c r="B460" s="56"/>
      <c r="C460" s="57"/>
      <c r="D460" s="57"/>
      <c r="E460" s="57"/>
      <c r="F460" s="57"/>
      <c r="G460" s="58">
        <f>if(A460,_xlfn.workday.intl(int(A460),1,"1000000",Holidays!A:A)+17/24,"")</f>
        <v>45330.70833</v>
      </c>
      <c r="H460" s="59" t="str">
        <f t="shared" si="23"/>
        <v/>
      </c>
      <c r="I460" s="60"/>
      <c r="J460" s="61">
        <f t="shared" si="2"/>
        <v>803.2755766</v>
      </c>
      <c r="K460" s="58">
        <f>if(G460,_xlfn.workday.intl(int(G460),0,"1000000",Holidays!A:A)+19/24,"")</f>
        <v>45330.79167</v>
      </c>
      <c r="L460" s="59" t="str">
        <f t="shared" si="3"/>
        <v/>
      </c>
      <c r="M460" s="60"/>
      <c r="N460" s="61">
        <f t="shared" si="4"/>
        <v>803.1922432</v>
      </c>
      <c r="O460" s="63">
        <f>if(A460,_xlfn.WORKDAY.INTL(A460,O$5,"1000000",Holidays!A:A)+hour(A460)/24+MINUTE(A460)/1440,"")</f>
        <v>45330.75486</v>
      </c>
      <c r="P460" s="64" t="s">
        <v>2718</v>
      </c>
      <c r="R460" s="66">
        <f t="shared" si="5"/>
        <v>803.2290488</v>
      </c>
      <c r="S460" s="66"/>
      <c r="T460" s="66"/>
      <c r="U460" s="64">
        <f>if(O460,_xlfn.WORKDAY.INTL(O460,U$5,"1000000",Holidays!A:A)+hour(O460)/24+MINUTE(O460)/1440,"")</f>
        <v>45331.75486</v>
      </c>
      <c r="V460" s="64" t="str">
        <f t="shared" si="6"/>
        <v/>
      </c>
      <c r="W460" s="66"/>
      <c r="X460" s="66">
        <f t="shared" si="7"/>
        <v>802.2290488</v>
      </c>
      <c r="Y460" s="66"/>
      <c r="Z460" s="66"/>
      <c r="AA460" s="66"/>
      <c r="AB460" s="63"/>
      <c r="AC460" s="63"/>
      <c r="AD460" s="63"/>
      <c r="AE460" s="63"/>
      <c r="AF460" s="63"/>
      <c r="AG460" s="63"/>
      <c r="AH460" s="63" t="str">
        <f t="shared" si="14"/>
        <v/>
      </c>
      <c r="AI460" s="63" t="str">
        <f>if(AH460,_xlfn.workday.intl(int(AH460),0,"1000000",Holidays!A:A)+18/24,"")</f>
        <v/>
      </c>
      <c r="AJ460" s="64" t="str">
        <f t="shared" si="24"/>
        <v/>
      </c>
      <c r="AL460" s="66" t="str">
        <f t="shared" si="9"/>
        <v/>
      </c>
      <c r="AM460" s="66"/>
      <c r="AN460" s="63" t="str">
        <f>if(AJ460,if(and(hour(AJ460+AN$5)&gt;11,(hour(AJ460+AN$5)&lt;20)),AJ460+AN$5,_xlfn.workday.intl(int(AJ460),1,"1000000",Holidays!A:A)+hour(AJ460+AN$5-$B$1)/24+minute(AJ460)/1440),"")</f>
        <v/>
      </c>
      <c r="AO460" s="64" t="str">
        <f t="shared" si="15"/>
        <v/>
      </c>
      <c r="AQ460" s="66" t="str">
        <f t="shared" si="16"/>
        <v/>
      </c>
      <c r="AR460" s="66"/>
      <c r="AS460" s="63" t="str">
        <f>if(AJ460,if(and(hour(AJ460+AS$5)&gt;11,(hour(AJ460+AS$5)&lt;20)),AJ460+AS$5,_xlfn.workday.intl(int(AJ460),1,"1000000",Holidays!A:A)+hour(AJ460+AS$5-$B$1)/24+minute(AJ460)/1440),"")</f>
        <v/>
      </c>
      <c r="AT460" s="64" t="str">
        <f t="shared" si="21"/>
        <v/>
      </c>
      <c r="AV460" s="66" t="str">
        <f t="shared" si="25"/>
        <v/>
      </c>
      <c r="AW460" s="66"/>
      <c r="AX460" s="56"/>
    </row>
    <row r="461">
      <c r="A461" s="55">
        <v>45329.7565766551</v>
      </c>
      <c r="B461" s="56"/>
      <c r="C461" s="57"/>
      <c r="D461" s="57"/>
      <c r="E461" s="57"/>
      <c r="F461" s="57"/>
      <c r="G461" s="58">
        <f>if(A461,_xlfn.workday.intl(int(A461),1,"1000000",Holidays!A:A)+17/24,"")</f>
        <v>45330.70833</v>
      </c>
      <c r="H461" s="59" t="str">
        <f t="shared" si="23"/>
        <v/>
      </c>
      <c r="I461" s="60"/>
      <c r="J461" s="61">
        <f t="shared" si="2"/>
        <v>803.2755766</v>
      </c>
      <c r="K461" s="58">
        <f>if(G461,_xlfn.workday.intl(int(G461),0,"1000000",Holidays!A:A)+19/24,"")</f>
        <v>45330.79167</v>
      </c>
      <c r="L461" s="59" t="str">
        <f t="shared" si="3"/>
        <v/>
      </c>
      <c r="M461" s="60"/>
      <c r="N461" s="61">
        <f t="shared" si="4"/>
        <v>803.1922432</v>
      </c>
      <c r="O461" s="63">
        <f>if(A461,_xlfn.WORKDAY.INTL(A461,O$5,"1000000",Holidays!A:A)+hour(A461)/24+MINUTE(A461)/1440,"")</f>
        <v>45330.75625</v>
      </c>
      <c r="P461" s="64" t="s">
        <v>2718</v>
      </c>
      <c r="R461" s="66">
        <f t="shared" si="5"/>
        <v>803.2276599</v>
      </c>
      <c r="S461" s="66"/>
      <c r="T461" s="66"/>
      <c r="U461" s="64">
        <f>if(O461,_xlfn.WORKDAY.INTL(O461,U$5,"1000000",Holidays!A:A)+hour(O461)/24+MINUTE(O461)/1440,"")</f>
        <v>45331.75625</v>
      </c>
      <c r="V461" s="64" t="str">
        <f t="shared" si="6"/>
        <v/>
      </c>
      <c r="W461" s="66"/>
      <c r="X461" s="66">
        <f t="shared" si="7"/>
        <v>802.2276599</v>
      </c>
      <c r="Y461" s="66"/>
      <c r="Z461" s="66"/>
      <c r="AA461" s="66"/>
      <c r="AB461" s="63"/>
      <c r="AC461" s="63"/>
      <c r="AD461" s="63"/>
      <c r="AE461" s="63"/>
      <c r="AF461" s="63"/>
      <c r="AG461" s="63"/>
      <c r="AH461" s="63" t="str">
        <f t="shared" si="14"/>
        <v/>
      </c>
      <c r="AI461" s="63" t="str">
        <f>if(AH461,_xlfn.workday.intl(int(AH461),0,"1000000",Holidays!A:A)+18/24,"")</f>
        <v/>
      </c>
      <c r="AJ461" s="64" t="str">
        <f t="shared" si="24"/>
        <v/>
      </c>
      <c r="AL461" s="66" t="str">
        <f t="shared" si="9"/>
        <v/>
      </c>
      <c r="AM461" s="66"/>
      <c r="AN461" s="63" t="str">
        <f>if(AJ461,if(and(hour(AJ461+AN$5)&gt;11,(hour(AJ461+AN$5)&lt;20)),AJ461+AN$5,_xlfn.workday.intl(int(AJ461),1,"1000000",Holidays!A:A)+hour(AJ461+AN$5-$B$1)/24+minute(AJ461)/1440),"")</f>
        <v/>
      </c>
      <c r="AO461" s="64" t="str">
        <f t="shared" si="15"/>
        <v/>
      </c>
      <c r="AQ461" s="66" t="str">
        <f t="shared" si="16"/>
        <v/>
      </c>
      <c r="AR461" s="66"/>
      <c r="AS461" s="63" t="str">
        <f>if(AJ461,if(and(hour(AJ461+AS$5)&gt;11,(hour(AJ461+AS$5)&lt;20)),AJ461+AS$5,_xlfn.workday.intl(int(AJ461),1,"1000000",Holidays!A:A)+hour(AJ461+AS$5-$B$1)/24+minute(AJ461)/1440),"")</f>
        <v/>
      </c>
      <c r="AT461" s="64" t="str">
        <f t="shared" si="21"/>
        <v/>
      </c>
      <c r="AV461" s="66" t="str">
        <f t="shared" si="25"/>
        <v/>
      </c>
      <c r="AW461" s="66"/>
      <c r="AX461" s="56"/>
    </row>
    <row r="462">
      <c r="A462" s="55">
        <v>45329.75724960648</v>
      </c>
      <c r="B462" s="56"/>
      <c r="C462" s="57"/>
      <c r="D462" s="57"/>
      <c r="E462" s="57"/>
      <c r="F462" s="57"/>
      <c r="G462" s="58">
        <f>if(A462,_xlfn.workday.intl(int(A462),1,"1000000",Holidays!A:A)+17/24,"")</f>
        <v>45330.70833</v>
      </c>
      <c r="H462" s="59" t="str">
        <f t="shared" si="23"/>
        <v/>
      </c>
      <c r="I462" s="60"/>
      <c r="J462" s="61">
        <f t="shared" si="2"/>
        <v>803.2755766</v>
      </c>
      <c r="K462" s="58">
        <f>if(G462,_xlfn.workday.intl(int(G462),0,"1000000",Holidays!A:A)+19/24,"")</f>
        <v>45330.79167</v>
      </c>
      <c r="L462" s="59" t="str">
        <f t="shared" si="3"/>
        <v/>
      </c>
      <c r="M462" s="60"/>
      <c r="N462" s="61">
        <f t="shared" si="4"/>
        <v>803.1922432</v>
      </c>
      <c r="O462" s="63">
        <f>if(A462,_xlfn.WORKDAY.INTL(A462,O$5,"1000000",Holidays!A:A)+hour(A462)/24+MINUTE(A462)/1440,"")</f>
        <v>45330.75694</v>
      </c>
      <c r="P462" s="64" t="s">
        <v>2718</v>
      </c>
      <c r="R462" s="66">
        <f t="shared" si="5"/>
        <v>803.2269655</v>
      </c>
      <c r="S462" s="66"/>
      <c r="T462" s="66"/>
      <c r="U462" s="64">
        <f>if(O462,_xlfn.WORKDAY.INTL(O462,U$5,"1000000",Holidays!A:A)+hour(O462)/24+MINUTE(O462)/1440,"")</f>
        <v>45331.75694</v>
      </c>
      <c r="V462" s="64" t="str">
        <f t="shared" si="6"/>
        <v/>
      </c>
      <c r="W462" s="66"/>
      <c r="X462" s="66">
        <f t="shared" si="7"/>
        <v>802.2269655</v>
      </c>
      <c r="Y462" s="66"/>
      <c r="Z462" s="66"/>
      <c r="AA462" s="66"/>
      <c r="AB462" s="63"/>
      <c r="AC462" s="63"/>
      <c r="AD462" s="63"/>
      <c r="AE462" s="63"/>
      <c r="AF462" s="63"/>
      <c r="AG462" s="63"/>
      <c r="AH462" s="63" t="str">
        <f t="shared" si="14"/>
        <v/>
      </c>
      <c r="AI462" s="63" t="str">
        <f>if(AH462,_xlfn.workday.intl(int(AH462),0,"1000000",Holidays!A:A)+18/24,"")</f>
        <v/>
      </c>
      <c r="AJ462" s="64" t="str">
        <f t="shared" si="24"/>
        <v/>
      </c>
      <c r="AL462" s="66" t="str">
        <f t="shared" si="9"/>
        <v/>
      </c>
      <c r="AM462" s="66"/>
      <c r="AN462" s="63" t="str">
        <f>if(AJ462,if(and(hour(AJ462+AN$5)&gt;11,(hour(AJ462+AN$5)&lt;20)),AJ462+AN$5,_xlfn.workday.intl(int(AJ462),1,"1000000",Holidays!A:A)+hour(AJ462+AN$5-$B$1)/24+minute(AJ462)/1440),"")</f>
        <v/>
      </c>
      <c r="AO462" s="64" t="str">
        <f t="shared" si="15"/>
        <v/>
      </c>
      <c r="AQ462" s="66" t="str">
        <f t="shared" si="16"/>
        <v/>
      </c>
      <c r="AR462" s="66"/>
      <c r="AS462" s="63" t="str">
        <f>if(AJ462,if(and(hour(AJ462+AS$5)&gt;11,(hour(AJ462+AS$5)&lt;20)),AJ462+AS$5,_xlfn.workday.intl(int(AJ462),1,"1000000",Holidays!A:A)+hour(AJ462+AS$5-$B$1)/24+minute(AJ462)/1440),"")</f>
        <v/>
      </c>
      <c r="AT462" s="64" t="str">
        <f t="shared" si="21"/>
        <v/>
      </c>
      <c r="AV462" s="66" t="str">
        <f t="shared" si="25"/>
        <v/>
      </c>
      <c r="AW462" s="66"/>
      <c r="AX462" s="56"/>
    </row>
    <row r="463">
      <c r="A463" s="55">
        <v>45329.75795326389</v>
      </c>
      <c r="B463" s="56"/>
      <c r="C463" s="57"/>
      <c r="D463" s="57"/>
      <c r="E463" s="57"/>
      <c r="F463" s="57"/>
      <c r="G463" s="58">
        <f>if(A463,_xlfn.workday.intl(int(A463),1,"1000000",Holidays!A:A)+17/24,"")</f>
        <v>45330.70833</v>
      </c>
      <c r="H463" s="59" t="str">
        <f t="shared" si="23"/>
        <v/>
      </c>
      <c r="I463" s="60"/>
      <c r="J463" s="61">
        <f t="shared" si="2"/>
        <v>803.2755766</v>
      </c>
      <c r="K463" s="58">
        <f>if(G463,_xlfn.workday.intl(int(G463),0,"1000000",Holidays!A:A)+19/24,"")</f>
        <v>45330.79167</v>
      </c>
      <c r="L463" s="59" t="str">
        <f t="shared" si="3"/>
        <v/>
      </c>
      <c r="M463" s="60"/>
      <c r="N463" s="61">
        <f t="shared" si="4"/>
        <v>803.1922432</v>
      </c>
      <c r="O463" s="63">
        <f>if(A463,_xlfn.WORKDAY.INTL(A463,O$5,"1000000",Holidays!A:A)+hour(A463)/24+MINUTE(A463)/1440,"")</f>
        <v>45330.75764</v>
      </c>
      <c r="P463" s="64" t="s">
        <v>2718</v>
      </c>
      <c r="R463" s="66">
        <f t="shared" si="5"/>
        <v>803.226271</v>
      </c>
      <c r="S463" s="66"/>
      <c r="T463" s="66"/>
      <c r="U463" s="64">
        <f>if(O463,_xlfn.WORKDAY.INTL(O463,U$5,"1000000",Holidays!A:A)+hour(O463)/24+MINUTE(O463)/1440,"")</f>
        <v>45331.75764</v>
      </c>
      <c r="V463" s="64" t="str">
        <f t="shared" si="6"/>
        <v/>
      </c>
      <c r="W463" s="66"/>
      <c r="X463" s="66">
        <f t="shared" si="7"/>
        <v>802.226271</v>
      </c>
      <c r="Y463" s="66"/>
      <c r="Z463" s="66"/>
      <c r="AA463" s="66"/>
      <c r="AB463" s="63"/>
      <c r="AC463" s="63"/>
      <c r="AD463" s="63"/>
      <c r="AE463" s="63"/>
      <c r="AF463" s="63"/>
      <c r="AG463" s="63"/>
      <c r="AH463" s="63" t="str">
        <f t="shared" si="14"/>
        <v/>
      </c>
      <c r="AI463" s="63" t="str">
        <f>if(AH463,_xlfn.workday.intl(int(AH463),0,"1000000",Holidays!A:A)+18/24,"")</f>
        <v/>
      </c>
      <c r="AJ463" s="64" t="str">
        <f t="shared" si="24"/>
        <v/>
      </c>
      <c r="AL463" s="66" t="str">
        <f t="shared" si="9"/>
        <v/>
      </c>
      <c r="AM463" s="66"/>
      <c r="AN463" s="63" t="str">
        <f>if(AJ463,if(and(hour(AJ463+AN$5)&gt;11,(hour(AJ463+AN$5)&lt;20)),AJ463+AN$5,_xlfn.workday.intl(int(AJ463),1,"1000000",Holidays!A:A)+hour(AJ463+AN$5-$B$1)/24+minute(AJ463)/1440),"")</f>
        <v/>
      </c>
      <c r="AO463" s="64" t="str">
        <f t="shared" si="15"/>
        <v/>
      </c>
      <c r="AQ463" s="66" t="str">
        <f t="shared" si="16"/>
        <v/>
      </c>
      <c r="AR463" s="66"/>
      <c r="AS463" s="63" t="str">
        <f>if(AJ463,if(and(hour(AJ463+AS$5)&gt;11,(hour(AJ463+AS$5)&lt;20)),AJ463+AS$5,_xlfn.workday.intl(int(AJ463),1,"1000000",Holidays!A:A)+hour(AJ463+AS$5-$B$1)/24+minute(AJ463)/1440),"")</f>
        <v/>
      </c>
      <c r="AT463" s="64" t="str">
        <f t="shared" si="21"/>
        <v/>
      </c>
      <c r="AV463" s="66" t="str">
        <f t="shared" si="25"/>
        <v/>
      </c>
      <c r="AW463" s="66"/>
      <c r="AX463" s="56"/>
    </row>
    <row r="464">
      <c r="A464" s="55">
        <v>45329.758543819444</v>
      </c>
      <c r="B464" s="56"/>
      <c r="C464" s="57"/>
      <c r="D464" s="57"/>
      <c r="E464" s="57"/>
      <c r="F464" s="57"/>
      <c r="G464" s="58">
        <f>if(A464,_xlfn.workday.intl(int(A464),1,"1000000",Holidays!A:A)+17/24,"")</f>
        <v>45330.70833</v>
      </c>
      <c r="H464" s="59" t="str">
        <f t="shared" si="23"/>
        <v/>
      </c>
      <c r="I464" s="60"/>
      <c r="J464" s="61">
        <f t="shared" si="2"/>
        <v>803.2755766</v>
      </c>
      <c r="K464" s="58">
        <f>if(G464,_xlfn.workday.intl(int(G464),0,"1000000",Holidays!A:A)+19/24,"")</f>
        <v>45330.79167</v>
      </c>
      <c r="L464" s="59" t="str">
        <f t="shared" si="3"/>
        <v/>
      </c>
      <c r="M464" s="60"/>
      <c r="N464" s="61">
        <f t="shared" si="4"/>
        <v>803.1922432</v>
      </c>
      <c r="O464" s="63">
        <f>if(A464,_xlfn.WORKDAY.INTL(A464,O$5,"1000000",Holidays!A:A)+hour(A464)/24+MINUTE(A464)/1440,"")</f>
        <v>45330.75833</v>
      </c>
      <c r="P464" s="64" t="s">
        <v>2718</v>
      </c>
      <c r="R464" s="66">
        <f t="shared" si="5"/>
        <v>803.2255766</v>
      </c>
      <c r="S464" s="66"/>
      <c r="T464" s="66"/>
      <c r="U464" s="64">
        <f>if(O464,_xlfn.WORKDAY.INTL(O464,U$5,"1000000",Holidays!A:A)+hour(O464)/24+MINUTE(O464)/1440,"")</f>
        <v>45331.75833</v>
      </c>
      <c r="V464" s="64" t="str">
        <f t="shared" si="6"/>
        <v/>
      </c>
      <c r="W464" s="66"/>
      <c r="X464" s="66">
        <f t="shared" si="7"/>
        <v>802.2255766</v>
      </c>
      <c r="Y464" s="66"/>
      <c r="Z464" s="66"/>
      <c r="AA464" s="66"/>
      <c r="AB464" s="63"/>
      <c r="AC464" s="63"/>
      <c r="AD464" s="63"/>
      <c r="AE464" s="63"/>
      <c r="AF464" s="63"/>
      <c r="AG464" s="63"/>
      <c r="AH464" s="63" t="str">
        <f t="shared" si="14"/>
        <v/>
      </c>
      <c r="AI464" s="63" t="str">
        <f>if(AH464,_xlfn.workday.intl(int(AH464),0,"1000000",Holidays!A:A)+18/24,"")</f>
        <v/>
      </c>
      <c r="AJ464" s="64" t="str">
        <f t="shared" si="24"/>
        <v/>
      </c>
      <c r="AL464" s="66" t="str">
        <f t="shared" si="9"/>
        <v/>
      </c>
      <c r="AM464" s="66"/>
      <c r="AN464" s="63" t="str">
        <f>if(AJ464,if(and(hour(AJ464+AN$5)&gt;11,(hour(AJ464+AN$5)&lt;20)),AJ464+AN$5,_xlfn.workday.intl(int(AJ464),1,"1000000",Holidays!A:A)+hour(AJ464+AN$5-$B$1)/24+minute(AJ464)/1440),"")</f>
        <v/>
      </c>
      <c r="AO464" s="64" t="str">
        <f t="shared" si="15"/>
        <v/>
      </c>
      <c r="AQ464" s="66" t="str">
        <f t="shared" si="16"/>
        <v/>
      </c>
      <c r="AR464" s="66"/>
      <c r="AS464" s="63" t="str">
        <f>if(AJ464,if(and(hour(AJ464+AS$5)&gt;11,(hour(AJ464+AS$5)&lt;20)),AJ464+AS$5,_xlfn.workday.intl(int(AJ464),1,"1000000",Holidays!A:A)+hour(AJ464+AS$5-$B$1)/24+minute(AJ464)/1440),"")</f>
        <v/>
      </c>
      <c r="AT464" s="64" t="str">
        <f t="shared" si="21"/>
        <v/>
      </c>
      <c r="AV464" s="66" t="str">
        <f t="shared" si="25"/>
        <v/>
      </c>
      <c r="AW464" s="66"/>
      <c r="AX464" s="56"/>
    </row>
    <row r="465">
      <c r="A465" s="55">
        <v>45330.58246019676</v>
      </c>
      <c r="B465" s="56"/>
      <c r="C465" s="57"/>
      <c r="D465" s="57"/>
      <c r="E465" s="57"/>
      <c r="F465" s="57"/>
      <c r="G465" s="58">
        <f>if(A465,_xlfn.workday.intl(int(A465),1,"1000000",Holidays!A:A)+17/24,"")</f>
        <v>45331.70833</v>
      </c>
      <c r="H465" s="59" t="str">
        <f t="shared" si="23"/>
        <v/>
      </c>
      <c r="I465" s="60"/>
      <c r="J465" s="61">
        <f t="shared" si="2"/>
        <v>802.2755766</v>
      </c>
      <c r="K465" s="58">
        <f>if(G465,_xlfn.workday.intl(int(G465),0,"1000000",Holidays!A:A)+19/24,"")</f>
        <v>45331.79167</v>
      </c>
      <c r="L465" s="59" t="str">
        <f t="shared" si="3"/>
        <v/>
      </c>
      <c r="M465" s="60"/>
      <c r="N465" s="61">
        <f t="shared" si="4"/>
        <v>802.1922432</v>
      </c>
      <c r="O465" s="63">
        <f>if(A465,_xlfn.WORKDAY.INTL(A465,O$5,"1000000",Holidays!A:A)+hour(A465)/24+MINUTE(A465)/1440,"")</f>
        <v>45331.58194</v>
      </c>
      <c r="P465" s="64" t="s">
        <v>2718</v>
      </c>
      <c r="R465" s="66">
        <f t="shared" si="5"/>
        <v>802.4019655</v>
      </c>
      <c r="S465" s="66"/>
      <c r="T465" s="66"/>
      <c r="U465" s="64">
        <f>if(O465,_xlfn.WORKDAY.INTL(O465,U$5,"1000000",Holidays!A:A)+hour(O465)/24+MINUTE(O465)/1440,"")</f>
        <v>45332.58194</v>
      </c>
      <c r="V465" s="64" t="str">
        <f t="shared" si="6"/>
        <v/>
      </c>
      <c r="W465" s="66"/>
      <c r="X465" s="66">
        <f t="shared" si="7"/>
        <v>801.4019655</v>
      </c>
      <c r="Y465" s="66"/>
      <c r="Z465" s="66"/>
      <c r="AA465" s="66"/>
      <c r="AB465" s="63"/>
      <c r="AC465" s="63"/>
      <c r="AD465" s="63"/>
      <c r="AE465" s="63"/>
      <c r="AF465" s="63"/>
      <c r="AG465" s="63"/>
      <c r="AH465" s="63" t="str">
        <f t="shared" si="14"/>
        <v/>
      </c>
      <c r="AI465" s="63" t="str">
        <f>if(AH465,_xlfn.workday.intl(int(AH465),0,"1000000",Holidays!A:A)+18/24,"")</f>
        <v/>
      </c>
      <c r="AJ465" s="64" t="str">
        <f t="shared" si="24"/>
        <v/>
      </c>
      <c r="AL465" s="66" t="str">
        <f t="shared" si="9"/>
        <v/>
      </c>
      <c r="AM465" s="66"/>
      <c r="AN465" s="63" t="str">
        <f>if(AJ465,if(and(hour(AJ465+AN$5)&gt;11,(hour(AJ465+AN$5)&lt;20)),AJ465+AN$5,_xlfn.workday.intl(int(AJ465),1,"1000000",Holidays!A:A)+hour(AJ465+AN$5-$B$1)/24+minute(AJ465)/1440),"")</f>
        <v/>
      </c>
      <c r="AO465" s="64" t="str">
        <f t="shared" si="15"/>
        <v/>
      </c>
      <c r="AQ465" s="66" t="str">
        <f t="shared" si="16"/>
        <v/>
      </c>
      <c r="AR465" s="66"/>
      <c r="AS465" s="63" t="str">
        <f>if(AJ465,if(and(hour(AJ465+AS$5)&gt;11,(hour(AJ465+AS$5)&lt;20)),AJ465+AS$5,_xlfn.workday.intl(int(AJ465),1,"1000000",Holidays!A:A)+hour(AJ465+AS$5-$B$1)/24+minute(AJ465)/1440),"")</f>
        <v/>
      </c>
      <c r="AT465" s="64" t="str">
        <f t="shared" si="21"/>
        <v/>
      </c>
      <c r="AV465" s="66" t="str">
        <f t="shared" si="25"/>
        <v/>
      </c>
      <c r="AW465" s="66"/>
      <c r="AX465" s="56"/>
    </row>
    <row r="466">
      <c r="A466" s="55">
        <v>45330.58393171296</v>
      </c>
      <c r="B466" s="56"/>
      <c r="C466" s="57"/>
      <c r="D466" s="57"/>
      <c r="E466" s="57"/>
      <c r="F466" s="57"/>
      <c r="G466" s="58">
        <f>if(A466,_xlfn.workday.intl(int(A466),1,"1000000",Holidays!A:A)+17/24,"")</f>
        <v>45331.70833</v>
      </c>
      <c r="H466" s="59" t="str">
        <f t="shared" si="23"/>
        <v/>
      </c>
      <c r="I466" s="60"/>
      <c r="J466" s="61">
        <f t="shared" si="2"/>
        <v>802.2755766</v>
      </c>
      <c r="K466" s="58">
        <f>if(G466,_xlfn.workday.intl(int(G466),0,"1000000",Holidays!A:A)+19/24,"")</f>
        <v>45331.79167</v>
      </c>
      <c r="L466" s="59" t="str">
        <f t="shared" si="3"/>
        <v/>
      </c>
      <c r="M466" s="60"/>
      <c r="N466" s="61">
        <f t="shared" si="4"/>
        <v>802.1922432</v>
      </c>
      <c r="O466" s="63">
        <f>if(A466,_xlfn.WORKDAY.INTL(A466,O$5,"1000000",Holidays!A:A)+hour(A466)/24+MINUTE(A466)/1440,"")</f>
        <v>45331.58333</v>
      </c>
      <c r="P466" s="64" t="s">
        <v>2718</v>
      </c>
      <c r="R466" s="66">
        <f t="shared" si="5"/>
        <v>802.4005766</v>
      </c>
      <c r="S466" s="66"/>
      <c r="T466" s="66"/>
      <c r="U466" s="64">
        <f>if(O466,_xlfn.WORKDAY.INTL(O466,U$5,"1000000",Holidays!A:A)+hour(O466)/24+MINUTE(O466)/1440,"")</f>
        <v>45332.58333</v>
      </c>
      <c r="V466" s="64" t="str">
        <f t="shared" si="6"/>
        <v/>
      </c>
      <c r="W466" s="66"/>
      <c r="X466" s="66">
        <f t="shared" si="7"/>
        <v>801.4005766</v>
      </c>
      <c r="Y466" s="66"/>
      <c r="Z466" s="66"/>
      <c r="AA466" s="66"/>
      <c r="AB466" s="63"/>
      <c r="AC466" s="63"/>
      <c r="AD466" s="63"/>
      <c r="AE466" s="63"/>
      <c r="AF466" s="63"/>
      <c r="AG466" s="63"/>
      <c r="AH466" s="63" t="str">
        <f t="shared" si="14"/>
        <v/>
      </c>
      <c r="AI466" s="63" t="str">
        <f>if(AH466,_xlfn.workday.intl(int(AH466),0,"1000000",Holidays!A:A)+18/24,"")</f>
        <v/>
      </c>
      <c r="AJ466" s="64" t="str">
        <f t="shared" si="24"/>
        <v/>
      </c>
      <c r="AL466" s="66" t="str">
        <f t="shared" si="9"/>
        <v/>
      </c>
      <c r="AM466" s="66"/>
      <c r="AN466" s="63" t="str">
        <f>if(AJ466,if(and(hour(AJ466+AN$5)&gt;11,(hour(AJ466+AN$5)&lt;20)),AJ466+AN$5,_xlfn.workday.intl(int(AJ466),1,"1000000",Holidays!A:A)+hour(AJ466+AN$5-$B$1)/24+minute(AJ466)/1440),"")</f>
        <v/>
      </c>
      <c r="AO466" s="64" t="str">
        <f t="shared" si="15"/>
        <v/>
      </c>
      <c r="AQ466" s="66" t="str">
        <f t="shared" si="16"/>
        <v/>
      </c>
      <c r="AR466" s="66"/>
      <c r="AS466" s="63" t="str">
        <f>if(AJ466,if(and(hour(AJ466+AS$5)&gt;11,(hour(AJ466+AS$5)&lt;20)),AJ466+AS$5,_xlfn.workday.intl(int(AJ466),1,"1000000",Holidays!A:A)+hour(AJ466+AS$5-$B$1)/24+minute(AJ466)/1440),"")</f>
        <v/>
      </c>
      <c r="AT466" s="64" t="str">
        <f t="shared" si="21"/>
        <v/>
      </c>
      <c r="AV466" s="66" t="str">
        <f t="shared" si="25"/>
        <v/>
      </c>
      <c r="AW466" s="66"/>
      <c r="AX466" s="56"/>
    </row>
    <row r="467">
      <c r="A467" s="55">
        <v>45330.58537240741</v>
      </c>
      <c r="B467" s="56"/>
      <c r="C467" s="57"/>
      <c r="D467" s="57"/>
      <c r="E467" s="57"/>
      <c r="F467" s="57"/>
      <c r="G467" s="58">
        <f>if(A467,_xlfn.workday.intl(int(A467),1,"1000000",Holidays!A:A)+17/24,"")</f>
        <v>45331.70833</v>
      </c>
      <c r="H467" s="59" t="str">
        <f t="shared" si="23"/>
        <v/>
      </c>
      <c r="I467" s="60"/>
      <c r="J467" s="61">
        <f t="shared" si="2"/>
        <v>802.2755766</v>
      </c>
      <c r="K467" s="58">
        <f>if(G467,_xlfn.workday.intl(int(G467),0,"1000000",Holidays!A:A)+19/24,"")</f>
        <v>45331.79167</v>
      </c>
      <c r="L467" s="59" t="str">
        <f t="shared" si="3"/>
        <v/>
      </c>
      <c r="M467" s="60"/>
      <c r="N467" s="61">
        <f t="shared" si="4"/>
        <v>802.1922432</v>
      </c>
      <c r="O467" s="63">
        <f>if(A467,_xlfn.WORKDAY.INTL(A467,O$5,"1000000",Holidays!A:A)+hour(A467)/24+MINUTE(A467)/1440,"")</f>
        <v>45331.58472</v>
      </c>
      <c r="P467" s="64" t="s">
        <v>2718</v>
      </c>
      <c r="R467" s="66">
        <f t="shared" si="5"/>
        <v>802.3991877</v>
      </c>
      <c r="S467" s="66"/>
      <c r="T467" s="66"/>
      <c r="U467" s="64">
        <f>if(O467,_xlfn.WORKDAY.INTL(O467,U$5,"1000000",Holidays!A:A)+hour(O467)/24+MINUTE(O467)/1440,"")</f>
        <v>45332.58472</v>
      </c>
      <c r="V467" s="64" t="str">
        <f t="shared" si="6"/>
        <v/>
      </c>
      <c r="W467" s="66"/>
      <c r="X467" s="66">
        <f t="shared" si="7"/>
        <v>801.3991877</v>
      </c>
      <c r="Y467" s="66"/>
      <c r="Z467" s="66"/>
      <c r="AA467" s="66"/>
      <c r="AB467" s="63"/>
      <c r="AC467" s="63"/>
      <c r="AD467" s="63"/>
      <c r="AE467" s="63"/>
      <c r="AF467" s="63"/>
      <c r="AG467" s="63"/>
      <c r="AH467" s="63" t="str">
        <f t="shared" si="14"/>
        <v/>
      </c>
      <c r="AI467" s="63" t="str">
        <f>if(AH467,_xlfn.workday.intl(int(AH467),0,"1000000",Holidays!A:A)+18/24,"")</f>
        <v/>
      </c>
      <c r="AJ467" s="64" t="str">
        <f t="shared" si="24"/>
        <v/>
      </c>
      <c r="AL467" s="66" t="str">
        <f t="shared" si="9"/>
        <v/>
      </c>
      <c r="AM467" s="66"/>
      <c r="AN467" s="63" t="str">
        <f>if(AJ467,if(and(hour(AJ467+AN$5)&gt;11,(hour(AJ467+AN$5)&lt;20)),AJ467+AN$5,_xlfn.workday.intl(int(AJ467),1,"1000000",Holidays!A:A)+hour(AJ467+AN$5-$B$1)/24+minute(AJ467)/1440),"")</f>
        <v/>
      </c>
      <c r="AO467" s="64" t="str">
        <f t="shared" si="15"/>
        <v/>
      </c>
      <c r="AQ467" s="66" t="str">
        <f t="shared" si="16"/>
        <v/>
      </c>
      <c r="AR467" s="66"/>
      <c r="AS467" s="63" t="str">
        <f>if(AJ467,if(and(hour(AJ467+AS$5)&gt;11,(hour(AJ467+AS$5)&lt;20)),AJ467+AS$5,_xlfn.workday.intl(int(AJ467),1,"1000000",Holidays!A:A)+hour(AJ467+AS$5-$B$1)/24+minute(AJ467)/1440),"")</f>
        <v/>
      </c>
      <c r="AT467" s="64" t="str">
        <f t="shared" si="21"/>
        <v/>
      </c>
      <c r="AV467" s="66" t="str">
        <f t="shared" si="25"/>
        <v/>
      </c>
      <c r="AW467" s="66"/>
      <c r="AX467" s="56"/>
    </row>
    <row r="468">
      <c r="A468" s="55">
        <v>45330.58719605324</v>
      </c>
      <c r="B468" s="56"/>
      <c r="C468" s="57"/>
      <c r="D468" s="57"/>
      <c r="E468" s="57"/>
      <c r="F468" s="57"/>
      <c r="G468" s="58">
        <f>if(A468,_xlfn.workday.intl(int(A468),1,"1000000",Holidays!A:A)+17/24,"")</f>
        <v>45331.70833</v>
      </c>
      <c r="H468" s="59" t="str">
        <f t="shared" si="23"/>
        <v/>
      </c>
      <c r="I468" s="60"/>
      <c r="J468" s="61">
        <f t="shared" si="2"/>
        <v>802.2755766</v>
      </c>
      <c r="K468" s="58">
        <f>if(G468,_xlfn.workday.intl(int(G468),0,"1000000",Holidays!A:A)+19/24,"")</f>
        <v>45331.79167</v>
      </c>
      <c r="L468" s="59" t="str">
        <f t="shared" si="3"/>
        <v/>
      </c>
      <c r="M468" s="60"/>
      <c r="N468" s="61">
        <f t="shared" si="4"/>
        <v>802.1922432</v>
      </c>
      <c r="O468" s="63">
        <f>if(A468,_xlfn.WORKDAY.INTL(A468,O$5,"1000000",Holidays!A:A)+hour(A468)/24+MINUTE(A468)/1440,"")</f>
        <v>45331.58681</v>
      </c>
      <c r="P468" s="64" t="s">
        <v>2718</v>
      </c>
      <c r="R468" s="66">
        <f t="shared" si="5"/>
        <v>802.3971043</v>
      </c>
      <c r="S468" s="66"/>
      <c r="T468" s="66"/>
      <c r="U468" s="64">
        <f>if(O468,_xlfn.WORKDAY.INTL(O468,U$5,"1000000",Holidays!A:A)+hour(O468)/24+MINUTE(O468)/1440,"")</f>
        <v>45332.58681</v>
      </c>
      <c r="V468" s="64" t="str">
        <f t="shared" si="6"/>
        <v/>
      </c>
      <c r="W468" s="66"/>
      <c r="X468" s="66">
        <f t="shared" si="7"/>
        <v>801.3971043</v>
      </c>
      <c r="Y468" s="66"/>
      <c r="Z468" s="66"/>
      <c r="AA468" s="66"/>
      <c r="AB468" s="63"/>
      <c r="AC468" s="63"/>
      <c r="AD468" s="63"/>
      <c r="AE468" s="63"/>
      <c r="AF468" s="63"/>
      <c r="AG468" s="63"/>
      <c r="AH468" s="63" t="str">
        <f t="shared" si="14"/>
        <v/>
      </c>
      <c r="AI468" s="63" t="str">
        <f>if(AH468,_xlfn.workday.intl(int(AH468),0,"1000000",Holidays!A:A)+18/24,"")</f>
        <v/>
      </c>
      <c r="AJ468" s="64" t="str">
        <f t="shared" si="24"/>
        <v/>
      </c>
      <c r="AL468" s="66" t="str">
        <f t="shared" si="9"/>
        <v/>
      </c>
      <c r="AM468" s="66"/>
      <c r="AN468" s="63" t="str">
        <f>if(AJ468,if(and(hour(AJ468+AN$5)&gt;11,(hour(AJ468+AN$5)&lt;20)),AJ468+AN$5,_xlfn.workday.intl(int(AJ468),1,"1000000",Holidays!A:A)+hour(AJ468+AN$5-$B$1)/24+minute(AJ468)/1440),"")</f>
        <v/>
      </c>
      <c r="AO468" s="64" t="str">
        <f t="shared" si="15"/>
        <v/>
      </c>
      <c r="AQ468" s="66" t="str">
        <f t="shared" si="16"/>
        <v/>
      </c>
      <c r="AR468" s="66"/>
      <c r="AS468" s="63" t="str">
        <f>if(AJ468,if(and(hour(AJ468+AS$5)&gt;11,(hour(AJ468+AS$5)&lt;20)),AJ468+AS$5,_xlfn.workday.intl(int(AJ468),1,"1000000",Holidays!A:A)+hour(AJ468+AS$5-$B$1)/24+minute(AJ468)/1440),"")</f>
        <v/>
      </c>
      <c r="AT468" s="64" t="str">
        <f t="shared" si="21"/>
        <v/>
      </c>
      <c r="AV468" s="66" t="str">
        <f t="shared" si="25"/>
        <v/>
      </c>
      <c r="AW468" s="66"/>
      <c r="AX468" s="56"/>
    </row>
    <row r="469">
      <c r="A469" s="55">
        <v>45330.60603285879</v>
      </c>
      <c r="B469" s="56"/>
      <c r="C469" s="57"/>
      <c r="D469" s="57"/>
      <c r="E469" s="57"/>
      <c r="F469" s="57"/>
      <c r="G469" s="58">
        <f>if(A469,_xlfn.workday.intl(int(A469),1,"1000000",Holidays!A:A)+17/24,"")</f>
        <v>45331.70833</v>
      </c>
      <c r="H469" s="59" t="str">
        <f t="shared" si="23"/>
        <v/>
      </c>
      <c r="I469" s="60"/>
      <c r="J469" s="61">
        <f t="shared" si="2"/>
        <v>802.2755766</v>
      </c>
      <c r="K469" s="58">
        <f>if(G469,_xlfn.workday.intl(int(G469),0,"1000000",Holidays!A:A)+19/24,"")</f>
        <v>45331.79167</v>
      </c>
      <c r="L469" s="59" t="str">
        <f t="shared" si="3"/>
        <v/>
      </c>
      <c r="M469" s="60"/>
      <c r="N469" s="61">
        <f t="shared" si="4"/>
        <v>802.1922432</v>
      </c>
      <c r="O469" s="63">
        <f>if(A469,_xlfn.WORKDAY.INTL(A469,O$5,"1000000",Holidays!A:A)+hour(A469)/24+MINUTE(A469)/1440,"")</f>
        <v>45331.60556</v>
      </c>
      <c r="P469" s="64" t="s">
        <v>2718</v>
      </c>
      <c r="R469" s="66">
        <f t="shared" si="5"/>
        <v>802.3783543</v>
      </c>
      <c r="S469" s="66"/>
      <c r="T469" s="66"/>
      <c r="U469" s="64">
        <f>if(O469,_xlfn.WORKDAY.INTL(O469,U$5,"1000000",Holidays!A:A)+hour(O469)/24+MINUTE(O469)/1440,"")</f>
        <v>45332.60556</v>
      </c>
      <c r="V469" s="64" t="str">
        <f t="shared" si="6"/>
        <v/>
      </c>
      <c r="W469" s="66"/>
      <c r="X469" s="66">
        <f t="shared" si="7"/>
        <v>801.3783543</v>
      </c>
      <c r="Y469" s="66"/>
      <c r="Z469" s="66"/>
      <c r="AA469" s="66"/>
      <c r="AB469" s="63"/>
      <c r="AC469" s="63"/>
      <c r="AD469" s="63"/>
      <c r="AE469" s="63"/>
      <c r="AF469" s="63"/>
      <c r="AG469" s="63"/>
      <c r="AH469" s="63" t="str">
        <f t="shared" si="14"/>
        <v/>
      </c>
      <c r="AI469" s="63" t="str">
        <f>if(AH469,_xlfn.workday.intl(int(AH469),0,"1000000",Holidays!A:A)+18/24,"")</f>
        <v/>
      </c>
      <c r="AJ469" s="64" t="str">
        <f t="shared" si="24"/>
        <v/>
      </c>
      <c r="AL469" s="66" t="str">
        <f t="shared" si="9"/>
        <v/>
      </c>
      <c r="AM469" s="66"/>
      <c r="AN469" s="63" t="str">
        <f>if(AJ469,if(and(hour(AJ469+AN$5)&gt;11,(hour(AJ469+AN$5)&lt;20)),AJ469+AN$5,_xlfn.workday.intl(int(AJ469),1,"1000000",Holidays!A:A)+hour(AJ469+AN$5-$B$1)/24+minute(AJ469)/1440),"")</f>
        <v/>
      </c>
      <c r="AO469" s="64" t="str">
        <f t="shared" si="15"/>
        <v/>
      </c>
      <c r="AQ469" s="66" t="str">
        <f t="shared" si="16"/>
        <v/>
      </c>
      <c r="AR469" s="66"/>
      <c r="AS469" s="63" t="str">
        <f>if(AJ469,if(and(hour(AJ469+AS$5)&gt;11,(hour(AJ469+AS$5)&lt;20)),AJ469+AS$5,_xlfn.workday.intl(int(AJ469),1,"1000000",Holidays!A:A)+hour(AJ469+AS$5-$B$1)/24+minute(AJ469)/1440),"")</f>
        <v/>
      </c>
      <c r="AT469" s="64" t="str">
        <f t="shared" si="21"/>
        <v/>
      </c>
      <c r="AV469" s="66" t="str">
        <f t="shared" si="25"/>
        <v/>
      </c>
      <c r="AW469" s="66"/>
      <c r="AX469" s="56"/>
    </row>
    <row r="470">
      <c r="A470" s="55">
        <v>45330.60722706019</v>
      </c>
      <c r="B470" s="56"/>
      <c r="C470" s="57"/>
      <c r="D470" s="57"/>
      <c r="E470" s="57"/>
      <c r="F470" s="57"/>
      <c r="G470" s="58">
        <f>if(A470,_xlfn.workday.intl(int(A470),1,"1000000",Holidays!A:A)+17/24,"")</f>
        <v>45331.70833</v>
      </c>
      <c r="H470" s="59" t="str">
        <f t="shared" si="23"/>
        <v/>
      </c>
      <c r="I470" s="60"/>
      <c r="J470" s="61">
        <f t="shared" si="2"/>
        <v>802.2755766</v>
      </c>
      <c r="K470" s="58">
        <f>if(G470,_xlfn.workday.intl(int(G470),0,"1000000",Holidays!A:A)+19/24,"")</f>
        <v>45331.79167</v>
      </c>
      <c r="L470" s="59" t="str">
        <f t="shared" si="3"/>
        <v/>
      </c>
      <c r="M470" s="60"/>
      <c r="N470" s="61">
        <f t="shared" si="4"/>
        <v>802.1922432</v>
      </c>
      <c r="O470" s="63">
        <f>if(A470,_xlfn.WORKDAY.INTL(A470,O$5,"1000000",Holidays!A:A)+hour(A470)/24+MINUTE(A470)/1440,"")</f>
        <v>45331.60694</v>
      </c>
      <c r="P470" s="64" t="s">
        <v>2718</v>
      </c>
      <c r="R470" s="66">
        <f t="shared" si="5"/>
        <v>802.3769655</v>
      </c>
      <c r="S470" s="66"/>
      <c r="T470" s="66"/>
      <c r="U470" s="64">
        <f>if(O470,_xlfn.WORKDAY.INTL(O470,U$5,"1000000",Holidays!A:A)+hour(O470)/24+MINUTE(O470)/1440,"")</f>
        <v>45332.60694</v>
      </c>
      <c r="V470" s="64" t="str">
        <f t="shared" si="6"/>
        <v/>
      </c>
      <c r="W470" s="66"/>
      <c r="X470" s="66">
        <f t="shared" si="7"/>
        <v>801.3769655</v>
      </c>
      <c r="Y470" s="66"/>
      <c r="Z470" s="66"/>
      <c r="AA470" s="66"/>
      <c r="AB470" s="63"/>
      <c r="AC470" s="63"/>
      <c r="AD470" s="63"/>
      <c r="AE470" s="63"/>
      <c r="AF470" s="63"/>
      <c r="AG470" s="63"/>
      <c r="AH470" s="63" t="str">
        <f t="shared" si="14"/>
        <v/>
      </c>
      <c r="AI470" s="63" t="str">
        <f>if(AH470,_xlfn.workday.intl(int(AH470),0,"1000000",Holidays!A:A)+18/24,"")</f>
        <v/>
      </c>
      <c r="AJ470" s="64" t="str">
        <f t="shared" si="24"/>
        <v/>
      </c>
      <c r="AL470" s="66" t="str">
        <f t="shared" si="9"/>
        <v/>
      </c>
      <c r="AM470" s="66"/>
      <c r="AN470" s="63" t="str">
        <f>if(AJ470,if(and(hour(AJ470+AN$5)&gt;11,(hour(AJ470+AN$5)&lt;20)),AJ470+AN$5,_xlfn.workday.intl(int(AJ470),1,"1000000",Holidays!A:A)+hour(AJ470+AN$5-$B$1)/24+minute(AJ470)/1440),"")</f>
        <v/>
      </c>
      <c r="AO470" s="64" t="str">
        <f t="shared" si="15"/>
        <v/>
      </c>
      <c r="AQ470" s="66" t="str">
        <f t="shared" si="16"/>
        <v/>
      </c>
      <c r="AR470" s="66"/>
      <c r="AS470" s="63" t="str">
        <f>if(AJ470,if(and(hour(AJ470+AS$5)&gt;11,(hour(AJ470+AS$5)&lt;20)),AJ470+AS$5,_xlfn.workday.intl(int(AJ470),1,"1000000",Holidays!A:A)+hour(AJ470+AS$5-$B$1)/24+minute(AJ470)/1440),"")</f>
        <v/>
      </c>
      <c r="AT470" s="64" t="str">
        <f t="shared" si="21"/>
        <v/>
      </c>
      <c r="AV470" s="66" t="str">
        <f t="shared" si="25"/>
        <v/>
      </c>
      <c r="AW470" s="66"/>
      <c r="AX470" s="56"/>
    </row>
    <row r="471">
      <c r="A471" s="55">
        <v>45330.608416539355</v>
      </c>
      <c r="B471" s="56"/>
      <c r="C471" s="57"/>
      <c r="D471" s="57"/>
      <c r="E471" s="57"/>
      <c r="F471" s="57"/>
      <c r="G471" s="58">
        <f>if(A471,_xlfn.workday.intl(int(A471),1,"1000000",Holidays!A:A)+17/24,"")</f>
        <v>45331.70833</v>
      </c>
      <c r="H471" s="59" t="str">
        <f t="shared" si="23"/>
        <v/>
      </c>
      <c r="I471" s="60"/>
      <c r="J471" s="61">
        <f t="shared" si="2"/>
        <v>802.2755766</v>
      </c>
      <c r="K471" s="58">
        <f>if(G471,_xlfn.workday.intl(int(G471),0,"1000000",Holidays!A:A)+19/24,"")</f>
        <v>45331.79167</v>
      </c>
      <c r="L471" s="59" t="str">
        <f t="shared" si="3"/>
        <v/>
      </c>
      <c r="M471" s="60"/>
      <c r="N471" s="61">
        <f t="shared" si="4"/>
        <v>802.1922432</v>
      </c>
      <c r="O471" s="63">
        <f>if(A471,_xlfn.WORKDAY.INTL(A471,O$5,"1000000",Holidays!A:A)+hour(A471)/24+MINUTE(A471)/1440,"")</f>
        <v>45331.60833</v>
      </c>
      <c r="P471" s="64" t="s">
        <v>2718</v>
      </c>
      <c r="R471" s="66">
        <f t="shared" si="5"/>
        <v>802.3755766</v>
      </c>
      <c r="S471" s="66"/>
      <c r="T471" s="66"/>
      <c r="U471" s="64">
        <f>if(O471,_xlfn.WORKDAY.INTL(O471,U$5,"1000000",Holidays!A:A)+hour(O471)/24+MINUTE(O471)/1440,"")</f>
        <v>45332.60833</v>
      </c>
      <c r="V471" s="64" t="str">
        <f t="shared" si="6"/>
        <v/>
      </c>
      <c r="W471" s="66"/>
      <c r="X471" s="66">
        <f t="shared" si="7"/>
        <v>801.3755766</v>
      </c>
      <c r="Y471" s="66"/>
      <c r="Z471" s="66"/>
      <c r="AA471" s="66"/>
      <c r="AB471" s="63"/>
      <c r="AC471" s="63"/>
      <c r="AD471" s="63"/>
      <c r="AE471" s="63"/>
      <c r="AF471" s="63"/>
      <c r="AG471" s="63"/>
      <c r="AH471" s="63" t="str">
        <f t="shared" si="14"/>
        <v/>
      </c>
      <c r="AI471" s="63" t="str">
        <f>if(AH471,_xlfn.workday.intl(int(AH471),0,"1000000",Holidays!A:A)+18/24,"")</f>
        <v/>
      </c>
      <c r="AJ471" s="64" t="str">
        <f t="shared" si="24"/>
        <v/>
      </c>
      <c r="AL471" s="66" t="str">
        <f t="shared" si="9"/>
        <v/>
      </c>
      <c r="AM471" s="66"/>
      <c r="AN471" s="63" t="str">
        <f>if(AJ471,if(and(hour(AJ471+AN$5)&gt;11,(hour(AJ471+AN$5)&lt;20)),AJ471+AN$5,_xlfn.workday.intl(int(AJ471),1,"1000000",Holidays!A:A)+hour(AJ471+AN$5-$B$1)/24+minute(AJ471)/1440),"")</f>
        <v/>
      </c>
      <c r="AO471" s="64" t="str">
        <f t="shared" si="15"/>
        <v/>
      </c>
      <c r="AQ471" s="66" t="str">
        <f t="shared" si="16"/>
        <v/>
      </c>
      <c r="AR471" s="66"/>
      <c r="AS471" s="63" t="str">
        <f>if(AJ471,if(and(hour(AJ471+AS$5)&gt;11,(hour(AJ471+AS$5)&lt;20)),AJ471+AS$5,_xlfn.workday.intl(int(AJ471),1,"1000000",Holidays!A:A)+hour(AJ471+AS$5-$B$1)/24+minute(AJ471)/1440),"")</f>
        <v/>
      </c>
      <c r="AT471" s="64" t="str">
        <f t="shared" si="21"/>
        <v/>
      </c>
      <c r="AV471" s="66" t="str">
        <f t="shared" si="25"/>
        <v/>
      </c>
      <c r="AW471" s="66"/>
      <c r="AX471" s="56"/>
    </row>
    <row r="472">
      <c r="A472" s="55">
        <v>45330.609684814815</v>
      </c>
      <c r="B472" s="56"/>
      <c r="C472" s="57"/>
      <c r="D472" s="57"/>
      <c r="E472" s="57"/>
      <c r="F472" s="57"/>
      <c r="G472" s="58">
        <f>if(A472,_xlfn.workday.intl(int(A472),1,"1000000",Holidays!A:A)+17/24,"")</f>
        <v>45331.70833</v>
      </c>
      <c r="H472" s="59" t="str">
        <f t="shared" si="23"/>
        <v/>
      </c>
      <c r="I472" s="60"/>
      <c r="J472" s="61">
        <f t="shared" si="2"/>
        <v>802.2755766</v>
      </c>
      <c r="K472" s="58">
        <f>if(G472,_xlfn.workday.intl(int(G472),0,"1000000",Holidays!A:A)+19/24,"")</f>
        <v>45331.79167</v>
      </c>
      <c r="L472" s="59" t="str">
        <f t="shared" si="3"/>
        <v/>
      </c>
      <c r="M472" s="60"/>
      <c r="N472" s="61">
        <f t="shared" si="4"/>
        <v>802.1922432</v>
      </c>
      <c r="O472" s="63">
        <f>if(A472,_xlfn.WORKDAY.INTL(A472,O$5,"1000000",Holidays!A:A)+hour(A472)/24+MINUTE(A472)/1440,"")</f>
        <v>45331.60903</v>
      </c>
      <c r="P472" s="64" t="s">
        <v>2718</v>
      </c>
      <c r="R472" s="66">
        <f t="shared" si="5"/>
        <v>802.3748821</v>
      </c>
      <c r="S472" s="66"/>
      <c r="T472" s="66"/>
      <c r="U472" s="64">
        <f>if(O472,_xlfn.WORKDAY.INTL(O472,U$5,"1000000",Holidays!A:A)+hour(O472)/24+MINUTE(O472)/1440,"")</f>
        <v>45332.60903</v>
      </c>
      <c r="V472" s="64" t="str">
        <f t="shared" si="6"/>
        <v/>
      </c>
      <c r="W472" s="66"/>
      <c r="X472" s="66">
        <f t="shared" si="7"/>
        <v>801.3748821</v>
      </c>
      <c r="Y472" s="66"/>
      <c r="Z472" s="66"/>
      <c r="AA472" s="66"/>
      <c r="AB472" s="63"/>
      <c r="AC472" s="63"/>
      <c r="AD472" s="63"/>
      <c r="AE472" s="63"/>
      <c r="AF472" s="63"/>
      <c r="AG472" s="63"/>
      <c r="AH472" s="63" t="str">
        <f t="shared" si="14"/>
        <v/>
      </c>
      <c r="AI472" s="63" t="str">
        <f>if(AH472,_xlfn.workday.intl(int(AH472),0,"1000000",Holidays!A:A)+18/24,"")</f>
        <v/>
      </c>
      <c r="AJ472" s="64" t="str">
        <f t="shared" si="24"/>
        <v/>
      </c>
      <c r="AL472" s="66" t="str">
        <f t="shared" si="9"/>
        <v/>
      </c>
      <c r="AM472" s="66"/>
      <c r="AN472" s="63" t="str">
        <f>if(AJ472,if(and(hour(AJ472+AN$5)&gt;11,(hour(AJ472+AN$5)&lt;20)),AJ472+AN$5,_xlfn.workday.intl(int(AJ472),1,"1000000",Holidays!A:A)+hour(AJ472+AN$5-$B$1)/24+minute(AJ472)/1440),"")</f>
        <v/>
      </c>
      <c r="AO472" s="64" t="str">
        <f t="shared" si="15"/>
        <v/>
      </c>
      <c r="AQ472" s="66" t="str">
        <f t="shared" si="16"/>
        <v/>
      </c>
      <c r="AR472" s="66"/>
      <c r="AS472" s="63" t="str">
        <f>if(AJ472,if(and(hour(AJ472+AS$5)&gt;11,(hour(AJ472+AS$5)&lt;20)),AJ472+AS$5,_xlfn.workday.intl(int(AJ472),1,"1000000",Holidays!A:A)+hour(AJ472+AS$5-$B$1)/24+minute(AJ472)/1440),"")</f>
        <v/>
      </c>
      <c r="AT472" s="64" t="str">
        <f t="shared" si="21"/>
        <v/>
      </c>
      <c r="AV472" s="66" t="str">
        <f t="shared" si="25"/>
        <v/>
      </c>
      <c r="AW472" s="66"/>
      <c r="AX472" s="56"/>
    </row>
    <row r="473">
      <c r="A473" s="55">
        <v>45330.61564618055</v>
      </c>
      <c r="B473" s="56"/>
      <c r="C473" s="57"/>
      <c r="D473" s="57"/>
      <c r="E473" s="57"/>
      <c r="F473" s="57"/>
      <c r="G473" s="58">
        <f>if(A473,_xlfn.workday.intl(int(A473),1,"1000000",Holidays!A:A)+17/24,"")</f>
        <v>45331.70833</v>
      </c>
      <c r="H473" s="59" t="str">
        <f t="shared" si="23"/>
        <v/>
      </c>
      <c r="I473" s="60"/>
      <c r="J473" s="61">
        <f t="shared" si="2"/>
        <v>802.2755766</v>
      </c>
      <c r="K473" s="58">
        <f>if(G473,_xlfn.workday.intl(int(G473),0,"1000000",Holidays!A:A)+19/24,"")</f>
        <v>45331.79167</v>
      </c>
      <c r="L473" s="59" t="str">
        <f t="shared" si="3"/>
        <v/>
      </c>
      <c r="M473" s="60"/>
      <c r="N473" s="61">
        <f t="shared" si="4"/>
        <v>802.1922432</v>
      </c>
      <c r="O473" s="63">
        <f>if(A473,_xlfn.WORKDAY.INTL(A473,O$5,"1000000",Holidays!A:A)+hour(A473)/24+MINUTE(A473)/1440,"")</f>
        <v>45331.61528</v>
      </c>
      <c r="P473" s="64" t="s">
        <v>2718</v>
      </c>
      <c r="R473" s="66">
        <f t="shared" si="5"/>
        <v>802.3686321</v>
      </c>
      <c r="S473" s="66"/>
      <c r="T473" s="66"/>
      <c r="U473" s="64">
        <f>if(O473,_xlfn.WORKDAY.INTL(O473,U$5,"1000000",Holidays!A:A)+hour(O473)/24+MINUTE(O473)/1440,"")</f>
        <v>45332.61528</v>
      </c>
      <c r="V473" s="64" t="str">
        <f t="shared" si="6"/>
        <v/>
      </c>
      <c r="W473" s="66"/>
      <c r="X473" s="66">
        <f t="shared" si="7"/>
        <v>801.3686321</v>
      </c>
      <c r="Y473" s="66"/>
      <c r="Z473" s="66"/>
      <c r="AA473" s="66"/>
      <c r="AB473" s="63"/>
      <c r="AC473" s="63"/>
      <c r="AD473" s="63"/>
      <c r="AE473" s="63"/>
      <c r="AF473" s="63"/>
      <c r="AG473" s="63"/>
      <c r="AH473" s="63" t="str">
        <f t="shared" si="14"/>
        <v/>
      </c>
      <c r="AI473" s="63" t="str">
        <f>if(AH473,_xlfn.workday.intl(int(AH473),0,"1000000",Holidays!A:A)+18/24,"")</f>
        <v/>
      </c>
      <c r="AJ473" s="64" t="str">
        <f t="shared" si="24"/>
        <v/>
      </c>
      <c r="AL473" s="66" t="str">
        <f t="shared" si="9"/>
        <v/>
      </c>
      <c r="AM473" s="66"/>
      <c r="AN473" s="63" t="str">
        <f>if(AJ473,if(and(hour(AJ473+AN$5)&gt;11,(hour(AJ473+AN$5)&lt;20)),AJ473+AN$5,_xlfn.workday.intl(int(AJ473),1,"1000000",Holidays!A:A)+hour(AJ473+AN$5-$B$1)/24+minute(AJ473)/1440),"")</f>
        <v/>
      </c>
      <c r="AO473" s="64" t="str">
        <f t="shared" si="15"/>
        <v/>
      </c>
      <c r="AQ473" s="66" t="str">
        <f t="shared" si="16"/>
        <v/>
      </c>
      <c r="AR473" s="66"/>
      <c r="AS473" s="63" t="str">
        <f>if(AJ473,if(and(hour(AJ473+AS$5)&gt;11,(hour(AJ473+AS$5)&lt;20)),AJ473+AS$5,_xlfn.workday.intl(int(AJ473),1,"1000000",Holidays!A:A)+hour(AJ473+AS$5-$B$1)/24+minute(AJ473)/1440),"")</f>
        <v/>
      </c>
      <c r="AT473" s="64" t="str">
        <f t="shared" si="21"/>
        <v/>
      </c>
      <c r="AV473" s="66" t="str">
        <f t="shared" si="25"/>
        <v/>
      </c>
      <c r="AW473" s="66"/>
      <c r="AX473" s="56"/>
    </row>
    <row r="474">
      <c r="A474" s="55">
        <v>45330.61679424769</v>
      </c>
      <c r="B474" s="56"/>
      <c r="C474" s="57"/>
      <c r="D474" s="57"/>
      <c r="E474" s="57"/>
      <c r="F474" s="57"/>
      <c r="G474" s="58">
        <f>if(A474,_xlfn.workday.intl(int(A474),1,"1000000",Holidays!A:A)+17/24,"")</f>
        <v>45331.70833</v>
      </c>
      <c r="H474" s="59" t="str">
        <f t="shared" si="23"/>
        <v/>
      </c>
      <c r="I474" s="60"/>
      <c r="J474" s="61">
        <f t="shared" si="2"/>
        <v>802.2755766</v>
      </c>
      <c r="K474" s="58">
        <f>if(G474,_xlfn.workday.intl(int(G474),0,"1000000",Holidays!A:A)+19/24,"")</f>
        <v>45331.79167</v>
      </c>
      <c r="L474" s="59" t="str">
        <f t="shared" si="3"/>
        <v/>
      </c>
      <c r="M474" s="60"/>
      <c r="N474" s="61">
        <f t="shared" si="4"/>
        <v>802.1922432</v>
      </c>
      <c r="O474" s="63">
        <f>if(A474,_xlfn.WORKDAY.INTL(A474,O$5,"1000000",Holidays!A:A)+hour(A474)/24+MINUTE(A474)/1440,"")</f>
        <v>45331.61667</v>
      </c>
      <c r="P474" s="64" t="s">
        <v>2718</v>
      </c>
      <c r="R474" s="66">
        <f t="shared" si="5"/>
        <v>802.3672432</v>
      </c>
      <c r="S474" s="66"/>
      <c r="T474" s="66"/>
      <c r="U474" s="64">
        <f>if(O474,_xlfn.WORKDAY.INTL(O474,U$5,"1000000",Holidays!A:A)+hour(O474)/24+MINUTE(O474)/1440,"")</f>
        <v>45332.61667</v>
      </c>
      <c r="V474" s="64" t="str">
        <f t="shared" si="6"/>
        <v/>
      </c>
      <c r="W474" s="66"/>
      <c r="X474" s="66">
        <f t="shared" si="7"/>
        <v>801.3672432</v>
      </c>
      <c r="Y474" s="66"/>
      <c r="Z474" s="66"/>
      <c r="AA474" s="66"/>
      <c r="AB474" s="63"/>
      <c r="AC474" s="63"/>
      <c r="AD474" s="63"/>
      <c r="AE474" s="63"/>
      <c r="AF474" s="63"/>
      <c r="AG474" s="63"/>
      <c r="AH474" s="63" t="str">
        <f t="shared" si="14"/>
        <v/>
      </c>
      <c r="AI474" s="63" t="str">
        <f>if(AH474,_xlfn.workday.intl(int(AH474),0,"1000000",Holidays!A:A)+18/24,"")</f>
        <v/>
      </c>
      <c r="AJ474" s="64" t="str">
        <f t="shared" si="24"/>
        <v/>
      </c>
      <c r="AL474" s="66" t="str">
        <f t="shared" si="9"/>
        <v/>
      </c>
      <c r="AM474" s="66"/>
      <c r="AN474" s="63" t="str">
        <f>if(AJ474,if(and(hour(AJ474+AN$5)&gt;11,(hour(AJ474+AN$5)&lt;20)),AJ474+AN$5,_xlfn.workday.intl(int(AJ474),1,"1000000",Holidays!A:A)+hour(AJ474+AN$5-$B$1)/24+minute(AJ474)/1440),"")</f>
        <v/>
      </c>
      <c r="AO474" s="64" t="str">
        <f t="shared" si="15"/>
        <v/>
      </c>
      <c r="AQ474" s="66" t="str">
        <f t="shared" si="16"/>
        <v/>
      </c>
      <c r="AR474" s="66"/>
      <c r="AS474" s="63" t="str">
        <f>if(AJ474,if(and(hour(AJ474+AS$5)&gt;11,(hour(AJ474+AS$5)&lt;20)),AJ474+AS$5,_xlfn.workday.intl(int(AJ474),1,"1000000",Holidays!A:A)+hour(AJ474+AS$5-$B$1)/24+minute(AJ474)/1440),"")</f>
        <v/>
      </c>
      <c r="AT474" s="64" t="str">
        <f t="shared" si="21"/>
        <v/>
      </c>
      <c r="AV474" s="66" t="str">
        <f t="shared" si="25"/>
        <v/>
      </c>
      <c r="AW474" s="66"/>
      <c r="AX474" s="56"/>
    </row>
    <row r="475">
      <c r="A475" s="55">
        <v>45330.61771597222</v>
      </c>
      <c r="B475" s="56"/>
      <c r="C475" s="57"/>
      <c r="D475" s="57"/>
      <c r="E475" s="57"/>
      <c r="F475" s="57"/>
      <c r="G475" s="58">
        <f>if(A475,_xlfn.workday.intl(int(A475),1,"1000000",Holidays!A:A)+17/24,"")</f>
        <v>45331.70833</v>
      </c>
      <c r="H475" s="59" t="str">
        <f t="shared" si="23"/>
        <v/>
      </c>
      <c r="I475" s="60"/>
      <c r="J475" s="61">
        <f t="shared" si="2"/>
        <v>802.2755766</v>
      </c>
      <c r="K475" s="58">
        <f>if(G475,_xlfn.workday.intl(int(G475),0,"1000000",Holidays!A:A)+19/24,"")</f>
        <v>45331.79167</v>
      </c>
      <c r="L475" s="59" t="str">
        <f t="shared" si="3"/>
        <v/>
      </c>
      <c r="M475" s="60"/>
      <c r="N475" s="61">
        <f t="shared" si="4"/>
        <v>802.1922432</v>
      </c>
      <c r="O475" s="63">
        <f>if(A475,_xlfn.WORKDAY.INTL(A475,O$5,"1000000",Holidays!A:A)+hour(A475)/24+MINUTE(A475)/1440,"")</f>
        <v>45331.61736</v>
      </c>
      <c r="P475" s="64" t="s">
        <v>2718</v>
      </c>
      <c r="R475" s="66">
        <f t="shared" si="5"/>
        <v>802.3665488</v>
      </c>
      <c r="S475" s="66"/>
      <c r="T475" s="66"/>
      <c r="U475" s="64">
        <f>if(O475,_xlfn.WORKDAY.INTL(O475,U$5,"1000000",Holidays!A:A)+hour(O475)/24+MINUTE(O475)/1440,"")</f>
        <v>45332.61736</v>
      </c>
      <c r="V475" s="64" t="str">
        <f t="shared" si="6"/>
        <v/>
      </c>
      <c r="W475" s="66"/>
      <c r="X475" s="66">
        <f t="shared" si="7"/>
        <v>801.3665488</v>
      </c>
      <c r="Y475" s="66"/>
      <c r="Z475" s="66"/>
      <c r="AA475" s="66"/>
      <c r="AB475" s="63"/>
      <c r="AC475" s="63"/>
      <c r="AD475" s="63"/>
      <c r="AE475" s="63"/>
      <c r="AF475" s="63"/>
      <c r="AG475" s="63"/>
      <c r="AH475" s="63" t="str">
        <f t="shared" si="14"/>
        <v/>
      </c>
      <c r="AI475" s="63" t="str">
        <f>if(AH475,_xlfn.workday.intl(int(AH475),0,"1000000",Holidays!A:A)+18/24,"")</f>
        <v/>
      </c>
      <c r="AJ475" s="64" t="str">
        <f t="shared" si="24"/>
        <v/>
      </c>
      <c r="AL475" s="66" t="str">
        <f t="shared" si="9"/>
        <v/>
      </c>
      <c r="AM475" s="66"/>
      <c r="AN475" s="63" t="str">
        <f>if(AJ475,if(and(hour(AJ475+AN$5)&gt;11,(hour(AJ475+AN$5)&lt;20)),AJ475+AN$5,_xlfn.workday.intl(int(AJ475),1,"1000000",Holidays!A:A)+hour(AJ475+AN$5-$B$1)/24+minute(AJ475)/1440),"")</f>
        <v/>
      </c>
      <c r="AO475" s="64" t="str">
        <f t="shared" si="15"/>
        <v/>
      </c>
      <c r="AQ475" s="66" t="str">
        <f t="shared" si="16"/>
        <v/>
      </c>
      <c r="AR475" s="66"/>
      <c r="AS475" s="63" t="str">
        <f>if(AJ475,if(and(hour(AJ475+AS$5)&gt;11,(hour(AJ475+AS$5)&lt;20)),AJ475+AS$5,_xlfn.workday.intl(int(AJ475),1,"1000000",Holidays!A:A)+hour(AJ475+AS$5-$B$1)/24+minute(AJ475)/1440),"")</f>
        <v/>
      </c>
      <c r="AT475" s="64" t="str">
        <f t="shared" si="21"/>
        <v/>
      </c>
      <c r="AV475" s="66" t="str">
        <f t="shared" si="25"/>
        <v/>
      </c>
      <c r="AW475" s="66"/>
      <c r="AX475" s="56"/>
    </row>
    <row r="476">
      <c r="A476" s="55">
        <v>45330.618624317125</v>
      </c>
      <c r="B476" s="56"/>
      <c r="C476" s="57"/>
      <c r="D476" s="57"/>
      <c r="E476" s="57"/>
      <c r="F476" s="57"/>
      <c r="G476" s="58">
        <f>if(A476,_xlfn.workday.intl(int(A476),1,"1000000",Holidays!A:A)+17/24,"")</f>
        <v>45331.70833</v>
      </c>
      <c r="H476" s="59" t="str">
        <f t="shared" si="23"/>
        <v/>
      </c>
      <c r="I476" s="60"/>
      <c r="J476" s="61">
        <f t="shared" si="2"/>
        <v>802.2755766</v>
      </c>
      <c r="K476" s="58">
        <f>if(G476,_xlfn.workday.intl(int(G476),0,"1000000",Holidays!A:A)+19/24,"")</f>
        <v>45331.79167</v>
      </c>
      <c r="L476" s="59" t="str">
        <f t="shared" si="3"/>
        <v/>
      </c>
      <c r="M476" s="60"/>
      <c r="N476" s="61">
        <f t="shared" si="4"/>
        <v>802.1922432</v>
      </c>
      <c r="O476" s="63">
        <f>if(A476,_xlfn.WORKDAY.INTL(A476,O$5,"1000000",Holidays!A:A)+hour(A476)/24+MINUTE(A476)/1440,"")</f>
        <v>45331.61806</v>
      </c>
      <c r="P476" s="64" t="s">
        <v>2718</v>
      </c>
      <c r="R476" s="66">
        <f t="shared" si="5"/>
        <v>802.3658543</v>
      </c>
      <c r="S476" s="66"/>
      <c r="T476" s="66"/>
      <c r="U476" s="64">
        <f>if(O476,_xlfn.WORKDAY.INTL(O476,U$5,"1000000",Holidays!A:A)+hour(O476)/24+MINUTE(O476)/1440,"")</f>
        <v>45332.61806</v>
      </c>
      <c r="V476" s="64" t="str">
        <f t="shared" si="6"/>
        <v/>
      </c>
      <c r="W476" s="66"/>
      <c r="X476" s="66">
        <f t="shared" si="7"/>
        <v>801.3658543</v>
      </c>
      <c r="Y476" s="66"/>
      <c r="Z476" s="66"/>
      <c r="AA476" s="66"/>
      <c r="AB476" s="63"/>
      <c r="AC476" s="63"/>
      <c r="AD476" s="63"/>
      <c r="AE476" s="63"/>
      <c r="AF476" s="63"/>
      <c r="AG476" s="63"/>
      <c r="AH476" s="63" t="str">
        <f t="shared" si="14"/>
        <v/>
      </c>
      <c r="AI476" s="63" t="str">
        <f>if(AH476,_xlfn.workday.intl(int(AH476),0,"1000000",Holidays!A:A)+18/24,"")</f>
        <v/>
      </c>
      <c r="AJ476" s="64" t="str">
        <f t="shared" si="24"/>
        <v/>
      </c>
      <c r="AL476" s="66" t="str">
        <f t="shared" si="9"/>
        <v/>
      </c>
      <c r="AM476" s="66"/>
      <c r="AN476" s="63" t="str">
        <f>if(AJ476,if(and(hour(AJ476+AN$5)&gt;11,(hour(AJ476+AN$5)&lt;20)),AJ476+AN$5,_xlfn.workday.intl(int(AJ476),1,"1000000",Holidays!A:A)+hour(AJ476+AN$5-$B$1)/24+minute(AJ476)/1440),"")</f>
        <v/>
      </c>
      <c r="AO476" s="64" t="str">
        <f t="shared" si="15"/>
        <v/>
      </c>
      <c r="AQ476" s="66" t="str">
        <f t="shared" si="16"/>
        <v/>
      </c>
      <c r="AR476" s="66"/>
      <c r="AS476" s="63" t="str">
        <f>if(AJ476,if(and(hour(AJ476+AS$5)&gt;11,(hour(AJ476+AS$5)&lt;20)),AJ476+AS$5,_xlfn.workday.intl(int(AJ476),1,"1000000",Holidays!A:A)+hour(AJ476+AS$5-$B$1)/24+minute(AJ476)/1440),"")</f>
        <v/>
      </c>
      <c r="AT476" s="64" t="str">
        <f t="shared" si="21"/>
        <v/>
      </c>
      <c r="AV476" s="66" t="str">
        <f t="shared" si="25"/>
        <v/>
      </c>
      <c r="AW476" s="66"/>
      <c r="AX476" s="56"/>
    </row>
    <row r="477">
      <c r="A477" s="55">
        <v>45330.61945034722</v>
      </c>
      <c r="B477" s="56"/>
      <c r="C477" s="57"/>
      <c r="D477" s="57"/>
      <c r="E477" s="57"/>
      <c r="F477" s="57"/>
      <c r="G477" s="58">
        <f>if(A477,_xlfn.workday.intl(int(A477),1,"1000000",Holidays!A:A)+17/24,"")</f>
        <v>45331.70833</v>
      </c>
      <c r="H477" s="59" t="str">
        <f t="shared" si="23"/>
        <v/>
      </c>
      <c r="I477" s="60"/>
      <c r="J477" s="61">
        <f t="shared" si="2"/>
        <v>802.2755766</v>
      </c>
      <c r="K477" s="58">
        <f>if(G477,_xlfn.workday.intl(int(G477),0,"1000000",Holidays!A:A)+19/24,"")</f>
        <v>45331.79167</v>
      </c>
      <c r="L477" s="59" t="str">
        <f t="shared" si="3"/>
        <v/>
      </c>
      <c r="M477" s="60"/>
      <c r="N477" s="61">
        <f t="shared" si="4"/>
        <v>802.1922432</v>
      </c>
      <c r="O477" s="63">
        <f>if(A477,_xlfn.WORKDAY.INTL(A477,O$5,"1000000",Holidays!A:A)+hour(A477)/24+MINUTE(A477)/1440,"")</f>
        <v>45331.61944</v>
      </c>
      <c r="P477" s="64" t="s">
        <v>2718</v>
      </c>
      <c r="R477" s="66">
        <f t="shared" si="5"/>
        <v>802.3644655</v>
      </c>
      <c r="S477" s="66"/>
      <c r="T477" s="66"/>
      <c r="U477" s="64">
        <f>if(O477,_xlfn.WORKDAY.INTL(O477,U$5,"1000000",Holidays!A:A)+hour(O477)/24+MINUTE(O477)/1440,"")</f>
        <v>45332.61944</v>
      </c>
      <c r="V477" s="64" t="str">
        <f t="shared" si="6"/>
        <v/>
      </c>
      <c r="W477" s="66"/>
      <c r="X477" s="66">
        <f t="shared" si="7"/>
        <v>801.3644655</v>
      </c>
      <c r="Y477" s="66"/>
      <c r="Z477" s="66"/>
      <c r="AA477" s="66"/>
      <c r="AB477" s="63"/>
      <c r="AC477" s="63"/>
      <c r="AD477" s="63"/>
      <c r="AE477" s="63"/>
      <c r="AF477" s="63"/>
      <c r="AG477" s="63"/>
      <c r="AH477" s="63" t="str">
        <f t="shared" si="14"/>
        <v/>
      </c>
      <c r="AI477" s="63" t="str">
        <f>if(AH477,_xlfn.workday.intl(int(AH477),0,"1000000",Holidays!A:A)+18/24,"")</f>
        <v/>
      </c>
      <c r="AJ477" s="64" t="str">
        <f t="shared" si="24"/>
        <v/>
      </c>
      <c r="AL477" s="66" t="str">
        <f t="shared" si="9"/>
        <v/>
      </c>
      <c r="AM477" s="66"/>
      <c r="AN477" s="63" t="str">
        <f>if(AJ477,if(and(hour(AJ477+AN$5)&gt;11,(hour(AJ477+AN$5)&lt;20)),AJ477+AN$5,_xlfn.workday.intl(int(AJ477),1,"1000000",Holidays!A:A)+hour(AJ477+AN$5-$B$1)/24+minute(AJ477)/1440),"")</f>
        <v/>
      </c>
      <c r="AO477" s="64" t="str">
        <f t="shared" si="15"/>
        <v/>
      </c>
      <c r="AQ477" s="66" t="str">
        <f t="shared" si="16"/>
        <v/>
      </c>
      <c r="AR477" s="66"/>
      <c r="AS477" s="63" t="str">
        <f>if(AJ477,if(and(hour(AJ477+AS$5)&gt;11,(hour(AJ477+AS$5)&lt;20)),AJ477+AS$5,_xlfn.workday.intl(int(AJ477),1,"1000000",Holidays!A:A)+hour(AJ477+AS$5-$B$1)/24+minute(AJ477)/1440),"")</f>
        <v/>
      </c>
      <c r="AT477" s="64" t="str">
        <f t="shared" si="21"/>
        <v/>
      </c>
      <c r="AV477" s="66" t="str">
        <f t="shared" si="25"/>
        <v/>
      </c>
      <c r="AW477" s="66"/>
      <c r="AX477" s="56"/>
    </row>
    <row r="478">
      <c r="A478" s="55">
        <v>45330.62187939815</v>
      </c>
      <c r="B478" s="56"/>
      <c r="C478" s="57"/>
      <c r="D478" s="57"/>
      <c r="E478" s="57"/>
      <c r="F478" s="57"/>
      <c r="G478" s="58">
        <f>if(A478,_xlfn.workday.intl(int(A478),1,"1000000",Holidays!A:A)+17/24,"")</f>
        <v>45331.70833</v>
      </c>
      <c r="H478" s="59" t="str">
        <f t="shared" si="23"/>
        <v/>
      </c>
      <c r="I478" s="60"/>
      <c r="J478" s="61">
        <f t="shared" si="2"/>
        <v>802.2755766</v>
      </c>
      <c r="K478" s="58">
        <f>if(G478,_xlfn.workday.intl(int(G478),0,"1000000",Holidays!A:A)+19/24,"")</f>
        <v>45331.79167</v>
      </c>
      <c r="L478" s="59" t="str">
        <f t="shared" si="3"/>
        <v/>
      </c>
      <c r="M478" s="60"/>
      <c r="N478" s="61">
        <f t="shared" si="4"/>
        <v>802.1922432</v>
      </c>
      <c r="O478" s="63">
        <f>if(A478,_xlfn.WORKDAY.INTL(A478,O$5,"1000000",Holidays!A:A)+hour(A478)/24+MINUTE(A478)/1440,"")</f>
        <v>45331.62153</v>
      </c>
      <c r="P478" s="64" t="s">
        <v>2718</v>
      </c>
      <c r="R478" s="66">
        <f t="shared" si="5"/>
        <v>802.3623821</v>
      </c>
      <c r="S478" s="66"/>
      <c r="T478" s="66"/>
      <c r="U478" s="64">
        <f>if(O478,_xlfn.WORKDAY.INTL(O478,U$5,"1000000",Holidays!A:A)+hour(O478)/24+MINUTE(O478)/1440,"")</f>
        <v>45332.62153</v>
      </c>
      <c r="V478" s="64" t="str">
        <f t="shared" si="6"/>
        <v/>
      </c>
      <c r="W478" s="66"/>
      <c r="X478" s="66">
        <f t="shared" si="7"/>
        <v>801.3623821</v>
      </c>
      <c r="Y478" s="66"/>
      <c r="Z478" s="66"/>
      <c r="AA478" s="66"/>
      <c r="AB478" s="63"/>
      <c r="AC478" s="63"/>
      <c r="AD478" s="63"/>
      <c r="AE478" s="63"/>
      <c r="AF478" s="63"/>
      <c r="AG478" s="63"/>
      <c r="AH478" s="63" t="str">
        <f t="shared" si="14"/>
        <v/>
      </c>
      <c r="AI478" s="63" t="str">
        <f>if(AH478,_xlfn.workday.intl(int(AH478),0,"1000000",Holidays!A:A)+18/24,"")</f>
        <v/>
      </c>
      <c r="AJ478" s="64" t="str">
        <f t="shared" si="24"/>
        <v/>
      </c>
      <c r="AL478" s="66" t="str">
        <f t="shared" si="9"/>
        <v/>
      </c>
      <c r="AM478" s="66"/>
      <c r="AN478" s="63" t="str">
        <f>if(AJ478,if(and(hour(AJ478+AN$5)&gt;11,(hour(AJ478+AN$5)&lt;20)),AJ478+AN$5,_xlfn.workday.intl(int(AJ478),1,"1000000",Holidays!A:A)+hour(AJ478+AN$5-$B$1)/24+minute(AJ478)/1440),"")</f>
        <v/>
      </c>
      <c r="AO478" s="64" t="str">
        <f t="shared" si="15"/>
        <v/>
      </c>
      <c r="AQ478" s="66" t="str">
        <f t="shared" si="16"/>
        <v/>
      </c>
      <c r="AR478" s="66"/>
      <c r="AS478" s="63" t="str">
        <f>if(AJ478,if(and(hour(AJ478+AS$5)&gt;11,(hour(AJ478+AS$5)&lt;20)),AJ478+AS$5,_xlfn.workday.intl(int(AJ478),1,"1000000",Holidays!A:A)+hour(AJ478+AS$5-$B$1)/24+minute(AJ478)/1440),"")</f>
        <v/>
      </c>
      <c r="AT478" s="64" t="str">
        <f t="shared" si="21"/>
        <v/>
      </c>
      <c r="AV478" s="66" t="str">
        <f t="shared" si="25"/>
        <v/>
      </c>
      <c r="AW478" s="66"/>
      <c r="AX478" s="56"/>
    </row>
    <row r="479">
      <c r="A479" s="55">
        <v>45330.65968019676</v>
      </c>
      <c r="B479" s="56"/>
      <c r="C479" s="57"/>
      <c r="D479" s="57"/>
      <c r="E479" s="57"/>
      <c r="F479" s="57"/>
      <c r="G479" s="58">
        <f>if(A479,_xlfn.workday.intl(int(A479),1,"1000000",Holidays!A:A)+17/24,"")</f>
        <v>45331.70833</v>
      </c>
      <c r="H479" s="59" t="str">
        <f t="shared" si="23"/>
        <v/>
      </c>
      <c r="I479" s="60"/>
      <c r="J479" s="61">
        <f t="shared" si="2"/>
        <v>802.2755766</v>
      </c>
      <c r="K479" s="58">
        <f>if(G479,_xlfn.workday.intl(int(G479),0,"1000000",Holidays!A:A)+19/24,"")</f>
        <v>45331.79167</v>
      </c>
      <c r="L479" s="59" t="str">
        <f t="shared" si="3"/>
        <v/>
      </c>
      <c r="M479" s="60"/>
      <c r="N479" s="61">
        <f t="shared" si="4"/>
        <v>802.1922432</v>
      </c>
      <c r="O479" s="63">
        <f>if(A479,_xlfn.WORKDAY.INTL(A479,O$5,"1000000",Holidays!A:A)+hour(A479)/24+MINUTE(A479)/1440,"")</f>
        <v>45331.65903</v>
      </c>
      <c r="P479" s="64" t="s">
        <v>2718</v>
      </c>
      <c r="R479" s="66">
        <f t="shared" si="5"/>
        <v>802.3248821</v>
      </c>
      <c r="S479" s="66"/>
      <c r="T479" s="66"/>
      <c r="U479" s="64">
        <f>if(O479,_xlfn.WORKDAY.INTL(O479,U$5,"1000000",Holidays!A:A)+hour(O479)/24+MINUTE(O479)/1440,"")</f>
        <v>45332.65903</v>
      </c>
      <c r="V479" s="64" t="str">
        <f t="shared" si="6"/>
        <v/>
      </c>
      <c r="W479" s="66"/>
      <c r="X479" s="66">
        <f t="shared" si="7"/>
        <v>801.3248821</v>
      </c>
      <c r="Y479" s="66"/>
      <c r="Z479" s="66"/>
      <c r="AA479" s="66"/>
      <c r="AB479" s="63"/>
      <c r="AC479" s="63"/>
      <c r="AD479" s="63"/>
      <c r="AE479" s="63"/>
      <c r="AF479" s="63"/>
      <c r="AG479" s="63"/>
      <c r="AH479" s="63" t="str">
        <f t="shared" si="14"/>
        <v/>
      </c>
      <c r="AI479" s="63" t="str">
        <f>if(AH479,_xlfn.workday.intl(int(AH479),0,"1000000",Holidays!A:A)+18/24,"")</f>
        <v/>
      </c>
      <c r="AJ479" s="64" t="str">
        <f t="shared" si="24"/>
        <v/>
      </c>
      <c r="AL479" s="66" t="str">
        <f t="shared" si="9"/>
        <v/>
      </c>
      <c r="AM479" s="66"/>
      <c r="AN479" s="63" t="str">
        <f>if(AJ479,if(and(hour(AJ479+AN$5)&gt;11,(hour(AJ479+AN$5)&lt;20)),AJ479+AN$5,_xlfn.workday.intl(int(AJ479),1,"1000000",Holidays!A:A)+hour(AJ479+AN$5-$B$1)/24+minute(AJ479)/1440),"")</f>
        <v/>
      </c>
      <c r="AO479" s="64" t="str">
        <f t="shared" si="15"/>
        <v/>
      </c>
      <c r="AQ479" s="66" t="str">
        <f t="shared" si="16"/>
        <v/>
      </c>
      <c r="AR479" s="66"/>
      <c r="AS479" s="63" t="str">
        <f>if(AJ479,if(and(hour(AJ479+AS$5)&gt;11,(hour(AJ479+AS$5)&lt;20)),AJ479+AS$5,_xlfn.workday.intl(int(AJ479),1,"1000000",Holidays!A:A)+hour(AJ479+AS$5-$B$1)/24+minute(AJ479)/1440),"")</f>
        <v/>
      </c>
      <c r="AT479" s="64" t="str">
        <f t="shared" si="21"/>
        <v/>
      </c>
      <c r="AV479" s="66" t="str">
        <f t="shared" si="25"/>
        <v/>
      </c>
      <c r="AW479" s="66"/>
      <c r="AX479" s="56"/>
    </row>
    <row r="480">
      <c r="A480" s="55">
        <v>45330.66071924768</v>
      </c>
      <c r="B480" s="56"/>
      <c r="C480" s="57"/>
      <c r="D480" s="57"/>
      <c r="E480" s="57"/>
      <c r="F480" s="57"/>
      <c r="G480" s="58">
        <f>if(A480,_xlfn.workday.intl(int(A480),1,"1000000",Holidays!A:A)+17/24,"")</f>
        <v>45331.70833</v>
      </c>
      <c r="H480" s="59" t="str">
        <f t="shared" si="23"/>
        <v/>
      </c>
      <c r="I480" s="60"/>
      <c r="J480" s="61">
        <f t="shared" si="2"/>
        <v>802.2755766</v>
      </c>
      <c r="K480" s="58">
        <f>if(G480,_xlfn.workday.intl(int(G480),0,"1000000",Holidays!A:A)+19/24,"")</f>
        <v>45331.79167</v>
      </c>
      <c r="L480" s="59" t="str">
        <f t="shared" si="3"/>
        <v/>
      </c>
      <c r="M480" s="60"/>
      <c r="N480" s="61">
        <f t="shared" si="4"/>
        <v>802.1922432</v>
      </c>
      <c r="O480" s="63">
        <f>if(A480,_xlfn.WORKDAY.INTL(A480,O$5,"1000000",Holidays!A:A)+hour(A480)/24+MINUTE(A480)/1440,"")</f>
        <v>45331.66042</v>
      </c>
      <c r="P480" s="64" t="s">
        <v>2718</v>
      </c>
      <c r="R480" s="66">
        <f t="shared" si="5"/>
        <v>802.3234932</v>
      </c>
      <c r="S480" s="66"/>
      <c r="T480" s="66"/>
      <c r="U480" s="64">
        <f>if(O480,_xlfn.WORKDAY.INTL(O480,U$5,"1000000",Holidays!A:A)+hour(O480)/24+MINUTE(O480)/1440,"")</f>
        <v>45332.66042</v>
      </c>
      <c r="V480" s="64" t="str">
        <f t="shared" si="6"/>
        <v/>
      </c>
      <c r="W480" s="66"/>
      <c r="X480" s="66">
        <f t="shared" si="7"/>
        <v>801.3234932</v>
      </c>
      <c r="Y480" s="66"/>
      <c r="Z480" s="66"/>
      <c r="AA480" s="66"/>
      <c r="AB480" s="63"/>
      <c r="AC480" s="63"/>
      <c r="AD480" s="63"/>
      <c r="AE480" s="63"/>
      <c r="AF480" s="63"/>
      <c r="AG480" s="63"/>
      <c r="AH480" s="63" t="str">
        <f t="shared" si="14"/>
        <v/>
      </c>
      <c r="AI480" s="63" t="str">
        <f>if(AH480,_xlfn.workday.intl(int(AH480),0,"1000000",Holidays!A:A)+18/24,"")</f>
        <v/>
      </c>
      <c r="AJ480" s="64" t="str">
        <f t="shared" si="24"/>
        <v/>
      </c>
      <c r="AL480" s="66" t="str">
        <f t="shared" si="9"/>
        <v/>
      </c>
      <c r="AM480" s="66"/>
      <c r="AN480" s="63" t="str">
        <f>if(AJ480,if(and(hour(AJ480+AN$5)&gt;11,(hour(AJ480+AN$5)&lt;20)),AJ480+AN$5,_xlfn.workday.intl(int(AJ480),1,"1000000",Holidays!A:A)+hour(AJ480+AN$5-$B$1)/24+minute(AJ480)/1440),"")</f>
        <v/>
      </c>
      <c r="AO480" s="64" t="str">
        <f t="shared" si="15"/>
        <v/>
      </c>
      <c r="AQ480" s="66" t="str">
        <f t="shared" si="16"/>
        <v/>
      </c>
      <c r="AR480" s="66"/>
      <c r="AS480" s="63" t="str">
        <f>if(AJ480,if(and(hour(AJ480+AS$5)&gt;11,(hour(AJ480+AS$5)&lt;20)),AJ480+AS$5,_xlfn.workday.intl(int(AJ480),1,"1000000",Holidays!A:A)+hour(AJ480+AS$5-$B$1)/24+minute(AJ480)/1440),"")</f>
        <v/>
      </c>
      <c r="AT480" s="64" t="str">
        <f t="shared" si="21"/>
        <v/>
      </c>
      <c r="AV480" s="66" t="str">
        <f t="shared" si="25"/>
        <v/>
      </c>
      <c r="AW480" s="66"/>
      <c r="AX480" s="56"/>
    </row>
    <row r="481">
      <c r="A481" s="55">
        <v>45330.66184612269</v>
      </c>
      <c r="B481" s="56"/>
      <c r="C481" s="57"/>
      <c r="D481" s="57"/>
      <c r="E481" s="57"/>
      <c r="F481" s="57"/>
      <c r="G481" s="58">
        <f>if(A481,_xlfn.workday.intl(int(A481),1,"1000000",Holidays!A:A)+17/24,"")</f>
        <v>45331.70833</v>
      </c>
      <c r="H481" s="59" t="str">
        <f t="shared" si="23"/>
        <v/>
      </c>
      <c r="I481" s="60"/>
      <c r="J481" s="61">
        <f t="shared" si="2"/>
        <v>802.2755766</v>
      </c>
      <c r="K481" s="58">
        <f>if(G481,_xlfn.workday.intl(int(G481),0,"1000000",Holidays!A:A)+19/24,"")</f>
        <v>45331.79167</v>
      </c>
      <c r="L481" s="59" t="str">
        <f t="shared" si="3"/>
        <v/>
      </c>
      <c r="M481" s="60"/>
      <c r="N481" s="61">
        <f t="shared" si="4"/>
        <v>802.1922432</v>
      </c>
      <c r="O481" s="63">
        <f>if(A481,_xlfn.WORKDAY.INTL(A481,O$5,"1000000",Holidays!A:A)+hour(A481)/24+MINUTE(A481)/1440,"")</f>
        <v>45331.66181</v>
      </c>
      <c r="P481" s="64" t="s">
        <v>2718</v>
      </c>
      <c r="R481" s="66">
        <f t="shared" si="5"/>
        <v>802.3221043</v>
      </c>
      <c r="S481" s="66"/>
      <c r="T481" s="66"/>
      <c r="U481" s="64">
        <f>if(O481,_xlfn.WORKDAY.INTL(O481,U$5,"1000000",Holidays!A:A)+hour(O481)/24+MINUTE(O481)/1440,"")</f>
        <v>45332.66181</v>
      </c>
      <c r="V481" s="64" t="str">
        <f t="shared" si="6"/>
        <v/>
      </c>
      <c r="W481" s="66"/>
      <c r="X481" s="66">
        <f t="shared" si="7"/>
        <v>801.3221043</v>
      </c>
      <c r="Y481" s="66"/>
      <c r="Z481" s="66"/>
      <c r="AA481" s="66"/>
      <c r="AB481" s="63"/>
      <c r="AC481" s="63"/>
      <c r="AD481" s="63"/>
      <c r="AE481" s="63"/>
      <c r="AF481" s="63"/>
      <c r="AG481" s="63"/>
      <c r="AH481" s="63" t="str">
        <f t="shared" si="14"/>
        <v/>
      </c>
      <c r="AI481" s="63" t="str">
        <f>if(AH481,_xlfn.workday.intl(int(AH481),0,"1000000",Holidays!A:A)+18/24,"")</f>
        <v/>
      </c>
      <c r="AJ481" s="64" t="str">
        <f t="shared" si="24"/>
        <v/>
      </c>
      <c r="AL481" s="66" t="str">
        <f t="shared" si="9"/>
        <v/>
      </c>
      <c r="AM481" s="66"/>
      <c r="AN481" s="63" t="str">
        <f>if(AJ481,if(and(hour(AJ481+AN$5)&gt;11,(hour(AJ481+AN$5)&lt;20)),AJ481+AN$5,_xlfn.workday.intl(int(AJ481),1,"1000000",Holidays!A:A)+hour(AJ481+AN$5-$B$1)/24+minute(AJ481)/1440),"")</f>
        <v/>
      </c>
      <c r="AO481" s="64" t="str">
        <f t="shared" si="15"/>
        <v/>
      </c>
      <c r="AQ481" s="66" t="str">
        <f t="shared" si="16"/>
        <v/>
      </c>
      <c r="AR481" s="66"/>
      <c r="AS481" s="63" t="str">
        <f>if(AJ481,if(and(hour(AJ481+AS$5)&gt;11,(hour(AJ481+AS$5)&lt;20)),AJ481+AS$5,_xlfn.workday.intl(int(AJ481),1,"1000000",Holidays!A:A)+hour(AJ481+AS$5-$B$1)/24+minute(AJ481)/1440),"")</f>
        <v/>
      </c>
      <c r="AT481" s="64" t="str">
        <f t="shared" si="21"/>
        <v/>
      </c>
      <c r="AV481" s="66" t="str">
        <f t="shared" si="25"/>
        <v/>
      </c>
      <c r="AW481" s="66"/>
      <c r="AX481" s="56"/>
    </row>
    <row r="482">
      <c r="A482" s="55">
        <v>45330.662813020834</v>
      </c>
      <c r="B482" s="56"/>
      <c r="C482" s="57"/>
      <c r="D482" s="57"/>
      <c r="E482" s="57"/>
      <c r="F482" s="57"/>
      <c r="G482" s="58">
        <f>if(A482,_xlfn.workday.intl(int(A482),1,"1000000",Holidays!A:A)+17/24,"")</f>
        <v>45331.70833</v>
      </c>
      <c r="H482" s="59" t="str">
        <f t="shared" si="23"/>
        <v/>
      </c>
      <c r="I482" s="60"/>
      <c r="J482" s="61">
        <f t="shared" si="2"/>
        <v>802.2755766</v>
      </c>
      <c r="K482" s="58">
        <f>if(G482,_xlfn.workday.intl(int(G482),0,"1000000",Holidays!A:A)+19/24,"")</f>
        <v>45331.79167</v>
      </c>
      <c r="L482" s="59" t="str">
        <f t="shared" si="3"/>
        <v/>
      </c>
      <c r="M482" s="60"/>
      <c r="N482" s="61">
        <f t="shared" si="4"/>
        <v>802.1922432</v>
      </c>
      <c r="O482" s="63">
        <f>if(A482,_xlfn.WORKDAY.INTL(A482,O$5,"1000000",Holidays!A:A)+hour(A482)/24+MINUTE(A482)/1440,"")</f>
        <v>45331.6625</v>
      </c>
      <c r="P482" s="64" t="s">
        <v>2718</v>
      </c>
      <c r="R482" s="66">
        <f t="shared" si="5"/>
        <v>802.3214099</v>
      </c>
      <c r="S482" s="66"/>
      <c r="T482" s="66"/>
      <c r="U482" s="64">
        <f>if(O482,_xlfn.WORKDAY.INTL(O482,U$5,"1000000",Holidays!A:A)+hour(O482)/24+MINUTE(O482)/1440,"")</f>
        <v>45332.6625</v>
      </c>
      <c r="V482" s="64" t="str">
        <f t="shared" si="6"/>
        <v/>
      </c>
      <c r="W482" s="66"/>
      <c r="X482" s="66">
        <f t="shared" si="7"/>
        <v>801.3214099</v>
      </c>
      <c r="Y482" s="66"/>
      <c r="Z482" s="66"/>
      <c r="AA482" s="66"/>
      <c r="AB482" s="63"/>
      <c r="AC482" s="63"/>
      <c r="AD482" s="63"/>
      <c r="AE482" s="63"/>
      <c r="AF482" s="63"/>
      <c r="AG482" s="63"/>
      <c r="AH482" s="63" t="str">
        <f t="shared" si="14"/>
        <v/>
      </c>
      <c r="AI482" s="63" t="str">
        <f>if(AH482,_xlfn.workday.intl(int(AH482),0,"1000000",Holidays!A:A)+18/24,"")</f>
        <v/>
      </c>
      <c r="AJ482" s="64" t="str">
        <f t="shared" si="24"/>
        <v/>
      </c>
      <c r="AL482" s="66" t="str">
        <f t="shared" si="9"/>
        <v/>
      </c>
      <c r="AM482" s="66"/>
      <c r="AN482" s="63" t="str">
        <f>if(AJ482,if(and(hour(AJ482+AN$5)&gt;11,(hour(AJ482+AN$5)&lt;20)),AJ482+AN$5,_xlfn.workday.intl(int(AJ482),1,"1000000",Holidays!A:A)+hour(AJ482+AN$5-$B$1)/24+minute(AJ482)/1440),"")</f>
        <v/>
      </c>
      <c r="AO482" s="64" t="str">
        <f t="shared" si="15"/>
        <v/>
      </c>
      <c r="AQ482" s="66" t="str">
        <f t="shared" si="16"/>
        <v/>
      </c>
      <c r="AR482" s="66"/>
      <c r="AS482" s="63" t="str">
        <f>if(AJ482,if(and(hour(AJ482+AS$5)&gt;11,(hour(AJ482+AS$5)&lt;20)),AJ482+AS$5,_xlfn.workday.intl(int(AJ482),1,"1000000",Holidays!A:A)+hour(AJ482+AS$5-$B$1)/24+minute(AJ482)/1440),"")</f>
        <v/>
      </c>
      <c r="AT482" s="64" t="str">
        <f t="shared" si="21"/>
        <v/>
      </c>
      <c r="AV482" s="66" t="str">
        <f t="shared" si="25"/>
        <v/>
      </c>
      <c r="AW482" s="66"/>
      <c r="AX482" s="56"/>
    </row>
    <row r="483">
      <c r="A483" s="55">
        <v>45330.66625787037</v>
      </c>
      <c r="B483" s="56"/>
      <c r="C483" s="57"/>
      <c r="D483" s="57"/>
      <c r="E483" s="57"/>
      <c r="F483" s="57"/>
      <c r="G483" s="58">
        <f>if(A483,_xlfn.workday.intl(int(A483),1,"1000000",Holidays!A:A)+17/24,"")</f>
        <v>45331.70833</v>
      </c>
      <c r="H483" s="59" t="str">
        <f t="shared" si="23"/>
        <v/>
      </c>
      <c r="I483" s="60"/>
      <c r="J483" s="61">
        <f t="shared" si="2"/>
        <v>802.2755766</v>
      </c>
      <c r="K483" s="58">
        <f>if(G483,_xlfn.workday.intl(int(G483),0,"1000000",Holidays!A:A)+19/24,"")</f>
        <v>45331.79167</v>
      </c>
      <c r="L483" s="59" t="str">
        <f t="shared" si="3"/>
        <v/>
      </c>
      <c r="M483" s="60"/>
      <c r="N483" s="61">
        <f t="shared" si="4"/>
        <v>802.1922432</v>
      </c>
      <c r="O483" s="63">
        <f>if(A483,_xlfn.WORKDAY.INTL(A483,O$5,"1000000",Holidays!A:A)+hour(A483)/24+MINUTE(A483)/1440,"")</f>
        <v>45331.66597</v>
      </c>
      <c r="P483" s="64" t="s">
        <v>2718</v>
      </c>
      <c r="R483" s="66">
        <f t="shared" si="5"/>
        <v>802.3179377</v>
      </c>
      <c r="S483" s="66"/>
      <c r="T483" s="66"/>
      <c r="U483" s="64">
        <f>if(O483,_xlfn.WORKDAY.INTL(O483,U$5,"1000000",Holidays!A:A)+hour(O483)/24+MINUTE(O483)/1440,"")</f>
        <v>45332.66597</v>
      </c>
      <c r="V483" s="64" t="str">
        <f t="shared" si="6"/>
        <v/>
      </c>
      <c r="W483" s="66"/>
      <c r="X483" s="66">
        <f t="shared" si="7"/>
        <v>801.3179377</v>
      </c>
      <c r="Y483" s="66"/>
      <c r="Z483" s="66"/>
      <c r="AA483" s="66"/>
      <c r="AB483" s="63"/>
      <c r="AC483" s="63"/>
      <c r="AD483" s="63"/>
      <c r="AE483" s="63"/>
      <c r="AF483" s="63"/>
      <c r="AG483" s="63"/>
      <c r="AH483" s="63" t="str">
        <f t="shared" si="14"/>
        <v/>
      </c>
      <c r="AI483" s="63" t="str">
        <f>if(AH483,_xlfn.workday.intl(int(AH483),0,"1000000",Holidays!A:A)+18/24,"")</f>
        <v/>
      </c>
      <c r="AJ483" s="64" t="str">
        <f t="shared" si="24"/>
        <v/>
      </c>
      <c r="AL483" s="66" t="str">
        <f t="shared" si="9"/>
        <v/>
      </c>
      <c r="AM483" s="66"/>
      <c r="AN483" s="63" t="str">
        <f>if(AJ483,if(and(hour(AJ483+AN$5)&gt;11,(hour(AJ483+AN$5)&lt;20)),AJ483+AN$5,_xlfn.workday.intl(int(AJ483),1,"1000000",Holidays!A:A)+hour(AJ483+AN$5-$B$1)/24+minute(AJ483)/1440),"")</f>
        <v/>
      </c>
      <c r="AO483" s="64" t="str">
        <f t="shared" si="15"/>
        <v/>
      </c>
      <c r="AQ483" s="66" t="str">
        <f t="shared" si="16"/>
        <v/>
      </c>
      <c r="AR483" s="66"/>
      <c r="AS483" s="63" t="str">
        <f>if(AJ483,if(and(hour(AJ483+AS$5)&gt;11,(hour(AJ483+AS$5)&lt;20)),AJ483+AS$5,_xlfn.workday.intl(int(AJ483),1,"1000000",Holidays!A:A)+hour(AJ483+AS$5-$B$1)/24+minute(AJ483)/1440),"")</f>
        <v/>
      </c>
      <c r="AT483" s="64" t="str">
        <f t="shared" si="21"/>
        <v/>
      </c>
      <c r="AV483" s="66" t="str">
        <f t="shared" si="25"/>
        <v/>
      </c>
      <c r="AW483" s="66"/>
      <c r="AX483" s="56"/>
    </row>
    <row r="484">
      <c r="A484" s="55"/>
      <c r="B484" s="56"/>
      <c r="C484" s="57"/>
      <c r="D484" s="57"/>
      <c r="E484" s="57"/>
      <c r="F484" s="57"/>
      <c r="G484" s="58" t="str">
        <f>if(A484,_xlfn.workday.intl(int(A484),1,"1000000",Holidays!A:A)+17/24,"")</f>
        <v/>
      </c>
      <c r="H484" s="59" t="str">
        <f t="shared" si="23"/>
        <v/>
      </c>
      <c r="I484" s="60"/>
      <c r="J484" s="61" t="str">
        <f t="shared" si="2"/>
        <v/>
      </c>
      <c r="K484" s="58" t="str">
        <f>if(G484,_xlfn.workday.intl(int(G484),0,"1000000",Holidays!A:A)+19/24,"")</f>
        <v/>
      </c>
      <c r="L484" s="59" t="str">
        <f t="shared" si="3"/>
        <v/>
      </c>
      <c r="M484" s="60"/>
      <c r="N484" s="61" t="str">
        <f t="shared" si="4"/>
        <v/>
      </c>
      <c r="O484" s="63" t="str">
        <f>if(A484,_xlfn.WORKDAY.INTL(A484,O$5,"1000000",Holidays!A:A)+hour(A484)/24+MINUTE(A484)/1440,"")</f>
        <v/>
      </c>
      <c r="P484" s="64" t="s">
        <v>2718</v>
      </c>
      <c r="R484" s="66" t="str">
        <f t="shared" si="5"/>
        <v/>
      </c>
      <c r="S484" s="66"/>
      <c r="T484" s="66"/>
      <c r="U484" s="64" t="str">
        <f>if(O484,_xlfn.WORKDAY.INTL(O484,U$5,"1000000",Holidays!A:A)+hour(O484)/24+MINUTE(O484)/1440,"")</f>
        <v/>
      </c>
      <c r="V484" s="64" t="str">
        <f t="shared" si="6"/>
        <v/>
      </c>
      <c r="W484" s="66"/>
      <c r="X484" s="66" t="str">
        <f t="shared" si="7"/>
        <v/>
      </c>
      <c r="Y484" s="66"/>
      <c r="Z484" s="66"/>
      <c r="AA484" s="66"/>
      <c r="AB484" s="63"/>
      <c r="AC484" s="63"/>
      <c r="AD484" s="63"/>
      <c r="AE484" s="63"/>
      <c r="AF484" s="63"/>
      <c r="AG484" s="63"/>
      <c r="AH484" s="63" t="str">
        <f t="shared" si="14"/>
        <v/>
      </c>
      <c r="AI484" s="63" t="str">
        <f>if(AH484,_xlfn.workday.intl(int(AH484),0,"1000000",Holidays!A:A)+18/24,"")</f>
        <v/>
      </c>
      <c r="AJ484" s="64" t="str">
        <f t="shared" si="24"/>
        <v/>
      </c>
      <c r="AL484" s="66" t="str">
        <f t="shared" si="9"/>
        <v/>
      </c>
      <c r="AM484" s="66"/>
      <c r="AN484" s="63" t="str">
        <f>if(AJ484,if(and(hour(AJ484+AN$5)&gt;11,(hour(AJ484+AN$5)&lt;20)),AJ484+AN$5,_xlfn.workday.intl(int(AJ484),1,"1000000",Holidays!A:A)+hour(AJ484+AN$5-$B$1)/24+minute(AJ484)/1440),"")</f>
        <v/>
      </c>
      <c r="AO484" s="64" t="str">
        <f t="shared" si="15"/>
        <v/>
      </c>
      <c r="AQ484" s="66" t="str">
        <f t="shared" si="16"/>
        <v/>
      </c>
      <c r="AR484" s="66"/>
      <c r="AS484" s="63" t="str">
        <f>if(AJ484,if(and(hour(AJ484+AS$5)&gt;11,(hour(AJ484+AS$5)&lt;20)),AJ484+AS$5,_xlfn.workday.intl(int(AJ484),1,"1000000",Holidays!A:A)+hour(AJ484+AS$5-$B$1)/24+minute(AJ484)/1440),"")</f>
        <v/>
      </c>
      <c r="AT484" s="64" t="str">
        <f t="shared" si="21"/>
        <v/>
      </c>
      <c r="AV484" s="66" t="str">
        <f t="shared" si="25"/>
        <v/>
      </c>
      <c r="AW484" s="66"/>
      <c r="AX484" s="56"/>
    </row>
    <row r="485">
      <c r="A485" s="55">
        <v>45330.691911041664</v>
      </c>
      <c r="B485" s="56"/>
      <c r="C485" s="57"/>
      <c r="D485" s="57"/>
      <c r="E485" s="57"/>
      <c r="F485" s="57"/>
      <c r="G485" s="58">
        <f>if(A485,_xlfn.workday.intl(int(A485),1,"1000000",Holidays!A:A)+17/24,"")</f>
        <v>45331.70833</v>
      </c>
      <c r="H485" s="59" t="str">
        <f t="shared" si="23"/>
        <v/>
      </c>
      <c r="I485" s="60"/>
      <c r="J485" s="61">
        <f t="shared" si="2"/>
        <v>802.2755766</v>
      </c>
      <c r="K485" s="58">
        <f>if(G485,_xlfn.workday.intl(int(G485),0,"1000000",Holidays!A:A)+19/24,"")</f>
        <v>45331.79167</v>
      </c>
      <c r="L485" s="59" t="str">
        <f t="shared" si="3"/>
        <v/>
      </c>
      <c r="M485" s="60"/>
      <c r="N485" s="61">
        <f t="shared" si="4"/>
        <v>802.1922432</v>
      </c>
      <c r="O485" s="63">
        <f>if(A485,_xlfn.WORKDAY.INTL(A485,O$5,"1000000",Holidays!A:A)+hour(A485)/24+MINUTE(A485)/1440,"")</f>
        <v>45331.69167</v>
      </c>
      <c r="P485" s="64" t="s">
        <v>2718</v>
      </c>
      <c r="R485" s="66">
        <f t="shared" si="5"/>
        <v>802.2922432</v>
      </c>
      <c r="S485" s="66"/>
      <c r="T485" s="66"/>
      <c r="U485" s="64">
        <f>if(O485,_xlfn.WORKDAY.INTL(O485,U$5,"1000000",Holidays!A:A)+hour(O485)/24+MINUTE(O485)/1440,"")</f>
        <v>45332.69167</v>
      </c>
      <c r="V485" s="64" t="str">
        <f t="shared" si="6"/>
        <v/>
      </c>
      <c r="W485" s="66"/>
      <c r="X485" s="66">
        <f t="shared" si="7"/>
        <v>801.2922432</v>
      </c>
      <c r="Y485" s="66"/>
      <c r="Z485" s="66"/>
      <c r="AA485" s="66"/>
      <c r="AB485" s="63"/>
      <c r="AC485" s="63"/>
      <c r="AD485" s="63"/>
      <c r="AE485" s="63"/>
      <c r="AF485" s="63"/>
      <c r="AG485" s="63"/>
      <c r="AH485" s="63" t="str">
        <f t="shared" si="14"/>
        <v/>
      </c>
      <c r="AI485" s="63" t="str">
        <f>if(AH485,_xlfn.workday.intl(int(AH485),0,"1000000",Holidays!A:A)+18/24,"")</f>
        <v/>
      </c>
      <c r="AJ485" s="64" t="str">
        <f t="shared" si="24"/>
        <v/>
      </c>
      <c r="AL485" s="66" t="str">
        <f t="shared" si="9"/>
        <v/>
      </c>
      <c r="AM485" s="66"/>
      <c r="AN485" s="63" t="str">
        <f>if(AJ485,if(and(hour(AJ485+AN$5)&gt;11,(hour(AJ485+AN$5)&lt;20)),AJ485+AN$5,_xlfn.workday.intl(int(AJ485),1,"1000000",Holidays!A:A)+hour(AJ485+AN$5-$B$1)/24+minute(AJ485)/1440),"")</f>
        <v/>
      </c>
      <c r="AO485" s="64" t="str">
        <f t="shared" si="15"/>
        <v/>
      </c>
      <c r="AQ485" s="66" t="str">
        <f t="shared" si="16"/>
        <v/>
      </c>
      <c r="AR485" s="66"/>
      <c r="AS485" s="63" t="str">
        <f>if(AJ485,if(and(hour(AJ485+AS$5)&gt;11,(hour(AJ485+AS$5)&lt;20)),AJ485+AS$5,_xlfn.workday.intl(int(AJ485),1,"1000000",Holidays!A:A)+hour(AJ485+AS$5-$B$1)/24+minute(AJ485)/1440),"")</f>
        <v/>
      </c>
      <c r="AT485" s="64" t="str">
        <f t="shared" si="21"/>
        <v/>
      </c>
      <c r="AV485" s="66" t="str">
        <f t="shared" si="25"/>
        <v/>
      </c>
      <c r="AW485" s="66"/>
      <c r="AX485" s="56"/>
    </row>
    <row r="486">
      <c r="A486" s="55">
        <v>45330.69322393519</v>
      </c>
      <c r="B486" s="56"/>
      <c r="C486" s="57"/>
      <c r="D486" s="57"/>
      <c r="E486" s="57"/>
      <c r="F486" s="57"/>
      <c r="G486" s="58">
        <f>if(A486,_xlfn.workday.intl(int(A486),1,"1000000",Holidays!A:A)+17/24,"")</f>
        <v>45331.70833</v>
      </c>
      <c r="H486" s="59" t="str">
        <f t="shared" si="23"/>
        <v/>
      </c>
      <c r="I486" s="60"/>
      <c r="J486" s="61">
        <f t="shared" si="2"/>
        <v>802.2755766</v>
      </c>
      <c r="K486" s="58">
        <f>if(G486,_xlfn.workday.intl(int(G486),0,"1000000",Holidays!A:A)+19/24,"")</f>
        <v>45331.79167</v>
      </c>
      <c r="L486" s="59" t="str">
        <f t="shared" si="3"/>
        <v/>
      </c>
      <c r="M486" s="60"/>
      <c r="N486" s="61">
        <f t="shared" si="4"/>
        <v>802.1922432</v>
      </c>
      <c r="O486" s="63">
        <f>if(A486,_xlfn.WORKDAY.INTL(A486,O$5,"1000000",Holidays!A:A)+hour(A486)/24+MINUTE(A486)/1440,"")</f>
        <v>45331.69306</v>
      </c>
      <c r="P486" s="64" t="s">
        <v>2718</v>
      </c>
      <c r="R486" s="66">
        <f t="shared" si="5"/>
        <v>802.2908543</v>
      </c>
      <c r="S486" s="66"/>
      <c r="T486" s="66"/>
      <c r="U486" s="64">
        <f>if(O486,_xlfn.WORKDAY.INTL(O486,U$5,"1000000",Holidays!A:A)+hour(O486)/24+MINUTE(O486)/1440,"")</f>
        <v>45332.69306</v>
      </c>
      <c r="V486" s="64" t="str">
        <f t="shared" si="6"/>
        <v/>
      </c>
      <c r="W486" s="66"/>
      <c r="X486" s="66">
        <f t="shared" si="7"/>
        <v>801.2908543</v>
      </c>
      <c r="Y486" s="66"/>
      <c r="Z486" s="66"/>
      <c r="AA486" s="66"/>
      <c r="AB486" s="63"/>
      <c r="AC486" s="63"/>
      <c r="AD486" s="63"/>
      <c r="AE486" s="63"/>
      <c r="AF486" s="63"/>
      <c r="AG486" s="63"/>
      <c r="AH486" s="63" t="str">
        <f t="shared" si="14"/>
        <v/>
      </c>
      <c r="AI486" s="63" t="str">
        <f>if(AH486,_xlfn.workday.intl(int(AH486),0,"1000000",Holidays!A:A)+18/24,"")</f>
        <v/>
      </c>
      <c r="AJ486" s="64" t="str">
        <f t="shared" si="24"/>
        <v/>
      </c>
      <c r="AL486" s="66" t="str">
        <f t="shared" si="9"/>
        <v/>
      </c>
      <c r="AM486" s="66"/>
      <c r="AN486" s="63" t="str">
        <f>if(AJ486,if(and(hour(AJ486+AN$5)&gt;11,(hour(AJ486+AN$5)&lt;20)),AJ486+AN$5,_xlfn.workday.intl(int(AJ486),1,"1000000",Holidays!A:A)+hour(AJ486+AN$5-$B$1)/24+minute(AJ486)/1440),"")</f>
        <v/>
      </c>
      <c r="AO486" s="64" t="str">
        <f t="shared" si="15"/>
        <v/>
      </c>
      <c r="AQ486" s="66" t="str">
        <f t="shared" si="16"/>
        <v/>
      </c>
      <c r="AR486" s="66"/>
      <c r="AS486" s="63" t="str">
        <f>if(AJ486,if(and(hour(AJ486+AS$5)&gt;11,(hour(AJ486+AS$5)&lt;20)),AJ486+AS$5,_xlfn.workday.intl(int(AJ486),1,"1000000",Holidays!A:A)+hour(AJ486+AS$5-$B$1)/24+minute(AJ486)/1440),"")</f>
        <v/>
      </c>
      <c r="AT486" s="64" t="str">
        <f t="shared" si="21"/>
        <v/>
      </c>
      <c r="AV486" s="66" t="str">
        <f t="shared" si="25"/>
        <v/>
      </c>
      <c r="AW486" s="66"/>
      <c r="AX486" s="56"/>
    </row>
    <row r="487">
      <c r="A487" s="55">
        <v>45330.69480196759</v>
      </c>
      <c r="B487" s="56"/>
      <c r="C487" s="57"/>
      <c r="D487" s="57"/>
      <c r="E487" s="57"/>
      <c r="F487" s="57"/>
      <c r="G487" s="58">
        <f>if(A487,_xlfn.workday.intl(int(A487),1,"1000000",Holidays!A:A)+17/24,"")</f>
        <v>45331.70833</v>
      </c>
      <c r="H487" s="59" t="str">
        <f t="shared" si="23"/>
        <v/>
      </c>
      <c r="I487" s="60"/>
      <c r="J487" s="61">
        <f t="shared" si="2"/>
        <v>802.2755766</v>
      </c>
      <c r="K487" s="58">
        <f>if(G487,_xlfn.workday.intl(int(G487),0,"1000000",Holidays!A:A)+19/24,"")</f>
        <v>45331.79167</v>
      </c>
      <c r="L487" s="59" t="str">
        <f t="shared" si="3"/>
        <v/>
      </c>
      <c r="M487" s="60"/>
      <c r="N487" s="61">
        <f t="shared" si="4"/>
        <v>802.1922432</v>
      </c>
      <c r="O487" s="63">
        <f>if(A487,_xlfn.WORKDAY.INTL(A487,O$5,"1000000",Holidays!A:A)+hour(A487)/24+MINUTE(A487)/1440,"")</f>
        <v>45331.69444</v>
      </c>
      <c r="P487" s="64" t="s">
        <v>2718</v>
      </c>
      <c r="R487" s="66">
        <f t="shared" si="5"/>
        <v>802.2894655</v>
      </c>
      <c r="S487" s="66"/>
      <c r="T487" s="66"/>
      <c r="U487" s="64">
        <f>if(O487,_xlfn.WORKDAY.INTL(O487,U$5,"1000000",Holidays!A:A)+hour(O487)/24+MINUTE(O487)/1440,"")</f>
        <v>45332.69444</v>
      </c>
      <c r="V487" s="64" t="str">
        <f t="shared" si="6"/>
        <v/>
      </c>
      <c r="W487" s="66"/>
      <c r="X487" s="66">
        <f t="shared" si="7"/>
        <v>801.2894655</v>
      </c>
      <c r="Y487" s="66"/>
      <c r="Z487" s="66"/>
      <c r="AA487" s="66"/>
      <c r="AB487" s="63"/>
      <c r="AC487" s="63"/>
      <c r="AD487" s="63"/>
      <c r="AE487" s="63"/>
      <c r="AF487" s="63"/>
      <c r="AG487" s="63"/>
      <c r="AH487" s="63" t="str">
        <f t="shared" si="14"/>
        <v/>
      </c>
      <c r="AI487" s="63" t="str">
        <f>if(AH487,_xlfn.workday.intl(int(AH487),0,"1000000",Holidays!A:A)+18/24,"")</f>
        <v/>
      </c>
      <c r="AJ487" s="64" t="str">
        <f t="shared" si="24"/>
        <v/>
      </c>
      <c r="AL487" s="66" t="str">
        <f t="shared" si="9"/>
        <v/>
      </c>
      <c r="AM487" s="66"/>
      <c r="AN487" s="63" t="str">
        <f>if(AJ487,if(and(hour(AJ487+AN$5)&gt;11,(hour(AJ487+AN$5)&lt;20)),AJ487+AN$5,_xlfn.workday.intl(int(AJ487),1,"1000000",Holidays!A:A)+hour(AJ487+AN$5-$B$1)/24+minute(AJ487)/1440),"")</f>
        <v/>
      </c>
      <c r="AO487" s="64" t="str">
        <f t="shared" si="15"/>
        <v/>
      </c>
      <c r="AQ487" s="66" t="str">
        <f t="shared" si="16"/>
        <v/>
      </c>
      <c r="AR487" s="66"/>
      <c r="AS487" s="63" t="str">
        <f>if(AJ487,if(and(hour(AJ487+AS$5)&gt;11,(hour(AJ487+AS$5)&lt;20)),AJ487+AS$5,_xlfn.workday.intl(int(AJ487),1,"1000000",Holidays!A:A)+hour(AJ487+AS$5-$B$1)/24+minute(AJ487)/1440),"")</f>
        <v/>
      </c>
      <c r="AT487" s="64" t="str">
        <f t="shared" si="21"/>
        <v/>
      </c>
      <c r="AV487" s="66" t="str">
        <f t="shared" si="25"/>
        <v/>
      </c>
      <c r="AW487" s="66"/>
      <c r="AX487" s="56"/>
    </row>
    <row r="488">
      <c r="A488" s="55">
        <v>45330.697148796295</v>
      </c>
      <c r="B488" s="56"/>
      <c r="C488" s="57"/>
      <c r="D488" s="57"/>
      <c r="E488" s="57"/>
      <c r="F488" s="57"/>
      <c r="G488" s="58">
        <f>if(A488,_xlfn.workday.intl(int(A488),1,"1000000",Holidays!A:A)+17/24,"")</f>
        <v>45331.70833</v>
      </c>
      <c r="H488" s="59" t="str">
        <f t="shared" si="23"/>
        <v/>
      </c>
      <c r="I488" s="60"/>
      <c r="J488" s="61">
        <f t="shared" si="2"/>
        <v>802.2755766</v>
      </c>
      <c r="K488" s="58">
        <f>if(G488,_xlfn.workday.intl(int(G488),0,"1000000",Holidays!A:A)+19/24,"")</f>
        <v>45331.79167</v>
      </c>
      <c r="L488" s="59" t="str">
        <f t="shared" si="3"/>
        <v/>
      </c>
      <c r="M488" s="60"/>
      <c r="N488" s="61">
        <f t="shared" si="4"/>
        <v>802.1922432</v>
      </c>
      <c r="O488" s="63">
        <f>if(A488,_xlfn.WORKDAY.INTL(A488,O$5,"1000000",Holidays!A:A)+hour(A488)/24+MINUTE(A488)/1440,"")</f>
        <v>45331.69653</v>
      </c>
      <c r="P488" s="64" t="s">
        <v>2718</v>
      </c>
      <c r="R488" s="66">
        <f t="shared" si="5"/>
        <v>802.2873821</v>
      </c>
      <c r="S488" s="66"/>
      <c r="T488" s="66"/>
      <c r="U488" s="64">
        <f>if(O488,_xlfn.WORKDAY.INTL(O488,U$5,"1000000",Holidays!A:A)+hour(O488)/24+MINUTE(O488)/1440,"")</f>
        <v>45332.69653</v>
      </c>
      <c r="V488" s="64" t="str">
        <f t="shared" si="6"/>
        <v/>
      </c>
      <c r="W488" s="66"/>
      <c r="X488" s="66">
        <f t="shared" si="7"/>
        <v>801.2873821</v>
      </c>
      <c r="Y488" s="66"/>
      <c r="Z488" s="66"/>
      <c r="AA488" s="66"/>
      <c r="AB488" s="63"/>
      <c r="AC488" s="63"/>
      <c r="AD488" s="63"/>
      <c r="AE488" s="63"/>
      <c r="AF488" s="63"/>
      <c r="AG488" s="63"/>
      <c r="AH488" s="63" t="str">
        <f t="shared" si="14"/>
        <v/>
      </c>
      <c r="AI488" s="63" t="str">
        <f>if(AH488,_xlfn.workday.intl(int(AH488),0,"1000000",Holidays!A:A)+18/24,"")</f>
        <v/>
      </c>
      <c r="AJ488" s="64" t="str">
        <f t="shared" si="24"/>
        <v/>
      </c>
      <c r="AL488" s="66" t="str">
        <f t="shared" si="9"/>
        <v/>
      </c>
      <c r="AM488" s="66"/>
      <c r="AN488" s="63" t="str">
        <f>if(AJ488,if(and(hour(AJ488+AN$5)&gt;11,(hour(AJ488+AN$5)&lt;20)),AJ488+AN$5,_xlfn.workday.intl(int(AJ488),1,"1000000",Holidays!A:A)+hour(AJ488+AN$5-$B$1)/24+minute(AJ488)/1440),"")</f>
        <v/>
      </c>
      <c r="AO488" s="64" t="str">
        <f t="shared" si="15"/>
        <v/>
      </c>
      <c r="AQ488" s="66" t="str">
        <f t="shared" si="16"/>
        <v/>
      </c>
      <c r="AR488" s="66"/>
      <c r="AS488" s="63" t="str">
        <f>if(AJ488,if(and(hour(AJ488+AS$5)&gt;11,(hour(AJ488+AS$5)&lt;20)),AJ488+AS$5,_xlfn.workday.intl(int(AJ488),1,"1000000",Holidays!A:A)+hour(AJ488+AS$5-$B$1)/24+minute(AJ488)/1440),"")</f>
        <v/>
      </c>
      <c r="AT488" s="64" t="str">
        <f t="shared" si="21"/>
        <v/>
      </c>
      <c r="AV488" s="66" t="str">
        <f t="shared" si="25"/>
        <v/>
      </c>
      <c r="AW488" s="66"/>
      <c r="AX488" s="56"/>
    </row>
    <row r="489">
      <c r="A489" s="55">
        <v>45330.69829771991</v>
      </c>
      <c r="B489" s="56"/>
      <c r="C489" s="57"/>
      <c r="D489" s="57"/>
      <c r="E489" s="57"/>
      <c r="F489" s="57"/>
      <c r="G489" s="58">
        <f>if(A489,_xlfn.workday.intl(int(A489),1,"1000000",Holidays!A:A)+17/24,"")</f>
        <v>45331.70833</v>
      </c>
      <c r="H489" s="59" t="str">
        <f t="shared" si="23"/>
        <v/>
      </c>
      <c r="I489" s="60"/>
      <c r="J489" s="61">
        <f t="shared" si="2"/>
        <v>802.2755766</v>
      </c>
      <c r="K489" s="58">
        <f>if(G489,_xlfn.workday.intl(int(G489),0,"1000000",Holidays!A:A)+19/24,"")</f>
        <v>45331.79167</v>
      </c>
      <c r="L489" s="59" t="str">
        <f t="shared" si="3"/>
        <v/>
      </c>
      <c r="M489" s="60"/>
      <c r="N489" s="61">
        <f t="shared" si="4"/>
        <v>802.1922432</v>
      </c>
      <c r="O489" s="63">
        <f>if(A489,_xlfn.WORKDAY.INTL(A489,O$5,"1000000",Holidays!A:A)+hour(A489)/24+MINUTE(A489)/1440,"")</f>
        <v>45331.69792</v>
      </c>
      <c r="P489" s="64" t="s">
        <v>2718</v>
      </c>
      <c r="R489" s="66">
        <f t="shared" si="5"/>
        <v>802.2859932</v>
      </c>
      <c r="S489" s="66"/>
      <c r="T489" s="66"/>
      <c r="U489" s="64">
        <f>if(O489,_xlfn.WORKDAY.INTL(O489,U$5,"1000000",Holidays!A:A)+hour(O489)/24+MINUTE(O489)/1440,"")</f>
        <v>45332.69792</v>
      </c>
      <c r="V489" s="64" t="str">
        <f t="shared" si="6"/>
        <v/>
      </c>
      <c r="W489" s="66"/>
      <c r="X489" s="66">
        <f t="shared" si="7"/>
        <v>801.2859932</v>
      </c>
      <c r="Y489" s="66"/>
      <c r="Z489" s="66"/>
      <c r="AA489" s="66"/>
      <c r="AB489" s="63"/>
      <c r="AC489" s="63"/>
      <c r="AD489" s="63"/>
      <c r="AE489" s="63"/>
      <c r="AF489" s="63"/>
      <c r="AG489" s="63"/>
      <c r="AH489" s="63" t="str">
        <f t="shared" si="14"/>
        <v/>
      </c>
      <c r="AI489" s="63" t="str">
        <f>if(AH489,_xlfn.workday.intl(int(AH489),0,"1000000",Holidays!A:A)+18/24,"")</f>
        <v/>
      </c>
      <c r="AJ489" s="64" t="str">
        <f t="shared" si="24"/>
        <v/>
      </c>
      <c r="AL489" s="66" t="str">
        <f t="shared" si="9"/>
        <v/>
      </c>
      <c r="AM489" s="66"/>
      <c r="AN489" s="63" t="str">
        <f>if(AJ489,if(and(hour(AJ489+AN$5)&gt;11,(hour(AJ489+AN$5)&lt;20)),AJ489+AN$5,_xlfn.workday.intl(int(AJ489),1,"1000000",Holidays!A:A)+hour(AJ489+AN$5-$B$1)/24+minute(AJ489)/1440),"")</f>
        <v/>
      </c>
      <c r="AO489" s="64" t="str">
        <f t="shared" si="15"/>
        <v/>
      </c>
      <c r="AQ489" s="66" t="str">
        <f t="shared" si="16"/>
        <v/>
      </c>
      <c r="AR489" s="66"/>
      <c r="AS489" s="63" t="str">
        <f>if(AJ489,if(and(hour(AJ489+AS$5)&gt;11,(hour(AJ489+AS$5)&lt;20)),AJ489+AS$5,_xlfn.workday.intl(int(AJ489),1,"1000000",Holidays!A:A)+hour(AJ489+AS$5-$B$1)/24+minute(AJ489)/1440),"")</f>
        <v/>
      </c>
      <c r="AT489" s="64" t="str">
        <f t="shared" si="21"/>
        <v/>
      </c>
      <c r="AV489" s="66" t="str">
        <f t="shared" si="25"/>
        <v/>
      </c>
      <c r="AW489" s="66"/>
      <c r="AX489" s="56"/>
    </row>
    <row r="490">
      <c r="A490" s="55">
        <v>45330.699226145836</v>
      </c>
      <c r="B490" s="56"/>
      <c r="C490" s="57"/>
      <c r="D490" s="57"/>
      <c r="E490" s="57"/>
      <c r="F490" s="57"/>
      <c r="G490" s="58">
        <f>if(A490,_xlfn.workday.intl(int(A490),1,"1000000",Holidays!A:A)+17/24,"")</f>
        <v>45331.70833</v>
      </c>
      <c r="H490" s="59" t="str">
        <f t="shared" si="23"/>
        <v/>
      </c>
      <c r="I490" s="60"/>
      <c r="J490" s="61">
        <f t="shared" si="2"/>
        <v>802.2755766</v>
      </c>
      <c r="K490" s="58">
        <f>if(G490,_xlfn.workday.intl(int(G490),0,"1000000",Holidays!A:A)+19/24,"")</f>
        <v>45331.79167</v>
      </c>
      <c r="L490" s="59" t="str">
        <f t="shared" si="3"/>
        <v/>
      </c>
      <c r="M490" s="60"/>
      <c r="N490" s="61">
        <f t="shared" si="4"/>
        <v>802.1922432</v>
      </c>
      <c r="O490" s="63">
        <f>if(A490,_xlfn.WORKDAY.INTL(A490,O$5,"1000000",Holidays!A:A)+hour(A490)/24+MINUTE(A490)/1440,"")</f>
        <v>45331.69861</v>
      </c>
      <c r="P490" s="64" t="s">
        <v>2718</v>
      </c>
      <c r="R490" s="66">
        <f t="shared" si="5"/>
        <v>802.2852988</v>
      </c>
      <c r="S490" s="66"/>
      <c r="T490" s="66"/>
      <c r="U490" s="64">
        <f>if(O490,_xlfn.WORKDAY.INTL(O490,U$5,"1000000",Holidays!A:A)+hour(O490)/24+MINUTE(O490)/1440,"")</f>
        <v>45332.69861</v>
      </c>
      <c r="V490" s="64" t="str">
        <f t="shared" si="6"/>
        <v/>
      </c>
      <c r="W490" s="66"/>
      <c r="X490" s="66">
        <f t="shared" si="7"/>
        <v>801.2852988</v>
      </c>
      <c r="Y490" s="66"/>
      <c r="Z490" s="66"/>
      <c r="AA490" s="66"/>
      <c r="AB490" s="63"/>
      <c r="AC490" s="63"/>
      <c r="AD490" s="63"/>
      <c r="AE490" s="63"/>
      <c r="AF490" s="63"/>
      <c r="AG490" s="63"/>
      <c r="AH490" s="63" t="str">
        <f t="shared" si="14"/>
        <v/>
      </c>
      <c r="AI490" s="63" t="str">
        <f>if(AH490,_xlfn.workday.intl(int(AH490),0,"1000000",Holidays!A:A)+18/24,"")</f>
        <v/>
      </c>
      <c r="AJ490" s="64" t="str">
        <f t="shared" si="24"/>
        <v/>
      </c>
      <c r="AL490" s="66" t="str">
        <f t="shared" si="9"/>
        <v/>
      </c>
      <c r="AM490" s="66"/>
      <c r="AN490" s="63" t="str">
        <f>if(AJ490,if(and(hour(AJ490+AN$5)&gt;11,(hour(AJ490+AN$5)&lt;20)),AJ490+AN$5,_xlfn.workday.intl(int(AJ490),1,"1000000",Holidays!A:A)+hour(AJ490+AN$5-$B$1)/24+minute(AJ490)/1440),"")</f>
        <v/>
      </c>
      <c r="AO490" s="64" t="str">
        <f t="shared" si="15"/>
        <v/>
      </c>
      <c r="AQ490" s="66" t="str">
        <f t="shared" si="16"/>
        <v/>
      </c>
      <c r="AR490" s="66"/>
      <c r="AS490" s="63" t="str">
        <f>if(AJ490,if(and(hour(AJ490+AS$5)&gt;11,(hour(AJ490+AS$5)&lt;20)),AJ490+AS$5,_xlfn.workday.intl(int(AJ490),1,"1000000",Holidays!A:A)+hour(AJ490+AS$5-$B$1)/24+minute(AJ490)/1440),"")</f>
        <v/>
      </c>
      <c r="AT490" s="64" t="str">
        <f t="shared" si="21"/>
        <v/>
      </c>
      <c r="AV490" s="66" t="str">
        <f t="shared" si="25"/>
        <v/>
      </c>
      <c r="AW490" s="66"/>
      <c r="AX490" s="56"/>
    </row>
    <row r="491">
      <c r="A491" s="55">
        <v>45330.701600555556</v>
      </c>
      <c r="B491" s="56"/>
      <c r="C491" s="57"/>
      <c r="D491" s="57"/>
      <c r="E491" s="57"/>
      <c r="F491" s="57"/>
      <c r="G491" s="58">
        <f>if(A491,_xlfn.workday.intl(int(A491),1,"1000000",Holidays!A:A)+17/24,"")</f>
        <v>45331.70833</v>
      </c>
      <c r="H491" s="59" t="str">
        <f t="shared" si="23"/>
        <v/>
      </c>
      <c r="I491" s="60"/>
      <c r="J491" s="61">
        <f t="shared" si="2"/>
        <v>802.2755766</v>
      </c>
      <c r="K491" s="58">
        <f>if(G491,_xlfn.workday.intl(int(G491),0,"1000000",Holidays!A:A)+19/24,"")</f>
        <v>45331.79167</v>
      </c>
      <c r="L491" s="59" t="str">
        <f t="shared" si="3"/>
        <v/>
      </c>
      <c r="M491" s="60"/>
      <c r="N491" s="61">
        <f t="shared" si="4"/>
        <v>802.1922432</v>
      </c>
      <c r="O491" s="63">
        <f>if(A491,_xlfn.WORKDAY.INTL(A491,O$5,"1000000",Holidays!A:A)+hour(A491)/24+MINUTE(A491)/1440,"")</f>
        <v>45331.70139</v>
      </c>
      <c r="P491" s="64" t="s">
        <v>2718</v>
      </c>
      <c r="R491" s="66">
        <f t="shared" si="5"/>
        <v>802.282521</v>
      </c>
      <c r="S491" s="66"/>
      <c r="T491" s="66"/>
      <c r="U491" s="64">
        <f>if(O491,_xlfn.WORKDAY.INTL(O491,U$5,"1000000",Holidays!A:A)+hour(O491)/24+MINUTE(O491)/1440,"")</f>
        <v>45332.70139</v>
      </c>
      <c r="V491" s="64" t="str">
        <f t="shared" si="6"/>
        <v/>
      </c>
      <c r="W491" s="66"/>
      <c r="X491" s="66">
        <f t="shared" si="7"/>
        <v>801.282521</v>
      </c>
      <c r="Y491" s="66"/>
      <c r="Z491" s="66"/>
      <c r="AA491" s="66"/>
      <c r="AB491" s="63"/>
      <c r="AC491" s="63"/>
      <c r="AD491" s="63"/>
      <c r="AE491" s="63"/>
      <c r="AF491" s="63"/>
      <c r="AG491" s="63"/>
      <c r="AH491" s="63" t="str">
        <f t="shared" si="14"/>
        <v/>
      </c>
      <c r="AI491" s="63" t="str">
        <f>if(AH491,_xlfn.workday.intl(int(AH491),0,"1000000",Holidays!A:A)+18/24,"")</f>
        <v/>
      </c>
      <c r="AJ491" s="64" t="str">
        <f t="shared" si="24"/>
        <v/>
      </c>
      <c r="AL491" s="66" t="str">
        <f t="shared" si="9"/>
        <v/>
      </c>
      <c r="AM491" s="66"/>
      <c r="AN491" s="63" t="str">
        <f>if(AJ491,if(and(hour(AJ491+AN$5)&gt;11,(hour(AJ491+AN$5)&lt;20)),AJ491+AN$5,_xlfn.workday.intl(int(AJ491),1,"1000000",Holidays!A:A)+hour(AJ491+AN$5-$B$1)/24+minute(AJ491)/1440),"")</f>
        <v/>
      </c>
      <c r="AO491" s="64" t="str">
        <f t="shared" si="15"/>
        <v/>
      </c>
      <c r="AQ491" s="66" t="str">
        <f t="shared" si="16"/>
        <v/>
      </c>
      <c r="AR491" s="66"/>
      <c r="AS491" s="63" t="str">
        <f>if(AJ491,if(and(hour(AJ491+AS$5)&gt;11,(hour(AJ491+AS$5)&lt;20)),AJ491+AS$5,_xlfn.workday.intl(int(AJ491),1,"1000000",Holidays!A:A)+hour(AJ491+AS$5-$B$1)/24+minute(AJ491)/1440),"")</f>
        <v/>
      </c>
      <c r="AT491" s="64" t="str">
        <f t="shared" si="21"/>
        <v/>
      </c>
      <c r="AV491" s="66" t="str">
        <f t="shared" si="25"/>
        <v/>
      </c>
      <c r="AW491" s="66"/>
      <c r="AX491" s="56"/>
    </row>
    <row r="492">
      <c r="A492" s="55">
        <v>45330.70263880787</v>
      </c>
      <c r="B492" s="56"/>
      <c r="C492" s="57"/>
      <c r="D492" s="57"/>
      <c r="E492" s="57"/>
      <c r="F492" s="57"/>
      <c r="G492" s="58">
        <f>if(A492,_xlfn.workday.intl(int(A492),1,"1000000",Holidays!A:A)+17/24,"")</f>
        <v>45331.70833</v>
      </c>
      <c r="H492" s="59" t="str">
        <f t="shared" si="23"/>
        <v/>
      </c>
      <c r="I492" s="60"/>
      <c r="J492" s="61">
        <f t="shared" si="2"/>
        <v>802.2755766</v>
      </c>
      <c r="K492" s="58">
        <f>if(G492,_xlfn.workday.intl(int(G492),0,"1000000",Holidays!A:A)+19/24,"")</f>
        <v>45331.79167</v>
      </c>
      <c r="L492" s="59" t="str">
        <f t="shared" si="3"/>
        <v/>
      </c>
      <c r="M492" s="60"/>
      <c r="N492" s="61">
        <f t="shared" si="4"/>
        <v>802.1922432</v>
      </c>
      <c r="O492" s="63">
        <f>if(A492,_xlfn.WORKDAY.INTL(A492,O$5,"1000000",Holidays!A:A)+hour(A492)/24+MINUTE(A492)/1440,"")</f>
        <v>45331.70208</v>
      </c>
      <c r="P492" s="64" t="s">
        <v>2718</v>
      </c>
      <c r="R492" s="66">
        <f t="shared" si="5"/>
        <v>802.2818266</v>
      </c>
      <c r="S492" s="66"/>
      <c r="T492" s="66"/>
      <c r="U492" s="64">
        <f>if(O492,_xlfn.WORKDAY.INTL(O492,U$5,"1000000",Holidays!A:A)+hour(O492)/24+MINUTE(O492)/1440,"")</f>
        <v>45332.70208</v>
      </c>
      <c r="V492" s="64" t="str">
        <f t="shared" si="6"/>
        <v/>
      </c>
      <c r="W492" s="66"/>
      <c r="X492" s="66">
        <f t="shared" si="7"/>
        <v>801.2818266</v>
      </c>
      <c r="Y492" s="66"/>
      <c r="Z492" s="66"/>
      <c r="AA492" s="66"/>
      <c r="AB492" s="63"/>
      <c r="AC492" s="63"/>
      <c r="AD492" s="63"/>
      <c r="AE492" s="63"/>
      <c r="AF492" s="63"/>
      <c r="AG492" s="63"/>
      <c r="AH492" s="63" t="str">
        <f t="shared" si="14"/>
        <v/>
      </c>
      <c r="AI492" s="63" t="str">
        <f>if(AH492,_xlfn.workday.intl(int(AH492),0,"1000000",Holidays!A:A)+18/24,"")</f>
        <v/>
      </c>
      <c r="AJ492" s="64" t="str">
        <f t="shared" si="24"/>
        <v/>
      </c>
      <c r="AL492" s="66" t="str">
        <f t="shared" si="9"/>
        <v/>
      </c>
      <c r="AM492" s="66"/>
      <c r="AN492" s="63" t="str">
        <f>if(AJ492,if(and(hour(AJ492+AN$5)&gt;11,(hour(AJ492+AN$5)&lt;20)),AJ492+AN$5,_xlfn.workday.intl(int(AJ492),1,"1000000",Holidays!A:A)+hour(AJ492+AN$5-$B$1)/24+minute(AJ492)/1440),"")</f>
        <v/>
      </c>
      <c r="AO492" s="64" t="str">
        <f t="shared" si="15"/>
        <v/>
      </c>
      <c r="AQ492" s="66" t="str">
        <f t="shared" si="16"/>
        <v/>
      </c>
      <c r="AR492" s="66"/>
      <c r="AS492" s="63" t="str">
        <f>if(AJ492,if(and(hour(AJ492+AS$5)&gt;11,(hour(AJ492+AS$5)&lt;20)),AJ492+AS$5,_xlfn.workday.intl(int(AJ492),1,"1000000",Holidays!A:A)+hour(AJ492+AS$5-$B$1)/24+minute(AJ492)/1440),"")</f>
        <v/>
      </c>
      <c r="AT492" s="64" t="str">
        <f t="shared" si="21"/>
        <v/>
      </c>
      <c r="AV492" s="66" t="str">
        <f t="shared" si="25"/>
        <v/>
      </c>
      <c r="AW492" s="66"/>
      <c r="AX492" s="56"/>
    </row>
    <row r="493">
      <c r="A493" s="55">
        <v>45330.70351633102</v>
      </c>
      <c r="B493" s="56"/>
      <c r="C493" s="57"/>
      <c r="D493" s="57"/>
      <c r="E493" s="57"/>
      <c r="F493" s="57"/>
      <c r="G493" s="58">
        <f>if(A493,_xlfn.workday.intl(int(A493),1,"1000000",Holidays!A:A)+17/24,"")</f>
        <v>45331.70833</v>
      </c>
      <c r="H493" s="59" t="str">
        <f t="shared" si="23"/>
        <v/>
      </c>
      <c r="I493" s="60"/>
      <c r="J493" s="61">
        <f t="shared" si="2"/>
        <v>802.2755766</v>
      </c>
      <c r="K493" s="58">
        <f>if(G493,_xlfn.workday.intl(int(G493),0,"1000000",Holidays!A:A)+19/24,"")</f>
        <v>45331.79167</v>
      </c>
      <c r="L493" s="59" t="str">
        <f t="shared" si="3"/>
        <v/>
      </c>
      <c r="M493" s="60"/>
      <c r="N493" s="61">
        <f t="shared" si="4"/>
        <v>802.1922432</v>
      </c>
      <c r="O493" s="63">
        <f>if(A493,_xlfn.WORKDAY.INTL(A493,O$5,"1000000",Holidays!A:A)+hour(A493)/24+MINUTE(A493)/1440,"")</f>
        <v>45331.70347</v>
      </c>
      <c r="P493" s="64" t="s">
        <v>2718</v>
      </c>
      <c r="R493" s="66">
        <f t="shared" si="5"/>
        <v>802.2804377</v>
      </c>
      <c r="S493" s="66"/>
      <c r="T493" s="66"/>
      <c r="U493" s="64">
        <f>if(O493,_xlfn.WORKDAY.INTL(O493,U$5,"1000000",Holidays!A:A)+hour(O493)/24+MINUTE(O493)/1440,"")</f>
        <v>45332.70347</v>
      </c>
      <c r="V493" s="64" t="str">
        <f t="shared" si="6"/>
        <v/>
      </c>
      <c r="W493" s="66"/>
      <c r="X493" s="66">
        <f t="shared" si="7"/>
        <v>801.2804377</v>
      </c>
      <c r="Y493" s="66"/>
      <c r="Z493" s="66"/>
      <c r="AA493" s="66"/>
      <c r="AB493" s="63"/>
      <c r="AC493" s="63"/>
      <c r="AD493" s="63"/>
      <c r="AE493" s="63"/>
      <c r="AF493" s="63"/>
      <c r="AG493" s="63"/>
      <c r="AH493" s="63" t="str">
        <f t="shared" si="14"/>
        <v/>
      </c>
      <c r="AI493" s="63" t="str">
        <f>if(AH493,_xlfn.workday.intl(int(AH493),0,"1000000",Holidays!A:A)+18/24,"")</f>
        <v/>
      </c>
      <c r="AJ493" s="64" t="str">
        <f t="shared" si="24"/>
        <v/>
      </c>
      <c r="AL493" s="66" t="str">
        <f t="shared" si="9"/>
        <v/>
      </c>
      <c r="AM493" s="66"/>
      <c r="AN493" s="63" t="str">
        <f>if(AJ493,if(and(hour(AJ493+AN$5)&gt;11,(hour(AJ493+AN$5)&lt;20)),AJ493+AN$5,_xlfn.workday.intl(int(AJ493),1,"1000000",Holidays!A:A)+hour(AJ493+AN$5-$B$1)/24+minute(AJ493)/1440),"")</f>
        <v/>
      </c>
      <c r="AO493" s="64" t="str">
        <f t="shared" si="15"/>
        <v/>
      </c>
      <c r="AQ493" s="66" t="str">
        <f t="shared" si="16"/>
        <v/>
      </c>
      <c r="AR493" s="66"/>
      <c r="AS493" s="63" t="str">
        <f>if(AJ493,if(and(hour(AJ493+AS$5)&gt;11,(hour(AJ493+AS$5)&lt;20)),AJ493+AS$5,_xlfn.workday.intl(int(AJ493),1,"1000000",Holidays!A:A)+hour(AJ493+AS$5-$B$1)/24+minute(AJ493)/1440),"")</f>
        <v/>
      </c>
      <c r="AT493" s="64" t="str">
        <f t="shared" si="21"/>
        <v/>
      </c>
      <c r="AV493" s="66" t="str">
        <f t="shared" si="25"/>
        <v/>
      </c>
      <c r="AW493" s="66"/>
      <c r="AX493" s="56"/>
    </row>
    <row r="494">
      <c r="A494" s="55">
        <v>45331.559234976856</v>
      </c>
      <c r="B494" s="56"/>
      <c r="C494" s="57"/>
      <c r="D494" s="57"/>
      <c r="E494" s="57"/>
      <c r="F494" s="57"/>
      <c r="G494" s="58">
        <f>if(A494,_xlfn.workday.intl(int(A494),1,"1000000",Holidays!A:A)+17/24,"")</f>
        <v>45332.70833</v>
      </c>
      <c r="H494" s="59" t="str">
        <f t="shared" si="23"/>
        <v/>
      </c>
      <c r="I494" s="60"/>
      <c r="J494" s="61">
        <f t="shared" si="2"/>
        <v>801.2755766</v>
      </c>
      <c r="K494" s="58">
        <f>if(G494,_xlfn.workday.intl(int(G494),0,"1000000",Holidays!A:A)+19/24,"")</f>
        <v>45332.79167</v>
      </c>
      <c r="L494" s="59" t="str">
        <f t="shared" si="3"/>
        <v/>
      </c>
      <c r="M494" s="60"/>
      <c r="N494" s="61">
        <f t="shared" si="4"/>
        <v>801.1922432</v>
      </c>
      <c r="O494" s="63">
        <f>if(A494,_xlfn.WORKDAY.INTL(A494,O$5,"1000000",Holidays!A:A)+hour(A494)/24+MINUTE(A494)/1440,"")</f>
        <v>45332.55903</v>
      </c>
      <c r="P494" s="64" t="s">
        <v>2718</v>
      </c>
      <c r="R494" s="66">
        <f t="shared" si="5"/>
        <v>801.4248821</v>
      </c>
      <c r="S494" s="66"/>
      <c r="T494" s="66"/>
      <c r="U494" s="64">
        <f>if(O494,_xlfn.WORKDAY.INTL(O494,U$5,"1000000",Holidays!A:A)+hour(O494)/24+MINUTE(O494)/1440,"")</f>
        <v>45333.55903</v>
      </c>
      <c r="V494" s="64" t="str">
        <f t="shared" si="6"/>
        <v/>
      </c>
      <c r="W494" s="66"/>
      <c r="X494" s="66">
        <f t="shared" si="7"/>
        <v>800.4248821</v>
      </c>
      <c r="Y494" s="66"/>
      <c r="Z494" s="66"/>
      <c r="AA494" s="66"/>
      <c r="AB494" s="63"/>
      <c r="AC494" s="63"/>
      <c r="AD494" s="63"/>
      <c r="AE494" s="63"/>
      <c r="AF494" s="63"/>
      <c r="AG494" s="63"/>
      <c r="AH494" s="63" t="str">
        <f t="shared" si="14"/>
        <v/>
      </c>
      <c r="AI494" s="63" t="str">
        <f>if(AH494,_xlfn.workday.intl(int(AH494),0,"1000000",Holidays!A:A)+18/24,"")</f>
        <v/>
      </c>
      <c r="AJ494" s="64" t="str">
        <f t="shared" si="24"/>
        <v/>
      </c>
      <c r="AL494" s="66" t="str">
        <f t="shared" si="9"/>
        <v/>
      </c>
      <c r="AM494" s="66"/>
      <c r="AN494" s="63" t="str">
        <f>if(AJ494,if(and(hour(AJ494+AN$5)&gt;11,(hour(AJ494+AN$5)&lt;20)),AJ494+AN$5,_xlfn.workday.intl(int(AJ494),1,"1000000",Holidays!A:A)+hour(AJ494+AN$5-$B$1)/24+minute(AJ494)/1440),"")</f>
        <v/>
      </c>
      <c r="AO494" s="64" t="str">
        <f t="shared" si="15"/>
        <v/>
      </c>
      <c r="AQ494" s="66" t="str">
        <f t="shared" si="16"/>
        <v/>
      </c>
      <c r="AR494" s="66"/>
      <c r="AS494" s="63" t="str">
        <f>if(AJ494,if(and(hour(AJ494+AS$5)&gt;11,(hour(AJ494+AS$5)&lt;20)),AJ494+AS$5,_xlfn.workday.intl(int(AJ494),1,"1000000",Holidays!A:A)+hour(AJ494+AS$5-$B$1)/24+minute(AJ494)/1440),"")</f>
        <v/>
      </c>
      <c r="AT494" s="64" t="str">
        <f t="shared" si="21"/>
        <v/>
      </c>
      <c r="AV494" s="66" t="str">
        <f t="shared" si="25"/>
        <v/>
      </c>
      <c r="AW494" s="66"/>
      <c r="AX494" s="56"/>
    </row>
    <row r="495">
      <c r="A495" s="55">
        <v>45331.56000277778</v>
      </c>
      <c r="B495" s="56"/>
      <c r="C495" s="57"/>
      <c r="D495" s="57"/>
      <c r="E495" s="57"/>
      <c r="F495" s="57"/>
      <c r="G495" s="58">
        <f>if(A495,_xlfn.workday.intl(int(A495),1,"1000000",Holidays!A:A)+17/24,"")</f>
        <v>45332.70833</v>
      </c>
      <c r="H495" s="59" t="str">
        <f t="shared" si="23"/>
        <v/>
      </c>
      <c r="I495" s="60"/>
      <c r="J495" s="61">
        <f t="shared" si="2"/>
        <v>801.2755766</v>
      </c>
      <c r="K495" s="58">
        <f>if(G495,_xlfn.workday.intl(int(G495),0,"1000000",Holidays!A:A)+19/24,"")</f>
        <v>45332.79167</v>
      </c>
      <c r="L495" s="59" t="str">
        <f t="shared" si="3"/>
        <v/>
      </c>
      <c r="M495" s="60"/>
      <c r="N495" s="61">
        <f t="shared" si="4"/>
        <v>801.1922432</v>
      </c>
      <c r="O495" s="63">
        <f>if(A495,_xlfn.WORKDAY.INTL(A495,O$5,"1000000",Holidays!A:A)+hour(A495)/24+MINUTE(A495)/1440,"")</f>
        <v>45332.55972</v>
      </c>
      <c r="P495" s="64" t="s">
        <v>2718</v>
      </c>
      <c r="R495" s="66">
        <f t="shared" si="5"/>
        <v>801.4241877</v>
      </c>
      <c r="S495" s="66"/>
      <c r="T495" s="66"/>
      <c r="U495" s="64">
        <f>if(O495,_xlfn.WORKDAY.INTL(O495,U$5,"1000000",Holidays!A:A)+hour(O495)/24+MINUTE(O495)/1440,"")</f>
        <v>45333.55972</v>
      </c>
      <c r="V495" s="64" t="str">
        <f t="shared" si="6"/>
        <v/>
      </c>
      <c r="W495" s="66"/>
      <c r="X495" s="66">
        <f t="shared" si="7"/>
        <v>800.4241877</v>
      </c>
      <c r="Y495" s="66"/>
      <c r="Z495" s="66"/>
      <c r="AA495" s="66"/>
      <c r="AB495" s="63"/>
      <c r="AC495" s="63"/>
      <c r="AD495" s="63"/>
      <c r="AE495" s="63"/>
      <c r="AF495" s="63"/>
      <c r="AG495" s="63"/>
      <c r="AH495" s="63" t="str">
        <f t="shared" si="14"/>
        <v/>
      </c>
      <c r="AI495" s="63" t="str">
        <f>if(AH495,_xlfn.workday.intl(int(AH495),0,"1000000",Holidays!A:A)+18/24,"")</f>
        <v/>
      </c>
      <c r="AJ495" s="64" t="str">
        <f t="shared" si="24"/>
        <v/>
      </c>
      <c r="AL495" s="66" t="str">
        <f t="shared" si="9"/>
        <v/>
      </c>
      <c r="AM495" s="66"/>
      <c r="AN495" s="63" t="str">
        <f>if(AJ495,if(and(hour(AJ495+AN$5)&gt;11,(hour(AJ495+AN$5)&lt;20)),AJ495+AN$5,_xlfn.workday.intl(int(AJ495),1,"1000000",Holidays!A:A)+hour(AJ495+AN$5-$B$1)/24+minute(AJ495)/1440),"")</f>
        <v/>
      </c>
      <c r="AO495" s="64" t="str">
        <f t="shared" si="15"/>
        <v/>
      </c>
      <c r="AQ495" s="66" t="str">
        <f t="shared" si="16"/>
        <v/>
      </c>
      <c r="AR495" s="66"/>
      <c r="AS495" s="63" t="str">
        <f>if(AJ495,if(and(hour(AJ495+AS$5)&gt;11,(hour(AJ495+AS$5)&lt;20)),AJ495+AS$5,_xlfn.workday.intl(int(AJ495),1,"1000000",Holidays!A:A)+hour(AJ495+AS$5-$B$1)/24+minute(AJ495)/1440),"")</f>
        <v/>
      </c>
      <c r="AT495" s="64" t="str">
        <f t="shared" si="21"/>
        <v/>
      </c>
      <c r="AV495" s="66" t="str">
        <f t="shared" si="25"/>
        <v/>
      </c>
      <c r="AW495" s="66"/>
      <c r="AX495" s="56"/>
    </row>
    <row r="496">
      <c r="A496" s="55">
        <v>45331.56082331018</v>
      </c>
      <c r="B496" s="56"/>
      <c r="C496" s="57"/>
      <c r="D496" s="57"/>
      <c r="E496" s="57"/>
      <c r="F496" s="57"/>
      <c r="G496" s="58">
        <f>if(A496,_xlfn.workday.intl(int(A496),1,"1000000",Holidays!A:A)+17/24,"")</f>
        <v>45332.70833</v>
      </c>
      <c r="H496" s="59" t="str">
        <f t="shared" si="23"/>
        <v/>
      </c>
      <c r="I496" s="60"/>
      <c r="J496" s="61">
        <f t="shared" si="2"/>
        <v>801.2755766</v>
      </c>
      <c r="K496" s="58">
        <f>if(G496,_xlfn.workday.intl(int(G496),0,"1000000",Holidays!A:A)+19/24,"")</f>
        <v>45332.79167</v>
      </c>
      <c r="L496" s="59" t="str">
        <f t="shared" si="3"/>
        <v/>
      </c>
      <c r="M496" s="60"/>
      <c r="N496" s="61">
        <f t="shared" si="4"/>
        <v>801.1922432</v>
      </c>
      <c r="O496" s="63">
        <f>if(A496,_xlfn.WORKDAY.INTL(A496,O$5,"1000000",Holidays!A:A)+hour(A496)/24+MINUTE(A496)/1440,"")</f>
        <v>45332.56042</v>
      </c>
      <c r="P496" s="64" t="s">
        <v>2718</v>
      </c>
      <c r="R496" s="66">
        <f t="shared" si="5"/>
        <v>801.4234932</v>
      </c>
      <c r="S496" s="66"/>
      <c r="T496" s="66"/>
      <c r="U496" s="64">
        <f>if(O496,_xlfn.WORKDAY.INTL(O496,U$5,"1000000",Holidays!A:A)+hour(O496)/24+MINUTE(O496)/1440,"")</f>
        <v>45333.56042</v>
      </c>
      <c r="V496" s="64" t="str">
        <f t="shared" si="6"/>
        <v/>
      </c>
      <c r="W496" s="66"/>
      <c r="X496" s="66">
        <f t="shared" si="7"/>
        <v>800.4234932</v>
      </c>
      <c r="Y496" s="66"/>
      <c r="Z496" s="66"/>
      <c r="AA496" s="66"/>
      <c r="AB496" s="63"/>
      <c r="AC496" s="63"/>
      <c r="AD496" s="63"/>
      <c r="AE496" s="63"/>
      <c r="AF496" s="63"/>
      <c r="AG496" s="63"/>
      <c r="AH496" s="63" t="str">
        <f t="shared" si="14"/>
        <v/>
      </c>
      <c r="AI496" s="63" t="str">
        <f>if(AH496,_xlfn.workday.intl(int(AH496),0,"1000000",Holidays!A:A)+18/24,"")</f>
        <v/>
      </c>
      <c r="AJ496" s="64" t="str">
        <f t="shared" si="24"/>
        <v/>
      </c>
      <c r="AL496" s="66" t="str">
        <f t="shared" si="9"/>
        <v/>
      </c>
      <c r="AM496" s="66"/>
      <c r="AN496" s="63" t="str">
        <f>if(AJ496,if(and(hour(AJ496+AN$5)&gt;11,(hour(AJ496+AN$5)&lt;20)),AJ496+AN$5,_xlfn.workday.intl(int(AJ496),1,"1000000",Holidays!A:A)+hour(AJ496+AN$5-$B$1)/24+minute(AJ496)/1440),"")</f>
        <v/>
      </c>
      <c r="AO496" s="64" t="str">
        <f t="shared" si="15"/>
        <v/>
      </c>
      <c r="AQ496" s="66" t="str">
        <f t="shared" si="16"/>
        <v/>
      </c>
      <c r="AR496" s="66"/>
      <c r="AS496" s="63" t="str">
        <f>if(AJ496,if(and(hour(AJ496+AS$5)&gt;11,(hour(AJ496+AS$5)&lt;20)),AJ496+AS$5,_xlfn.workday.intl(int(AJ496),1,"1000000",Holidays!A:A)+hour(AJ496+AS$5-$B$1)/24+minute(AJ496)/1440),"")</f>
        <v/>
      </c>
      <c r="AT496" s="64" t="str">
        <f t="shared" si="21"/>
        <v/>
      </c>
      <c r="AV496" s="66" t="str">
        <f t="shared" si="25"/>
        <v/>
      </c>
      <c r="AW496" s="66"/>
      <c r="AX496" s="56"/>
    </row>
    <row r="497">
      <c r="A497" s="55">
        <v>45331.60312798611</v>
      </c>
      <c r="B497" s="56"/>
      <c r="C497" s="57"/>
      <c r="D497" s="57"/>
      <c r="E497" s="57"/>
      <c r="F497" s="57"/>
      <c r="G497" s="58">
        <f>if(A497,_xlfn.workday.intl(int(A497),1,"1000000",Holidays!A:A)+17/24,"")</f>
        <v>45332.70833</v>
      </c>
      <c r="H497" s="59" t="str">
        <f t="shared" si="23"/>
        <v/>
      </c>
      <c r="I497" s="60"/>
      <c r="J497" s="61">
        <f t="shared" si="2"/>
        <v>801.2755766</v>
      </c>
      <c r="K497" s="58">
        <f>if(G497,_xlfn.workday.intl(int(G497),0,"1000000",Holidays!A:A)+19/24,"")</f>
        <v>45332.79167</v>
      </c>
      <c r="L497" s="59" t="str">
        <f t="shared" si="3"/>
        <v/>
      </c>
      <c r="M497" s="60"/>
      <c r="N497" s="61">
        <f t="shared" si="4"/>
        <v>801.1922432</v>
      </c>
      <c r="O497" s="63">
        <f>if(A497,_xlfn.WORKDAY.INTL(A497,O$5,"1000000",Holidays!A:A)+hour(A497)/24+MINUTE(A497)/1440,"")</f>
        <v>45332.60278</v>
      </c>
      <c r="P497" s="64" t="s">
        <v>2718</v>
      </c>
      <c r="R497" s="66">
        <f t="shared" si="5"/>
        <v>801.3811321</v>
      </c>
      <c r="S497" s="66"/>
      <c r="T497" s="66"/>
      <c r="U497" s="64">
        <f>if(O497,_xlfn.WORKDAY.INTL(O497,U$5,"1000000",Holidays!A:A)+hour(O497)/24+MINUTE(O497)/1440,"")</f>
        <v>45333.60278</v>
      </c>
      <c r="V497" s="64" t="str">
        <f t="shared" si="6"/>
        <v/>
      </c>
      <c r="W497" s="66"/>
      <c r="X497" s="66">
        <f t="shared" si="7"/>
        <v>800.3811321</v>
      </c>
      <c r="Y497" s="66"/>
      <c r="Z497" s="66"/>
      <c r="AA497" s="66"/>
      <c r="AB497" s="63"/>
      <c r="AC497" s="63"/>
      <c r="AD497" s="63"/>
      <c r="AE497" s="63"/>
      <c r="AF497" s="63"/>
      <c r="AG497" s="63"/>
      <c r="AH497" s="63" t="str">
        <f t="shared" si="14"/>
        <v/>
      </c>
      <c r="AI497" s="63" t="str">
        <f>if(AH497,_xlfn.workday.intl(int(AH497),0,"1000000",Holidays!A:A)+18/24,"")</f>
        <v/>
      </c>
      <c r="AJ497" s="64" t="str">
        <f t="shared" si="24"/>
        <v/>
      </c>
      <c r="AL497" s="66" t="str">
        <f t="shared" si="9"/>
        <v/>
      </c>
      <c r="AM497" s="66"/>
      <c r="AN497" s="63" t="str">
        <f>if(AJ497,if(and(hour(AJ497+AN$5)&gt;11,(hour(AJ497+AN$5)&lt;20)),AJ497+AN$5,_xlfn.workday.intl(int(AJ497),1,"1000000",Holidays!A:A)+hour(AJ497+AN$5-$B$1)/24+minute(AJ497)/1440),"")</f>
        <v/>
      </c>
      <c r="AO497" s="64" t="str">
        <f t="shared" si="15"/>
        <v/>
      </c>
      <c r="AQ497" s="66" t="str">
        <f t="shared" si="16"/>
        <v/>
      </c>
      <c r="AR497" s="66"/>
      <c r="AS497" s="63" t="str">
        <f>if(AJ497,if(and(hour(AJ497+AS$5)&gt;11,(hour(AJ497+AS$5)&lt;20)),AJ497+AS$5,_xlfn.workday.intl(int(AJ497),1,"1000000",Holidays!A:A)+hour(AJ497+AS$5-$B$1)/24+minute(AJ497)/1440),"")</f>
        <v/>
      </c>
      <c r="AT497" s="64" t="str">
        <f t="shared" si="21"/>
        <v/>
      </c>
      <c r="AV497" s="66" t="str">
        <f t="shared" si="25"/>
        <v/>
      </c>
      <c r="AW497" s="66"/>
      <c r="AX497" s="56"/>
    </row>
    <row r="498">
      <c r="A498" s="55">
        <v>45331.60405297454</v>
      </c>
      <c r="B498" s="56"/>
      <c r="C498" s="57"/>
      <c r="D498" s="57"/>
      <c r="E498" s="57"/>
      <c r="F498" s="57"/>
      <c r="G498" s="58">
        <f>if(A498,_xlfn.workday.intl(int(A498),1,"1000000",Holidays!A:A)+17/24,"")</f>
        <v>45332.70833</v>
      </c>
      <c r="H498" s="59" t="str">
        <f t="shared" si="23"/>
        <v/>
      </c>
      <c r="I498" s="60"/>
      <c r="J498" s="61">
        <f t="shared" si="2"/>
        <v>801.2755766</v>
      </c>
      <c r="K498" s="58">
        <f>if(G498,_xlfn.workday.intl(int(G498),0,"1000000",Holidays!A:A)+19/24,"")</f>
        <v>45332.79167</v>
      </c>
      <c r="L498" s="59" t="str">
        <f t="shared" si="3"/>
        <v/>
      </c>
      <c r="M498" s="60"/>
      <c r="N498" s="61">
        <f t="shared" si="4"/>
        <v>801.1922432</v>
      </c>
      <c r="O498" s="63">
        <f>if(A498,_xlfn.WORKDAY.INTL(A498,O$5,"1000000",Holidays!A:A)+hour(A498)/24+MINUTE(A498)/1440,"")</f>
        <v>45332.60347</v>
      </c>
      <c r="P498" s="64" t="s">
        <v>2718</v>
      </c>
      <c r="R498" s="66">
        <f t="shared" si="5"/>
        <v>801.3804377</v>
      </c>
      <c r="S498" s="66"/>
      <c r="T498" s="66"/>
      <c r="U498" s="64">
        <f>if(O498,_xlfn.WORKDAY.INTL(O498,U$5,"1000000",Holidays!A:A)+hour(O498)/24+MINUTE(O498)/1440,"")</f>
        <v>45333.60347</v>
      </c>
      <c r="V498" s="64" t="str">
        <f t="shared" si="6"/>
        <v/>
      </c>
      <c r="W498" s="66"/>
      <c r="X498" s="66">
        <f t="shared" si="7"/>
        <v>800.3804377</v>
      </c>
      <c r="Y498" s="66"/>
      <c r="Z498" s="66"/>
      <c r="AA498" s="66"/>
      <c r="AB498" s="63"/>
      <c r="AC498" s="63"/>
      <c r="AD498" s="63"/>
      <c r="AE498" s="63"/>
      <c r="AF498" s="63"/>
      <c r="AG498" s="63"/>
      <c r="AH498" s="63" t="str">
        <f t="shared" si="14"/>
        <v/>
      </c>
      <c r="AI498" s="63" t="str">
        <f>if(AH498,_xlfn.workday.intl(int(AH498),0,"1000000",Holidays!A:A)+18/24,"")</f>
        <v/>
      </c>
      <c r="AJ498" s="64" t="str">
        <f t="shared" si="24"/>
        <v/>
      </c>
      <c r="AL498" s="66" t="str">
        <f t="shared" si="9"/>
        <v/>
      </c>
      <c r="AM498" s="66"/>
      <c r="AN498" s="63" t="str">
        <f>if(AJ498,if(and(hour(AJ498+AN$5)&gt;11,(hour(AJ498+AN$5)&lt;20)),AJ498+AN$5,_xlfn.workday.intl(int(AJ498),1,"1000000",Holidays!A:A)+hour(AJ498+AN$5-$B$1)/24+minute(AJ498)/1440),"")</f>
        <v/>
      </c>
      <c r="AO498" s="64" t="str">
        <f t="shared" si="15"/>
        <v/>
      </c>
      <c r="AQ498" s="66" t="str">
        <f t="shared" si="16"/>
        <v/>
      </c>
      <c r="AR498" s="66"/>
      <c r="AS498" s="63" t="str">
        <f>if(AJ498,if(and(hour(AJ498+AS$5)&gt;11,(hour(AJ498+AS$5)&lt;20)),AJ498+AS$5,_xlfn.workday.intl(int(AJ498),1,"1000000",Holidays!A:A)+hour(AJ498+AS$5-$B$1)/24+minute(AJ498)/1440),"")</f>
        <v/>
      </c>
      <c r="AT498" s="64" t="str">
        <f t="shared" si="21"/>
        <v/>
      </c>
      <c r="AV498" s="66" t="str">
        <f t="shared" si="25"/>
        <v/>
      </c>
      <c r="AW498" s="66"/>
      <c r="AX498" s="56"/>
    </row>
    <row r="499">
      <c r="A499" s="55">
        <v>45331.60490045139</v>
      </c>
      <c r="B499" s="56"/>
      <c r="C499" s="57"/>
      <c r="D499" s="57"/>
      <c r="E499" s="57"/>
      <c r="F499" s="57"/>
      <c r="G499" s="58">
        <f>if(A499,_xlfn.workday.intl(int(A499),1,"1000000",Holidays!A:A)+17/24,"")</f>
        <v>45332.70833</v>
      </c>
      <c r="H499" s="59" t="str">
        <f t="shared" si="23"/>
        <v/>
      </c>
      <c r="I499" s="60"/>
      <c r="J499" s="61">
        <f t="shared" si="2"/>
        <v>801.2755766</v>
      </c>
      <c r="K499" s="58">
        <f>if(G499,_xlfn.workday.intl(int(G499),0,"1000000",Holidays!A:A)+19/24,"")</f>
        <v>45332.79167</v>
      </c>
      <c r="L499" s="59" t="str">
        <f t="shared" si="3"/>
        <v/>
      </c>
      <c r="M499" s="60"/>
      <c r="N499" s="61">
        <f t="shared" si="4"/>
        <v>801.1922432</v>
      </c>
      <c r="O499" s="63">
        <f>if(A499,_xlfn.WORKDAY.INTL(A499,O$5,"1000000",Holidays!A:A)+hour(A499)/24+MINUTE(A499)/1440,"")</f>
        <v>45332.60486</v>
      </c>
      <c r="P499" s="64" t="s">
        <v>2718</v>
      </c>
      <c r="R499" s="66">
        <f t="shared" si="5"/>
        <v>801.3790488</v>
      </c>
      <c r="S499" s="66"/>
      <c r="T499" s="66"/>
      <c r="U499" s="64">
        <f>if(O499,_xlfn.WORKDAY.INTL(O499,U$5,"1000000",Holidays!A:A)+hour(O499)/24+MINUTE(O499)/1440,"")</f>
        <v>45333.60486</v>
      </c>
      <c r="V499" s="64" t="str">
        <f t="shared" si="6"/>
        <v/>
      </c>
      <c r="W499" s="66"/>
      <c r="X499" s="66">
        <f t="shared" si="7"/>
        <v>800.3790488</v>
      </c>
      <c r="Y499" s="66"/>
      <c r="Z499" s="66"/>
      <c r="AA499" s="66"/>
      <c r="AB499" s="63"/>
      <c r="AC499" s="63"/>
      <c r="AD499" s="63"/>
      <c r="AE499" s="63"/>
      <c r="AF499" s="63"/>
      <c r="AG499" s="63"/>
      <c r="AH499" s="63" t="str">
        <f t="shared" si="14"/>
        <v/>
      </c>
      <c r="AI499" s="63" t="str">
        <f>if(AH499,_xlfn.workday.intl(int(AH499),0,"1000000",Holidays!A:A)+18/24,"")</f>
        <v/>
      </c>
      <c r="AJ499" s="64" t="str">
        <f t="shared" si="24"/>
        <v/>
      </c>
      <c r="AL499" s="66" t="str">
        <f t="shared" si="9"/>
        <v/>
      </c>
      <c r="AM499" s="66"/>
      <c r="AN499" s="63" t="str">
        <f>if(AJ499,if(and(hour(AJ499+AN$5)&gt;11,(hour(AJ499+AN$5)&lt;20)),AJ499+AN$5,_xlfn.workday.intl(int(AJ499),1,"1000000",Holidays!A:A)+hour(AJ499+AN$5-$B$1)/24+minute(AJ499)/1440),"")</f>
        <v/>
      </c>
      <c r="AO499" s="64" t="str">
        <f t="shared" si="15"/>
        <v/>
      </c>
      <c r="AQ499" s="66" t="str">
        <f t="shared" si="16"/>
        <v/>
      </c>
      <c r="AR499" s="66"/>
      <c r="AS499" s="63" t="str">
        <f>if(AJ499,if(and(hour(AJ499+AS$5)&gt;11,(hour(AJ499+AS$5)&lt;20)),AJ499+AS$5,_xlfn.workday.intl(int(AJ499),1,"1000000",Holidays!A:A)+hour(AJ499+AS$5-$B$1)/24+minute(AJ499)/1440),"")</f>
        <v/>
      </c>
      <c r="AT499" s="64" t="str">
        <f t="shared" si="21"/>
        <v/>
      </c>
      <c r="AV499" s="66" t="str">
        <f t="shared" si="25"/>
        <v/>
      </c>
      <c r="AW499" s="66"/>
      <c r="AX499" s="56"/>
    </row>
    <row r="500">
      <c r="A500" s="55">
        <v>45331.60783934028</v>
      </c>
      <c r="B500" s="56"/>
      <c r="C500" s="57"/>
      <c r="D500" s="57"/>
      <c r="E500" s="57"/>
      <c r="F500" s="57"/>
      <c r="G500" s="58">
        <f>if(A500,_xlfn.workday.intl(int(A500),1,"1000000",Holidays!A:A)+17/24,"")</f>
        <v>45332.70833</v>
      </c>
      <c r="H500" s="59" t="str">
        <f t="shared" si="23"/>
        <v/>
      </c>
      <c r="I500" s="60"/>
      <c r="J500" s="61">
        <f t="shared" si="2"/>
        <v>801.2755766</v>
      </c>
      <c r="K500" s="58">
        <f>if(G500,_xlfn.workday.intl(int(G500),0,"1000000",Holidays!A:A)+19/24,"")</f>
        <v>45332.79167</v>
      </c>
      <c r="L500" s="59" t="str">
        <f t="shared" si="3"/>
        <v/>
      </c>
      <c r="M500" s="60"/>
      <c r="N500" s="61">
        <f t="shared" si="4"/>
        <v>801.1922432</v>
      </c>
      <c r="O500" s="63">
        <f>if(A500,_xlfn.WORKDAY.INTL(A500,O$5,"1000000",Holidays!A:A)+hour(A500)/24+MINUTE(A500)/1440,"")</f>
        <v>45332.60764</v>
      </c>
      <c r="P500" s="64" t="s">
        <v>2718</v>
      </c>
      <c r="R500" s="66">
        <f t="shared" si="5"/>
        <v>801.376271</v>
      </c>
      <c r="S500" s="66"/>
      <c r="T500" s="66"/>
      <c r="U500" s="64">
        <f>if(O500,_xlfn.WORKDAY.INTL(O500,U$5,"1000000",Holidays!A:A)+hour(O500)/24+MINUTE(O500)/1440,"")</f>
        <v>45333.60764</v>
      </c>
      <c r="V500" s="64" t="str">
        <f t="shared" si="6"/>
        <v/>
      </c>
      <c r="W500" s="66"/>
      <c r="X500" s="66">
        <f t="shared" si="7"/>
        <v>800.376271</v>
      </c>
      <c r="Y500" s="66"/>
      <c r="Z500" s="66"/>
      <c r="AA500" s="66"/>
      <c r="AB500" s="63"/>
      <c r="AC500" s="63"/>
      <c r="AD500" s="63"/>
      <c r="AE500" s="63"/>
      <c r="AF500" s="63"/>
      <c r="AG500" s="63"/>
      <c r="AH500" s="63" t="str">
        <f t="shared" si="14"/>
        <v/>
      </c>
      <c r="AI500" s="63" t="str">
        <f>if(AH500,_xlfn.workday.intl(int(AH500),0,"1000000",Holidays!A:A)+18/24,"")</f>
        <v/>
      </c>
      <c r="AJ500" s="64" t="str">
        <f t="shared" si="24"/>
        <v/>
      </c>
      <c r="AL500" s="66" t="str">
        <f t="shared" si="9"/>
        <v/>
      </c>
      <c r="AM500" s="66"/>
      <c r="AN500" s="63" t="str">
        <f>if(AJ500,if(and(hour(AJ500+AN$5)&gt;11,(hour(AJ500+AN$5)&lt;20)),AJ500+AN$5,_xlfn.workday.intl(int(AJ500),1,"1000000",Holidays!A:A)+hour(AJ500+AN$5-$B$1)/24+minute(AJ500)/1440),"")</f>
        <v/>
      </c>
      <c r="AO500" s="64" t="str">
        <f t="shared" si="15"/>
        <v/>
      </c>
      <c r="AQ500" s="66" t="str">
        <f t="shared" si="16"/>
        <v/>
      </c>
      <c r="AR500" s="66"/>
      <c r="AS500" s="63" t="str">
        <f>if(AJ500,if(and(hour(AJ500+AS$5)&gt;11,(hour(AJ500+AS$5)&lt;20)),AJ500+AS$5,_xlfn.workday.intl(int(AJ500),1,"1000000",Holidays!A:A)+hour(AJ500+AS$5-$B$1)/24+minute(AJ500)/1440),"")</f>
        <v/>
      </c>
      <c r="AT500" s="64" t="str">
        <f t="shared" si="21"/>
        <v/>
      </c>
      <c r="AV500" s="66" t="str">
        <f t="shared" si="25"/>
        <v/>
      </c>
      <c r="AW500" s="66"/>
      <c r="AX500" s="56"/>
    </row>
    <row r="501">
      <c r="A501" s="55">
        <v>45331.609089351856</v>
      </c>
      <c r="B501" s="56"/>
      <c r="C501" s="57"/>
      <c r="D501" s="57"/>
      <c r="E501" s="57"/>
      <c r="F501" s="57"/>
      <c r="G501" s="58">
        <f>if(A501,_xlfn.workday.intl(int(A501),1,"1000000",Holidays!A:A)+17/24,"")</f>
        <v>45332.70833</v>
      </c>
      <c r="H501" s="59" t="str">
        <f t="shared" si="23"/>
        <v/>
      </c>
      <c r="I501" s="60"/>
      <c r="J501" s="61">
        <f t="shared" si="2"/>
        <v>801.2755766</v>
      </c>
      <c r="K501" s="58">
        <f>if(G501,_xlfn.workday.intl(int(G501),0,"1000000",Holidays!A:A)+19/24,"")</f>
        <v>45332.79167</v>
      </c>
      <c r="L501" s="59" t="str">
        <f t="shared" si="3"/>
        <v/>
      </c>
      <c r="M501" s="60"/>
      <c r="N501" s="61">
        <f t="shared" si="4"/>
        <v>801.1922432</v>
      </c>
      <c r="O501" s="63">
        <f>if(A501,_xlfn.WORKDAY.INTL(A501,O$5,"1000000",Holidays!A:A)+hour(A501)/24+MINUTE(A501)/1440,"")</f>
        <v>45332.60903</v>
      </c>
      <c r="P501" s="64" t="s">
        <v>2718</v>
      </c>
      <c r="R501" s="66">
        <f t="shared" si="5"/>
        <v>801.3748821</v>
      </c>
      <c r="S501" s="66"/>
      <c r="T501" s="66"/>
      <c r="U501" s="64">
        <f>if(O501,_xlfn.WORKDAY.INTL(O501,U$5,"1000000",Holidays!A:A)+hour(O501)/24+MINUTE(O501)/1440,"")</f>
        <v>45333.60903</v>
      </c>
      <c r="V501" s="64" t="str">
        <f t="shared" si="6"/>
        <v/>
      </c>
      <c r="W501" s="66"/>
      <c r="X501" s="66">
        <f t="shared" si="7"/>
        <v>800.3748821</v>
      </c>
      <c r="Y501" s="66"/>
      <c r="Z501" s="66"/>
      <c r="AA501" s="66"/>
      <c r="AB501" s="63"/>
      <c r="AC501" s="63"/>
      <c r="AD501" s="63"/>
      <c r="AE501" s="63"/>
      <c r="AF501" s="63"/>
      <c r="AG501" s="63"/>
      <c r="AH501" s="63" t="str">
        <f t="shared" si="14"/>
        <v/>
      </c>
      <c r="AI501" s="63" t="str">
        <f>if(AH501,_xlfn.workday.intl(int(AH501),0,"1000000",Holidays!A:A)+18/24,"")</f>
        <v/>
      </c>
      <c r="AJ501" s="64" t="str">
        <f t="shared" si="24"/>
        <v/>
      </c>
      <c r="AL501" s="66" t="str">
        <f t="shared" si="9"/>
        <v/>
      </c>
      <c r="AM501" s="66"/>
      <c r="AN501" s="63" t="str">
        <f>if(AJ501,if(and(hour(AJ501+AN$5)&gt;11,(hour(AJ501+AN$5)&lt;20)),AJ501+AN$5,_xlfn.workday.intl(int(AJ501),1,"1000000",Holidays!A:A)+hour(AJ501+AN$5-$B$1)/24+minute(AJ501)/1440),"")</f>
        <v/>
      </c>
      <c r="AO501" s="64" t="str">
        <f t="shared" si="15"/>
        <v/>
      </c>
      <c r="AQ501" s="66" t="str">
        <f t="shared" si="16"/>
        <v/>
      </c>
      <c r="AR501" s="66"/>
      <c r="AS501" s="63" t="str">
        <f>if(AJ501,if(and(hour(AJ501+AS$5)&gt;11,(hour(AJ501+AS$5)&lt;20)),AJ501+AS$5,_xlfn.workday.intl(int(AJ501),1,"1000000",Holidays!A:A)+hour(AJ501+AS$5-$B$1)/24+minute(AJ501)/1440),"")</f>
        <v/>
      </c>
      <c r="AT501" s="64" t="str">
        <f t="shared" si="21"/>
        <v/>
      </c>
      <c r="AV501" s="66" t="str">
        <f t="shared" si="25"/>
        <v/>
      </c>
      <c r="AW501" s="66"/>
      <c r="AX501" s="56"/>
    </row>
    <row r="502">
      <c r="A502" s="55">
        <v>45331.61150387731</v>
      </c>
      <c r="B502" s="56"/>
      <c r="C502" s="57"/>
      <c r="D502" s="57"/>
      <c r="E502" s="57"/>
      <c r="F502" s="57"/>
      <c r="G502" s="58">
        <f>if(A502,_xlfn.workday.intl(int(A502),1,"1000000",Holidays!A:A)+17/24,"")</f>
        <v>45332.70833</v>
      </c>
      <c r="H502" s="59" t="str">
        <f t="shared" si="23"/>
        <v/>
      </c>
      <c r="I502" s="60"/>
      <c r="J502" s="61">
        <f t="shared" si="2"/>
        <v>801.2755766</v>
      </c>
      <c r="K502" s="58">
        <f>if(G502,_xlfn.workday.intl(int(G502),0,"1000000",Holidays!A:A)+19/24,"")</f>
        <v>45332.79167</v>
      </c>
      <c r="L502" s="59" t="str">
        <f t="shared" si="3"/>
        <v/>
      </c>
      <c r="M502" s="60"/>
      <c r="N502" s="61">
        <f t="shared" si="4"/>
        <v>801.1922432</v>
      </c>
      <c r="O502" s="63">
        <f>if(A502,_xlfn.WORKDAY.INTL(A502,O$5,"1000000",Holidays!A:A)+hour(A502)/24+MINUTE(A502)/1440,"")</f>
        <v>45332.61111</v>
      </c>
      <c r="P502" s="64" t="s">
        <v>2718</v>
      </c>
      <c r="R502" s="66">
        <f t="shared" si="5"/>
        <v>801.3727988</v>
      </c>
      <c r="S502" s="66"/>
      <c r="T502" s="66"/>
      <c r="U502" s="64">
        <f>if(O502,_xlfn.WORKDAY.INTL(O502,U$5,"1000000",Holidays!A:A)+hour(O502)/24+MINUTE(O502)/1440,"")</f>
        <v>45333.61111</v>
      </c>
      <c r="V502" s="64" t="str">
        <f t="shared" si="6"/>
        <v/>
      </c>
      <c r="W502" s="66"/>
      <c r="X502" s="66">
        <f t="shared" si="7"/>
        <v>800.3727988</v>
      </c>
      <c r="Y502" s="66"/>
      <c r="Z502" s="66"/>
      <c r="AA502" s="66"/>
      <c r="AB502" s="63"/>
      <c r="AC502" s="63"/>
      <c r="AD502" s="63"/>
      <c r="AE502" s="63"/>
      <c r="AF502" s="63"/>
      <c r="AG502" s="63"/>
      <c r="AH502" s="63" t="str">
        <f t="shared" si="14"/>
        <v/>
      </c>
      <c r="AI502" s="63" t="str">
        <f>if(AH502,_xlfn.workday.intl(int(AH502),0,"1000000",Holidays!A:A)+18/24,"")</f>
        <v/>
      </c>
      <c r="AJ502" s="64" t="str">
        <f t="shared" si="24"/>
        <v/>
      </c>
      <c r="AL502" s="66" t="str">
        <f t="shared" si="9"/>
        <v/>
      </c>
      <c r="AM502" s="66"/>
      <c r="AN502" s="63" t="str">
        <f>if(AJ502,if(and(hour(AJ502+AN$5)&gt;11,(hour(AJ502+AN$5)&lt;20)),AJ502+AN$5,_xlfn.workday.intl(int(AJ502),1,"1000000",Holidays!A:A)+hour(AJ502+AN$5-$B$1)/24+minute(AJ502)/1440),"")</f>
        <v/>
      </c>
      <c r="AO502" s="64" t="str">
        <f t="shared" si="15"/>
        <v/>
      </c>
      <c r="AQ502" s="66" t="str">
        <f t="shared" si="16"/>
        <v/>
      </c>
      <c r="AR502" s="66"/>
      <c r="AS502" s="63" t="str">
        <f>if(AJ502,if(and(hour(AJ502+AS$5)&gt;11,(hour(AJ502+AS$5)&lt;20)),AJ502+AS$5,_xlfn.workday.intl(int(AJ502),1,"1000000",Holidays!A:A)+hour(AJ502+AS$5-$B$1)/24+minute(AJ502)/1440),"")</f>
        <v/>
      </c>
      <c r="AT502" s="64" t="str">
        <f t="shared" si="21"/>
        <v/>
      </c>
      <c r="AV502" s="66" t="str">
        <f t="shared" si="25"/>
        <v/>
      </c>
      <c r="AW502" s="66"/>
      <c r="AX502" s="56"/>
    </row>
    <row r="503">
      <c r="A503" s="55">
        <v>45331.61295487269</v>
      </c>
      <c r="B503" s="56"/>
      <c r="C503" s="57"/>
      <c r="D503" s="57"/>
      <c r="E503" s="57"/>
      <c r="F503" s="57"/>
      <c r="G503" s="58">
        <f>if(A503,_xlfn.workday.intl(int(A503),1,"1000000",Holidays!A:A)+17/24,"")</f>
        <v>45332.70833</v>
      </c>
      <c r="H503" s="59" t="str">
        <f t="shared" si="23"/>
        <v/>
      </c>
      <c r="I503" s="60"/>
      <c r="J503" s="61">
        <f t="shared" si="2"/>
        <v>801.2755766</v>
      </c>
      <c r="K503" s="58">
        <f>if(G503,_xlfn.workday.intl(int(G503),0,"1000000",Holidays!A:A)+19/24,"")</f>
        <v>45332.79167</v>
      </c>
      <c r="L503" s="59" t="str">
        <f t="shared" si="3"/>
        <v/>
      </c>
      <c r="M503" s="60"/>
      <c r="N503" s="61">
        <f t="shared" si="4"/>
        <v>801.1922432</v>
      </c>
      <c r="O503" s="63">
        <f>if(A503,_xlfn.WORKDAY.INTL(A503,O$5,"1000000",Holidays!A:A)+hour(A503)/24+MINUTE(A503)/1440,"")</f>
        <v>45332.6125</v>
      </c>
      <c r="P503" s="64" t="s">
        <v>2718</v>
      </c>
      <c r="R503" s="66">
        <f t="shared" si="5"/>
        <v>801.3714099</v>
      </c>
      <c r="S503" s="66"/>
      <c r="T503" s="66"/>
      <c r="U503" s="64">
        <f>if(O503,_xlfn.WORKDAY.INTL(O503,U$5,"1000000",Holidays!A:A)+hour(O503)/24+MINUTE(O503)/1440,"")</f>
        <v>45333.6125</v>
      </c>
      <c r="V503" s="64" t="str">
        <f t="shared" si="6"/>
        <v/>
      </c>
      <c r="W503" s="66"/>
      <c r="X503" s="66">
        <f t="shared" si="7"/>
        <v>800.3714099</v>
      </c>
      <c r="Y503" s="66"/>
      <c r="Z503" s="66"/>
      <c r="AA503" s="66"/>
      <c r="AB503" s="63"/>
      <c r="AC503" s="63"/>
      <c r="AD503" s="63"/>
      <c r="AE503" s="63"/>
      <c r="AF503" s="63"/>
      <c r="AG503" s="63"/>
      <c r="AH503" s="63" t="str">
        <f t="shared" si="14"/>
        <v/>
      </c>
      <c r="AI503" s="63" t="str">
        <f>if(AH503,_xlfn.workday.intl(int(AH503),0,"1000000",Holidays!A:A)+18/24,"")</f>
        <v/>
      </c>
      <c r="AJ503" s="64" t="str">
        <f t="shared" si="24"/>
        <v/>
      </c>
      <c r="AL503" s="66" t="str">
        <f t="shared" si="9"/>
        <v/>
      </c>
      <c r="AM503" s="66"/>
      <c r="AN503" s="63" t="str">
        <f>if(AJ503,if(and(hour(AJ503+AN$5)&gt;11,(hour(AJ503+AN$5)&lt;20)),AJ503+AN$5,_xlfn.workday.intl(int(AJ503),1,"1000000",Holidays!A:A)+hour(AJ503+AN$5-$B$1)/24+minute(AJ503)/1440),"")</f>
        <v/>
      </c>
      <c r="AO503" s="64" t="str">
        <f t="shared" si="15"/>
        <v/>
      </c>
      <c r="AQ503" s="66" t="str">
        <f t="shared" si="16"/>
        <v/>
      </c>
      <c r="AR503" s="66"/>
      <c r="AS503" s="63" t="str">
        <f>if(AJ503,if(and(hour(AJ503+AS$5)&gt;11,(hour(AJ503+AS$5)&lt;20)),AJ503+AS$5,_xlfn.workday.intl(int(AJ503),1,"1000000",Holidays!A:A)+hour(AJ503+AS$5-$B$1)/24+minute(AJ503)/1440),"")</f>
        <v/>
      </c>
      <c r="AT503" s="64" t="str">
        <f t="shared" si="21"/>
        <v/>
      </c>
      <c r="AV503" s="66" t="str">
        <f t="shared" si="25"/>
        <v/>
      </c>
      <c r="AW503" s="66"/>
      <c r="AX503" s="56"/>
    </row>
    <row r="504">
      <c r="A504" s="55">
        <v>45331.61418395833</v>
      </c>
      <c r="B504" s="56"/>
      <c r="C504" s="57"/>
      <c r="D504" s="57"/>
      <c r="E504" s="57"/>
      <c r="F504" s="57"/>
      <c r="G504" s="58">
        <f>if(A504,_xlfn.workday.intl(int(A504),1,"1000000",Holidays!A:A)+17/24,"")</f>
        <v>45332.70833</v>
      </c>
      <c r="H504" s="59" t="str">
        <f t="shared" si="23"/>
        <v/>
      </c>
      <c r="I504" s="60"/>
      <c r="J504" s="61">
        <f t="shared" si="2"/>
        <v>801.2755766</v>
      </c>
      <c r="K504" s="58">
        <f>if(G504,_xlfn.workday.intl(int(G504),0,"1000000",Holidays!A:A)+19/24,"")</f>
        <v>45332.79167</v>
      </c>
      <c r="L504" s="59" t="str">
        <f t="shared" si="3"/>
        <v/>
      </c>
      <c r="M504" s="60"/>
      <c r="N504" s="61">
        <f t="shared" si="4"/>
        <v>801.1922432</v>
      </c>
      <c r="O504" s="63">
        <f>if(A504,_xlfn.WORKDAY.INTL(A504,O$5,"1000000",Holidays!A:A)+hour(A504)/24+MINUTE(A504)/1440,"")</f>
        <v>45332.61389</v>
      </c>
      <c r="P504" s="64" t="s">
        <v>2718</v>
      </c>
      <c r="R504" s="66">
        <f t="shared" si="5"/>
        <v>801.370021</v>
      </c>
      <c r="S504" s="66"/>
      <c r="T504" s="66"/>
      <c r="U504" s="64">
        <f>if(O504,_xlfn.WORKDAY.INTL(O504,U$5,"1000000",Holidays!A:A)+hour(O504)/24+MINUTE(O504)/1440,"")</f>
        <v>45333.61389</v>
      </c>
      <c r="V504" s="64" t="str">
        <f t="shared" si="6"/>
        <v/>
      </c>
      <c r="W504" s="66"/>
      <c r="X504" s="66">
        <f t="shared" si="7"/>
        <v>800.370021</v>
      </c>
      <c r="Y504" s="66"/>
      <c r="Z504" s="66"/>
      <c r="AA504" s="66"/>
      <c r="AB504" s="63"/>
      <c r="AC504" s="63"/>
      <c r="AD504" s="63"/>
      <c r="AE504" s="63"/>
      <c r="AF504" s="63"/>
      <c r="AG504" s="63"/>
      <c r="AH504" s="63" t="str">
        <f t="shared" si="14"/>
        <v/>
      </c>
      <c r="AI504" s="63" t="str">
        <f>if(AH504,_xlfn.workday.intl(int(AH504),0,"1000000",Holidays!A:A)+18/24,"")</f>
        <v/>
      </c>
      <c r="AJ504" s="64" t="str">
        <f t="shared" si="24"/>
        <v/>
      </c>
      <c r="AL504" s="66" t="str">
        <f t="shared" si="9"/>
        <v/>
      </c>
      <c r="AM504" s="66"/>
      <c r="AN504" s="63" t="str">
        <f>if(AJ504,if(and(hour(AJ504+AN$5)&gt;11,(hour(AJ504+AN$5)&lt;20)),AJ504+AN$5,_xlfn.workday.intl(int(AJ504),1,"1000000",Holidays!A:A)+hour(AJ504+AN$5-$B$1)/24+minute(AJ504)/1440),"")</f>
        <v/>
      </c>
      <c r="AO504" s="64" t="str">
        <f t="shared" si="15"/>
        <v/>
      </c>
      <c r="AQ504" s="66" t="str">
        <f t="shared" si="16"/>
        <v/>
      </c>
      <c r="AR504" s="66"/>
      <c r="AS504" s="63" t="str">
        <f>if(AJ504,if(and(hour(AJ504+AS$5)&gt;11,(hour(AJ504+AS$5)&lt;20)),AJ504+AS$5,_xlfn.workday.intl(int(AJ504),1,"1000000",Holidays!A:A)+hour(AJ504+AS$5-$B$1)/24+minute(AJ504)/1440),"")</f>
        <v/>
      </c>
      <c r="AT504" s="64" t="str">
        <f t="shared" si="21"/>
        <v/>
      </c>
      <c r="AV504" s="66" t="str">
        <f t="shared" si="25"/>
        <v/>
      </c>
      <c r="AW504" s="66"/>
      <c r="AX504" s="56"/>
    </row>
    <row r="505">
      <c r="A505" s="55">
        <v>45331.615502824076</v>
      </c>
      <c r="B505" s="56"/>
      <c r="C505" s="57"/>
      <c r="D505" s="57"/>
      <c r="E505" s="57"/>
      <c r="F505" s="57"/>
      <c r="G505" s="58">
        <f>if(A505,_xlfn.workday.intl(int(A505),1,"1000000",Holidays!A:A)+17/24,"")</f>
        <v>45332.70833</v>
      </c>
      <c r="H505" s="59" t="str">
        <f t="shared" si="23"/>
        <v/>
      </c>
      <c r="I505" s="60"/>
      <c r="J505" s="61">
        <f t="shared" si="2"/>
        <v>801.2755766</v>
      </c>
      <c r="K505" s="58">
        <f>if(G505,_xlfn.workday.intl(int(G505),0,"1000000",Holidays!A:A)+19/24,"")</f>
        <v>45332.79167</v>
      </c>
      <c r="L505" s="59" t="str">
        <f t="shared" si="3"/>
        <v/>
      </c>
      <c r="M505" s="60"/>
      <c r="N505" s="61">
        <f t="shared" si="4"/>
        <v>801.1922432</v>
      </c>
      <c r="O505" s="63">
        <f>if(A505,_xlfn.WORKDAY.INTL(A505,O$5,"1000000",Holidays!A:A)+hour(A505)/24+MINUTE(A505)/1440,"")</f>
        <v>45332.61528</v>
      </c>
      <c r="P505" s="64" t="s">
        <v>2718</v>
      </c>
      <c r="R505" s="66">
        <f t="shared" si="5"/>
        <v>801.3686321</v>
      </c>
      <c r="S505" s="66"/>
      <c r="T505" s="66"/>
      <c r="U505" s="64">
        <f>if(O505,_xlfn.WORKDAY.INTL(O505,U$5,"1000000",Holidays!A:A)+hour(O505)/24+MINUTE(O505)/1440,"")</f>
        <v>45333.61528</v>
      </c>
      <c r="V505" s="64" t="str">
        <f t="shared" si="6"/>
        <v/>
      </c>
      <c r="W505" s="66"/>
      <c r="X505" s="66">
        <f t="shared" si="7"/>
        <v>800.3686321</v>
      </c>
      <c r="Y505" s="66"/>
      <c r="Z505" s="66"/>
      <c r="AA505" s="66"/>
      <c r="AB505" s="63"/>
      <c r="AC505" s="63"/>
      <c r="AD505" s="63"/>
      <c r="AE505" s="63"/>
      <c r="AF505" s="63"/>
      <c r="AG505" s="63"/>
      <c r="AH505" s="63" t="str">
        <f t="shared" si="14"/>
        <v/>
      </c>
      <c r="AI505" s="63" t="str">
        <f>if(AH505,_xlfn.workday.intl(int(AH505),0,"1000000",Holidays!A:A)+18/24,"")</f>
        <v/>
      </c>
      <c r="AJ505" s="64" t="str">
        <f t="shared" si="24"/>
        <v/>
      </c>
      <c r="AL505" s="66" t="str">
        <f t="shared" si="9"/>
        <v/>
      </c>
      <c r="AM505" s="66"/>
      <c r="AN505" s="63" t="str">
        <f>if(AJ505,if(and(hour(AJ505+AN$5)&gt;11,(hour(AJ505+AN$5)&lt;20)),AJ505+AN$5,_xlfn.workday.intl(int(AJ505),1,"1000000",Holidays!A:A)+hour(AJ505+AN$5-$B$1)/24+minute(AJ505)/1440),"")</f>
        <v/>
      </c>
      <c r="AO505" s="64" t="str">
        <f t="shared" si="15"/>
        <v/>
      </c>
      <c r="AQ505" s="66" t="str">
        <f t="shared" si="16"/>
        <v/>
      </c>
      <c r="AR505" s="66"/>
      <c r="AS505" s="63" t="str">
        <f>if(AJ505,if(and(hour(AJ505+AS$5)&gt;11,(hour(AJ505+AS$5)&lt;20)),AJ505+AS$5,_xlfn.workday.intl(int(AJ505),1,"1000000",Holidays!A:A)+hour(AJ505+AS$5-$B$1)/24+minute(AJ505)/1440),"")</f>
        <v/>
      </c>
      <c r="AT505" s="64" t="str">
        <f t="shared" si="21"/>
        <v/>
      </c>
      <c r="AV505" s="66" t="str">
        <f t="shared" si="25"/>
        <v/>
      </c>
      <c r="AW505" s="66"/>
      <c r="AX505" s="56"/>
    </row>
    <row r="506">
      <c r="A506" s="55">
        <v>45331.61802060185</v>
      </c>
      <c r="B506" s="56"/>
      <c r="C506" s="57"/>
      <c r="D506" s="57"/>
      <c r="E506" s="57"/>
      <c r="F506" s="57"/>
      <c r="G506" s="58">
        <f>if(A506,_xlfn.workday.intl(int(A506),1,"1000000",Holidays!A:A)+17/24,"")</f>
        <v>45332.70833</v>
      </c>
      <c r="H506" s="59" t="str">
        <f t="shared" si="23"/>
        <v/>
      </c>
      <c r="I506" s="60"/>
      <c r="J506" s="61">
        <f t="shared" si="2"/>
        <v>801.2755766</v>
      </c>
      <c r="K506" s="58">
        <f>if(G506,_xlfn.workday.intl(int(G506),0,"1000000",Holidays!A:A)+19/24,"")</f>
        <v>45332.79167</v>
      </c>
      <c r="L506" s="59" t="str">
        <f t="shared" si="3"/>
        <v/>
      </c>
      <c r="M506" s="60"/>
      <c r="N506" s="61">
        <f t="shared" si="4"/>
        <v>801.1922432</v>
      </c>
      <c r="O506" s="63">
        <f>if(A506,_xlfn.WORKDAY.INTL(A506,O$5,"1000000",Holidays!A:A)+hour(A506)/24+MINUTE(A506)/1440,"")</f>
        <v>45332.61736</v>
      </c>
      <c r="P506" s="64" t="s">
        <v>2718</v>
      </c>
      <c r="R506" s="66">
        <f t="shared" si="5"/>
        <v>801.3665488</v>
      </c>
      <c r="S506" s="66"/>
      <c r="T506" s="66"/>
      <c r="U506" s="64">
        <f>if(O506,_xlfn.WORKDAY.INTL(O506,U$5,"1000000",Holidays!A:A)+hour(O506)/24+MINUTE(O506)/1440,"")</f>
        <v>45333.61736</v>
      </c>
      <c r="V506" s="64" t="str">
        <f t="shared" si="6"/>
        <v/>
      </c>
      <c r="W506" s="66"/>
      <c r="X506" s="66">
        <f t="shared" si="7"/>
        <v>800.3665488</v>
      </c>
      <c r="Y506" s="66"/>
      <c r="Z506" s="66"/>
      <c r="AA506" s="66"/>
      <c r="AB506" s="63"/>
      <c r="AC506" s="63"/>
      <c r="AD506" s="63"/>
      <c r="AE506" s="63"/>
      <c r="AF506" s="63"/>
      <c r="AG506" s="63"/>
      <c r="AH506" s="63" t="str">
        <f t="shared" si="14"/>
        <v/>
      </c>
      <c r="AI506" s="63" t="str">
        <f>if(AH506,_xlfn.workday.intl(int(AH506),0,"1000000",Holidays!A:A)+18/24,"")</f>
        <v/>
      </c>
      <c r="AJ506" s="64" t="str">
        <f t="shared" si="24"/>
        <v/>
      </c>
      <c r="AL506" s="66" t="str">
        <f t="shared" si="9"/>
        <v/>
      </c>
      <c r="AM506" s="66"/>
      <c r="AN506" s="63" t="str">
        <f>if(AJ506,if(and(hour(AJ506+AN$5)&gt;11,(hour(AJ506+AN$5)&lt;20)),AJ506+AN$5,_xlfn.workday.intl(int(AJ506),1,"1000000",Holidays!A:A)+hour(AJ506+AN$5-$B$1)/24+minute(AJ506)/1440),"")</f>
        <v/>
      </c>
      <c r="AO506" s="64" t="str">
        <f t="shared" si="15"/>
        <v/>
      </c>
      <c r="AQ506" s="66" t="str">
        <f t="shared" si="16"/>
        <v/>
      </c>
      <c r="AR506" s="66"/>
      <c r="AS506" s="63" t="str">
        <f>if(AJ506,if(and(hour(AJ506+AS$5)&gt;11,(hour(AJ506+AS$5)&lt;20)),AJ506+AS$5,_xlfn.workday.intl(int(AJ506),1,"1000000",Holidays!A:A)+hour(AJ506+AS$5-$B$1)/24+minute(AJ506)/1440),"")</f>
        <v/>
      </c>
      <c r="AT506" s="64" t="str">
        <f t="shared" si="21"/>
        <v/>
      </c>
      <c r="AV506" s="66" t="str">
        <f t="shared" si="25"/>
        <v/>
      </c>
      <c r="AW506" s="66"/>
      <c r="AX506" s="56"/>
    </row>
    <row r="507">
      <c r="A507" s="55">
        <v>45331.61885459491</v>
      </c>
      <c r="B507" s="56"/>
      <c r="C507" s="57"/>
      <c r="D507" s="57"/>
      <c r="E507" s="57"/>
      <c r="F507" s="57"/>
      <c r="G507" s="58">
        <f>if(A507,_xlfn.workday.intl(int(A507),1,"1000000",Holidays!A:A)+17/24,"")</f>
        <v>45332.70833</v>
      </c>
      <c r="H507" s="59" t="str">
        <f t="shared" si="23"/>
        <v/>
      </c>
      <c r="I507" s="60"/>
      <c r="J507" s="61">
        <f t="shared" si="2"/>
        <v>801.2755766</v>
      </c>
      <c r="K507" s="58">
        <f>if(G507,_xlfn.workday.intl(int(G507),0,"1000000",Holidays!A:A)+19/24,"")</f>
        <v>45332.79167</v>
      </c>
      <c r="L507" s="59" t="str">
        <f t="shared" si="3"/>
        <v/>
      </c>
      <c r="M507" s="60"/>
      <c r="N507" s="61">
        <f t="shared" si="4"/>
        <v>801.1922432</v>
      </c>
      <c r="O507" s="63">
        <f>if(A507,_xlfn.WORKDAY.INTL(A507,O$5,"1000000",Holidays!A:A)+hour(A507)/24+MINUTE(A507)/1440,"")</f>
        <v>45332.61875</v>
      </c>
      <c r="P507" s="64" t="s">
        <v>2718</v>
      </c>
      <c r="R507" s="66">
        <f t="shared" si="5"/>
        <v>801.3651599</v>
      </c>
      <c r="S507" s="66"/>
      <c r="T507" s="66"/>
      <c r="U507" s="64">
        <f>if(O507,_xlfn.WORKDAY.INTL(O507,U$5,"1000000",Holidays!A:A)+hour(O507)/24+MINUTE(O507)/1440,"")</f>
        <v>45333.61875</v>
      </c>
      <c r="V507" s="64" t="str">
        <f t="shared" si="6"/>
        <v/>
      </c>
      <c r="W507" s="66"/>
      <c r="X507" s="66">
        <f t="shared" si="7"/>
        <v>800.3651599</v>
      </c>
      <c r="Y507" s="66"/>
      <c r="Z507" s="66"/>
      <c r="AA507" s="66"/>
      <c r="AB507" s="63"/>
      <c r="AC507" s="63"/>
      <c r="AD507" s="63"/>
      <c r="AE507" s="63"/>
      <c r="AF507" s="63"/>
      <c r="AG507" s="63"/>
      <c r="AH507" s="63" t="str">
        <f t="shared" si="14"/>
        <v/>
      </c>
      <c r="AI507" s="63" t="str">
        <f>if(AH507,_xlfn.workday.intl(int(AH507),0,"1000000",Holidays!A:A)+18/24,"")</f>
        <v/>
      </c>
      <c r="AJ507" s="64" t="str">
        <f t="shared" si="24"/>
        <v/>
      </c>
      <c r="AL507" s="66" t="str">
        <f t="shared" si="9"/>
        <v/>
      </c>
      <c r="AM507" s="66"/>
      <c r="AN507" s="63" t="str">
        <f>if(AJ507,if(and(hour(AJ507+AN$5)&gt;11,(hour(AJ507+AN$5)&lt;20)),AJ507+AN$5,_xlfn.workday.intl(int(AJ507),1,"1000000",Holidays!A:A)+hour(AJ507+AN$5-$B$1)/24+minute(AJ507)/1440),"")</f>
        <v/>
      </c>
      <c r="AO507" s="64" t="str">
        <f t="shared" si="15"/>
        <v/>
      </c>
      <c r="AQ507" s="66" t="str">
        <f t="shared" si="16"/>
        <v/>
      </c>
      <c r="AR507" s="66"/>
      <c r="AS507" s="63" t="str">
        <f>if(AJ507,if(and(hour(AJ507+AS$5)&gt;11,(hour(AJ507+AS$5)&lt;20)),AJ507+AS$5,_xlfn.workday.intl(int(AJ507),1,"1000000",Holidays!A:A)+hour(AJ507+AS$5-$B$1)/24+minute(AJ507)/1440),"")</f>
        <v/>
      </c>
      <c r="AT507" s="64" t="str">
        <f t="shared" si="21"/>
        <v/>
      </c>
      <c r="AV507" s="66" t="str">
        <f t="shared" si="25"/>
        <v/>
      </c>
      <c r="AW507" s="66"/>
      <c r="AX507" s="56"/>
    </row>
    <row r="508">
      <c r="A508" s="55">
        <v>45331.61997375</v>
      </c>
      <c r="B508" s="56"/>
      <c r="C508" s="57"/>
      <c r="D508" s="57"/>
      <c r="E508" s="57"/>
      <c r="F508" s="57"/>
      <c r="G508" s="58">
        <f>if(A508,_xlfn.workday.intl(int(A508),1,"1000000",Holidays!A:A)+17/24,"")</f>
        <v>45332.70833</v>
      </c>
      <c r="H508" s="59" t="str">
        <f t="shared" si="23"/>
        <v/>
      </c>
      <c r="I508" s="60"/>
      <c r="J508" s="61">
        <f t="shared" si="2"/>
        <v>801.2755766</v>
      </c>
      <c r="K508" s="58">
        <f>if(G508,_xlfn.workday.intl(int(G508),0,"1000000",Holidays!A:A)+19/24,"")</f>
        <v>45332.79167</v>
      </c>
      <c r="L508" s="59" t="str">
        <f t="shared" si="3"/>
        <v/>
      </c>
      <c r="M508" s="60"/>
      <c r="N508" s="61">
        <f t="shared" si="4"/>
        <v>801.1922432</v>
      </c>
      <c r="O508" s="63">
        <f>if(A508,_xlfn.WORKDAY.INTL(A508,O$5,"1000000",Holidays!A:A)+hour(A508)/24+MINUTE(A508)/1440,"")</f>
        <v>45332.61944</v>
      </c>
      <c r="P508" s="64" t="s">
        <v>2718</v>
      </c>
      <c r="R508" s="66">
        <f t="shared" si="5"/>
        <v>801.3644655</v>
      </c>
      <c r="S508" s="66"/>
      <c r="T508" s="66"/>
      <c r="U508" s="64">
        <f>if(O508,_xlfn.WORKDAY.INTL(O508,U$5,"1000000",Holidays!A:A)+hour(O508)/24+MINUTE(O508)/1440,"")</f>
        <v>45333.61944</v>
      </c>
      <c r="V508" s="64" t="str">
        <f t="shared" si="6"/>
        <v/>
      </c>
      <c r="W508" s="66"/>
      <c r="X508" s="66">
        <f t="shared" si="7"/>
        <v>800.3644655</v>
      </c>
      <c r="Y508" s="66"/>
      <c r="Z508" s="66"/>
      <c r="AA508" s="66"/>
      <c r="AB508" s="63"/>
      <c r="AC508" s="63"/>
      <c r="AD508" s="63"/>
      <c r="AE508" s="63"/>
      <c r="AF508" s="63"/>
      <c r="AG508" s="63"/>
      <c r="AH508" s="63" t="str">
        <f t="shared" si="14"/>
        <v/>
      </c>
      <c r="AI508" s="63" t="str">
        <f>if(AH508,_xlfn.workday.intl(int(AH508),0,"1000000",Holidays!A:A)+18/24,"")</f>
        <v/>
      </c>
      <c r="AJ508" s="64" t="str">
        <f t="shared" si="24"/>
        <v/>
      </c>
      <c r="AL508" s="66" t="str">
        <f t="shared" si="9"/>
        <v/>
      </c>
      <c r="AM508" s="66"/>
      <c r="AN508" s="63" t="str">
        <f>if(AJ508,if(and(hour(AJ508+AN$5)&gt;11,(hour(AJ508+AN$5)&lt;20)),AJ508+AN$5,_xlfn.workday.intl(int(AJ508),1,"1000000",Holidays!A:A)+hour(AJ508+AN$5-$B$1)/24+minute(AJ508)/1440),"")</f>
        <v/>
      </c>
      <c r="AO508" s="64" t="str">
        <f t="shared" si="15"/>
        <v/>
      </c>
      <c r="AQ508" s="66" t="str">
        <f t="shared" si="16"/>
        <v/>
      </c>
      <c r="AR508" s="66"/>
      <c r="AS508" s="63" t="str">
        <f>if(AJ508,if(and(hour(AJ508+AS$5)&gt;11,(hour(AJ508+AS$5)&lt;20)),AJ508+AS$5,_xlfn.workday.intl(int(AJ508),1,"1000000",Holidays!A:A)+hour(AJ508+AS$5-$B$1)/24+minute(AJ508)/1440),"")</f>
        <v/>
      </c>
      <c r="AT508" s="64" t="str">
        <f t="shared" si="21"/>
        <v/>
      </c>
      <c r="AV508" s="66" t="str">
        <f t="shared" si="25"/>
        <v/>
      </c>
      <c r="AW508" s="66"/>
      <c r="AX508" s="56"/>
    </row>
    <row r="509">
      <c r="A509" s="55">
        <v>45331.62090982639</v>
      </c>
      <c r="B509" s="56"/>
      <c r="C509" s="57"/>
      <c r="D509" s="57"/>
      <c r="E509" s="57"/>
      <c r="F509" s="57"/>
      <c r="G509" s="58">
        <f>if(A509,_xlfn.workday.intl(int(A509),1,"1000000",Holidays!A:A)+17/24,"")</f>
        <v>45332.70833</v>
      </c>
      <c r="H509" s="59" t="str">
        <f t="shared" si="23"/>
        <v/>
      </c>
      <c r="I509" s="60"/>
      <c r="J509" s="61">
        <f t="shared" si="2"/>
        <v>801.2755766</v>
      </c>
      <c r="K509" s="58">
        <f>if(G509,_xlfn.workday.intl(int(G509),0,"1000000",Holidays!A:A)+19/24,"")</f>
        <v>45332.79167</v>
      </c>
      <c r="L509" s="59" t="str">
        <f t="shared" si="3"/>
        <v/>
      </c>
      <c r="M509" s="60"/>
      <c r="N509" s="61">
        <f t="shared" si="4"/>
        <v>801.1922432</v>
      </c>
      <c r="O509" s="63">
        <f>if(A509,_xlfn.WORKDAY.INTL(A509,O$5,"1000000",Holidays!A:A)+hour(A509)/24+MINUTE(A509)/1440,"")</f>
        <v>45332.62083</v>
      </c>
      <c r="P509" s="64" t="s">
        <v>2718</v>
      </c>
      <c r="R509" s="66">
        <f t="shared" si="5"/>
        <v>801.3630766</v>
      </c>
      <c r="S509" s="66"/>
      <c r="T509" s="66"/>
      <c r="U509" s="64">
        <f>if(O509,_xlfn.WORKDAY.INTL(O509,U$5,"1000000",Holidays!A:A)+hour(O509)/24+MINUTE(O509)/1440,"")</f>
        <v>45333.62083</v>
      </c>
      <c r="V509" s="64" t="str">
        <f t="shared" si="6"/>
        <v/>
      </c>
      <c r="W509" s="66"/>
      <c r="X509" s="66">
        <f t="shared" si="7"/>
        <v>800.3630766</v>
      </c>
      <c r="Y509" s="66"/>
      <c r="Z509" s="66"/>
      <c r="AA509" s="66"/>
      <c r="AB509" s="63"/>
      <c r="AC509" s="63"/>
      <c r="AD509" s="63"/>
      <c r="AE509" s="63"/>
      <c r="AF509" s="63"/>
      <c r="AG509" s="63"/>
      <c r="AH509" s="63" t="str">
        <f t="shared" si="14"/>
        <v/>
      </c>
      <c r="AI509" s="63" t="str">
        <f>if(AH509,_xlfn.workday.intl(int(AH509),0,"1000000",Holidays!A:A)+18/24,"")</f>
        <v/>
      </c>
      <c r="AJ509" s="64" t="str">
        <f t="shared" si="24"/>
        <v/>
      </c>
      <c r="AL509" s="66" t="str">
        <f t="shared" si="9"/>
        <v/>
      </c>
      <c r="AM509" s="66"/>
      <c r="AN509" s="63" t="str">
        <f>if(AJ509,if(and(hour(AJ509+AN$5)&gt;11,(hour(AJ509+AN$5)&lt;20)),AJ509+AN$5,_xlfn.workday.intl(int(AJ509),1,"1000000",Holidays!A:A)+hour(AJ509+AN$5-$B$1)/24+minute(AJ509)/1440),"")</f>
        <v/>
      </c>
      <c r="AO509" s="64" t="str">
        <f t="shared" si="15"/>
        <v/>
      </c>
      <c r="AQ509" s="66" t="str">
        <f t="shared" si="16"/>
        <v/>
      </c>
      <c r="AR509" s="66"/>
      <c r="AS509" s="63" t="str">
        <f>if(AJ509,if(and(hour(AJ509+AS$5)&gt;11,(hour(AJ509+AS$5)&lt;20)),AJ509+AS$5,_xlfn.workday.intl(int(AJ509),1,"1000000",Holidays!A:A)+hour(AJ509+AS$5-$B$1)/24+minute(AJ509)/1440),"")</f>
        <v/>
      </c>
      <c r="AT509" s="64" t="str">
        <f t="shared" si="21"/>
        <v/>
      </c>
      <c r="AV509" s="66" t="str">
        <f t="shared" si="25"/>
        <v/>
      </c>
      <c r="AW509" s="66"/>
      <c r="AX509" s="56"/>
    </row>
    <row r="510">
      <c r="A510" s="55">
        <v>45331.62168418981</v>
      </c>
      <c r="B510" s="56"/>
      <c r="C510" s="57"/>
      <c r="D510" s="57"/>
      <c r="E510" s="57"/>
      <c r="F510" s="57"/>
      <c r="G510" s="58">
        <f>if(A510,_xlfn.workday.intl(int(A510),1,"1000000",Holidays!A:A)+17/24,"")</f>
        <v>45332.70833</v>
      </c>
      <c r="H510" s="59" t="str">
        <f t="shared" si="23"/>
        <v/>
      </c>
      <c r="I510" s="60"/>
      <c r="J510" s="61">
        <f t="shared" si="2"/>
        <v>801.2755766</v>
      </c>
      <c r="K510" s="58">
        <f>if(G510,_xlfn.workday.intl(int(G510),0,"1000000",Holidays!A:A)+19/24,"")</f>
        <v>45332.79167</v>
      </c>
      <c r="L510" s="59" t="str">
        <f t="shared" si="3"/>
        <v/>
      </c>
      <c r="M510" s="60"/>
      <c r="N510" s="61">
        <f t="shared" si="4"/>
        <v>801.1922432</v>
      </c>
      <c r="O510" s="63">
        <f>if(A510,_xlfn.WORKDAY.INTL(A510,O$5,"1000000",Holidays!A:A)+hour(A510)/24+MINUTE(A510)/1440,"")</f>
        <v>45332.62153</v>
      </c>
      <c r="P510" s="64" t="s">
        <v>2718</v>
      </c>
      <c r="R510" s="66">
        <f t="shared" si="5"/>
        <v>801.3623821</v>
      </c>
      <c r="S510" s="66"/>
      <c r="T510" s="66"/>
      <c r="U510" s="64">
        <f>if(O510,_xlfn.WORKDAY.INTL(O510,U$5,"1000000",Holidays!A:A)+hour(O510)/24+MINUTE(O510)/1440,"")</f>
        <v>45333.62153</v>
      </c>
      <c r="V510" s="64" t="str">
        <f t="shared" si="6"/>
        <v/>
      </c>
      <c r="W510" s="66"/>
      <c r="X510" s="66">
        <f t="shared" si="7"/>
        <v>800.3623821</v>
      </c>
      <c r="Y510" s="66"/>
      <c r="Z510" s="66"/>
      <c r="AA510" s="66"/>
      <c r="AB510" s="63"/>
      <c r="AC510" s="63"/>
      <c r="AD510" s="63"/>
      <c r="AE510" s="63"/>
      <c r="AF510" s="63"/>
      <c r="AG510" s="63"/>
      <c r="AH510" s="63" t="str">
        <f t="shared" si="14"/>
        <v/>
      </c>
      <c r="AI510" s="63" t="str">
        <f>if(AH510,_xlfn.workday.intl(int(AH510),0,"1000000",Holidays!A:A)+18/24,"")</f>
        <v/>
      </c>
      <c r="AJ510" s="64" t="str">
        <f t="shared" si="24"/>
        <v/>
      </c>
      <c r="AL510" s="66" t="str">
        <f t="shared" si="9"/>
        <v/>
      </c>
      <c r="AM510" s="66"/>
      <c r="AN510" s="63" t="str">
        <f>if(AJ510,if(and(hour(AJ510+AN$5)&gt;11,(hour(AJ510+AN$5)&lt;20)),AJ510+AN$5,_xlfn.workday.intl(int(AJ510),1,"1000000",Holidays!A:A)+hour(AJ510+AN$5-$B$1)/24+minute(AJ510)/1440),"")</f>
        <v/>
      </c>
      <c r="AO510" s="64" t="str">
        <f t="shared" si="15"/>
        <v/>
      </c>
      <c r="AQ510" s="66" t="str">
        <f t="shared" si="16"/>
        <v/>
      </c>
      <c r="AR510" s="66"/>
      <c r="AS510" s="63" t="str">
        <f>if(AJ510,if(and(hour(AJ510+AS$5)&gt;11,(hour(AJ510+AS$5)&lt;20)),AJ510+AS$5,_xlfn.workday.intl(int(AJ510),1,"1000000",Holidays!A:A)+hour(AJ510+AS$5-$B$1)/24+minute(AJ510)/1440),"")</f>
        <v/>
      </c>
      <c r="AT510" s="64" t="str">
        <f t="shared" si="21"/>
        <v/>
      </c>
      <c r="AV510" s="66" t="str">
        <f t="shared" si="25"/>
        <v/>
      </c>
      <c r="AW510" s="66"/>
      <c r="AX510" s="56"/>
    </row>
    <row r="511">
      <c r="A511" s="55">
        <v>45331.622585300924</v>
      </c>
      <c r="B511" s="56"/>
      <c r="C511" s="57"/>
      <c r="D511" s="57"/>
      <c r="E511" s="57"/>
      <c r="F511" s="57"/>
      <c r="G511" s="58">
        <f>if(A511,_xlfn.workday.intl(int(A511),1,"1000000",Holidays!A:A)+17/24,"")</f>
        <v>45332.70833</v>
      </c>
      <c r="H511" s="59" t="str">
        <f t="shared" si="23"/>
        <v/>
      </c>
      <c r="I511" s="60"/>
      <c r="J511" s="61">
        <f t="shared" si="2"/>
        <v>801.2755766</v>
      </c>
      <c r="K511" s="58">
        <f>if(G511,_xlfn.workday.intl(int(G511),0,"1000000",Holidays!A:A)+19/24,"")</f>
        <v>45332.79167</v>
      </c>
      <c r="L511" s="59" t="str">
        <f t="shared" si="3"/>
        <v/>
      </c>
      <c r="M511" s="60"/>
      <c r="N511" s="61">
        <f t="shared" si="4"/>
        <v>801.1922432</v>
      </c>
      <c r="O511" s="63">
        <f>if(A511,_xlfn.WORKDAY.INTL(A511,O$5,"1000000",Holidays!A:A)+hour(A511)/24+MINUTE(A511)/1440,"")</f>
        <v>45332.62222</v>
      </c>
      <c r="P511" s="64" t="s">
        <v>2718</v>
      </c>
      <c r="R511" s="66">
        <f t="shared" si="5"/>
        <v>801.3616877</v>
      </c>
      <c r="S511" s="66"/>
      <c r="T511" s="66"/>
      <c r="U511" s="64">
        <f>if(O511,_xlfn.WORKDAY.INTL(O511,U$5,"1000000",Holidays!A:A)+hour(O511)/24+MINUTE(O511)/1440,"")</f>
        <v>45333.62222</v>
      </c>
      <c r="V511" s="64" t="str">
        <f t="shared" si="6"/>
        <v/>
      </c>
      <c r="W511" s="66"/>
      <c r="X511" s="66">
        <f t="shared" si="7"/>
        <v>800.3616877</v>
      </c>
      <c r="Y511" s="66"/>
      <c r="Z511" s="66"/>
      <c r="AA511" s="66"/>
      <c r="AB511" s="63"/>
      <c r="AC511" s="63"/>
      <c r="AD511" s="63"/>
      <c r="AE511" s="63"/>
      <c r="AF511" s="63"/>
      <c r="AG511" s="63"/>
      <c r="AH511" s="63" t="str">
        <f t="shared" si="14"/>
        <v/>
      </c>
      <c r="AI511" s="63" t="str">
        <f>if(AH511,_xlfn.workday.intl(int(AH511),0,"1000000",Holidays!A:A)+18/24,"")</f>
        <v/>
      </c>
      <c r="AJ511" s="64" t="str">
        <f t="shared" si="24"/>
        <v/>
      </c>
      <c r="AL511" s="66" t="str">
        <f t="shared" si="9"/>
        <v/>
      </c>
      <c r="AM511" s="66"/>
      <c r="AN511" s="63" t="str">
        <f>if(AJ511,if(and(hour(AJ511+AN$5)&gt;11,(hour(AJ511+AN$5)&lt;20)),AJ511+AN$5,_xlfn.workday.intl(int(AJ511),1,"1000000",Holidays!A:A)+hour(AJ511+AN$5-$B$1)/24+minute(AJ511)/1440),"")</f>
        <v/>
      </c>
      <c r="AO511" s="64" t="str">
        <f t="shared" si="15"/>
        <v/>
      </c>
      <c r="AQ511" s="66" t="str">
        <f t="shared" si="16"/>
        <v/>
      </c>
      <c r="AR511" s="66"/>
      <c r="AS511" s="63" t="str">
        <f>if(AJ511,if(and(hour(AJ511+AS$5)&gt;11,(hour(AJ511+AS$5)&lt;20)),AJ511+AS$5,_xlfn.workday.intl(int(AJ511),1,"1000000",Holidays!A:A)+hour(AJ511+AS$5-$B$1)/24+minute(AJ511)/1440),"")</f>
        <v/>
      </c>
      <c r="AT511" s="64" t="str">
        <f t="shared" si="21"/>
        <v/>
      </c>
      <c r="AV511" s="66" t="str">
        <f t="shared" si="25"/>
        <v/>
      </c>
      <c r="AW511" s="66"/>
      <c r="AX511" s="56"/>
    </row>
    <row r="512">
      <c r="A512" s="55">
        <v>45331.624758125</v>
      </c>
      <c r="B512" s="56"/>
      <c r="C512" s="57"/>
      <c r="D512" s="57"/>
      <c r="E512" s="57"/>
      <c r="F512" s="57"/>
      <c r="G512" s="58">
        <f>if(A512,_xlfn.workday.intl(int(A512),1,"1000000",Holidays!A:A)+17/24,"")</f>
        <v>45332.70833</v>
      </c>
      <c r="H512" s="59" t="str">
        <f t="shared" si="23"/>
        <v/>
      </c>
      <c r="I512" s="60"/>
      <c r="J512" s="61">
        <f t="shared" si="2"/>
        <v>801.2755766</v>
      </c>
      <c r="K512" s="58">
        <f>if(G512,_xlfn.workday.intl(int(G512),0,"1000000",Holidays!A:A)+19/24,"")</f>
        <v>45332.79167</v>
      </c>
      <c r="L512" s="59" t="str">
        <f t="shared" si="3"/>
        <v/>
      </c>
      <c r="M512" s="60"/>
      <c r="N512" s="61">
        <f t="shared" si="4"/>
        <v>801.1922432</v>
      </c>
      <c r="O512" s="63">
        <f>if(A512,_xlfn.WORKDAY.INTL(A512,O$5,"1000000",Holidays!A:A)+hour(A512)/24+MINUTE(A512)/1440,"")</f>
        <v>45332.62431</v>
      </c>
      <c r="P512" s="64" t="s">
        <v>2718</v>
      </c>
      <c r="R512" s="66">
        <f t="shared" si="5"/>
        <v>801.3596043</v>
      </c>
      <c r="S512" s="66"/>
      <c r="T512" s="66"/>
      <c r="U512" s="64">
        <f>if(O512,_xlfn.WORKDAY.INTL(O512,U$5,"1000000",Holidays!A:A)+hour(O512)/24+MINUTE(O512)/1440,"")</f>
        <v>45333.62431</v>
      </c>
      <c r="V512" s="64" t="str">
        <f t="shared" si="6"/>
        <v/>
      </c>
      <c r="W512" s="66"/>
      <c r="X512" s="66">
        <f t="shared" si="7"/>
        <v>800.3596043</v>
      </c>
      <c r="Y512" s="66"/>
      <c r="Z512" s="66"/>
      <c r="AA512" s="66"/>
      <c r="AB512" s="63"/>
      <c r="AC512" s="63"/>
      <c r="AD512" s="63"/>
      <c r="AE512" s="63"/>
      <c r="AF512" s="63"/>
      <c r="AG512" s="63"/>
      <c r="AH512" s="63" t="str">
        <f t="shared" si="14"/>
        <v/>
      </c>
      <c r="AI512" s="63" t="str">
        <f>if(AH512,_xlfn.workday.intl(int(AH512),0,"1000000",Holidays!A:A)+18/24,"")</f>
        <v/>
      </c>
      <c r="AJ512" s="64" t="str">
        <f t="shared" si="24"/>
        <v/>
      </c>
      <c r="AL512" s="66" t="str">
        <f t="shared" si="9"/>
        <v/>
      </c>
      <c r="AM512" s="66"/>
      <c r="AN512" s="63" t="str">
        <f>if(AJ512,if(and(hour(AJ512+AN$5)&gt;11,(hour(AJ512+AN$5)&lt;20)),AJ512+AN$5,_xlfn.workday.intl(int(AJ512),1,"1000000",Holidays!A:A)+hour(AJ512+AN$5-$B$1)/24+minute(AJ512)/1440),"")</f>
        <v/>
      </c>
      <c r="AO512" s="64" t="str">
        <f t="shared" si="15"/>
        <v/>
      </c>
      <c r="AQ512" s="66" t="str">
        <f t="shared" si="16"/>
        <v/>
      </c>
      <c r="AR512" s="66"/>
      <c r="AS512" s="63" t="str">
        <f>if(AJ512,if(and(hour(AJ512+AS$5)&gt;11,(hour(AJ512+AS$5)&lt;20)),AJ512+AS$5,_xlfn.workday.intl(int(AJ512),1,"1000000",Holidays!A:A)+hour(AJ512+AS$5-$B$1)/24+minute(AJ512)/1440),"")</f>
        <v/>
      </c>
      <c r="AT512" s="64" t="str">
        <f t="shared" si="21"/>
        <v/>
      </c>
      <c r="AV512" s="66" t="str">
        <f t="shared" si="25"/>
        <v/>
      </c>
      <c r="AW512" s="66"/>
      <c r="AX512" s="56"/>
    </row>
    <row r="513">
      <c r="A513" s="55">
        <v>45331.627629571754</v>
      </c>
      <c r="B513" s="56"/>
      <c r="C513" s="57"/>
      <c r="D513" s="57"/>
      <c r="E513" s="57"/>
      <c r="F513" s="57"/>
      <c r="G513" s="58">
        <f>if(A513,_xlfn.workday.intl(int(A513),1,"1000000",Holidays!A:A)+17/24,"")</f>
        <v>45332.70833</v>
      </c>
      <c r="H513" s="59" t="str">
        <f t="shared" si="23"/>
        <v/>
      </c>
      <c r="I513" s="60"/>
      <c r="J513" s="61">
        <f t="shared" si="2"/>
        <v>801.2755766</v>
      </c>
      <c r="K513" s="58">
        <f>if(G513,_xlfn.workday.intl(int(G513),0,"1000000",Holidays!A:A)+19/24,"")</f>
        <v>45332.79167</v>
      </c>
      <c r="L513" s="59" t="str">
        <f t="shared" si="3"/>
        <v/>
      </c>
      <c r="M513" s="60"/>
      <c r="N513" s="61">
        <f t="shared" si="4"/>
        <v>801.1922432</v>
      </c>
      <c r="O513" s="63">
        <f>if(A513,_xlfn.WORKDAY.INTL(A513,O$5,"1000000",Holidays!A:A)+hour(A513)/24+MINUTE(A513)/1440,"")</f>
        <v>45332.62708</v>
      </c>
      <c r="P513" s="64" t="s">
        <v>2718</v>
      </c>
      <c r="R513" s="66">
        <f t="shared" si="5"/>
        <v>801.3568266</v>
      </c>
      <c r="S513" s="66"/>
      <c r="T513" s="66"/>
      <c r="U513" s="64">
        <f>if(O513,_xlfn.WORKDAY.INTL(O513,U$5,"1000000",Holidays!A:A)+hour(O513)/24+MINUTE(O513)/1440,"")</f>
        <v>45333.62708</v>
      </c>
      <c r="V513" s="64" t="str">
        <f t="shared" si="6"/>
        <v/>
      </c>
      <c r="W513" s="66"/>
      <c r="X513" s="66">
        <f t="shared" si="7"/>
        <v>800.3568266</v>
      </c>
      <c r="Y513" s="66"/>
      <c r="Z513" s="66"/>
      <c r="AA513" s="66"/>
      <c r="AB513" s="63"/>
      <c r="AC513" s="63"/>
      <c r="AD513" s="63"/>
      <c r="AE513" s="63"/>
      <c r="AF513" s="63"/>
      <c r="AG513" s="63"/>
      <c r="AH513" s="63" t="str">
        <f t="shared" si="14"/>
        <v/>
      </c>
      <c r="AI513" s="63" t="str">
        <f>if(AH513,_xlfn.workday.intl(int(AH513),0,"1000000",Holidays!A:A)+18/24,"")</f>
        <v/>
      </c>
      <c r="AJ513" s="64" t="str">
        <f t="shared" si="24"/>
        <v/>
      </c>
      <c r="AL513" s="66" t="str">
        <f t="shared" si="9"/>
        <v/>
      </c>
      <c r="AM513" s="66"/>
      <c r="AN513" s="63" t="str">
        <f>if(AJ513,if(and(hour(AJ513+AN$5)&gt;11,(hour(AJ513+AN$5)&lt;20)),AJ513+AN$5,_xlfn.workday.intl(int(AJ513),1,"1000000",Holidays!A:A)+hour(AJ513+AN$5-$B$1)/24+minute(AJ513)/1440),"")</f>
        <v/>
      </c>
      <c r="AO513" s="64" t="str">
        <f t="shared" si="15"/>
        <v/>
      </c>
      <c r="AQ513" s="66" t="str">
        <f t="shared" si="16"/>
        <v/>
      </c>
      <c r="AR513" s="66"/>
      <c r="AS513" s="63" t="str">
        <f>if(AJ513,if(and(hour(AJ513+AS$5)&gt;11,(hour(AJ513+AS$5)&lt;20)),AJ513+AS$5,_xlfn.workday.intl(int(AJ513),1,"1000000",Holidays!A:A)+hour(AJ513+AS$5-$B$1)/24+minute(AJ513)/1440),"")</f>
        <v/>
      </c>
      <c r="AT513" s="64" t="str">
        <f t="shared" si="21"/>
        <v/>
      </c>
      <c r="AV513" s="66" t="str">
        <f t="shared" si="25"/>
        <v/>
      </c>
      <c r="AW513" s="66"/>
      <c r="AX513" s="56"/>
    </row>
    <row r="514">
      <c r="A514" s="55">
        <v>45335.65251262732</v>
      </c>
      <c r="B514" s="56"/>
      <c r="C514" s="57"/>
      <c r="D514" s="57"/>
      <c r="E514" s="57"/>
      <c r="F514" s="57"/>
      <c r="G514" s="58">
        <f>if(A514,_xlfn.workday.intl(int(A514),1,"1000000",Holidays!A:A)+17/24,"")</f>
        <v>45336.70833</v>
      </c>
      <c r="H514" s="59" t="str">
        <f t="shared" si="23"/>
        <v/>
      </c>
      <c r="I514" s="60"/>
      <c r="J514" s="61">
        <f t="shared" si="2"/>
        <v>797.2755766</v>
      </c>
      <c r="K514" s="58">
        <f>if(G514,_xlfn.workday.intl(int(G514),0,"1000000",Holidays!A:A)+19/24,"")</f>
        <v>45336.79167</v>
      </c>
      <c r="L514" s="59" t="str">
        <f t="shared" si="3"/>
        <v/>
      </c>
      <c r="M514" s="60"/>
      <c r="N514" s="61">
        <f t="shared" si="4"/>
        <v>797.1922432</v>
      </c>
      <c r="O514" s="63">
        <f>if(A514,_xlfn.WORKDAY.INTL(A514,O$5,"1000000",Holidays!A:A)+hour(A514)/24+MINUTE(A514)/1440,"")</f>
        <v>45336.65208</v>
      </c>
      <c r="P514" s="64" t="s">
        <v>2718</v>
      </c>
      <c r="R514" s="66">
        <f t="shared" si="5"/>
        <v>797.3318266</v>
      </c>
      <c r="S514" s="66"/>
      <c r="T514" s="66"/>
      <c r="U514" s="64">
        <f>if(O514,_xlfn.WORKDAY.INTL(O514,U$5,"1000000",Holidays!A:A)+hour(O514)/24+MINUTE(O514)/1440,"")</f>
        <v>45337.65208</v>
      </c>
      <c r="V514" s="64" t="str">
        <f t="shared" si="6"/>
        <v/>
      </c>
      <c r="W514" s="66"/>
      <c r="X514" s="66">
        <f t="shared" si="7"/>
        <v>796.3318266</v>
      </c>
      <c r="Y514" s="66"/>
      <c r="Z514" s="66"/>
      <c r="AA514" s="66"/>
      <c r="AB514" s="63"/>
      <c r="AC514" s="63"/>
      <c r="AD514" s="63"/>
      <c r="AE514" s="63"/>
      <c r="AF514" s="63"/>
      <c r="AG514" s="63"/>
      <c r="AH514" s="63" t="str">
        <f t="shared" si="14"/>
        <v/>
      </c>
      <c r="AI514" s="63" t="str">
        <f>if(AH514,_xlfn.workday.intl(int(AH514),0,"1000000",Holidays!A:A)+18/24,"")</f>
        <v/>
      </c>
      <c r="AJ514" s="64" t="str">
        <f t="shared" si="24"/>
        <v/>
      </c>
      <c r="AL514" s="66" t="str">
        <f t="shared" si="9"/>
        <v/>
      </c>
      <c r="AM514" s="66"/>
      <c r="AN514" s="63" t="str">
        <f>if(AJ514,if(and(hour(AJ514+AN$5)&gt;11,(hour(AJ514+AN$5)&lt;20)),AJ514+AN$5,_xlfn.workday.intl(int(AJ514),1,"1000000",Holidays!A:A)+hour(AJ514+AN$5-$B$1)/24+minute(AJ514)/1440),"")</f>
        <v/>
      </c>
      <c r="AO514" s="64" t="str">
        <f t="shared" si="15"/>
        <v/>
      </c>
      <c r="AQ514" s="66" t="str">
        <f t="shared" si="16"/>
        <v/>
      </c>
      <c r="AR514" s="66"/>
      <c r="AS514" s="63" t="str">
        <f>if(AJ514,if(and(hour(AJ514+AS$5)&gt;11,(hour(AJ514+AS$5)&lt;20)),AJ514+AS$5,_xlfn.workday.intl(int(AJ514),1,"1000000",Holidays!A:A)+hour(AJ514+AS$5-$B$1)/24+minute(AJ514)/1440),"")</f>
        <v/>
      </c>
      <c r="AT514" s="64" t="str">
        <f t="shared" si="21"/>
        <v/>
      </c>
      <c r="AV514" s="66" t="str">
        <f t="shared" si="25"/>
        <v/>
      </c>
      <c r="AW514" s="66"/>
      <c r="AX514" s="56"/>
    </row>
    <row r="515">
      <c r="A515" s="55">
        <v>45335.65360993055</v>
      </c>
      <c r="B515" s="56"/>
      <c r="C515" s="57"/>
      <c r="D515" s="57"/>
      <c r="E515" s="57"/>
      <c r="F515" s="57"/>
      <c r="G515" s="58">
        <f>if(A515,_xlfn.workday.intl(int(A515),1,"1000000",Holidays!A:A)+17/24,"")</f>
        <v>45336.70833</v>
      </c>
      <c r="H515" s="59" t="str">
        <f t="shared" si="23"/>
        <v/>
      </c>
      <c r="I515" s="60"/>
      <c r="J515" s="61">
        <f t="shared" si="2"/>
        <v>797.2755766</v>
      </c>
      <c r="K515" s="58">
        <f>if(G515,_xlfn.workday.intl(int(G515),0,"1000000",Holidays!A:A)+19/24,"")</f>
        <v>45336.79167</v>
      </c>
      <c r="L515" s="59" t="str">
        <f t="shared" si="3"/>
        <v/>
      </c>
      <c r="M515" s="60"/>
      <c r="N515" s="61">
        <f t="shared" si="4"/>
        <v>797.1922432</v>
      </c>
      <c r="O515" s="63">
        <f>if(A515,_xlfn.WORKDAY.INTL(A515,O$5,"1000000",Holidays!A:A)+hour(A515)/24+MINUTE(A515)/1440,"")</f>
        <v>45336.65347</v>
      </c>
      <c r="P515" s="64" t="s">
        <v>2718</v>
      </c>
      <c r="R515" s="66">
        <f t="shared" si="5"/>
        <v>797.3304377</v>
      </c>
      <c r="S515" s="66"/>
      <c r="T515" s="66"/>
      <c r="U515" s="64">
        <f>if(O515,_xlfn.WORKDAY.INTL(O515,U$5,"1000000",Holidays!A:A)+hour(O515)/24+MINUTE(O515)/1440,"")</f>
        <v>45337.65347</v>
      </c>
      <c r="V515" s="64" t="str">
        <f t="shared" si="6"/>
        <v/>
      </c>
      <c r="W515" s="66"/>
      <c r="X515" s="66">
        <f t="shared" si="7"/>
        <v>796.3304377</v>
      </c>
      <c r="Y515" s="66"/>
      <c r="Z515" s="66"/>
      <c r="AA515" s="66"/>
      <c r="AB515" s="63"/>
      <c r="AC515" s="63"/>
      <c r="AD515" s="63"/>
      <c r="AE515" s="63"/>
      <c r="AF515" s="63"/>
      <c r="AG515" s="63"/>
      <c r="AH515" s="63" t="str">
        <f t="shared" si="14"/>
        <v/>
      </c>
      <c r="AI515" s="63" t="str">
        <f>if(AH515,_xlfn.workday.intl(int(AH515),0,"1000000",Holidays!A:A)+18/24,"")</f>
        <v/>
      </c>
      <c r="AJ515" s="64" t="str">
        <f t="shared" si="24"/>
        <v/>
      </c>
      <c r="AL515" s="66" t="str">
        <f t="shared" si="9"/>
        <v/>
      </c>
      <c r="AM515" s="66"/>
      <c r="AN515" s="63" t="str">
        <f>if(AJ515,if(and(hour(AJ515+AN$5)&gt;11,(hour(AJ515+AN$5)&lt;20)),AJ515+AN$5,_xlfn.workday.intl(int(AJ515),1,"1000000",Holidays!A:A)+hour(AJ515+AN$5-$B$1)/24+minute(AJ515)/1440),"")</f>
        <v/>
      </c>
      <c r="AO515" s="64" t="str">
        <f t="shared" si="15"/>
        <v/>
      </c>
      <c r="AQ515" s="66" t="str">
        <f t="shared" si="16"/>
        <v/>
      </c>
      <c r="AR515" s="66"/>
      <c r="AS515" s="63" t="str">
        <f>if(AJ515,if(and(hour(AJ515+AS$5)&gt;11,(hour(AJ515+AS$5)&lt;20)),AJ515+AS$5,_xlfn.workday.intl(int(AJ515),1,"1000000",Holidays!A:A)+hour(AJ515+AS$5-$B$1)/24+minute(AJ515)/1440),"")</f>
        <v/>
      </c>
      <c r="AT515" s="64" t="str">
        <f t="shared" si="21"/>
        <v/>
      </c>
      <c r="AV515" s="66" t="str">
        <f t="shared" si="25"/>
        <v/>
      </c>
      <c r="AW515" s="66"/>
      <c r="AX515" s="56"/>
    </row>
    <row r="516">
      <c r="A516" s="55">
        <v>45335.655108923616</v>
      </c>
      <c r="B516" s="56"/>
      <c r="C516" s="57"/>
      <c r="D516" s="57"/>
      <c r="E516" s="57"/>
      <c r="F516" s="57"/>
      <c r="G516" s="58">
        <f>if(A516,_xlfn.workday.intl(int(A516),1,"1000000",Holidays!A:A)+17/24,"")</f>
        <v>45336.70833</v>
      </c>
      <c r="H516" s="59" t="str">
        <f t="shared" si="23"/>
        <v/>
      </c>
      <c r="I516" s="60"/>
      <c r="J516" s="61">
        <f t="shared" si="2"/>
        <v>797.2755766</v>
      </c>
      <c r="K516" s="58">
        <f>if(G516,_xlfn.workday.intl(int(G516),0,"1000000",Holidays!A:A)+19/24,"")</f>
        <v>45336.79167</v>
      </c>
      <c r="L516" s="59" t="str">
        <f t="shared" si="3"/>
        <v/>
      </c>
      <c r="M516" s="60"/>
      <c r="N516" s="61">
        <f t="shared" si="4"/>
        <v>797.1922432</v>
      </c>
      <c r="O516" s="63">
        <f>if(A516,_xlfn.WORKDAY.INTL(A516,O$5,"1000000",Holidays!A:A)+hour(A516)/24+MINUTE(A516)/1440,"")</f>
        <v>45336.65486</v>
      </c>
      <c r="P516" s="64" t="s">
        <v>2718</v>
      </c>
      <c r="R516" s="66">
        <f t="shared" si="5"/>
        <v>797.3290488</v>
      </c>
      <c r="S516" s="66"/>
      <c r="T516" s="66"/>
      <c r="U516" s="64">
        <f>if(O516,_xlfn.WORKDAY.INTL(O516,U$5,"1000000",Holidays!A:A)+hour(O516)/24+MINUTE(O516)/1440,"")</f>
        <v>45337.65486</v>
      </c>
      <c r="V516" s="64" t="str">
        <f t="shared" si="6"/>
        <v/>
      </c>
      <c r="W516" s="66"/>
      <c r="X516" s="66">
        <f t="shared" si="7"/>
        <v>796.3290488</v>
      </c>
      <c r="Y516" s="66"/>
      <c r="Z516" s="66"/>
      <c r="AA516" s="66"/>
      <c r="AB516" s="63"/>
      <c r="AC516" s="63"/>
      <c r="AD516" s="63"/>
      <c r="AE516" s="63"/>
      <c r="AF516" s="63"/>
      <c r="AG516" s="63"/>
      <c r="AH516" s="63" t="str">
        <f t="shared" si="14"/>
        <v/>
      </c>
      <c r="AI516" s="63" t="str">
        <f>if(AH516,_xlfn.workday.intl(int(AH516),0,"1000000",Holidays!A:A)+18/24,"")</f>
        <v/>
      </c>
      <c r="AJ516" s="64" t="str">
        <f t="shared" si="24"/>
        <v/>
      </c>
      <c r="AL516" s="66" t="str">
        <f t="shared" si="9"/>
        <v/>
      </c>
      <c r="AM516" s="66"/>
      <c r="AN516" s="63" t="str">
        <f>if(AJ516,if(and(hour(AJ516+AN$5)&gt;11,(hour(AJ516+AN$5)&lt;20)),AJ516+AN$5,_xlfn.workday.intl(int(AJ516),1,"1000000",Holidays!A:A)+hour(AJ516+AN$5-$B$1)/24+minute(AJ516)/1440),"")</f>
        <v/>
      </c>
      <c r="AO516" s="64" t="str">
        <f t="shared" si="15"/>
        <v/>
      </c>
      <c r="AQ516" s="66" t="str">
        <f t="shared" si="16"/>
        <v/>
      </c>
      <c r="AR516" s="66"/>
      <c r="AS516" s="63" t="str">
        <f>if(AJ516,if(and(hour(AJ516+AS$5)&gt;11,(hour(AJ516+AS$5)&lt;20)),AJ516+AS$5,_xlfn.workday.intl(int(AJ516),1,"1000000",Holidays!A:A)+hour(AJ516+AS$5-$B$1)/24+minute(AJ516)/1440),"")</f>
        <v/>
      </c>
      <c r="AT516" s="64" t="str">
        <f t="shared" si="21"/>
        <v/>
      </c>
      <c r="AV516" s="66" t="str">
        <f t="shared" si="25"/>
        <v/>
      </c>
      <c r="AW516" s="66"/>
      <c r="AX516" s="56"/>
    </row>
    <row r="517">
      <c r="A517" s="55">
        <v>45335.656373136575</v>
      </c>
      <c r="B517" s="56"/>
      <c r="C517" s="57"/>
      <c r="D517" s="57"/>
      <c r="E517" s="57"/>
      <c r="F517" s="57"/>
      <c r="G517" s="58">
        <f>if(A517,_xlfn.workday.intl(int(A517),1,"1000000",Holidays!A:A)+17/24,"")</f>
        <v>45336.70833</v>
      </c>
      <c r="H517" s="59" t="str">
        <f t="shared" si="23"/>
        <v/>
      </c>
      <c r="I517" s="60"/>
      <c r="J517" s="61">
        <f t="shared" si="2"/>
        <v>797.2755766</v>
      </c>
      <c r="K517" s="58">
        <f>if(G517,_xlfn.workday.intl(int(G517),0,"1000000",Holidays!A:A)+19/24,"")</f>
        <v>45336.79167</v>
      </c>
      <c r="L517" s="59" t="str">
        <f t="shared" si="3"/>
        <v/>
      </c>
      <c r="M517" s="60"/>
      <c r="N517" s="61">
        <f t="shared" si="4"/>
        <v>797.1922432</v>
      </c>
      <c r="O517" s="63">
        <f>if(A517,_xlfn.WORKDAY.INTL(A517,O$5,"1000000",Holidays!A:A)+hour(A517)/24+MINUTE(A517)/1440,"")</f>
        <v>45336.65625</v>
      </c>
      <c r="P517" s="64" t="s">
        <v>2718</v>
      </c>
      <c r="R517" s="66">
        <f t="shared" si="5"/>
        <v>797.3276599</v>
      </c>
      <c r="S517" s="66"/>
      <c r="T517" s="66"/>
      <c r="U517" s="64">
        <f>if(O517,_xlfn.WORKDAY.INTL(O517,U$5,"1000000",Holidays!A:A)+hour(O517)/24+MINUTE(O517)/1440,"")</f>
        <v>45337.65625</v>
      </c>
      <c r="V517" s="64" t="str">
        <f t="shared" si="6"/>
        <v/>
      </c>
      <c r="W517" s="66"/>
      <c r="X517" s="66">
        <f t="shared" si="7"/>
        <v>796.3276599</v>
      </c>
      <c r="Y517" s="66"/>
      <c r="Z517" s="66"/>
      <c r="AA517" s="66"/>
      <c r="AB517" s="63"/>
      <c r="AC517" s="63"/>
      <c r="AD517" s="63"/>
      <c r="AE517" s="63"/>
      <c r="AF517" s="63"/>
      <c r="AG517" s="63"/>
      <c r="AH517" s="63" t="str">
        <f t="shared" si="14"/>
        <v/>
      </c>
      <c r="AI517" s="63" t="str">
        <f>if(AH517,_xlfn.workday.intl(int(AH517),0,"1000000",Holidays!A:A)+18/24,"")</f>
        <v/>
      </c>
      <c r="AJ517" s="64" t="str">
        <f t="shared" si="24"/>
        <v/>
      </c>
      <c r="AL517" s="66" t="str">
        <f t="shared" si="9"/>
        <v/>
      </c>
      <c r="AM517" s="66"/>
      <c r="AN517" s="63" t="str">
        <f>if(AJ517,if(and(hour(AJ517+AN$5)&gt;11,(hour(AJ517+AN$5)&lt;20)),AJ517+AN$5,_xlfn.workday.intl(int(AJ517),1,"1000000",Holidays!A:A)+hour(AJ517+AN$5-$B$1)/24+minute(AJ517)/1440),"")</f>
        <v/>
      </c>
      <c r="AO517" s="64" t="str">
        <f t="shared" si="15"/>
        <v/>
      </c>
      <c r="AQ517" s="66" t="str">
        <f t="shared" si="16"/>
        <v/>
      </c>
      <c r="AR517" s="66"/>
      <c r="AS517" s="63" t="str">
        <f>if(AJ517,if(and(hour(AJ517+AS$5)&gt;11,(hour(AJ517+AS$5)&lt;20)),AJ517+AS$5,_xlfn.workday.intl(int(AJ517),1,"1000000",Holidays!A:A)+hour(AJ517+AS$5-$B$1)/24+minute(AJ517)/1440),"")</f>
        <v/>
      </c>
      <c r="AT517" s="64" t="str">
        <f t="shared" si="21"/>
        <v/>
      </c>
      <c r="AV517" s="66" t="str">
        <f t="shared" si="25"/>
        <v/>
      </c>
      <c r="AW517" s="66"/>
      <c r="AX517" s="56"/>
    </row>
    <row r="518">
      <c r="A518" s="55">
        <v>45335.65727650463</v>
      </c>
      <c r="B518" s="56"/>
      <c r="C518" s="57"/>
      <c r="D518" s="57"/>
      <c r="E518" s="57"/>
      <c r="F518" s="57"/>
      <c r="G518" s="58">
        <f>if(A518,_xlfn.workday.intl(int(A518),1,"1000000",Holidays!A:A)+17/24,"")</f>
        <v>45336.70833</v>
      </c>
      <c r="H518" s="59" t="str">
        <f t="shared" si="23"/>
        <v/>
      </c>
      <c r="I518" s="60"/>
      <c r="J518" s="61">
        <f t="shared" si="2"/>
        <v>797.2755766</v>
      </c>
      <c r="K518" s="58">
        <f>if(G518,_xlfn.workday.intl(int(G518),0,"1000000",Holidays!A:A)+19/24,"")</f>
        <v>45336.79167</v>
      </c>
      <c r="L518" s="59" t="str">
        <f t="shared" si="3"/>
        <v/>
      </c>
      <c r="M518" s="60"/>
      <c r="N518" s="61">
        <f t="shared" si="4"/>
        <v>797.1922432</v>
      </c>
      <c r="O518" s="63">
        <f>if(A518,_xlfn.WORKDAY.INTL(A518,O$5,"1000000",Holidays!A:A)+hour(A518)/24+MINUTE(A518)/1440,"")</f>
        <v>45336.65694</v>
      </c>
      <c r="P518" s="64" t="s">
        <v>2718</v>
      </c>
      <c r="R518" s="66">
        <f t="shared" si="5"/>
        <v>797.3269655</v>
      </c>
      <c r="S518" s="66"/>
      <c r="T518" s="66"/>
      <c r="U518" s="64">
        <f>if(O518,_xlfn.WORKDAY.INTL(O518,U$5,"1000000",Holidays!A:A)+hour(O518)/24+MINUTE(O518)/1440,"")</f>
        <v>45337.65694</v>
      </c>
      <c r="V518" s="64" t="str">
        <f t="shared" si="6"/>
        <v/>
      </c>
      <c r="W518" s="66"/>
      <c r="X518" s="66">
        <f t="shared" si="7"/>
        <v>796.3269655</v>
      </c>
      <c r="Y518" s="66"/>
      <c r="Z518" s="66"/>
      <c r="AA518" s="66"/>
      <c r="AB518" s="63"/>
      <c r="AC518" s="63"/>
      <c r="AD518" s="63"/>
      <c r="AE518" s="63"/>
      <c r="AF518" s="63"/>
      <c r="AG518" s="63"/>
      <c r="AH518" s="63" t="str">
        <f t="shared" si="14"/>
        <v/>
      </c>
      <c r="AI518" s="63" t="str">
        <f>if(AH518,_xlfn.workday.intl(int(AH518),0,"1000000",Holidays!A:A)+18/24,"")</f>
        <v/>
      </c>
      <c r="AJ518" s="64" t="str">
        <f t="shared" si="24"/>
        <v/>
      </c>
      <c r="AL518" s="66" t="str">
        <f t="shared" si="9"/>
        <v/>
      </c>
      <c r="AM518" s="66"/>
      <c r="AN518" s="63" t="str">
        <f>if(AJ518,if(and(hour(AJ518+AN$5)&gt;11,(hour(AJ518+AN$5)&lt;20)),AJ518+AN$5,_xlfn.workday.intl(int(AJ518),1,"1000000",Holidays!A:A)+hour(AJ518+AN$5-$B$1)/24+minute(AJ518)/1440),"")</f>
        <v/>
      </c>
      <c r="AO518" s="64" t="str">
        <f t="shared" si="15"/>
        <v/>
      </c>
      <c r="AQ518" s="66" t="str">
        <f t="shared" si="16"/>
        <v/>
      </c>
      <c r="AR518" s="66"/>
      <c r="AS518" s="63" t="str">
        <f>if(AJ518,if(and(hour(AJ518+AS$5)&gt;11,(hour(AJ518+AS$5)&lt;20)),AJ518+AS$5,_xlfn.workday.intl(int(AJ518),1,"1000000",Holidays!A:A)+hour(AJ518+AS$5-$B$1)/24+minute(AJ518)/1440),"")</f>
        <v/>
      </c>
      <c r="AT518" s="64" t="str">
        <f t="shared" si="21"/>
        <v/>
      </c>
      <c r="AV518" s="66" t="str">
        <f t="shared" si="25"/>
        <v/>
      </c>
      <c r="AW518" s="66"/>
      <c r="AX518" s="56"/>
    </row>
    <row r="519">
      <c r="A519" s="55">
        <v>45335.658815324074</v>
      </c>
      <c r="B519" s="56"/>
      <c r="C519" s="57"/>
      <c r="D519" s="57"/>
      <c r="E519" s="57"/>
      <c r="F519" s="57"/>
      <c r="G519" s="58">
        <f>if(A519,_xlfn.workday.intl(int(A519),1,"1000000",Holidays!A:A)+17/24,"")</f>
        <v>45336.70833</v>
      </c>
      <c r="H519" s="59" t="str">
        <f t="shared" si="23"/>
        <v/>
      </c>
      <c r="I519" s="60"/>
      <c r="J519" s="61">
        <f t="shared" si="2"/>
        <v>797.2755766</v>
      </c>
      <c r="K519" s="58">
        <f>if(G519,_xlfn.workday.intl(int(G519),0,"1000000",Holidays!A:A)+19/24,"")</f>
        <v>45336.79167</v>
      </c>
      <c r="L519" s="59" t="str">
        <f t="shared" si="3"/>
        <v/>
      </c>
      <c r="M519" s="60"/>
      <c r="N519" s="61">
        <f t="shared" si="4"/>
        <v>797.1922432</v>
      </c>
      <c r="O519" s="63">
        <f>if(A519,_xlfn.WORKDAY.INTL(A519,O$5,"1000000",Holidays!A:A)+hour(A519)/24+MINUTE(A519)/1440,"")</f>
        <v>45336.65833</v>
      </c>
      <c r="P519" s="64" t="s">
        <v>2718</v>
      </c>
      <c r="R519" s="66">
        <f t="shared" si="5"/>
        <v>797.3255766</v>
      </c>
      <c r="S519" s="66"/>
      <c r="T519" s="66"/>
      <c r="U519" s="64">
        <f>if(O519,_xlfn.WORKDAY.INTL(O519,U$5,"1000000",Holidays!A:A)+hour(O519)/24+MINUTE(O519)/1440,"")</f>
        <v>45337.65833</v>
      </c>
      <c r="V519" s="64" t="str">
        <f t="shared" si="6"/>
        <v/>
      </c>
      <c r="W519" s="66"/>
      <c r="X519" s="66">
        <f t="shared" si="7"/>
        <v>796.3255766</v>
      </c>
      <c r="Y519" s="66"/>
      <c r="Z519" s="66"/>
      <c r="AA519" s="66"/>
      <c r="AB519" s="63"/>
      <c r="AC519" s="63"/>
      <c r="AD519" s="63"/>
      <c r="AE519" s="63"/>
      <c r="AF519" s="63"/>
      <c r="AG519" s="63"/>
      <c r="AH519" s="63" t="str">
        <f t="shared" si="14"/>
        <v/>
      </c>
      <c r="AI519" s="63" t="str">
        <f>if(AH519,_xlfn.workday.intl(int(AH519),0,"1000000",Holidays!A:A)+18/24,"")</f>
        <v/>
      </c>
      <c r="AJ519" s="64" t="str">
        <f t="shared" si="24"/>
        <v/>
      </c>
      <c r="AL519" s="66" t="str">
        <f t="shared" si="9"/>
        <v/>
      </c>
      <c r="AM519" s="66"/>
      <c r="AN519" s="63" t="str">
        <f>if(AJ519,if(and(hour(AJ519+AN$5)&gt;11,(hour(AJ519+AN$5)&lt;20)),AJ519+AN$5,_xlfn.workday.intl(int(AJ519),1,"1000000",Holidays!A:A)+hour(AJ519+AN$5-$B$1)/24+minute(AJ519)/1440),"")</f>
        <v/>
      </c>
      <c r="AO519" s="64" t="str">
        <f t="shared" si="15"/>
        <v/>
      </c>
      <c r="AQ519" s="66" t="str">
        <f t="shared" si="16"/>
        <v/>
      </c>
      <c r="AR519" s="66"/>
      <c r="AS519" s="63" t="str">
        <f>if(AJ519,if(and(hour(AJ519+AS$5)&gt;11,(hour(AJ519+AS$5)&lt;20)),AJ519+AS$5,_xlfn.workday.intl(int(AJ519),1,"1000000",Holidays!A:A)+hour(AJ519+AS$5-$B$1)/24+minute(AJ519)/1440),"")</f>
        <v/>
      </c>
      <c r="AT519" s="64" t="str">
        <f t="shared" si="21"/>
        <v/>
      </c>
      <c r="AV519" s="66" t="str">
        <f t="shared" si="25"/>
        <v/>
      </c>
      <c r="AW519" s="66"/>
      <c r="AX519" s="56"/>
    </row>
    <row r="520">
      <c r="A520" s="55">
        <v>45335.65975331019</v>
      </c>
      <c r="B520" s="56"/>
      <c r="C520" s="57"/>
      <c r="D520" s="57"/>
      <c r="E520" s="57"/>
      <c r="F520" s="57"/>
      <c r="G520" s="58">
        <f>if(A520,_xlfn.workday.intl(int(A520),1,"1000000",Holidays!A:A)+17/24,"")</f>
        <v>45336.70833</v>
      </c>
      <c r="H520" s="59" t="str">
        <f t="shared" si="23"/>
        <v/>
      </c>
      <c r="I520" s="60"/>
      <c r="J520" s="61">
        <f t="shared" si="2"/>
        <v>797.2755766</v>
      </c>
      <c r="K520" s="58">
        <f>if(G520,_xlfn.workday.intl(int(G520),0,"1000000",Holidays!A:A)+19/24,"")</f>
        <v>45336.79167</v>
      </c>
      <c r="L520" s="59" t="str">
        <f t="shared" si="3"/>
        <v/>
      </c>
      <c r="M520" s="60"/>
      <c r="N520" s="61">
        <f t="shared" si="4"/>
        <v>797.1922432</v>
      </c>
      <c r="O520" s="63">
        <f>if(A520,_xlfn.WORKDAY.INTL(A520,O$5,"1000000",Holidays!A:A)+hour(A520)/24+MINUTE(A520)/1440,"")</f>
        <v>45336.65972</v>
      </c>
      <c r="P520" s="64" t="s">
        <v>2718</v>
      </c>
      <c r="R520" s="66">
        <f t="shared" si="5"/>
        <v>797.3241877</v>
      </c>
      <c r="S520" s="66"/>
      <c r="T520" s="66"/>
      <c r="U520" s="64">
        <f>if(O520,_xlfn.WORKDAY.INTL(O520,U$5,"1000000",Holidays!A:A)+hour(O520)/24+MINUTE(O520)/1440,"")</f>
        <v>45337.65972</v>
      </c>
      <c r="V520" s="64" t="str">
        <f t="shared" si="6"/>
        <v/>
      </c>
      <c r="W520" s="66"/>
      <c r="X520" s="66">
        <f t="shared" si="7"/>
        <v>796.3241877</v>
      </c>
      <c r="Y520" s="66"/>
      <c r="Z520" s="66"/>
      <c r="AA520" s="66"/>
      <c r="AB520" s="63"/>
      <c r="AC520" s="63"/>
      <c r="AD520" s="63"/>
      <c r="AE520" s="63"/>
      <c r="AF520" s="63"/>
      <c r="AG520" s="63"/>
      <c r="AH520" s="63" t="str">
        <f t="shared" si="14"/>
        <v/>
      </c>
      <c r="AI520" s="63" t="str">
        <f>if(AH520,_xlfn.workday.intl(int(AH520),0,"1000000",Holidays!A:A)+18/24,"")</f>
        <v/>
      </c>
      <c r="AJ520" s="64" t="str">
        <f t="shared" si="24"/>
        <v/>
      </c>
      <c r="AL520" s="66" t="str">
        <f t="shared" si="9"/>
        <v/>
      </c>
      <c r="AM520" s="66"/>
      <c r="AN520" s="63" t="str">
        <f>if(AJ520,if(and(hour(AJ520+AN$5)&gt;11,(hour(AJ520+AN$5)&lt;20)),AJ520+AN$5,_xlfn.workday.intl(int(AJ520),1,"1000000",Holidays!A:A)+hour(AJ520+AN$5-$B$1)/24+minute(AJ520)/1440),"")</f>
        <v/>
      </c>
      <c r="AO520" s="64" t="str">
        <f t="shared" si="15"/>
        <v/>
      </c>
      <c r="AQ520" s="66" t="str">
        <f t="shared" si="16"/>
        <v/>
      </c>
      <c r="AR520" s="66"/>
      <c r="AS520" s="63" t="str">
        <f>if(AJ520,if(and(hour(AJ520+AS$5)&gt;11,(hour(AJ520+AS$5)&lt;20)),AJ520+AS$5,_xlfn.workday.intl(int(AJ520),1,"1000000",Holidays!A:A)+hour(AJ520+AS$5-$B$1)/24+minute(AJ520)/1440),"")</f>
        <v/>
      </c>
      <c r="AT520" s="64" t="str">
        <f t="shared" si="21"/>
        <v/>
      </c>
      <c r="AV520" s="66" t="str">
        <f t="shared" si="25"/>
        <v/>
      </c>
      <c r="AW520" s="66"/>
      <c r="AX520" s="56"/>
    </row>
    <row r="521">
      <c r="A521" s="55">
        <v>45335.660818379634</v>
      </c>
      <c r="B521" s="56"/>
      <c r="C521" s="57"/>
      <c r="D521" s="57"/>
      <c r="E521" s="57"/>
      <c r="F521" s="57"/>
      <c r="G521" s="58">
        <f>if(A521,_xlfn.workday.intl(int(A521),1,"1000000",Holidays!A:A)+17/24,"")</f>
        <v>45336.70833</v>
      </c>
      <c r="H521" s="59" t="str">
        <f t="shared" si="23"/>
        <v/>
      </c>
      <c r="I521" s="60"/>
      <c r="J521" s="61">
        <f t="shared" si="2"/>
        <v>797.2755766</v>
      </c>
      <c r="K521" s="58">
        <f>if(G521,_xlfn.workday.intl(int(G521),0,"1000000",Holidays!A:A)+19/24,"")</f>
        <v>45336.79167</v>
      </c>
      <c r="L521" s="59" t="str">
        <f t="shared" si="3"/>
        <v/>
      </c>
      <c r="M521" s="60"/>
      <c r="N521" s="61">
        <f t="shared" si="4"/>
        <v>797.1922432</v>
      </c>
      <c r="O521" s="63">
        <f>if(A521,_xlfn.WORKDAY.INTL(A521,O$5,"1000000",Holidays!A:A)+hour(A521)/24+MINUTE(A521)/1440,"")</f>
        <v>45336.66042</v>
      </c>
      <c r="P521" s="64" t="s">
        <v>2718</v>
      </c>
      <c r="R521" s="66">
        <f t="shared" si="5"/>
        <v>797.3234932</v>
      </c>
      <c r="S521" s="66"/>
      <c r="T521" s="66"/>
      <c r="U521" s="64">
        <f>if(O521,_xlfn.WORKDAY.INTL(O521,U$5,"1000000",Holidays!A:A)+hour(O521)/24+MINUTE(O521)/1440,"")</f>
        <v>45337.66042</v>
      </c>
      <c r="V521" s="64" t="str">
        <f t="shared" si="6"/>
        <v/>
      </c>
      <c r="W521" s="66"/>
      <c r="X521" s="66">
        <f t="shared" si="7"/>
        <v>796.3234932</v>
      </c>
      <c r="Y521" s="66"/>
      <c r="Z521" s="66"/>
      <c r="AA521" s="66"/>
      <c r="AB521" s="63"/>
      <c r="AC521" s="63"/>
      <c r="AD521" s="63"/>
      <c r="AE521" s="63"/>
      <c r="AF521" s="63"/>
      <c r="AG521" s="63"/>
      <c r="AH521" s="63" t="str">
        <f t="shared" si="14"/>
        <v/>
      </c>
      <c r="AI521" s="63" t="str">
        <f>if(AH521,_xlfn.workday.intl(int(AH521),0,"1000000",Holidays!A:A)+18/24,"")</f>
        <v/>
      </c>
      <c r="AJ521" s="64" t="str">
        <f t="shared" si="24"/>
        <v/>
      </c>
      <c r="AL521" s="66" t="str">
        <f t="shared" si="9"/>
        <v/>
      </c>
      <c r="AM521" s="66"/>
      <c r="AN521" s="63" t="str">
        <f>if(AJ521,if(and(hour(AJ521+AN$5)&gt;11,(hour(AJ521+AN$5)&lt;20)),AJ521+AN$5,_xlfn.workday.intl(int(AJ521),1,"1000000",Holidays!A:A)+hour(AJ521+AN$5-$B$1)/24+minute(AJ521)/1440),"")</f>
        <v/>
      </c>
      <c r="AO521" s="64" t="str">
        <f t="shared" si="15"/>
        <v/>
      </c>
      <c r="AQ521" s="66" t="str">
        <f t="shared" si="16"/>
        <v/>
      </c>
      <c r="AR521" s="66"/>
      <c r="AS521" s="63" t="str">
        <f>if(AJ521,if(and(hour(AJ521+AS$5)&gt;11,(hour(AJ521+AS$5)&lt;20)),AJ521+AS$5,_xlfn.workday.intl(int(AJ521),1,"1000000",Holidays!A:A)+hour(AJ521+AS$5-$B$1)/24+minute(AJ521)/1440),"")</f>
        <v/>
      </c>
      <c r="AT521" s="64" t="str">
        <f t="shared" si="21"/>
        <v/>
      </c>
      <c r="AV521" s="66" t="str">
        <f t="shared" si="25"/>
        <v/>
      </c>
      <c r="AW521" s="66"/>
      <c r="AX521" s="56"/>
    </row>
    <row r="522">
      <c r="A522" s="55">
        <v>45335.66209481482</v>
      </c>
      <c r="B522" s="56"/>
      <c r="C522" s="57"/>
      <c r="D522" s="57"/>
      <c r="E522" s="57"/>
      <c r="F522" s="57"/>
      <c r="G522" s="58">
        <f>if(A522,_xlfn.workday.intl(int(A522),1,"1000000",Holidays!A:A)+17/24,"")</f>
        <v>45336.70833</v>
      </c>
      <c r="H522" s="59" t="str">
        <f t="shared" si="23"/>
        <v/>
      </c>
      <c r="I522" s="60"/>
      <c r="J522" s="61">
        <f t="shared" si="2"/>
        <v>797.2755766</v>
      </c>
      <c r="K522" s="58">
        <f>if(G522,_xlfn.workday.intl(int(G522),0,"1000000",Holidays!A:A)+19/24,"")</f>
        <v>45336.79167</v>
      </c>
      <c r="L522" s="59" t="str">
        <f t="shared" si="3"/>
        <v/>
      </c>
      <c r="M522" s="60"/>
      <c r="N522" s="61">
        <f t="shared" si="4"/>
        <v>797.1922432</v>
      </c>
      <c r="O522" s="63">
        <f>if(A522,_xlfn.WORKDAY.INTL(A522,O$5,"1000000",Holidays!A:A)+hour(A522)/24+MINUTE(A522)/1440,"")</f>
        <v>45336.66181</v>
      </c>
      <c r="P522" s="64" t="s">
        <v>2718</v>
      </c>
      <c r="R522" s="66">
        <f t="shared" si="5"/>
        <v>797.3221043</v>
      </c>
      <c r="S522" s="66"/>
      <c r="T522" s="66"/>
      <c r="U522" s="64">
        <f>if(O522,_xlfn.WORKDAY.INTL(O522,U$5,"1000000",Holidays!A:A)+hour(O522)/24+MINUTE(O522)/1440,"")</f>
        <v>45337.66181</v>
      </c>
      <c r="V522" s="64" t="str">
        <f t="shared" si="6"/>
        <v/>
      </c>
      <c r="W522" s="66"/>
      <c r="X522" s="66">
        <f t="shared" si="7"/>
        <v>796.3221043</v>
      </c>
      <c r="Y522" s="66"/>
      <c r="Z522" s="66"/>
      <c r="AA522" s="66"/>
      <c r="AB522" s="63"/>
      <c r="AC522" s="63"/>
      <c r="AD522" s="63"/>
      <c r="AE522" s="63"/>
      <c r="AF522" s="63"/>
      <c r="AG522" s="63"/>
      <c r="AH522" s="63" t="str">
        <f t="shared" si="14"/>
        <v/>
      </c>
      <c r="AI522" s="63" t="str">
        <f>if(AH522,_xlfn.workday.intl(int(AH522),0,"1000000",Holidays!A:A)+18/24,"")</f>
        <v/>
      </c>
      <c r="AJ522" s="64" t="str">
        <f t="shared" si="24"/>
        <v/>
      </c>
      <c r="AL522" s="66" t="str">
        <f t="shared" si="9"/>
        <v/>
      </c>
      <c r="AM522" s="66"/>
      <c r="AN522" s="63" t="str">
        <f>if(AJ522,if(and(hour(AJ522+AN$5)&gt;11,(hour(AJ522+AN$5)&lt;20)),AJ522+AN$5,_xlfn.workday.intl(int(AJ522),1,"1000000",Holidays!A:A)+hour(AJ522+AN$5-$B$1)/24+minute(AJ522)/1440),"")</f>
        <v/>
      </c>
      <c r="AO522" s="64" t="str">
        <f t="shared" si="15"/>
        <v/>
      </c>
      <c r="AQ522" s="66" t="str">
        <f t="shared" si="16"/>
        <v/>
      </c>
      <c r="AR522" s="66"/>
      <c r="AS522" s="63" t="str">
        <f>if(AJ522,if(and(hour(AJ522+AS$5)&gt;11,(hour(AJ522+AS$5)&lt;20)),AJ522+AS$5,_xlfn.workday.intl(int(AJ522),1,"1000000",Holidays!A:A)+hour(AJ522+AS$5-$B$1)/24+minute(AJ522)/1440),"")</f>
        <v/>
      </c>
      <c r="AT522" s="64" t="str">
        <f t="shared" si="21"/>
        <v/>
      </c>
      <c r="AV522" s="66" t="str">
        <f t="shared" si="25"/>
        <v/>
      </c>
      <c r="AW522" s="66"/>
      <c r="AX522" s="56"/>
    </row>
    <row r="523">
      <c r="A523" s="55">
        <v>45335.664103194445</v>
      </c>
      <c r="B523" s="56"/>
      <c r="C523" s="57"/>
      <c r="D523" s="57"/>
      <c r="E523" s="57"/>
      <c r="F523" s="57"/>
      <c r="G523" s="58">
        <f>if(A523,_xlfn.workday.intl(int(A523),1,"1000000",Holidays!A:A)+17/24,"")</f>
        <v>45336.70833</v>
      </c>
      <c r="H523" s="59" t="str">
        <f t="shared" si="23"/>
        <v/>
      </c>
      <c r="I523" s="60"/>
      <c r="J523" s="61">
        <f t="shared" si="2"/>
        <v>797.2755766</v>
      </c>
      <c r="K523" s="58">
        <f>if(G523,_xlfn.workday.intl(int(G523),0,"1000000",Holidays!A:A)+19/24,"")</f>
        <v>45336.79167</v>
      </c>
      <c r="L523" s="59" t="str">
        <f t="shared" si="3"/>
        <v/>
      </c>
      <c r="M523" s="60"/>
      <c r="N523" s="61">
        <f t="shared" si="4"/>
        <v>797.1922432</v>
      </c>
      <c r="O523" s="63">
        <f>if(A523,_xlfn.WORKDAY.INTL(A523,O$5,"1000000",Holidays!A:A)+hour(A523)/24+MINUTE(A523)/1440,"")</f>
        <v>45336.66389</v>
      </c>
      <c r="P523" s="64" t="s">
        <v>2718</v>
      </c>
      <c r="R523" s="66">
        <f t="shared" si="5"/>
        <v>797.320021</v>
      </c>
      <c r="S523" s="66"/>
      <c r="T523" s="66"/>
      <c r="U523" s="64">
        <f>if(O523,_xlfn.WORKDAY.INTL(O523,U$5,"1000000",Holidays!A:A)+hour(O523)/24+MINUTE(O523)/1440,"")</f>
        <v>45337.66389</v>
      </c>
      <c r="V523" s="64" t="str">
        <f t="shared" si="6"/>
        <v/>
      </c>
      <c r="W523" s="66"/>
      <c r="X523" s="66">
        <f t="shared" si="7"/>
        <v>796.320021</v>
      </c>
      <c r="Y523" s="66"/>
      <c r="Z523" s="66"/>
      <c r="AA523" s="66"/>
      <c r="AB523" s="63"/>
      <c r="AC523" s="63"/>
      <c r="AD523" s="63"/>
      <c r="AE523" s="63"/>
      <c r="AF523" s="63"/>
      <c r="AG523" s="63"/>
      <c r="AH523" s="63" t="str">
        <f t="shared" si="14"/>
        <v/>
      </c>
      <c r="AI523" s="63" t="str">
        <f>if(AH523,_xlfn.workday.intl(int(AH523),0,"1000000",Holidays!A:A)+18/24,"")</f>
        <v/>
      </c>
      <c r="AJ523" s="64" t="str">
        <f t="shared" si="24"/>
        <v/>
      </c>
      <c r="AL523" s="66" t="str">
        <f t="shared" si="9"/>
        <v/>
      </c>
      <c r="AM523" s="66"/>
      <c r="AN523" s="63" t="str">
        <f>if(AJ523,if(and(hour(AJ523+AN$5)&gt;11,(hour(AJ523+AN$5)&lt;20)),AJ523+AN$5,_xlfn.workday.intl(int(AJ523),1,"1000000",Holidays!A:A)+hour(AJ523+AN$5-$B$1)/24+minute(AJ523)/1440),"")</f>
        <v/>
      </c>
      <c r="AO523" s="64" t="str">
        <f t="shared" si="15"/>
        <v/>
      </c>
      <c r="AQ523" s="66" t="str">
        <f t="shared" si="16"/>
        <v/>
      </c>
      <c r="AR523" s="66"/>
      <c r="AS523" s="63" t="str">
        <f>if(AJ523,if(and(hour(AJ523+AS$5)&gt;11,(hour(AJ523+AS$5)&lt;20)),AJ523+AS$5,_xlfn.workday.intl(int(AJ523),1,"1000000",Holidays!A:A)+hour(AJ523+AS$5-$B$1)/24+minute(AJ523)/1440),"")</f>
        <v/>
      </c>
      <c r="AT523" s="64" t="str">
        <f t="shared" si="21"/>
        <v/>
      </c>
      <c r="AV523" s="66" t="str">
        <f t="shared" si="25"/>
        <v/>
      </c>
      <c r="AW523" s="66"/>
      <c r="AX523" s="56"/>
    </row>
    <row r="524">
      <c r="A524" s="55">
        <v>45335.6648927662</v>
      </c>
      <c r="B524" s="56"/>
      <c r="C524" s="57"/>
      <c r="D524" s="57"/>
      <c r="E524" s="57"/>
      <c r="F524" s="57"/>
      <c r="G524" s="58">
        <f>if(A524,_xlfn.workday.intl(int(A524),1,"1000000",Holidays!A:A)+17/24,"")</f>
        <v>45336.70833</v>
      </c>
      <c r="H524" s="59" t="str">
        <f t="shared" si="23"/>
        <v/>
      </c>
      <c r="I524" s="60"/>
      <c r="J524" s="61">
        <f t="shared" si="2"/>
        <v>797.2755766</v>
      </c>
      <c r="K524" s="58">
        <f>if(G524,_xlfn.workday.intl(int(G524),0,"1000000",Holidays!A:A)+19/24,"")</f>
        <v>45336.79167</v>
      </c>
      <c r="L524" s="59" t="str">
        <f t="shared" si="3"/>
        <v/>
      </c>
      <c r="M524" s="60"/>
      <c r="N524" s="61">
        <f t="shared" si="4"/>
        <v>797.1922432</v>
      </c>
      <c r="O524" s="63">
        <f>if(A524,_xlfn.WORKDAY.INTL(A524,O$5,"1000000",Holidays!A:A)+hour(A524)/24+MINUTE(A524)/1440,"")</f>
        <v>45336.66458</v>
      </c>
      <c r="P524" s="64" t="s">
        <v>2718</v>
      </c>
      <c r="R524" s="66">
        <f t="shared" si="5"/>
        <v>797.3193266</v>
      </c>
      <c r="S524" s="66"/>
      <c r="T524" s="66"/>
      <c r="U524" s="64">
        <f>if(O524,_xlfn.WORKDAY.INTL(O524,U$5,"1000000",Holidays!A:A)+hour(O524)/24+MINUTE(O524)/1440,"")</f>
        <v>45337.66458</v>
      </c>
      <c r="V524" s="64" t="str">
        <f t="shared" si="6"/>
        <v/>
      </c>
      <c r="W524" s="66"/>
      <c r="X524" s="66">
        <f t="shared" si="7"/>
        <v>796.3193266</v>
      </c>
      <c r="Y524" s="66"/>
      <c r="Z524" s="66"/>
      <c r="AA524" s="66"/>
      <c r="AB524" s="63"/>
      <c r="AC524" s="63"/>
      <c r="AD524" s="63"/>
      <c r="AE524" s="63"/>
      <c r="AF524" s="63"/>
      <c r="AG524" s="63"/>
      <c r="AH524" s="63" t="str">
        <f t="shared" si="14"/>
        <v/>
      </c>
      <c r="AI524" s="63" t="str">
        <f>if(AH524,_xlfn.workday.intl(int(AH524),0,"1000000",Holidays!A:A)+18/24,"")</f>
        <v/>
      </c>
      <c r="AJ524" s="64" t="str">
        <f t="shared" si="24"/>
        <v/>
      </c>
      <c r="AL524" s="66" t="str">
        <f t="shared" si="9"/>
        <v/>
      </c>
      <c r="AM524" s="66"/>
      <c r="AN524" s="63" t="str">
        <f>if(AJ524,if(and(hour(AJ524+AN$5)&gt;11,(hour(AJ524+AN$5)&lt;20)),AJ524+AN$5,_xlfn.workday.intl(int(AJ524),1,"1000000",Holidays!A:A)+hour(AJ524+AN$5-$B$1)/24+minute(AJ524)/1440),"")</f>
        <v/>
      </c>
      <c r="AO524" s="64" t="str">
        <f t="shared" si="15"/>
        <v/>
      </c>
      <c r="AQ524" s="66" t="str">
        <f t="shared" si="16"/>
        <v/>
      </c>
      <c r="AR524" s="66"/>
      <c r="AS524" s="63" t="str">
        <f>if(AJ524,if(and(hour(AJ524+AS$5)&gt;11,(hour(AJ524+AS$5)&lt;20)),AJ524+AS$5,_xlfn.workday.intl(int(AJ524),1,"1000000",Holidays!A:A)+hour(AJ524+AS$5-$B$1)/24+minute(AJ524)/1440),"")</f>
        <v/>
      </c>
      <c r="AT524" s="64" t="str">
        <f t="shared" si="21"/>
        <v/>
      </c>
      <c r="AV524" s="66" t="str">
        <f t="shared" si="25"/>
        <v/>
      </c>
      <c r="AW524" s="66"/>
      <c r="AX524" s="56"/>
    </row>
    <row r="525">
      <c r="A525" s="55">
        <v>45335.666230601855</v>
      </c>
      <c r="B525" s="56"/>
      <c r="C525" s="57"/>
      <c r="D525" s="57"/>
      <c r="E525" s="57"/>
      <c r="F525" s="57"/>
      <c r="G525" s="58">
        <f>if(A525,_xlfn.workday.intl(int(A525),1,"1000000",Holidays!A:A)+17/24,"")</f>
        <v>45336.70833</v>
      </c>
      <c r="H525" s="59" t="str">
        <f t="shared" si="23"/>
        <v/>
      </c>
      <c r="I525" s="60"/>
      <c r="J525" s="61">
        <f t="shared" si="2"/>
        <v>797.2755766</v>
      </c>
      <c r="K525" s="58">
        <f>if(G525,_xlfn.workday.intl(int(G525),0,"1000000",Holidays!A:A)+19/24,"")</f>
        <v>45336.79167</v>
      </c>
      <c r="L525" s="59" t="str">
        <f t="shared" si="3"/>
        <v/>
      </c>
      <c r="M525" s="60"/>
      <c r="N525" s="61">
        <f t="shared" si="4"/>
        <v>797.1922432</v>
      </c>
      <c r="O525" s="63">
        <f>if(A525,_xlfn.WORKDAY.INTL(A525,O$5,"1000000",Holidays!A:A)+hour(A525)/24+MINUTE(A525)/1440,"")</f>
        <v>45336.66597</v>
      </c>
      <c r="P525" s="64" t="s">
        <v>2718</v>
      </c>
      <c r="R525" s="66">
        <f t="shared" si="5"/>
        <v>797.3179377</v>
      </c>
      <c r="S525" s="66"/>
      <c r="T525" s="66"/>
      <c r="U525" s="64">
        <f>if(O525,_xlfn.WORKDAY.INTL(O525,U$5,"1000000",Holidays!A:A)+hour(O525)/24+MINUTE(O525)/1440,"")</f>
        <v>45337.66597</v>
      </c>
      <c r="V525" s="64" t="str">
        <f t="shared" si="6"/>
        <v/>
      </c>
      <c r="W525" s="66"/>
      <c r="X525" s="66">
        <f t="shared" si="7"/>
        <v>796.3179377</v>
      </c>
      <c r="Y525" s="66"/>
      <c r="Z525" s="66"/>
      <c r="AA525" s="66"/>
      <c r="AB525" s="63"/>
      <c r="AC525" s="63"/>
      <c r="AD525" s="63"/>
      <c r="AE525" s="63"/>
      <c r="AF525" s="63"/>
      <c r="AG525" s="63"/>
      <c r="AH525" s="63" t="str">
        <f t="shared" si="14"/>
        <v/>
      </c>
      <c r="AI525" s="63" t="str">
        <f>if(AH525,_xlfn.workday.intl(int(AH525),0,"1000000",Holidays!A:A)+18/24,"")</f>
        <v/>
      </c>
      <c r="AJ525" s="64" t="str">
        <f t="shared" si="24"/>
        <v/>
      </c>
      <c r="AL525" s="66" t="str">
        <f t="shared" si="9"/>
        <v/>
      </c>
      <c r="AM525" s="66"/>
      <c r="AN525" s="63" t="str">
        <f>if(AJ525,if(and(hour(AJ525+AN$5)&gt;11,(hour(AJ525+AN$5)&lt;20)),AJ525+AN$5,_xlfn.workday.intl(int(AJ525),1,"1000000",Holidays!A:A)+hour(AJ525+AN$5-$B$1)/24+minute(AJ525)/1440),"")</f>
        <v/>
      </c>
      <c r="AO525" s="64" t="str">
        <f t="shared" si="15"/>
        <v/>
      </c>
      <c r="AQ525" s="66" t="str">
        <f t="shared" si="16"/>
        <v/>
      </c>
      <c r="AR525" s="66"/>
      <c r="AS525" s="63" t="str">
        <f>if(AJ525,if(and(hour(AJ525+AS$5)&gt;11,(hour(AJ525+AS$5)&lt;20)),AJ525+AS$5,_xlfn.workday.intl(int(AJ525),1,"1000000",Holidays!A:A)+hour(AJ525+AS$5-$B$1)/24+minute(AJ525)/1440),"")</f>
        <v/>
      </c>
      <c r="AT525" s="64" t="str">
        <f t="shared" si="21"/>
        <v/>
      </c>
      <c r="AV525" s="66" t="str">
        <f t="shared" si="25"/>
        <v/>
      </c>
      <c r="AW525" s="66"/>
      <c r="AX525" s="56"/>
    </row>
    <row r="526">
      <c r="A526" s="55">
        <v>45335.66693181713</v>
      </c>
      <c r="B526" s="56"/>
      <c r="C526" s="57"/>
      <c r="D526" s="57"/>
      <c r="E526" s="57"/>
      <c r="F526" s="57"/>
      <c r="G526" s="58">
        <f>if(A526,_xlfn.workday.intl(int(A526),1,"1000000",Holidays!A:A)+17/24,"")</f>
        <v>45336.70833</v>
      </c>
      <c r="H526" s="59" t="str">
        <f t="shared" si="23"/>
        <v/>
      </c>
      <c r="I526" s="60"/>
      <c r="J526" s="61">
        <f t="shared" si="2"/>
        <v>797.2755766</v>
      </c>
      <c r="K526" s="58">
        <f>if(G526,_xlfn.workday.intl(int(G526),0,"1000000",Holidays!A:A)+19/24,"")</f>
        <v>45336.79167</v>
      </c>
      <c r="L526" s="59" t="str">
        <f t="shared" si="3"/>
        <v/>
      </c>
      <c r="M526" s="60"/>
      <c r="N526" s="61">
        <f t="shared" si="4"/>
        <v>797.1922432</v>
      </c>
      <c r="O526" s="63">
        <f>if(A526,_xlfn.WORKDAY.INTL(A526,O$5,"1000000",Holidays!A:A)+hour(A526)/24+MINUTE(A526)/1440,"")</f>
        <v>45336.66667</v>
      </c>
      <c r="P526" s="64" t="s">
        <v>2718</v>
      </c>
      <c r="R526" s="66">
        <f t="shared" si="5"/>
        <v>797.3172432</v>
      </c>
      <c r="S526" s="66"/>
      <c r="T526" s="66"/>
      <c r="U526" s="64">
        <f>if(O526,_xlfn.WORKDAY.INTL(O526,U$5,"1000000",Holidays!A:A)+hour(O526)/24+MINUTE(O526)/1440,"")</f>
        <v>45337.66667</v>
      </c>
      <c r="V526" s="64" t="str">
        <f t="shared" si="6"/>
        <v/>
      </c>
      <c r="W526" s="66"/>
      <c r="X526" s="66">
        <f t="shared" si="7"/>
        <v>796.3172432</v>
      </c>
      <c r="Y526" s="66"/>
      <c r="Z526" s="66"/>
      <c r="AA526" s="66"/>
      <c r="AB526" s="63"/>
      <c r="AC526" s="63"/>
      <c r="AD526" s="63"/>
      <c r="AE526" s="63"/>
      <c r="AF526" s="63"/>
      <c r="AG526" s="63"/>
      <c r="AH526" s="63" t="str">
        <f t="shared" si="14"/>
        <v/>
      </c>
      <c r="AI526" s="63" t="str">
        <f>if(AH526,_xlfn.workday.intl(int(AH526),0,"1000000",Holidays!A:A)+18/24,"")</f>
        <v/>
      </c>
      <c r="AJ526" s="64" t="str">
        <f t="shared" si="24"/>
        <v/>
      </c>
      <c r="AL526" s="66" t="str">
        <f t="shared" si="9"/>
        <v/>
      </c>
      <c r="AM526" s="66"/>
      <c r="AN526" s="63" t="str">
        <f>if(AJ526,if(and(hour(AJ526+AN$5)&gt;11,(hour(AJ526+AN$5)&lt;20)),AJ526+AN$5,_xlfn.workday.intl(int(AJ526),1,"1000000",Holidays!A:A)+hour(AJ526+AN$5-$B$1)/24+minute(AJ526)/1440),"")</f>
        <v/>
      </c>
      <c r="AO526" s="64" t="str">
        <f t="shared" si="15"/>
        <v/>
      </c>
      <c r="AQ526" s="66" t="str">
        <f t="shared" si="16"/>
        <v/>
      </c>
      <c r="AR526" s="66"/>
      <c r="AS526" s="63" t="str">
        <f>if(AJ526,if(and(hour(AJ526+AS$5)&gt;11,(hour(AJ526+AS$5)&lt;20)),AJ526+AS$5,_xlfn.workday.intl(int(AJ526),1,"1000000",Holidays!A:A)+hour(AJ526+AS$5-$B$1)/24+minute(AJ526)/1440),"")</f>
        <v/>
      </c>
      <c r="AT526" s="64" t="str">
        <f t="shared" si="21"/>
        <v/>
      </c>
      <c r="AV526" s="66" t="str">
        <f t="shared" si="25"/>
        <v/>
      </c>
      <c r="AW526" s="66"/>
      <c r="AX526" s="56"/>
    </row>
    <row r="527">
      <c r="A527" s="55">
        <v>45335.66789805556</v>
      </c>
      <c r="B527" s="56"/>
      <c r="C527" s="57"/>
      <c r="D527" s="57"/>
      <c r="E527" s="57"/>
      <c r="F527" s="57"/>
      <c r="G527" s="58">
        <f>if(A527,_xlfn.workday.intl(int(A527),1,"1000000",Holidays!A:A)+17/24,"")</f>
        <v>45336.70833</v>
      </c>
      <c r="H527" s="59" t="str">
        <f t="shared" si="23"/>
        <v/>
      </c>
      <c r="I527" s="60"/>
      <c r="J527" s="61">
        <f t="shared" si="2"/>
        <v>797.2755766</v>
      </c>
      <c r="K527" s="58">
        <f>if(G527,_xlfn.workday.intl(int(G527),0,"1000000",Holidays!A:A)+19/24,"")</f>
        <v>45336.79167</v>
      </c>
      <c r="L527" s="59" t="str">
        <f t="shared" si="3"/>
        <v/>
      </c>
      <c r="M527" s="60"/>
      <c r="N527" s="61">
        <f t="shared" si="4"/>
        <v>797.1922432</v>
      </c>
      <c r="O527" s="63">
        <f>if(A527,_xlfn.WORKDAY.INTL(A527,O$5,"1000000",Holidays!A:A)+hour(A527)/24+MINUTE(A527)/1440,"")</f>
        <v>45336.66736</v>
      </c>
      <c r="P527" s="64" t="s">
        <v>2718</v>
      </c>
      <c r="R527" s="66">
        <f t="shared" si="5"/>
        <v>797.3165488</v>
      </c>
      <c r="S527" s="66"/>
      <c r="T527" s="66"/>
      <c r="U527" s="64">
        <f>if(O527,_xlfn.WORKDAY.INTL(O527,U$5,"1000000",Holidays!A:A)+hour(O527)/24+MINUTE(O527)/1440,"")</f>
        <v>45337.66736</v>
      </c>
      <c r="V527" s="64" t="str">
        <f t="shared" si="6"/>
        <v/>
      </c>
      <c r="W527" s="66"/>
      <c r="X527" s="66">
        <f t="shared" si="7"/>
        <v>796.3165488</v>
      </c>
      <c r="Y527" s="66"/>
      <c r="Z527" s="66"/>
      <c r="AA527" s="66"/>
      <c r="AB527" s="63"/>
      <c r="AC527" s="63"/>
      <c r="AD527" s="63"/>
      <c r="AE527" s="63"/>
      <c r="AF527" s="63"/>
      <c r="AG527" s="63"/>
      <c r="AH527" s="63" t="str">
        <f t="shared" si="14"/>
        <v/>
      </c>
      <c r="AI527" s="63" t="str">
        <f>if(AH527,_xlfn.workday.intl(int(AH527),0,"1000000",Holidays!A:A)+18/24,"")</f>
        <v/>
      </c>
      <c r="AJ527" s="64" t="str">
        <f t="shared" si="24"/>
        <v/>
      </c>
      <c r="AL527" s="66" t="str">
        <f t="shared" si="9"/>
        <v/>
      </c>
      <c r="AM527" s="66"/>
      <c r="AN527" s="63" t="str">
        <f>if(AJ527,if(and(hour(AJ527+AN$5)&gt;11,(hour(AJ527+AN$5)&lt;20)),AJ527+AN$5,_xlfn.workday.intl(int(AJ527),1,"1000000",Holidays!A:A)+hour(AJ527+AN$5-$B$1)/24+minute(AJ527)/1440),"")</f>
        <v/>
      </c>
      <c r="AO527" s="64" t="str">
        <f t="shared" si="15"/>
        <v/>
      </c>
      <c r="AQ527" s="66" t="str">
        <f t="shared" si="16"/>
        <v/>
      </c>
      <c r="AR527" s="66"/>
      <c r="AS527" s="63" t="str">
        <f>if(AJ527,if(and(hour(AJ527+AS$5)&gt;11,(hour(AJ527+AS$5)&lt;20)),AJ527+AS$5,_xlfn.workday.intl(int(AJ527),1,"1000000",Holidays!A:A)+hour(AJ527+AS$5-$B$1)/24+minute(AJ527)/1440),"")</f>
        <v/>
      </c>
      <c r="AT527" s="64" t="str">
        <f t="shared" si="21"/>
        <v/>
      </c>
      <c r="AV527" s="66" t="str">
        <f t="shared" si="25"/>
        <v/>
      </c>
      <c r="AW527" s="66"/>
      <c r="AX527" s="56"/>
    </row>
    <row r="528">
      <c r="A528" s="55">
        <v>45335.66931670139</v>
      </c>
      <c r="B528" s="56"/>
      <c r="C528" s="57"/>
      <c r="D528" s="57"/>
      <c r="E528" s="57"/>
      <c r="F528" s="57"/>
      <c r="G528" s="58">
        <f>if(A528,_xlfn.workday.intl(int(A528),1,"1000000",Holidays!A:A)+17/24,"")</f>
        <v>45336.70833</v>
      </c>
      <c r="H528" s="59" t="str">
        <f t="shared" si="23"/>
        <v/>
      </c>
      <c r="I528" s="60"/>
      <c r="J528" s="61">
        <f t="shared" si="2"/>
        <v>797.2755766</v>
      </c>
      <c r="K528" s="58">
        <f>if(G528,_xlfn.workday.intl(int(G528),0,"1000000",Holidays!A:A)+19/24,"")</f>
        <v>45336.79167</v>
      </c>
      <c r="L528" s="59" t="str">
        <f t="shared" si="3"/>
        <v/>
      </c>
      <c r="M528" s="60"/>
      <c r="N528" s="61">
        <f t="shared" si="4"/>
        <v>797.1922432</v>
      </c>
      <c r="O528" s="63">
        <f>if(A528,_xlfn.WORKDAY.INTL(A528,O$5,"1000000",Holidays!A:A)+hour(A528)/24+MINUTE(A528)/1440,"")</f>
        <v>45336.66875</v>
      </c>
      <c r="P528" s="64" t="s">
        <v>2718</v>
      </c>
      <c r="R528" s="66">
        <f t="shared" si="5"/>
        <v>797.3151599</v>
      </c>
      <c r="S528" s="66"/>
      <c r="T528" s="66"/>
      <c r="U528" s="64">
        <f>if(O528,_xlfn.WORKDAY.INTL(O528,U$5,"1000000",Holidays!A:A)+hour(O528)/24+MINUTE(O528)/1440,"")</f>
        <v>45337.66875</v>
      </c>
      <c r="V528" s="64" t="str">
        <f t="shared" si="6"/>
        <v/>
      </c>
      <c r="W528" s="66"/>
      <c r="X528" s="66">
        <f t="shared" si="7"/>
        <v>796.3151599</v>
      </c>
      <c r="Y528" s="66"/>
      <c r="Z528" s="66"/>
      <c r="AA528" s="66"/>
      <c r="AB528" s="63"/>
      <c r="AC528" s="63"/>
      <c r="AD528" s="63"/>
      <c r="AE528" s="63"/>
      <c r="AF528" s="63"/>
      <c r="AG528" s="63"/>
      <c r="AH528" s="63" t="str">
        <f t="shared" si="14"/>
        <v/>
      </c>
      <c r="AI528" s="63" t="str">
        <f>if(AH528,_xlfn.workday.intl(int(AH528),0,"1000000",Holidays!A:A)+18/24,"")</f>
        <v/>
      </c>
      <c r="AJ528" s="64" t="str">
        <f t="shared" si="24"/>
        <v/>
      </c>
      <c r="AL528" s="66" t="str">
        <f t="shared" si="9"/>
        <v/>
      </c>
      <c r="AM528" s="66"/>
      <c r="AN528" s="63" t="str">
        <f>if(AJ528,if(and(hour(AJ528+AN$5)&gt;11,(hour(AJ528+AN$5)&lt;20)),AJ528+AN$5,_xlfn.workday.intl(int(AJ528),1,"1000000",Holidays!A:A)+hour(AJ528+AN$5-$B$1)/24+minute(AJ528)/1440),"")</f>
        <v/>
      </c>
      <c r="AO528" s="64" t="str">
        <f t="shared" si="15"/>
        <v/>
      </c>
      <c r="AQ528" s="66" t="str">
        <f t="shared" si="16"/>
        <v/>
      </c>
      <c r="AR528" s="66"/>
      <c r="AS528" s="63" t="str">
        <f>if(AJ528,if(and(hour(AJ528+AS$5)&gt;11,(hour(AJ528+AS$5)&lt;20)),AJ528+AS$5,_xlfn.workday.intl(int(AJ528),1,"1000000",Holidays!A:A)+hour(AJ528+AS$5-$B$1)/24+minute(AJ528)/1440),"")</f>
        <v/>
      </c>
      <c r="AT528" s="64" t="str">
        <f t="shared" si="21"/>
        <v/>
      </c>
      <c r="AV528" s="66" t="str">
        <f t="shared" si="25"/>
        <v/>
      </c>
      <c r="AW528" s="66"/>
      <c r="AX528" s="56"/>
    </row>
    <row r="529">
      <c r="A529" s="55">
        <v>45335.670171875</v>
      </c>
      <c r="B529" s="56"/>
      <c r="C529" s="57"/>
      <c r="D529" s="57"/>
      <c r="E529" s="57"/>
      <c r="F529" s="57"/>
      <c r="G529" s="58">
        <f>if(A529,_xlfn.workday.intl(int(A529),1,"1000000",Holidays!A:A)+17/24,"")</f>
        <v>45336.70833</v>
      </c>
      <c r="H529" s="59" t="str">
        <f t="shared" si="23"/>
        <v/>
      </c>
      <c r="I529" s="60"/>
      <c r="J529" s="61">
        <f t="shared" si="2"/>
        <v>797.2755766</v>
      </c>
      <c r="K529" s="58">
        <f>if(G529,_xlfn.workday.intl(int(G529),0,"1000000",Holidays!A:A)+19/24,"")</f>
        <v>45336.79167</v>
      </c>
      <c r="L529" s="59" t="str">
        <f t="shared" si="3"/>
        <v/>
      </c>
      <c r="M529" s="60"/>
      <c r="N529" s="61">
        <f t="shared" si="4"/>
        <v>797.1922432</v>
      </c>
      <c r="O529" s="63">
        <f>if(A529,_xlfn.WORKDAY.INTL(A529,O$5,"1000000",Holidays!A:A)+hour(A529)/24+MINUTE(A529)/1440,"")</f>
        <v>45336.67014</v>
      </c>
      <c r="P529" s="64" t="s">
        <v>2718</v>
      </c>
      <c r="R529" s="66">
        <f t="shared" si="5"/>
        <v>797.313771</v>
      </c>
      <c r="S529" s="66"/>
      <c r="T529" s="66"/>
      <c r="U529" s="64">
        <f>if(O529,_xlfn.WORKDAY.INTL(O529,U$5,"1000000",Holidays!A:A)+hour(O529)/24+MINUTE(O529)/1440,"")</f>
        <v>45337.67014</v>
      </c>
      <c r="V529" s="64" t="str">
        <f t="shared" si="6"/>
        <v/>
      </c>
      <c r="W529" s="66"/>
      <c r="X529" s="66">
        <f t="shared" si="7"/>
        <v>796.313771</v>
      </c>
      <c r="Y529" s="66"/>
      <c r="Z529" s="66"/>
      <c r="AA529" s="66"/>
      <c r="AB529" s="63"/>
      <c r="AC529" s="63"/>
      <c r="AD529" s="63"/>
      <c r="AE529" s="63"/>
      <c r="AF529" s="63"/>
      <c r="AG529" s="63"/>
      <c r="AH529" s="63" t="str">
        <f t="shared" si="14"/>
        <v/>
      </c>
      <c r="AI529" s="63" t="str">
        <f>if(AH529,_xlfn.workday.intl(int(AH529),0,"1000000",Holidays!A:A)+18/24,"")</f>
        <v/>
      </c>
      <c r="AJ529" s="64" t="str">
        <f t="shared" si="24"/>
        <v/>
      </c>
      <c r="AL529" s="66" t="str">
        <f t="shared" si="9"/>
        <v/>
      </c>
      <c r="AM529" s="66"/>
      <c r="AN529" s="63" t="str">
        <f>if(AJ529,if(and(hour(AJ529+AN$5)&gt;11,(hour(AJ529+AN$5)&lt;20)),AJ529+AN$5,_xlfn.workday.intl(int(AJ529),1,"1000000",Holidays!A:A)+hour(AJ529+AN$5-$B$1)/24+minute(AJ529)/1440),"")</f>
        <v/>
      </c>
      <c r="AO529" s="64" t="str">
        <f t="shared" si="15"/>
        <v/>
      </c>
      <c r="AQ529" s="66" t="str">
        <f t="shared" si="16"/>
        <v/>
      </c>
      <c r="AR529" s="66"/>
      <c r="AS529" s="63" t="str">
        <f>if(AJ529,if(and(hour(AJ529+AS$5)&gt;11,(hour(AJ529+AS$5)&lt;20)),AJ529+AS$5,_xlfn.workday.intl(int(AJ529),1,"1000000",Holidays!A:A)+hour(AJ529+AS$5-$B$1)/24+minute(AJ529)/1440),"")</f>
        <v/>
      </c>
      <c r="AT529" s="64" t="str">
        <f t="shared" si="21"/>
        <v/>
      </c>
      <c r="AV529" s="66" t="str">
        <f t="shared" si="25"/>
        <v/>
      </c>
      <c r="AW529" s="66"/>
      <c r="AX529" s="56"/>
    </row>
    <row r="530">
      <c r="A530" s="55">
        <v>45335.6715940625</v>
      </c>
      <c r="B530" s="56"/>
      <c r="C530" s="57"/>
      <c r="D530" s="57"/>
      <c r="E530" s="57"/>
      <c r="F530" s="57"/>
      <c r="G530" s="58">
        <f>if(A530,_xlfn.workday.intl(int(A530),1,"1000000",Holidays!A:A)+17/24,"")</f>
        <v>45336.70833</v>
      </c>
      <c r="H530" s="59" t="str">
        <f t="shared" si="23"/>
        <v/>
      </c>
      <c r="I530" s="60"/>
      <c r="J530" s="61">
        <f t="shared" si="2"/>
        <v>797.2755766</v>
      </c>
      <c r="K530" s="58">
        <f>if(G530,_xlfn.workday.intl(int(G530),0,"1000000",Holidays!A:A)+19/24,"")</f>
        <v>45336.79167</v>
      </c>
      <c r="L530" s="59" t="str">
        <f t="shared" si="3"/>
        <v/>
      </c>
      <c r="M530" s="60"/>
      <c r="N530" s="61">
        <f t="shared" si="4"/>
        <v>797.1922432</v>
      </c>
      <c r="O530" s="63">
        <f>if(A530,_xlfn.WORKDAY.INTL(A530,O$5,"1000000",Holidays!A:A)+hour(A530)/24+MINUTE(A530)/1440,"")</f>
        <v>45336.67153</v>
      </c>
      <c r="P530" s="64" t="s">
        <v>2718</v>
      </c>
      <c r="R530" s="66">
        <f t="shared" si="5"/>
        <v>797.3123821</v>
      </c>
      <c r="S530" s="66"/>
      <c r="T530" s="66"/>
      <c r="U530" s="64">
        <f>if(O530,_xlfn.WORKDAY.INTL(O530,U$5,"1000000",Holidays!A:A)+hour(O530)/24+MINUTE(O530)/1440,"")</f>
        <v>45337.67153</v>
      </c>
      <c r="V530" s="64" t="str">
        <f t="shared" si="6"/>
        <v/>
      </c>
      <c r="W530" s="66"/>
      <c r="X530" s="66">
        <f t="shared" si="7"/>
        <v>796.3123821</v>
      </c>
      <c r="Y530" s="66"/>
      <c r="Z530" s="66"/>
      <c r="AA530" s="66"/>
      <c r="AB530" s="63"/>
      <c r="AC530" s="63"/>
      <c r="AD530" s="63"/>
      <c r="AE530" s="63"/>
      <c r="AF530" s="63"/>
      <c r="AG530" s="63"/>
      <c r="AH530" s="63" t="str">
        <f t="shared" si="14"/>
        <v/>
      </c>
      <c r="AI530" s="63" t="str">
        <f>if(AH530,_xlfn.workday.intl(int(AH530),0,"1000000",Holidays!A:A)+18/24,"")</f>
        <v/>
      </c>
      <c r="AJ530" s="64" t="str">
        <f t="shared" si="24"/>
        <v/>
      </c>
      <c r="AL530" s="66" t="str">
        <f t="shared" si="9"/>
        <v/>
      </c>
      <c r="AM530" s="66"/>
      <c r="AN530" s="63" t="str">
        <f>if(AJ530,if(and(hour(AJ530+AN$5)&gt;11,(hour(AJ530+AN$5)&lt;20)),AJ530+AN$5,_xlfn.workday.intl(int(AJ530),1,"1000000",Holidays!A:A)+hour(AJ530+AN$5-$B$1)/24+minute(AJ530)/1440),"")</f>
        <v/>
      </c>
      <c r="AO530" s="64" t="str">
        <f t="shared" si="15"/>
        <v/>
      </c>
      <c r="AQ530" s="66" t="str">
        <f t="shared" si="16"/>
        <v/>
      </c>
      <c r="AR530" s="66"/>
      <c r="AS530" s="63" t="str">
        <f>if(AJ530,if(and(hour(AJ530+AS$5)&gt;11,(hour(AJ530+AS$5)&lt;20)),AJ530+AS$5,_xlfn.workday.intl(int(AJ530),1,"1000000",Holidays!A:A)+hour(AJ530+AS$5-$B$1)/24+minute(AJ530)/1440),"")</f>
        <v/>
      </c>
      <c r="AT530" s="64" t="str">
        <f t="shared" si="21"/>
        <v/>
      </c>
      <c r="AV530" s="66" t="str">
        <f t="shared" si="25"/>
        <v/>
      </c>
      <c r="AW530" s="66"/>
      <c r="AX530" s="56"/>
    </row>
    <row r="531">
      <c r="A531" s="55">
        <v>45335.673223715276</v>
      </c>
      <c r="B531" s="56"/>
      <c r="C531" s="57"/>
      <c r="D531" s="57"/>
      <c r="E531" s="57"/>
      <c r="F531" s="57"/>
      <c r="G531" s="58">
        <f>if(A531,_xlfn.workday.intl(int(A531),1,"1000000",Holidays!A:A)+17/24,"")</f>
        <v>45336.70833</v>
      </c>
      <c r="H531" s="59" t="str">
        <f t="shared" si="23"/>
        <v/>
      </c>
      <c r="I531" s="60"/>
      <c r="J531" s="61">
        <f t="shared" si="2"/>
        <v>797.2755766</v>
      </c>
      <c r="K531" s="58">
        <f>if(G531,_xlfn.workday.intl(int(G531),0,"1000000",Holidays!A:A)+19/24,"")</f>
        <v>45336.79167</v>
      </c>
      <c r="L531" s="59" t="str">
        <f t="shared" si="3"/>
        <v/>
      </c>
      <c r="M531" s="60"/>
      <c r="N531" s="61">
        <f t="shared" si="4"/>
        <v>797.1922432</v>
      </c>
      <c r="O531" s="63">
        <f>if(A531,_xlfn.WORKDAY.INTL(A531,O$5,"1000000",Holidays!A:A)+hour(A531)/24+MINUTE(A531)/1440,"")</f>
        <v>45336.67292</v>
      </c>
      <c r="P531" s="64" t="s">
        <v>2718</v>
      </c>
      <c r="R531" s="66">
        <f t="shared" si="5"/>
        <v>797.3109932</v>
      </c>
      <c r="S531" s="66"/>
      <c r="T531" s="66"/>
      <c r="U531" s="64">
        <f>if(O531,_xlfn.WORKDAY.INTL(O531,U$5,"1000000",Holidays!A:A)+hour(O531)/24+MINUTE(O531)/1440,"")</f>
        <v>45337.67292</v>
      </c>
      <c r="V531" s="64" t="str">
        <f t="shared" si="6"/>
        <v/>
      </c>
      <c r="W531" s="66"/>
      <c r="X531" s="66">
        <f t="shared" si="7"/>
        <v>796.3109932</v>
      </c>
      <c r="Y531" s="66"/>
      <c r="Z531" s="66"/>
      <c r="AA531" s="66"/>
      <c r="AB531" s="63"/>
      <c r="AC531" s="63"/>
      <c r="AD531" s="63"/>
      <c r="AE531" s="63"/>
      <c r="AF531" s="63"/>
      <c r="AG531" s="63"/>
      <c r="AH531" s="63" t="str">
        <f t="shared" si="14"/>
        <v/>
      </c>
      <c r="AI531" s="63" t="str">
        <f>if(AH531,_xlfn.workday.intl(int(AH531),0,"1000000",Holidays!A:A)+18/24,"")</f>
        <v/>
      </c>
      <c r="AJ531" s="64" t="str">
        <f t="shared" si="24"/>
        <v/>
      </c>
      <c r="AL531" s="66" t="str">
        <f t="shared" si="9"/>
        <v/>
      </c>
      <c r="AM531" s="66"/>
      <c r="AN531" s="63" t="str">
        <f>if(AJ531,if(and(hour(AJ531+AN$5)&gt;11,(hour(AJ531+AN$5)&lt;20)),AJ531+AN$5,_xlfn.workday.intl(int(AJ531),1,"1000000",Holidays!A:A)+hour(AJ531+AN$5-$B$1)/24+minute(AJ531)/1440),"")</f>
        <v/>
      </c>
      <c r="AO531" s="64" t="str">
        <f t="shared" si="15"/>
        <v/>
      </c>
      <c r="AQ531" s="66" t="str">
        <f t="shared" si="16"/>
        <v/>
      </c>
      <c r="AR531" s="66"/>
      <c r="AS531" s="63" t="str">
        <f>if(AJ531,if(and(hour(AJ531+AS$5)&gt;11,(hour(AJ531+AS$5)&lt;20)),AJ531+AS$5,_xlfn.workday.intl(int(AJ531),1,"1000000",Holidays!A:A)+hour(AJ531+AS$5-$B$1)/24+minute(AJ531)/1440),"")</f>
        <v/>
      </c>
      <c r="AT531" s="64" t="str">
        <f t="shared" si="21"/>
        <v/>
      </c>
      <c r="AV531" s="66" t="str">
        <f t="shared" si="25"/>
        <v/>
      </c>
      <c r="AW531" s="66"/>
      <c r="AX531" s="56"/>
    </row>
    <row r="532">
      <c r="A532" s="55">
        <v>45335.67439930556</v>
      </c>
      <c r="B532" s="56"/>
      <c r="C532" s="57"/>
      <c r="D532" s="57"/>
      <c r="E532" s="57"/>
      <c r="F532" s="57"/>
      <c r="G532" s="58">
        <f>if(A532,_xlfn.workday.intl(int(A532),1,"1000000",Holidays!A:A)+17/24,"")</f>
        <v>45336.70833</v>
      </c>
      <c r="H532" s="59" t="str">
        <f t="shared" si="23"/>
        <v/>
      </c>
      <c r="I532" s="60"/>
      <c r="J532" s="61">
        <f t="shared" si="2"/>
        <v>797.2755766</v>
      </c>
      <c r="K532" s="58">
        <f>if(G532,_xlfn.workday.intl(int(G532),0,"1000000",Holidays!A:A)+19/24,"")</f>
        <v>45336.79167</v>
      </c>
      <c r="L532" s="59" t="str">
        <f t="shared" si="3"/>
        <v/>
      </c>
      <c r="M532" s="60"/>
      <c r="N532" s="61">
        <f t="shared" si="4"/>
        <v>797.1922432</v>
      </c>
      <c r="O532" s="63">
        <f>if(A532,_xlfn.WORKDAY.INTL(A532,O$5,"1000000",Holidays!A:A)+hour(A532)/24+MINUTE(A532)/1440,"")</f>
        <v>45336.67431</v>
      </c>
      <c r="P532" s="64" t="s">
        <v>2718</v>
      </c>
      <c r="R532" s="66">
        <f t="shared" si="5"/>
        <v>797.3096043</v>
      </c>
      <c r="S532" s="66"/>
      <c r="T532" s="66"/>
      <c r="U532" s="64">
        <f>if(O532,_xlfn.WORKDAY.INTL(O532,U$5,"1000000",Holidays!A:A)+hour(O532)/24+MINUTE(O532)/1440,"")</f>
        <v>45337.67431</v>
      </c>
      <c r="V532" s="64" t="str">
        <f t="shared" si="6"/>
        <v/>
      </c>
      <c r="W532" s="66"/>
      <c r="X532" s="66">
        <f t="shared" si="7"/>
        <v>796.3096043</v>
      </c>
      <c r="Y532" s="66"/>
      <c r="Z532" s="66"/>
      <c r="AA532" s="66"/>
      <c r="AB532" s="63"/>
      <c r="AC532" s="63"/>
      <c r="AD532" s="63"/>
      <c r="AE532" s="63"/>
      <c r="AF532" s="63"/>
      <c r="AG532" s="63"/>
      <c r="AH532" s="63" t="str">
        <f t="shared" si="14"/>
        <v/>
      </c>
      <c r="AI532" s="63" t="str">
        <f>if(AH532,_xlfn.workday.intl(int(AH532),0,"1000000",Holidays!A:A)+18/24,"")</f>
        <v/>
      </c>
      <c r="AJ532" s="64" t="str">
        <f t="shared" si="24"/>
        <v/>
      </c>
      <c r="AL532" s="66" t="str">
        <f t="shared" si="9"/>
        <v/>
      </c>
      <c r="AM532" s="66"/>
      <c r="AN532" s="63" t="str">
        <f>if(AJ532,if(and(hour(AJ532+AN$5)&gt;11,(hour(AJ532+AN$5)&lt;20)),AJ532+AN$5,_xlfn.workday.intl(int(AJ532),1,"1000000",Holidays!A:A)+hour(AJ532+AN$5-$B$1)/24+minute(AJ532)/1440),"")</f>
        <v/>
      </c>
      <c r="AO532" s="64" t="str">
        <f t="shared" si="15"/>
        <v/>
      </c>
      <c r="AQ532" s="66" t="str">
        <f t="shared" si="16"/>
        <v/>
      </c>
      <c r="AR532" s="66"/>
      <c r="AS532" s="63" t="str">
        <f>if(AJ532,if(and(hour(AJ532+AS$5)&gt;11,(hour(AJ532+AS$5)&lt;20)),AJ532+AS$5,_xlfn.workday.intl(int(AJ532),1,"1000000",Holidays!A:A)+hour(AJ532+AS$5-$B$1)/24+minute(AJ532)/1440),"")</f>
        <v/>
      </c>
      <c r="AT532" s="64" t="str">
        <f t="shared" si="21"/>
        <v/>
      </c>
      <c r="AV532" s="66" t="str">
        <f t="shared" si="25"/>
        <v/>
      </c>
      <c r="AW532" s="66"/>
      <c r="AX532" s="56"/>
    </row>
    <row r="533">
      <c r="A533" s="55">
        <v>45335.67519996528</v>
      </c>
      <c r="B533" s="56"/>
      <c r="C533" s="57"/>
      <c r="D533" s="57"/>
      <c r="E533" s="57"/>
      <c r="F533" s="57"/>
      <c r="G533" s="58">
        <f>if(A533,_xlfn.workday.intl(int(A533),1,"1000000",Holidays!A:A)+17/24,"")</f>
        <v>45336.70833</v>
      </c>
      <c r="H533" s="59" t="str">
        <f t="shared" si="23"/>
        <v/>
      </c>
      <c r="I533" s="60"/>
      <c r="J533" s="61">
        <f t="shared" si="2"/>
        <v>797.2755766</v>
      </c>
      <c r="K533" s="58">
        <f>if(G533,_xlfn.workday.intl(int(G533),0,"1000000",Holidays!A:A)+19/24,"")</f>
        <v>45336.79167</v>
      </c>
      <c r="L533" s="59" t="str">
        <f t="shared" si="3"/>
        <v/>
      </c>
      <c r="M533" s="60"/>
      <c r="N533" s="61">
        <f t="shared" si="4"/>
        <v>797.1922432</v>
      </c>
      <c r="O533" s="63">
        <f>if(A533,_xlfn.WORKDAY.INTL(A533,O$5,"1000000",Holidays!A:A)+hour(A533)/24+MINUTE(A533)/1440,"")</f>
        <v>45336.675</v>
      </c>
      <c r="P533" s="64" t="s">
        <v>2718</v>
      </c>
      <c r="R533" s="66">
        <f t="shared" si="5"/>
        <v>797.3089099</v>
      </c>
      <c r="S533" s="66"/>
      <c r="T533" s="66"/>
      <c r="U533" s="64">
        <f>if(O533,_xlfn.WORKDAY.INTL(O533,U$5,"1000000",Holidays!A:A)+hour(O533)/24+MINUTE(O533)/1440,"")</f>
        <v>45337.675</v>
      </c>
      <c r="V533" s="64" t="str">
        <f t="shared" si="6"/>
        <v/>
      </c>
      <c r="W533" s="66"/>
      <c r="X533" s="66">
        <f t="shared" si="7"/>
        <v>796.3089099</v>
      </c>
      <c r="Y533" s="66"/>
      <c r="Z533" s="66"/>
      <c r="AA533" s="66"/>
      <c r="AB533" s="63"/>
      <c r="AC533" s="63"/>
      <c r="AD533" s="63"/>
      <c r="AE533" s="63"/>
      <c r="AF533" s="63"/>
      <c r="AG533" s="63"/>
      <c r="AH533" s="63" t="str">
        <f t="shared" si="14"/>
        <v/>
      </c>
      <c r="AI533" s="63" t="str">
        <f>if(AH533,_xlfn.workday.intl(int(AH533),0,"1000000",Holidays!A:A)+18/24,"")</f>
        <v/>
      </c>
      <c r="AJ533" s="64" t="str">
        <f t="shared" si="24"/>
        <v/>
      </c>
      <c r="AL533" s="66" t="str">
        <f t="shared" si="9"/>
        <v/>
      </c>
      <c r="AM533" s="66"/>
      <c r="AN533" s="63" t="str">
        <f>if(AJ533,if(and(hour(AJ533+AN$5)&gt;11,(hour(AJ533+AN$5)&lt;20)),AJ533+AN$5,_xlfn.workday.intl(int(AJ533),1,"1000000",Holidays!A:A)+hour(AJ533+AN$5-$B$1)/24+minute(AJ533)/1440),"")</f>
        <v/>
      </c>
      <c r="AO533" s="64" t="str">
        <f t="shared" si="15"/>
        <v/>
      </c>
      <c r="AQ533" s="66" t="str">
        <f t="shared" si="16"/>
        <v/>
      </c>
      <c r="AR533" s="66"/>
      <c r="AS533" s="63" t="str">
        <f>if(AJ533,if(and(hour(AJ533+AS$5)&gt;11,(hour(AJ533+AS$5)&lt;20)),AJ533+AS$5,_xlfn.workday.intl(int(AJ533),1,"1000000",Holidays!A:A)+hour(AJ533+AS$5-$B$1)/24+minute(AJ533)/1440),"")</f>
        <v/>
      </c>
      <c r="AT533" s="64" t="str">
        <f t="shared" si="21"/>
        <v/>
      </c>
      <c r="AV533" s="66" t="str">
        <f t="shared" si="25"/>
        <v/>
      </c>
      <c r="AW533" s="66"/>
      <c r="AX533" s="56"/>
    </row>
    <row r="534">
      <c r="A534" s="55">
        <v>45335.67605912037</v>
      </c>
      <c r="B534" s="56"/>
      <c r="C534" s="57"/>
      <c r="D534" s="57"/>
      <c r="E534" s="57"/>
      <c r="F534" s="57"/>
      <c r="G534" s="58">
        <f>if(A534,_xlfn.workday.intl(int(A534),1,"1000000",Holidays!A:A)+17/24,"")</f>
        <v>45336.70833</v>
      </c>
      <c r="H534" s="59" t="str">
        <f t="shared" si="23"/>
        <v/>
      </c>
      <c r="I534" s="60"/>
      <c r="J534" s="61">
        <f t="shared" si="2"/>
        <v>797.2755766</v>
      </c>
      <c r="K534" s="58">
        <f>if(G534,_xlfn.workday.intl(int(G534),0,"1000000",Holidays!A:A)+19/24,"")</f>
        <v>45336.79167</v>
      </c>
      <c r="L534" s="59" t="str">
        <f t="shared" si="3"/>
        <v/>
      </c>
      <c r="M534" s="60"/>
      <c r="N534" s="61">
        <f t="shared" si="4"/>
        <v>797.1922432</v>
      </c>
      <c r="O534" s="63">
        <f>if(A534,_xlfn.WORKDAY.INTL(A534,O$5,"1000000",Holidays!A:A)+hour(A534)/24+MINUTE(A534)/1440,"")</f>
        <v>45336.67569</v>
      </c>
      <c r="P534" s="64" t="s">
        <v>2718</v>
      </c>
      <c r="R534" s="66">
        <f t="shared" si="5"/>
        <v>797.3082155</v>
      </c>
      <c r="S534" s="66"/>
      <c r="T534" s="66"/>
      <c r="U534" s="64">
        <f>if(O534,_xlfn.WORKDAY.INTL(O534,U$5,"1000000",Holidays!A:A)+hour(O534)/24+MINUTE(O534)/1440,"")</f>
        <v>45337.67569</v>
      </c>
      <c r="V534" s="64" t="str">
        <f t="shared" si="6"/>
        <v/>
      </c>
      <c r="W534" s="66"/>
      <c r="X534" s="66">
        <f t="shared" si="7"/>
        <v>796.3082155</v>
      </c>
      <c r="Y534" s="66"/>
      <c r="Z534" s="66"/>
      <c r="AA534" s="66"/>
      <c r="AB534" s="63"/>
      <c r="AC534" s="63"/>
      <c r="AD534" s="63"/>
      <c r="AE534" s="63"/>
      <c r="AF534" s="63"/>
      <c r="AG534" s="63"/>
      <c r="AH534" s="63" t="str">
        <f t="shared" si="14"/>
        <v/>
      </c>
      <c r="AI534" s="63" t="str">
        <f>if(AH534,_xlfn.workday.intl(int(AH534),0,"1000000",Holidays!A:A)+18/24,"")</f>
        <v/>
      </c>
      <c r="AJ534" s="64" t="str">
        <f t="shared" si="24"/>
        <v/>
      </c>
      <c r="AL534" s="66" t="str">
        <f t="shared" si="9"/>
        <v/>
      </c>
      <c r="AM534" s="66"/>
      <c r="AN534" s="63" t="str">
        <f>if(AJ534,if(and(hour(AJ534+AN$5)&gt;11,(hour(AJ534+AN$5)&lt;20)),AJ534+AN$5,_xlfn.workday.intl(int(AJ534),1,"1000000",Holidays!A:A)+hour(AJ534+AN$5-$B$1)/24+minute(AJ534)/1440),"")</f>
        <v/>
      </c>
      <c r="AO534" s="64" t="str">
        <f t="shared" si="15"/>
        <v/>
      </c>
      <c r="AQ534" s="66" t="str">
        <f t="shared" si="16"/>
        <v/>
      </c>
      <c r="AR534" s="66"/>
      <c r="AS534" s="63" t="str">
        <f>if(AJ534,if(and(hour(AJ534+AS$5)&gt;11,(hour(AJ534+AS$5)&lt;20)),AJ534+AS$5,_xlfn.workday.intl(int(AJ534),1,"1000000",Holidays!A:A)+hour(AJ534+AS$5-$B$1)/24+minute(AJ534)/1440),"")</f>
        <v/>
      </c>
      <c r="AT534" s="64" t="str">
        <f t="shared" si="21"/>
        <v/>
      </c>
      <c r="AV534" s="66" t="str">
        <f t="shared" si="25"/>
        <v/>
      </c>
      <c r="AW534" s="66"/>
      <c r="AX534" s="56"/>
    </row>
    <row r="535">
      <c r="A535" s="55">
        <v>45335.676838113424</v>
      </c>
      <c r="B535" s="56"/>
      <c r="C535" s="57"/>
      <c r="D535" s="57"/>
      <c r="E535" s="57"/>
      <c r="F535" s="57"/>
      <c r="G535" s="58">
        <f>if(A535,_xlfn.workday.intl(int(A535),1,"1000000",Holidays!A:A)+17/24,"")</f>
        <v>45336.70833</v>
      </c>
      <c r="H535" s="59" t="str">
        <f t="shared" si="23"/>
        <v/>
      </c>
      <c r="I535" s="60"/>
      <c r="J535" s="61">
        <f t="shared" si="2"/>
        <v>797.2755766</v>
      </c>
      <c r="K535" s="58">
        <f>if(G535,_xlfn.workday.intl(int(G535),0,"1000000",Holidays!A:A)+19/24,"")</f>
        <v>45336.79167</v>
      </c>
      <c r="L535" s="59" t="str">
        <f t="shared" si="3"/>
        <v/>
      </c>
      <c r="M535" s="60"/>
      <c r="N535" s="61">
        <f t="shared" si="4"/>
        <v>797.1922432</v>
      </c>
      <c r="O535" s="63">
        <f>if(A535,_xlfn.WORKDAY.INTL(A535,O$5,"1000000",Holidays!A:A)+hour(A535)/24+MINUTE(A535)/1440,"")</f>
        <v>45336.67639</v>
      </c>
      <c r="P535" s="64" t="s">
        <v>2718</v>
      </c>
      <c r="R535" s="66">
        <f t="shared" si="5"/>
        <v>797.307521</v>
      </c>
      <c r="S535" s="66"/>
      <c r="T535" s="66"/>
      <c r="U535" s="64">
        <f>if(O535,_xlfn.WORKDAY.INTL(O535,U$5,"1000000",Holidays!A:A)+hour(O535)/24+MINUTE(O535)/1440,"")</f>
        <v>45337.67639</v>
      </c>
      <c r="V535" s="64" t="str">
        <f t="shared" si="6"/>
        <v/>
      </c>
      <c r="W535" s="66"/>
      <c r="X535" s="66">
        <f t="shared" si="7"/>
        <v>796.307521</v>
      </c>
      <c r="Y535" s="66"/>
      <c r="Z535" s="66"/>
      <c r="AA535" s="66"/>
      <c r="AB535" s="63"/>
      <c r="AC535" s="63"/>
      <c r="AD535" s="63"/>
      <c r="AE535" s="63"/>
      <c r="AF535" s="63"/>
      <c r="AG535" s="63"/>
      <c r="AH535" s="63" t="str">
        <f t="shared" si="14"/>
        <v/>
      </c>
      <c r="AI535" s="63" t="str">
        <f>if(AH535,_xlfn.workday.intl(int(AH535),0,"1000000",Holidays!A:A)+18/24,"")</f>
        <v/>
      </c>
      <c r="AJ535" s="64" t="str">
        <f t="shared" si="24"/>
        <v/>
      </c>
      <c r="AL535" s="66" t="str">
        <f t="shared" si="9"/>
        <v/>
      </c>
      <c r="AM535" s="66"/>
      <c r="AN535" s="63" t="str">
        <f>if(AJ535,if(and(hour(AJ535+AN$5)&gt;11,(hour(AJ535+AN$5)&lt;20)),AJ535+AN$5,_xlfn.workday.intl(int(AJ535),1,"1000000",Holidays!A:A)+hour(AJ535+AN$5-$B$1)/24+minute(AJ535)/1440),"")</f>
        <v/>
      </c>
      <c r="AO535" s="64" t="str">
        <f t="shared" si="15"/>
        <v/>
      </c>
      <c r="AQ535" s="66" t="str">
        <f t="shared" si="16"/>
        <v/>
      </c>
      <c r="AR535" s="66"/>
      <c r="AS535" s="63" t="str">
        <f>if(AJ535,if(and(hour(AJ535+AS$5)&gt;11,(hour(AJ535+AS$5)&lt;20)),AJ535+AS$5,_xlfn.workday.intl(int(AJ535),1,"1000000",Holidays!A:A)+hour(AJ535+AS$5-$B$1)/24+minute(AJ535)/1440),"")</f>
        <v/>
      </c>
      <c r="AT535" s="64" t="str">
        <f t="shared" si="21"/>
        <v/>
      </c>
      <c r="AV535" s="66" t="str">
        <f t="shared" si="25"/>
        <v/>
      </c>
      <c r="AW535" s="66"/>
      <c r="AX535" s="56"/>
    </row>
    <row r="536">
      <c r="A536" s="55">
        <v>45335.6778156713</v>
      </c>
      <c r="B536" s="56"/>
      <c r="C536" s="57"/>
      <c r="D536" s="57"/>
      <c r="E536" s="57"/>
      <c r="F536" s="57"/>
      <c r="G536" s="58">
        <f>if(A536,_xlfn.workday.intl(int(A536),1,"1000000",Holidays!A:A)+17/24,"")</f>
        <v>45336.70833</v>
      </c>
      <c r="H536" s="59" t="str">
        <f t="shared" si="23"/>
        <v/>
      </c>
      <c r="I536" s="60"/>
      <c r="J536" s="61">
        <f t="shared" si="2"/>
        <v>797.2755766</v>
      </c>
      <c r="K536" s="58">
        <f>if(G536,_xlfn.workday.intl(int(G536),0,"1000000",Holidays!A:A)+19/24,"")</f>
        <v>45336.79167</v>
      </c>
      <c r="L536" s="59" t="str">
        <f t="shared" si="3"/>
        <v/>
      </c>
      <c r="M536" s="60"/>
      <c r="N536" s="61">
        <f t="shared" si="4"/>
        <v>797.1922432</v>
      </c>
      <c r="O536" s="63">
        <f>if(A536,_xlfn.WORKDAY.INTL(A536,O$5,"1000000",Holidays!A:A)+hour(A536)/24+MINUTE(A536)/1440,"")</f>
        <v>45336.67778</v>
      </c>
      <c r="P536" s="64" t="s">
        <v>2718</v>
      </c>
      <c r="R536" s="66">
        <f t="shared" si="5"/>
        <v>797.3061321</v>
      </c>
      <c r="S536" s="66"/>
      <c r="T536" s="66"/>
      <c r="U536" s="64">
        <f>if(O536,_xlfn.WORKDAY.INTL(O536,U$5,"1000000",Holidays!A:A)+hour(O536)/24+MINUTE(O536)/1440,"")</f>
        <v>45337.67778</v>
      </c>
      <c r="V536" s="64" t="str">
        <f t="shared" si="6"/>
        <v/>
      </c>
      <c r="W536" s="66"/>
      <c r="X536" s="66">
        <f t="shared" si="7"/>
        <v>796.3061321</v>
      </c>
      <c r="Y536" s="66"/>
      <c r="Z536" s="66"/>
      <c r="AA536" s="66"/>
      <c r="AB536" s="63"/>
      <c r="AC536" s="63"/>
      <c r="AD536" s="63"/>
      <c r="AE536" s="63"/>
      <c r="AF536" s="63"/>
      <c r="AG536" s="63"/>
      <c r="AH536" s="63" t="str">
        <f t="shared" si="14"/>
        <v/>
      </c>
      <c r="AI536" s="63" t="str">
        <f>if(AH536,_xlfn.workday.intl(int(AH536),0,"1000000",Holidays!A:A)+18/24,"")</f>
        <v/>
      </c>
      <c r="AJ536" s="64" t="str">
        <f t="shared" si="24"/>
        <v/>
      </c>
      <c r="AL536" s="66" t="str">
        <f t="shared" si="9"/>
        <v/>
      </c>
      <c r="AM536" s="66"/>
      <c r="AN536" s="63" t="str">
        <f>if(AJ536,if(and(hour(AJ536+AN$5)&gt;11,(hour(AJ536+AN$5)&lt;20)),AJ536+AN$5,_xlfn.workday.intl(int(AJ536),1,"1000000",Holidays!A:A)+hour(AJ536+AN$5-$B$1)/24+minute(AJ536)/1440),"")</f>
        <v/>
      </c>
      <c r="AO536" s="64" t="str">
        <f t="shared" si="15"/>
        <v/>
      </c>
      <c r="AQ536" s="66" t="str">
        <f t="shared" si="16"/>
        <v/>
      </c>
      <c r="AR536" s="66"/>
      <c r="AS536" s="63" t="str">
        <f>if(AJ536,if(and(hour(AJ536+AS$5)&gt;11,(hour(AJ536+AS$5)&lt;20)),AJ536+AS$5,_xlfn.workday.intl(int(AJ536),1,"1000000",Holidays!A:A)+hour(AJ536+AS$5-$B$1)/24+minute(AJ536)/1440),"")</f>
        <v/>
      </c>
      <c r="AT536" s="64" t="str">
        <f t="shared" si="21"/>
        <v/>
      </c>
      <c r="AV536" s="66" t="str">
        <f t="shared" si="25"/>
        <v/>
      </c>
      <c r="AW536" s="66"/>
      <c r="AX536" s="56"/>
    </row>
    <row r="537">
      <c r="A537" s="55">
        <v>45335.678959490746</v>
      </c>
      <c r="B537" s="56"/>
      <c r="C537" s="57"/>
      <c r="D537" s="57"/>
      <c r="E537" s="57"/>
      <c r="F537" s="57"/>
      <c r="G537" s="58">
        <f>if(A537,_xlfn.workday.intl(int(A537),1,"1000000",Holidays!A:A)+17/24,"")</f>
        <v>45336.70833</v>
      </c>
      <c r="H537" s="59" t="str">
        <f t="shared" si="23"/>
        <v/>
      </c>
      <c r="I537" s="60"/>
      <c r="J537" s="61">
        <f t="shared" si="2"/>
        <v>797.2755766</v>
      </c>
      <c r="K537" s="58">
        <f>if(G537,_xlfn.workday.intl(int(G537),0,"1000000",Holidays!A:A)+19/24,"")</f>
        <v>45336.79167</v>
      </c>
      <c r="L537" s="59" t="str">
        <f t="shared" si="3"/>
        <v/>
      </c>
      <c r="M537" s="60"/>
      <c r="N537" s="61">
        <f t="shared" si="4"/>
        <v>797.1922432</v>
      </c>
      <c r="O537" s="63">
        <f>if(A537,_xlfn.WORKDAY.INTL(A537,O$5,"1000000",Holidays!A:A)+hour(A537)/24+MINUTE(A537)/1440,"")</f>
        <v>45336.67847</v>
      </c>
      <c r="P537" s="64" t="s">
        <v>2718</v>
      </c>
      <c r="R537" s="66">
        <f t="shared" si="5"/>
        <v>797.3054377</v>
      </c>
      <c r="S537" s="66"/>
      <c r="T537" s="66"/>
      <c r="U537" s="64">
        <f>if(O537,_xlfn.WORKDAY.INTL(O537,U$5,"1000000",Holidays!A:A)+hour(O537)/24+MINUTE(O537)/1440,"")</f>
        <v>45337.67847</v>
      </c>
      <c r="V537" s="64" t="str">
        <f t="shared" si="6"/>
        <v/>
      </c>
      <c r="W537" s="66"/>
      <c r="X537" s="66">
        <f t="shared" si="7"/>
        <v>796.3054377</v>
      </c>
      <c r="Y537" s="66"/>
      <c r="Z537" s="66"/>
      <c r="AA537" s="66"/>
      <c r="AB537" s="63"/>
      <c r="AC537" s="63"/>
      <c r="AD537" s="63"/>
      <c r="AE537" s="63"/>
      <c r="AF537" s="63"/>
      <c r="AG537" s="63"/>
      <c r="AH537" s="63" t="str">
        <f t="shared" si="14"/>
        <v/>
      </c>
      <c r="AI537" s="63" t="str">
        <f>if(AH537,_xlfn.workday.intl(int(AH537),0,"1000000",Holidays!A:A)+18/24,"")</f>
        <v/>
      </c>
      <c r="AJ537" s="64" t="str">
        <f t="shared" si="24"/>
        <v/>
      </c>
      <c r="AL537" s="66" t="str">
        <f t="shared" si="9"/>
        <v/>
      </c>
      <c r="AM537" s="66"/>
      <c r="AN537" s="63" t="str">
        <f>if(AJ537,if(and(hour(AJ537+AN$5)&gt;11,(hour(AJ537+AN$5)&lt;20)),AJ537+AN$5,_xlfn.workday.intl(int(AJ537),1,"1000000",Holidays!A:A)+hour(AJ537+AN$5-$B$1)/24+minute(AJ537)/1440),"")</f>
        <v/>
      </c>
      <c r="AO537" s="64" t="str">
        <f t="shared" si="15"/>
        <v/>
      </c>
      <c r="AQ537" s="66" t="str">
        <f t="shared" si="16"/>
        <v/>
      </c>
      <c r="AR537" s="66"/>
      <c r="AS537" s="63" t="str">
        <f>if(AJ537,if(and(hour(AJ537+AS$5)&gt;11,(hour(AJ537+AS$5)&lt;20)),AJ537+AS$5,_xlfn.workday.intl(int(AJ537),1,"1000000",Holidays!A:A)+hour(AJ537+AS$5-$B$1)/24+minute(AJ537)/1440),"")</f>
        <v/>
      </c>
      <c r="AT537" s="64" t="str">
        <f t="shared" si="21"/>
        <v/>
      </c>
      <c r="AV537" s="66" t="str">
        <f t="shared" si="25"/>
        <v/>
      </c>
      <c r="AW537" s="66"/>
      <c r="AX537" s="56"/>
    </row>
    <row r="538">
      <c r="A538" s="55">
        <v>45335.67991057871</v>
      </c>
      <c r="B538" s="56"/>
      <c r="C538" s="57"/>
      <c r="D538" s="57"/>
      <c r="E538" s="57"/>
      <c r="F538" s="57"/>
      <c r="G538" s="58">
        <f>if(A538,_xlfn.workday.intl(int(A538),1,"1000000",Holidays!A:A)+17/24,"")</f>
        <v>45336.70833</v>
      </c>
      <c r="H538" s="59" t="str">
        <f t="shared" si="23"/>
        <v/>
      </c>
      <c r="I538" s="60"/>
      <c r="J538" s="61">
        <f t="shared" si="2"/>
        <v>797.2755766</v>
      </c>
      <c r="K538" s="58">
        <f>if(G538,_xlfn.workday.intl(int(G538),0,"1000000",Holidays!A:A)+19/24,"")</f>
        <v>45336.79167</v>
      </c>
      <c r="L538" s="59" t="str">
        <f t="shared" si="3"/>
        <v/>
      </c>
      <c r="M538" s="60"/>
      <c r="N538" s="61">
        <f t="shared" si="4"/>
        <v>797.1922432</v>
      </c>
      <c r="O538" s="63">
        <f>if(A538,_xlfn.WORKDAY.INTL(A538,O$5,"1000000",Holidays!A:A)+hour(A538)/24+MINUTE(A538)/1440,"")</f>
        <v>45336.67986</v>
      </c>
      <c r="P538" s="64" t="s">
        <v>2718</v>
      </c>
      <c r="R538" s="66">
        <f t="shared" si="5"/>
        <v>797.3040488</v>
      </c>
      <c r="S538" s="66"/>
      <c r="T538" s="66"/>
      <c r="U538" s="64">
        <f>if(O538,_xlfn.WORKDAY.INTL(O538,U$5,"1000000",Holidays!A:A)+hour(O538)/24+MINUTE(O538)/1440,"")</f>
        <v>45337.67986</v>
      </c>
      <c r="V538" s="64" t="str">
        <f t="shared" si="6"/>
        <v/>
      </c>
      <c r="W538" s="66"/>
      <c r="X538" s="66">
        <f t="shared" si="7"/>
        <v>796.3040488</v>
      </c>
      <c r="Y538" s="66"/>
      <c r="Z538" s="66"/>
      <c r="AA538" s="66"/>
      <c r="AB538" s="63"/>
      <c r="AC538" s="63"/>
      <c r="AD538" s="63"/>
      <c r="AE538" s="63"/>
      <c r="AF538" s="63"/>
      <c r="AG538" s="63"/>
      <c r="AH538" s="63" t="str">
        <f t="shared" si="14"/>
        <v/>
      </c>
      <c r="AI538" s="63" t="str">
        <f>if(AH538,_xlfn.workday.intl(int(AH538),0,"1000000",Holidays!A:A)+18/24,"")</f>
        <v/>
      </c>
      <c r="AJ538" s="64" t="str">
        <f t="shared" si="24"/>
        <v/>
      </c>
      <c r="AL538" s="66" t="str">
        <f t="shared" si="9"/>
        <v/>
      </c>
      <c r="AM538" s="66"/>
      <c r="AN538" s="63" t="str">
        <f>if(AJ538,if(and(hour(AJ538+AN$5)&gt;11,(hour(AJ538+AN$5)&lt;20)),AJ538+AN$5,_xlfn.workday.intl(int(AJ538),1,"1000000",Holidays!A:A)+hour(AJ538+AN$5-$B$1)/24+minute(AJ538)/1440),"")</f>
        <v/>
      </c>
      <c r="AO538" s="64" t="str">
        <f t="shared" si="15"/>
        <v/>
      </c>
      <c r="AQ538" s="66" t="str">
        <f t="shared" si="16"/>
        <v/>
      </c>
      <c r="AR538" s="66"/>
      <c r="AS538" s="63" t="str">
        <f>if(AJ538,if(and(hour(AJ538+AS$5)&gt;11,(hour(AJ538+AS$5)&lt;20)),AJ538+AS$5,_xlfn.workday.intl(int(AJ538),1,"1000000",Holidays!A:A)+hour(AJ538+AS$5-$B$1)/24+minute(AJ538)/1440),"")</f>
        <v/>
      </c>
      <c r="AT538" s="64" t="str">
        <f t="shared" si="21"/>
        <v/>
      </c>
      <c r="AV538" s="66" t="str">
        <f t="shared" si="25"/>
        <v/>
      </c>
      <c r="AW538" s="66"/>
      <c r="AX538" s="56"/>
    </row>
    <row r="539">
      <c r="A539" s="55">
        <v>45335.68152438657</v>
      </c>
      <c r="B539" s="56"/>
      <c r="C539" s="57"/>
      <c r="D539" s="57"/>
      <c r="E539" s="57"/>
      <c r="F539" s="57"/>
      <c r="G539" s="58">
        <f>if(A539,_xlfn.workday.intl(int(A539),1,"1000000",Holidays!A:A)+17/24,"")</f>
        <v>45336.70833</v>
      </c>
      <c r="H539" s="59" t="str">
        <f t="shared" si="23"/>
        <v/>
      </c>
      <c r="I539" s="60"/>
      <c r="J539" s="61">
        <f t="shared" si="2"/>
        <v>797.2755766</v>
      </c>
      <c r="K539" s="58">
        <f>if(G539,_xlfn.workday.intl(int(G539),0,"1000000",Holidays!A:A)+19/24,"")</f>
        <v>45336.79167</v>
      </c>
      <c r="L539" s="59" t="str">
        <f t="shared" si="3"/>
        <v/>
      </c>
      <c r="M539" s="60"/>
      <c r="N539" s="61">
        <f t="shared" si="4"/>
        <v>797.1922432</v>
      </c>
      <c r="O539" s="63">
        <f>if(A539,_xlfn.WORKDAY.INTL(A539,O$5,"1000000",Holidays!A:A)+hour(A539)/24+MINUTE(A539)/1440,"")</f>
        <v>45336.68125</v>
      </c>
      <c r="P539" s="64" t="s">
        <v>2718</v>
      </c>
      <c r="R539" s="66">
        <f t="shared" si="5"/>
        <v>797.3026599</v>
      </c>
      <c r="S539" s="66"/>
      <c r="T539" s="66"/>
      <c r="U539" s="64">
        <f>if(O539,_xlfn.WORKDAY.INTL(O539,U$5,"1000000",Holidays!A:A)+hour(O539)/24+MINUTE(O539)/1440,"")</f>
        <v>45337.68125</v>
      </c>
      <c r="V539" s="64" t="str">
        <f t="shared" si="6"/>
        <v/>
      </c>
      <c r="W539" s="66"/>
      <c r="X539" s="66">
        <f t="shared" si="7"/>
        <v>796.3026599</v>
      </c>
      <c r="Y539" s="66"/>
      <c r="Z539" s="66"/>
      <c r="AA539" s="66"/>
      <c r="AB539" s="63"/>
      <c r="AC539" s="63"/>
      <c r="AD539" s="63"/>
      <c r="AE539" s="63"/>
      <c r="AF539" s="63"/>
      <c r="AG539" s="63"/>
      <c r="AH539" s="63" t="str">
        <f t="shared" si="14"/>
        <v/>
      </c>
      <c r="AI539" s="63" t="str">
        <f>if(AH539,_xlfn.workday.intl(int(AH539),0,"1000000",Holidays!A:A)+18/24,"")</f>
        <v/>
      </c>
      <c r="AJ539" s="64" t="str">
        <f t="shared" si="24"/>
        <v/>
      </c>
      <c r="AL539" s="66" t="str">
        <f t="shared" si="9"/>
        <v/>
      </c>
      <c r="AM539" s="66"/>
      <c r="AN539" s="63" t="str">
        <f>if(AJ539,if(and(hour(AJ539+AN$5)&gt;11,(hour(AJ539+AN$5)&lt;20)),AJ539+AN$5,_xlfn.workday.intl(int(AJ539),1,"1000000",Holidays!A:A)+hour(AJ539+AN$5-$B$1)/24+minute(AJ539)/1440),"")</f>
        <v/>
      </c>
      <c r="AO539" s="64" t="str">
        <f t="shared" si="15"/>
        <v/>
      </c>
      <c r="AQ539" s="66" t="str">
        <f t="shared" si="16"/>
        <v/>
      </c>
      <c r="AR539" s="66"/>
      <c r="AS539" s="63" t="str">
        <f>if(AJ539,if(and(hour(AJ539+AS$5)&gt;11,(hour(AJ539+AS$5)&lt;20)),AJ539+AS$5,_xlfn.workday.intl(int(AJ539),1,"1000000",Holidays!A:A)+hour(AJ539+AS$5-$B$1)/24+minute(AJ539)/1440),"")</f>
        <v/>
      </c>
      <c r="AT539" s="64" t="str">
        <f t="shared" si="21"/>
        <v/>
      </c>
      <c r="AV539" s="66" t="str">
        <f t="shared" si="25"/>
        <v/>
      </c>
      <c r="AW539" s="66"/>
      <c r="AX539" s="56"/>
    </row>
    <row r="540">
      <c r="A540" s="55">
        <v>45335.683187476854</v>
      </c>
      <c r="B540" s="56"/>
      <c r="C540" s="57"/>
      <c r="D540" s="57"/>
      <c r="E540" s="57"/>
      <c r="F540" s="57"/>
      <c r="G540" s="58">
        <f>if(A540,_xlfn.workday.intl(int(A540),1,"1000000",Holidays!A:A)+17/24,"")</f>
        <v>45336.70833</v>
      </c>
      <c r="H540" s="59" t="str">
        <f t="shared" si="23"/>
        <v/>
      </c>
      <c r="I540" s="60"/>
      <c r="J540" s="61">
        <f t="shared" si="2"/>
        <v>797.2755766</v>
      </c>
      <c r="K540" s="58">
        <f>if(G540,_xlfn.workday.intl(int(G540),0,"1000000",Holidays!A:A)+19/24,"")</f>
        <v>45336.79167</v>
      </c>
      <c r="L540" s="59" t="str">
        <f t="shared" si="3"/>
        <v/>
      </c>
      <c r="M540" s="60"/>
      <c r="N540" s="61">
        <f t="shared" si="4"/>
        <v>797.1922432</v>
      </c>
      <c r="O540" s="63">
        <f>if(A540,_xlfn.WORKDAY.INTL(A540,O$5,"1000000",Holidays!A:A)+hour(A540)/24+MINUTE(A540)/1440,"")</f>
        <v>45336.68264</v>
      </c>
      <c r="P540" s="64" t="s">
        <v>2718</v>
      </c>
      <c r="R540" s="66">
        <f t="shared" si="5"/>
        <v>797.301271</v>
      </c>
      <c r="S540" s="66"/>
      <c r="T540" s="66"/>
      <c r="U540" s="64">
        <f>if(O540,_xlfn.WORKDAY.INTL(O540,U$5,"1000000",Holidays!A:A)+hour(O540)/24+MINUTE(O540)/1440,"")</f>
        <v>45337.68264</v>
      </c>
      <c r="V540" s="64" t="str">
        <f t="shared" si="6"/>
        <v/>
      </c>
      <c r="W540" s="66"/>
      <c r="X540" s="66">
        <f t="shared" si="7"/>
        <v>796.301271</v>
      </c>
      <c r="Y540" s="66"/>
      <c r="Z540" s="66"/>
      <c r="AA540" s="66"/>
      <c r="AB540" s="63"/>
      <c r="AC540" s="63"/>
      <c r="AD540" s="63"/>
      <c r="AE540" s="63"/>
      <c r="AF540" s="63"/>
      <c r="AG540" s="63"/>
      <c r="AH540" s="63" t="str">
        <f t="shared" si="14"/>
        <v/>
      </c>
      <c r="AI540" s="63" t="str">
        <f>if(AH540,_xlfn.workday.intl(int(AH540),0,"1000000",Holidays!A:A)+18/24,"")</f>
        <v/>
      </c>
      <c r="AJ540" s="64" t="str">
        <f t="shared" si="24"/>
        <v/>
      </c>
      <c r="AL540" s="66" t="str">
        <f t="shared" si="9"/>
        <v/>
      </c>
      <c r="AM540" s="66"/>
      <c r="AN540" s="63" t="str">
        <f>if(AJ540,if(and(hour(AJ540+AN$5)&gt;11,(hour(AJ540+AN$5)&lt;20)),AJ540+AN$5,_xlfn.workday.intl(int(AJ540),1,"1000000",Holidays!A:A)+hour(AJ540+AN$5-$B$1)/24+minute(AJ540)/1440),"")</f>
        <v/>
      </c>
      <c r="AO540" s="64" t="str">
        <f t="shared" si="15"/>
        <v/>
      </c>
      <c r="AQ540" s="66" t="str">
        <f t="shared" si="16"/>
        <v/>
      </c>
      <c r="AR540" s="66"/>
      <c r="AS540" s="63" t="str">
        <f>if(AJ540,if(and(hour(AJ540+AS$5)&gt;11,(hour(AJ540+AS$5)&lt;20)),AJ540+AS$5,_xlfn.workday.intl(int(AJ540),1,"1000000",Holidays!A:A)+hour(AJ540+AS$5-$B$1)/24+minute(AJ540)/1440),"")</f>
        <v/>
      </c>
      <c r="AT540" s="64" t="str">
        <f t="shared" si="21"/>
        <v/>
      </c>
      <c r="AV540" s="66" t="str">
        <f t="shared" si="25"/>
        <v/>
      </c>
      <c r="AW540" s="66"/>
      <c r="AX540" s="56"/>
    </row>
    <row r="541">
      <c r="A541" s="55">
        <v>45335.68395047454</v>
      </c>
      <c r="B541" s="56"/>
      <c r="C541" s="57"/>
      <c r="D541" s="57"/>
      <c r="E541" s="57"/>
      <c r="F541" s="57"/>
      <c r="G541" s="58">
        <f>if(A541,_xlfn.workday.intl(int(A541),1,"1000000",Holidays!A:A)+17/24,"")</f>
        <v>45336.70833</v>
      </c>
      <c r="H541" s="59" t="str">
        <f t="shared" si="23"/>
        <v/>
      </c>
      <c r="I541" s="60"/>
      <c r="J541" s="61">
        <f t="shared" si="2"/>
        <v>797.2755766</v>
      </c>
      <c r="K541" s="58">
        <f>if(G541,_xlfn.workday.intl(int(G541),0,"1000000",Holidays!A:A)+19/24,"")</f>
        <v>45336.79167</v>
      </c>
      <c r="L541" s="59" t="str">
        <f t="shared" si="3"/>
        <v/>
      </c>
      <c r="M541" s="60"/>
      <c r="N541" s="61">
        <f t="shared" si="4"/>
        <v>797.1922432</v>
      </c>
      <c r="O541" s="63">
        <f>if(A541,_xlfn.WORKDAY.INTL(A541,O$5,"1000000",Holidays!A:A)+hour(A541)/24+MINUTE(A541)/1440,"")</f>
        <v>45336.68333</v>
      </c>
      <c r="P541" s="64" t="s">
        <v>2718</v>
      </c>
      <c r="R541" s="66">
        <f t="shared" si="5"/>
        <v>797.3005766</v>
      </c>
      <c r="S541" s="66"/>
      <c r="T541" s="66"/>
      <c r="U541" s="64">
        <f>if(O541,_xlfn.WORKDAY.INTL(O541,U$5,"1000000",Holidays!A:A)+hour(O541)/24+MINUTE(O541)/1440,"")</f>
        <v>45337.68333</v>
      </c>
      <c r="V541" s="64" t="str">
        <f t="shared" si="6"/>
        <v/>
      </c>
      <c r="W541" s="66"/>
      <c r="X541" s="66">
        <f t="shared" si="7"/>
        <v>796.3005766</v>
      </c>
      <c r="Y541" s="66"/>
      <c r="Z541" s="66"/>
      <c r="AA541" s="66"/>
      <c r="AB541" s="63"/>
      <c r="AC541" s="63"/>
      <c r="AD541" s="63"/>
      <c r="AE541" s="63"/>
      <c r="AF541" s="63"/>
      <c r="AG541" s="63"/>
      <c r="AH541" s="63" t="str">
        <f t="shared" si="14"/>
        <v/>
      </c>
      <c r="AI541" s="63" t="str">
        <f>if(AH541,_xlfn.workday.intl(int(AH541),0,"1000000",Holidays!A:A)+18/24,"")</f>
        <v/>
      </c>
      <c r="AJ541" s="64" t="str">
        <f t="shared" si="24"/>
        <v/>
      </c>
      <c r="AL541" s="66" t="str">
        <f t="shared" si="9"/>
        <v/>
      </c>
      <c r="AM541" s="66"/>
      <c r="AN541" s="63" t="str">
        <f>if(AJ541,if(and(hour(AJ541+AN$5)&gt;11,(hour(AJ541+AN$5)&lt;20)),AJ541+AN$5,_xlfn.workday.intl(int(AJ541),1,"1000000",Holidays!A:A)+hour(AJ541+AN$5-$B$1)/24+minute(AJ541)/1440),"")</f>
        <v/>
      </c>
      <c r="AO541" s="64" t="str">
        <f t="shared" si="15"/>
        <v/>
      </c>
      <c r="AQ541" s="66" t="str">
        <f t="shared" si="16"/>
        <v/>
      </c>
      <c r="AR541" s="66"/>
      <c r="AS541" s="63" t="str">
        <f>if(AJ541,if(and(hour(AJ541+AS$5)&gt;11,(hour(AJ541+AS$5)&lt;20)),AJ541+AS$5,_xlfn.workday.intl(int(AJ541),1,"1000000",Holidays!A:A)+hour(AJ541+AS$5-$B$1)/24+minute(AJ541)/1440),"")</f>
        <v/>
      </c>
      <c r="AT541" s="64" t="str">
        <f t="shared" si="21"/>
        <v/>
      </c>
      <c r="AV541" s="66" t="str">
        <f t="shared" si="25"/>
        <v/>
      </c>
      <c r="AW541" s="66"/>
      <c r="AX541" s="56"/>
    </row>
    <row r="542">
      <c r="A542" s="55">
        <v>45335.68469071759</v>
      </c>
      <c r="B542" s="56"/>
      <c r="C542" s="57"/>
      <c r="D542" s="57"/>
      <c r="E542" s="57"/>
      <c r="F542" s="57"/>
      <c r="G542" s="58">
        <f>if(A542,_xlfn.workday.intl(int(A542),1,"1000000",Holidays!A:A)+17/24,"")</f>
        <v>45336.70833</v>
      </c>
      <c r="H542" s="59" t="str">
        <f t="shared" si="23"/>
        <v/>
      </c>
      <c r="I542" s="60"/>
      <c r="J542" s="61">
        <f t="shared" si="2"/>
        <v>797.2755766</v>
      </c>
      <c r="K542" s="58">
        <f>if(G542,_xlfn.workday.intl(int(G542),0,"1000000",Holidays!A:A)+19/24,"")</f>
        <v>45336.79167</v>
      </c>
      <c r="L542" s="59" t="str">
        <f t="shared" si="3"/>
        <v/>
      </c>
      <c r="M542" s="60"/>
      <c r="N542" s="61">
        <f t="shared" si="4"/>
        <v>797.1922432</v>
      </c>
      <c r="O542" s="63">
        <f>if(A542,_xlfn.WORKDAY.INTL(A542,O$5,"1000000",Holidays!A:A)+hour(A542)/24+MINUTE(A542)/1440,"")</f>
        <v>45336.68403</v>
      </c>
      <c r="P542" s="64" t="s">
        <v>2718</v>
      </c>
      <c r="R542" s="66">
        <f t="shared" si="5"/>
        <v>797.2998821</v>
      </c>
      <c r="S542" s="66"/>
      <c r="T542" s="66"/>
      <c r="U542" s="64">
        <f>if(O542,_xlfn.WORKDAY.INTL(O542,U$5,"1000000",Holidays!A:A)+hour(O542)/24+MINUTE(O542)/1440,"")</f>
        <v>45337.68403</v>
      </c>
      <c r="V542" s="64" t="str">
        <f t="shared" si="6"/>
        <v/>
      </c>
      <c r="W542" s="66"/>
      <c r="X542" s="66">
        <f t="shared" si="7"/>
        <v>796.2998821</v>
      </c>
      <c r="Y542" s="66"/>
      <c r="Z542" s="66"/>
      <c r="AA542" s="66"/>
      <c r="AB542" s="63"/>
      <c r="AC542" s="63"/>
      <c r="AD542" s="63"/>
      <c r="AE542" s="63"/>
      <c r="AF542" s="63"/>
      <c r="AG542" s="63"/>
      <c r="AH542" s="63" t="str">
        <f t="shared" si="14"/>
        <v/>
      </c>
      <c r="AI542" s="63" t="str">
        <f>if(AH542,_xlfn.workday.intl(int(AH542),0,"1000000",Holidays!A:A)+18/24,"")</f>
        <v/>
      </c>
      <c r="AJ542" s="64" t="str">
        <f t="shared" si="24"/>
        <v/>
      </c>
      <c r="AL542" s="66" t="str">
        <f t="shared" si="9"/>
        <v/>
      </c>
      <c r="AM542" s="66"/>
      <c r="AN542" s="63" t="str">
        <f>if(AJ542,if(and(hour(AJ542+AN$5)&gt;11,(hour(AJ542+AN$5)&lt;20)),AJ542+AN$5,_xlfn.workday.intl(int(AJ542),1,"1000000",Holidays!A:A)+hour(AJ542+AN$5-$B$1)/24+minute(AJ542)/1440),"")</f>
        <v/>
      </c>
      <c r="AO542" s="64" t="str">
        <f t="shared" si="15"/>
        <v/>
      </c>
      <c r="AQ542" s="66" t="str">
        <f t="shared" si="16"/>
        <v/>
      </c>
      <c r="AR542" s="66"/>
      <c r="AS542" s="63" t="str">
        <f>if(AJ542,if(and(hour(AJ542+AS$5)&gt;11,(hour(AJ542+AS$5)&lt;20)),AJ542+AS$5,_xlfn.workday.intl(int(AJ542),1,"1000000",Holidays!A:A)+hour(AJ542+AS$5-$B$1)/24+minute(AJ542)/1440),"")</f>
        <v/>
      </c>
      <c r="AT542" s="64" t="str">
        <f t="shared" si="21"/>
        <v/>
      </c>
      <c r="AV542" s="66" t="str">
        <f t="shared" si="25"/>
        <v/>
      </c>
      <c r="AW542" s="66"/>
      <c r="AX542" s="56"/>
    </row>
    <row r="543">
      <c r="A543" s="55">
        <v>45490.53777440972</v>
      </c>
      <c r="B543" s="56"/>
      <c r="C543" s="57"/>
      <c r="D543" s="57"/>
      <c r="E543" s="57"/>
      <c r="F543" s="57"/>
      <c r="G543" s="58">
        <f>if(A543,_xlfn.workday.intl(int(A543),1,"1000000",Holidays!A:A)+17/24,"")</f>
        <v>45491.70833</v>
      </c>
      <c r="H543" s="59" t="str">
        <f t="shared" si="23"/>
        <v/>
      </c>
      <c r="I543" s="60"/>
      <c r="J543" s="61">
        <f t="shared" si="2"/>
        <v>642.2755766</v>
      </c>
      <c r="K543" s="58">
        <f>if(G543,_xlfn.workday.intl(int(G543),0,"1000000",Holidays!A:A)+19/24,"")</f>
        <v>45491.79167</v>
      </c>
      <c r="L543" s="59" t="str">
        <f t="shared" si="3"/>
        <v/>
      </c>
      <c r="M543" s="60"/>
      <c r="N543" s="61">
        <f t="shared" si="4"/>
        <v>642.1922432</v>
      </c>
      <c r="O543" s="63">
        <f>if(A543,_xlfn.WORKDAY.INTL(A543,O$5,"1000000",Holidays!A:A)+hour(A543)/24+MINUTE(A543)/1440,"")</f>
        <v>45491.5375</v>
      </c>
      <c r="P543" s="64" t="s">
        <v>2718</v>
      </c>
      <c r="R543" s="66">
        <f t="shared" si="5"/>
        <v>642.4464099</v>
      </c>
      <c r="S543" s="66"/>
      <c r="T543" s="66"/>
      <c r="U543" s="64">
        <f>if(O543,_xlfn.WORKDAY.INTL(O543,U$5,"1000000",Holidays!A:A)+hour(O543)/24+MINUTE(O543)/1440,"")</f>
        <v>45492.5375</v>
      </c>
      <c r="V543" s="64" t="str">
        <f t="shared" si="6"/>
        <v/>
      </c>
      <c r="W543" s="66"/>
      <c r="X543" s="66">
        <f t="shared" si="7"/>
        <v>641.4464099</v>
      </c>
      <c r="Y543" s="66"/>
      <c r="Z543" s="66"/>
      <c r="AA543" s="66"/>
      <c r="AB543" s="63"/>
      <c r="AC543" s="63"/>
      <c r="AD543" s="63"/>
      <c r="AE543" s="63"/>
      <c r="AF543" s="63"/>
      <c r="AG543" s="63"/>
      <c r="AH543" s="63" t="str">
        <f t="shared" si="14"/>
        <v/>
      </c>
      <c r="AI543" s="63" t="str">
        <f>if(AH543,_xlfn.workday.intl(int(AH543),0,"1000000",Holidays!A:A)+18/24,"")</f>
        <v/>
      </c>
      <c r="AJ543" s="64" t="str">
        <f t="shared" si="24"/>
        <v/>
      </c>
      <c r="AL543" s="66" t="str">
        <f t="shared" si="9"/>
        <v/>
      </c>
      <c r="AM543" s="66"/>
      <c r="AN543" s="63" t="str">
        <f>if(AJ543,if(and(hour(AJ543+AN$5)&gt;11,(hour(AJ543+AN$5)&lt;20)),AJ543+AN$5,_xlfn.workday.intl(int(AJ543),1,"1000000",Holidays!A:A)+hour(AJ543+AN$5-$B$1)/24+minute(AJ543)/1440),"")</f>
        <v/>
      </c>
      <c r="AO543" s="64" t="str">
        <f t="shared" si="15"/>
        <v/>
      </c>
      <c r="AQ543" s="66" t="str">
        <f t="shared" si="16"/>
        <v/>
      </c>
      <c r="AR543" s="66"/>
      <c r="AS543" s="63" t="str">
        <f>if(AJ543,if(and(hour(AJ543+AS$5)&gt;11,(hour(AJ543+AS$5)&lt;20)),AJ543+AS$5,_xlfn.workday.intl(int(AJ543),1,"1000000",Holidays!A:A)+hour(AJ543+AS$5-$B$1)/24+minute(AJ543)/1440),"")</f>
        <v/>
      </c>
      <c r="AT543" s="64" t="str">
        <f t="shared" si="21"/>
        <v/>
      </c>
      <c r="AV543" s="66" t="str">
        <f t="shared" si="25"/>
        <v/>
      </c>
      <c r="AW543" s="66"/>
      <c r="AX543" s="56"/>
    </row>
    <row r="544">
      <c r="A544" s="55">
        <v>45490.53908756944</v>
      </c>
      <c r="B544" s="56"/>
      <c r="C544" s="57"/>
      <c r="D544" s="57"/>
      <c r="E544" s="57"/>
      <c r="F544" s="57"/>
      <c r="G544" s="58">
        <f>if(A544,_xlfn.workday.intl(int(A544),1,"1000000",Holidays!A:A)+17/24,"")</f>
        <v>45491.70833</v>
      </c>
      <c r="H544" s="59" t="str">
        <f t="shared" si="23"/>
        <v/>
      </c>
      <c r="I544" s="60"/>
      <c r="J544" s="61">
        <f t="shared" si="2"/>
        <v>642.2755766</v>
      </c>
      <c r="K544" s="58">
        <f>if(G544,_xlfn.workday.intl(int(G544),0,"1000000",Holidays!A:A)+19/24,"")</f>
        <v>45491.79167</v>
      </c>
      <c r="L544" s="59" t="str">
        <f t="shared" si="3"/>
        <v/>
      </c>
      <c r="M544" s="60"/>
      <c r="N544" s="61">
        <f t="shared" si="4"/>
        <v>642.1922432</v>
      </c>
      <c r="O544" s="63">
        <f>if(A544,_xlfn.WORKDAY.INTL(A544,O$5,"1000000",Holidays!A:A)+hour(A544)/24+MINUTE(A544)/1440,"")</f>
        <v>45491.53889</v>
      </c>
      <c r="P544" s="64" t="s">
        <v>2718</v>
      </c>
      <c r="R544" s="66">
        <f t="shared" si="5"/>
        <v>642.445021</v>
      </c>
      <c r="S544" s="66"/>
      <c r="T544" s="66"/>
      <c r="U544" s="64">
        <f>if(O544,_xlfn.WORKDAY.INTL(O544,U$5,"1000000",Holidays!A:A)+hour(O544)/24+MINUTE(O544)/1440,"")</f>
        <v>45492.53889</v>
      </c>
      <c r="V544" s="64" t="str">
        <f t="shared" si="6"/>
        <v/>
      </c>
      <c r="W544" s="66"/>
      <c r="X544" s="66">
        <f t="shared" si="7"/>
        <v>641.445021</v>
      </c>
      <c r="Y544" s="66"/>
      <c r="Z544" s="66"/>
      <c r="AA544" s="66"/>
      <c r="AB544" s="63"/>
      <c r="AC544" s="63"/>
      <c r="AD544" s="63"/>
      <c r="AE544" s="63"/>
      <c r="AF544" s="63"/>
      <c r="AG544" s="63"/>
      <c r="AH544" s="63" t="str">
        <f t="shared" si="14"/>
        <v/>
      </c>
      <c r="AI544" s="63" t="str">
        <f>if(AH544,_xlfn.workday.intl(int(AH544),0,"1000000",Holidays!A:A)+18/24,"")</f>
        <v/>
      </c>
      <c r="AJ544" s="64" t="str">
        <f t="shared" si="24"/>
        <v/>
      </c>
      <c r="AL544" s="66" t="str">
        <f t="shared" si="9"/>
        <v/>
      </c>
      <c r="AM544" s="66"/>
      <c r="AN544" s="63" t="str">
        <f>if(AJ544,if(and(hour(AJ544+AN$5)&gt;11,(hour(AJ544+AN$5)&lt;20)),AJ544+AN$5,_xlfn.workday.intl(int(AJ544),1,"1000000",Holidays!A:A)+hour(AJ544+AN$5-$B$1)/24+minute(AJ544)/1440),"")</f>
        <v/>
      </c>
      <c r="AO544" s="64" t="str">
        <f t="shared" si="15"/>
        <v/>
      </c>
      <c r="AQ544" s="66" t="str">
        <f t="shared" si="16"/>
        <v/>
      </c>
      <c r="AR544" s="66"/>
      <c r="AS544" s="63" t="str">
        <f>if(AJ544,if(and(hour(AJ544+AS$5)&gt;11,(hour(AJ544+AS$5)&lt;20)),AJ544+AS$5,_xlfn.workday.intl(int(AJ544),1,"1000000",Holidays!A:A)+hour(AJ544+AS$5-$B$1)/24+minute(AJ544)/1440),"")</f>
        <v/>
      </c>
      <c r="AT544" s="64" t="str">
        <f t="shared" si="21"/>
        <v/>
      </c>
      <c r="AV544" s="66" t="str">
        <f t="shared" si="25"/>
        <v/>
      </c>
      <c r="AW544" s="66"/>
      <c r="AX544" s="56"/>
    </row>
    <row r="545">
      <c r="A545" s="55">
        <v>45490.540123506944</v>
      </c>
      <c r="B545" s="56"/>
      <c r="C545" s="57"/>
      <c r="D545" s="57"/>
      <c r="E545" s="57"/>
      <c r="F545" s="57"/>
      <c r="G545" s="58">
        <f>if(A545,_xlfn.workday.intl(int(A545),1,"1000000",Holidays!A:A)+17/24,"")</f>
        <v>45491.70833</v>
      </c>
      <c r="H545" s="59" t="str">
        <f t="shared" si="23"/>
        <v/>
      </c>
      <c r="I545" s="60"/>
      <c r="J545" s="61">
        <f t="shared" si="2"/>
        <v>642.2755766</v>
      </c>
      <c r="K545" s="58">
        <f>if(G545,_xlfn.workday.intl(int(G545),0,"1000000",Holidays!A:A)+19/24,"")</f>
        <v>45491.79167</v>
      </c>
      <c r="L545" s="59" t="str">
        <f t="shared" si="3"/>
        <v/>
      </c>
      <c r="M545" s="60"/>
      <c r="N545" s="61">
        <f t="shared" si="4"/>
        <v>642.1922432</v>
      </c>
      <c r="O545" s="63">
        <f>if(A545,_xlfn.WORKDAY.INTL(A545,O$5,"1000000",Holidays!A:A)+hour(A545)/24+MINUTE(A545)/1440,"")</f>
        <v>45491.53958</v>
      </c>
      <c r="P545" s="64" t="s">
        <v>2718</v>
      </c>
      <c r="R545" s="66">
        <f t="shared" si="5"/>
        <v>642.4443266</v>
      </c>
      <c r="S545" s="66"/>
      <c r="T545" s="66"/>
      <c r="U545" s="64">
        <f>if(O545,_xlfn.WORKDAY.INTL(O545,U$5,"1000000",Holidays!A:A)+hour(O545)/24+MINUTE(O545)/1440,"")</f>
        <v>45492.53958</v>
      </c>
      <c r="V545" s="64" t="str">
        <f t="shared" si="6"/>
        <v/>
      </c>
      <c r="W545" s="66"/>
      <c r="X545" s="66">
        <f t="shared" si="7"/>
        <v>641.4443266</v>
      </c>
      <c r="Y545" s="66"/>
      <c r="Z545" s="66"/>
      <c r="AA545" s="66"/>
      <c r="AB545" s="63"/>
      <c r="AC545" s="63"/>
      <c r="AD545" s="63"/>
      <c r="AE545" s="63"/>
      <c r="AF545" s="63"/>
      <c r="AG545" s="63"/>
      <c r="AH545" s="63" t="str">
        <f t="shared" si="14"/>
        <v/>
      </c>
      <c r="AI545" s="63" t="str">
        <f>if(AH545,_xlfn.workday.intl(int(AH545),0,"1000000",Holidays!A:A)+18/24,"")</f>
        <v/>
      </c>
      <c r="AJ545" s="64" t="str">
        <f t="shared" si="24"/>
        <v/>
      </c>
      <c r="AL545" s="66" t="str">
        <f t="shared" si="9"/>
        <v/>
      </c>
      <c r="AM545" s="66"/>
      <c r="AN545" s="63" t="str">
        <f>if(AJ545,if(and(hour(AJ545+AN$5)&gt;11,(hour(AJ545+AN$5)&lt;20)),AJ545+AN$5,_xlfn.workday.intl(int(AJ545),1,"1000000",Holidays!A:A)+hour(AJ545+AN$5-$B$1)/24+minute(AJ545)/1440),"")</f>
        <v/>
      </c>
      <c r="AO545" s="64" t="str">
        <f t="shared" si="15"/>
        <v/>
      </c>
      <c r="AQ545" s="66" t="str">
        <f t="shared" si="16"/>
        <v/>
      </c>
      <c r="AR545" s="66"/>
      <c r="AS545" s="63" t="str">
        <f>if(AJ545,if(and(hour(AJ545+AS$5)&gt;11,(hour(AJ545+AS$5)&lt;20)),AJ545+AS$5,_xlfn.workday.intl(int(AJ545),1,"1000000",Holidays!A:A)+hour(AJ545+AS$5-$B$1)/24+minute(AJ545)/1440),"")</f>
        <v/>
      </c>
      <c r="AT545" s="64" t="str">
        <f t="shared" si="21"/>
        <v/>
      </c>
      <c r="AV545" s="66" t="str">
        <f t="shared" si="25"/>
        <v/>
      </c>
      <c r="AW545" s="66"/>
      <c r="AX545" s="56"/>
    </row>
    <row r="546">
      <c r="A546" s="55">
        <v>45490.542025532406</v>
      </c>
      <c r="B546" s="56"/>
      <c r="C546" s="57"/>
      <c r="D546" s="57"/>
      <c r="E546" s="57"/>
      <c r="F546" s="57"/>
      <c r="G546" s="58">
        <f>if(A546,_xlfn.workday.intl(int(A546),1,"1000000",Holidays!A:A)+17/24,"")</f>
        <v>45491.70833</v>
      </c>
      <c r="H546" s="59" t="str">
        <f t="shared" si="23"/>
        <v/>
      </c>
      <c r="I546" s="60"/>
      <c r="J546" s="61">
        <f t="shared" si="2"/>
        <v>642.2755766</v>
      </c>
      <c r="K546" s="58">
        <f>if(G546,_xlfn.workday.intl(int(G546),0,"1000000",Holidays!A:A)+19/24,"")</f>
        <v>45491.79167</v>
      </c>
      <c r="L546" s="59" t="str">
        <f t="shared" si="3"/>
        <v/>
      </c>
      <c r="M546" s="60"/>
      <c r="N546" s="61">
        <f t="shared" si="4"/>
        <v>642.1922432</v>
      </c>
      <c r="O546" s="63">
        <f>if(A546,_xlfn.WORKDAY.INTL(A546,O$5,"1000000",Holidays!A:A)+hour(A546)/24+MINUTE(A546)/1440,"")</f>
        <v>45491.54167</v>
      </c>
      <c r="P546" s="64" t="s">
        <v>2718</v>
      </c>
      <c r="R546" s="66">
        <f t="shared" si="5"/>
        <v>642.4422432</v>
      </c>
      <c r="S546" s="66"/>
      <c r="T546" s="66"/>
      <c r="U546" s="64">
        <f>if(O546,_xlfn.WORKDAY.INTL(O546,U$5,"1000000",Holidays!A:A)+hour(O546)/24+MINUTE(O546)/1440,"")</f>
        <v>45492.54167</v>
      </c>
      <c r="V546" s="64" t="str">
        <f t="shared" si="6"/>
        <v/>
      </c>
      <c r="W546" s="66"/>
      <c r="X546" s="66">
        <f t="shared" si="7"/>
        <v>641.4422432</v>
      </c>
      <c r="Y546" s="66"/>
      <c r="Z546" s="66"/>
      <c r="AA546" s="66"/>
      <c r="AB546" s="63"/>
      <c r="AC546" s="63"/>
      <c r="AD546" s="63"/>
      <c r="AE546" s="63"/>
      <c r="AF546" s="63"/>
      <c r="AG546" s="63"/>
      <c r="AH546" s="63" t="str">
        <f t="shared" si="14"/>
        <v/>
      </c>
      <c r="AI546" s="63" t="str">
        <f>if(AH546,_xlfn.workday.intl(int(AH546),0,"1000000",Holidays!A:A)+18/24,"")</f>
        <v/>
      </c>
      <c r="AJ546" s="64" t="str">
        <f t="shared" si="24"/>
        <v/>
      </c>
      <c r="AL546" s="66" t="str">
        <f t="shared" si="9"/>
        <v/>
      </c>
      <c r="AM546" s="66"/>
      <c r="AN546" s="63" t="str">
        <f>if(AJ546,if(and(hour(AJ546+AN$5)&gt;11,(hour(AJ546+AN$5)&lt;20)),AJ546+AN$5,_xlfn.workday.intl(int(AJ546),1,"1000000",Holidays!A:A)+hour(AJ546+AN$5-$B$1)/24+minute(AJ546)/1440),"")</f>
        <v/>
      </c>
      <c r="AO546" s="64" t="str">
        <f t="shared" si="15"/>
        <v/>
      </c>
      <c r="AQ546" s="66" t="str">
        <f t="shared" si="16"/>
        <v/>
      </c>
      <c r="AR546" s="66"/>
      <c r="AS546" s="63" t="str">
        <f>if(AJ546,if(and(hour(AJ546+AS$5)&gt;11,(hour(AJ546+AS$5)&lt;20)),AJ546+AS$5,_xlfn.workday.intl(int(AJ546),1,"1000000",Holidays!A:A)+hour(AJ546+AS$5-$B$1)/24+minute(AJ546)/1440),"")</f>
        <v/>
      </c>
      <c r="AT546" s="64" t="str">
        <f t="shared" si="21"/>
        <v/>
      </c>
      <c r="AV546" s="66" t="str">
        <f t="shared" si="25"/>
        <v/>
      </c>
      <c r="AW546" s="66"/>
      <c r="AX546" s="56"/>
    </row>
    <row r="547">
      <c r="A547" s="55">
        <v>45490.54294141204</v>
      </c>
      <c r="B547" s="56"/>
      <c r="C547" s="57"/>
      <c r="D547" s="57"/>
      <c r="E547" s="57"/>
      <c r="F547" s="57"/>
      <c r="G547" s="58">
        <f>if(A547,_xlfn.workday.intl(int(A547),1,"1000000",Holidays!A:A)+17/24,"")</f>
        <v>45491.70833</v>
      </c>
      <c r="H547" s="59" t="str">
        <f t="shared" si="23"/>
        <v/>
      </c>
      <c r="I547" s="60"/>
      <c r="J547" s="61">
        <f t="shared" si="2"/>
        <v>642.2755766</v>
      </c>
      <c r="K547" s="58">
        <f>if(G547,_xlfn.workday.intl(int(G547),0,"1000000",Holidays!A:A)+19/24,"")</f>
        <v>45491.79167</v>
      </c>
      <c r="L547" s="59" t="str">
        <f t="shared" si="3"/>
        <v/>
      </c>
      <c r="M547" s="60"/>
      <c r="N547" s="61">
        <f t="shared" si="4"/>
        <v>642.1922432</v>
      </c>
      <c r="O547" s="63">
        <f>if(A547,_xlfn.WORKDAY.INTL(A547,O$5,"1000000",Holidays!A:A)+hour(A547)/24+MINUTE(A547)/1440,"")</f>
        <v>45491.54236</v>
      </c>
      <c r="P547" s="64" t="s">
        <v>2718</v>
      </c>
      <c r="R547" s="66">
        <f t="shared" si="5"/>
        <v>642.4415488</v>
      </c>
      <c r="S547" s="66"/>
      <c r="T547" s="66"/>
      <c r="U547" s="64">
        <f>if(O547,_xlfn.WORKDAY.INTL(O547,U$5,"1000000",Holidays!A:A)+hour(O547)/24+MINUTE(O547)/1440,"")</f>
        <v>45492.54236</v>
      </c>
      <c r="V547" s="64" t="str">
        <f t="shared" si="6"/>
        <v/>
      </c>
      <c r="W547" s="66"/>
      <c r="X547" s="66">
        <f t="shared" si="7"/>
        <v>641.4415488</v>
      </c>
      <c r="Y547" s="66"/>
      <c r="Z547" s="66"/>
      <c r="AA547" s="66"/>
      <c r="AB547" s="63"/>
      <c r="AC547" s="63"/>
      <c r="AD547" s="63"/>
      <c r="AE547" s="63"/>
      <c r="AF547" s="63"/>
      <c r="AG547" s="63"/>
      <c r="AH547" s="63" t="str">
        <f t="shared" si="14"/>
        <v/>
      </c>
      <c r="AI547" s="63" t="str">
        <f>if(AH547,_xlfn.workday.intl(int(AH547),0,"1000000",Holidays!A:A)+18/24,"")</f>
        <v/>
      </c>
      <c r="AJ547" s="64" t="str">
        <f t="shared" si="24"/>
        <v/>
      </c>
      <c r="AL547" s="66" t="str">
        <f t="shared" si="9"/>
        <v/>
      </c>
      <c r="AM547" s="66"/>
      <c r="AN547" s="63" t="str">
        <f>if(AJ547,if(and(hour(AJ547+AN$5)&gt;11,(hour(AJ547+AN$5)&lt;20)),AJ547+AN$5,_xlfn.workday.intl(int(AJ547),1,"1000000",Holidays!A:A)+hour(AJ547+AN$5-$B$1)/24+minute(AJ547)/1440),"")</f>
        <v/>
      </c>
      <c r="AO547" s="64" t="str">
        <f t="shared" si="15"/>
        <v/>
      </c>
      <c r="AQ547" s="66" t="str">
        <f t="shared" si="16"/>
        <v/>
      </c>
      <c r="AR547" s="66"/>
      <c r="AS547" s="63" t="str">
        <f>if(AJ547,if(and(hour(AJ547+AS$5)&gt;11,(hour(AJ547+AS$5)&lt;20)),AJ547+AS$5,_xlfn.workday.intl(int(AJ547),1,"1000000",Holidays!A:A)+hour(AJ547+AS$5-$B$1)/24+minute(AJ547)/1440),"")</f>
        <v/>
      </c>
      <c r="AT547" s="64" t="str">
        <f t="shared" si="21"/>
        <v/>
      </c>
      <c r="AV547" s="66" t="str">
        <f t="shared" si="25"/>
        <v/>
      </c>
      <c r="AW547" s="66"/>
      <c r="AX547" s="56"/>
    </row>
    <row r="548">
      <c r="A548" s="55">
        <v>45496.51453450232</v>
      </c>
      <c r="B548" s="56"/>
      <c r="C548" s="57"/>
      <c r="D548" s="57"/>
      <c r="E548" s="57"/>
      <c r="F548" s="57"/>
      <c r="G548" s="58">
        <f>if(A548,_xlfn.workday.intl(int(A548),1,"1000000",Holidays!A:A)+17/24,"")</f>
        <v>45497.70833</v>
      </c>
      <c r="H548" s="59" t="str">
        <f t="shared" si="23"/>
        <v/>
      </c>
      <c r="I548" s="60"/>
      <c r="J548" s="61">
        <f t="shared" si="2"/>
        <v>636.2755766</v>
      </c>
      <c r="K548" s="58">
        <f>if(G548,_xlfn.workday.intl(int(G548),0,"1000000",Holidays!A:A)+19/24,"")</f>
        <v>45497.79167</v>
      </c>
      <c r="L548" s="59" t="str">
        <f t="shared" si="3"/>
        <v/>
      </c>
      <c r="M548" s="60"/>
      <c r="N548" s="61">
        <f t="shared" si="4"/>
        <v>636.1922432</v>
      </c>
      <c r="O548" s="63">
        <f>if(A548,_xlfn.WORKDAY.INTL(A548,O$5,"1000000",Holidays!A:A)+hour(A548)/24+MINUTE(A548)/1440,"")</f>
        <v>45497.51389</v>
      </c>
      <c r="P548" s="64" t="s">
        <v>2718</v>
      </c>
      <c r="R548" s="66">
        <f t="shared" si="5"/>
        <v>636.470021</v>
      </c>
      <c r="S548" s="66"/>
      <c r="T548" s="66"/>
      <c r="U548" s="64">
        <f>if(O548,_xlfn.WORKDAY.INTL(O548,U$5,"1000000",Holidays!A:A)+hour(O548)/24+MINUTE(O548)/1440,"")</f>
        <v>45498.51389</v>
      </c>
      <c r="V548" s="64" t="str">
        <f t="shared" si="6"/>
        <v/>
      </c>
      <c r="W548" s="66"/>
      <c r="X548" s="66">
        <f t="shared" si="7"/>
        <v>635.470021</v>
      </c>
      <c r="Y548" s="66"/>
      <c r="Z548" s="66"/>
      <c r="AA548" s="66"/>
      <c r="AB548" s="63"/>
      <c r="AC548" s="63"/>
      <c r="AD548" s="63"/>
      <c r="AE548" s="63"/>
      <c r="AF548" s="63"/>
      <c r="AG548" s="63"/>
      <c r="AH548" s="63" t="str">
        <f t="shared" si="14"/>
        <v/>
      </c>
      <c r="AI548" s="63" t="str">
        <f>if(AH548,_xlfn.workday.intl(int(AH548),0,"1000000",Holidays!A:A)+18/24,"")</f>
        <v/>
      </c>
      <c r="AJ548" s="64" t="str">
        <f t="shared" si="24"/>
        <v/>
      </c>
      <c r="AL548" s="66" t="str">
        <f t="shared" si="9"/>
        <v/>
      </c>
      <c r="AM548" s="66"/>
      <c r="AN548" s="63" t="str">
        <f>if(AJ548,if(and(hour(AJ548+AN$5)&gt;11,(hour(AJ548+AN$5)&lt;20)),AJ548+AN$5,_xlfn.workday.intl(int(AJ548),1,"1000000",Holidays!A:A)+hour(AJ548+AN$5-$B$1)/24+minute(AJ548)/1440),"")</f>
        <v/>
      </c>
      <c r="AO548" s="64" t="str">
        <f t="shared" si="15"/>
        <v/>
      </c>
      <c r="AQ548" s="66" t="str">
        <f t="shared" si="16"/>
        <v/>
      </c>
      <c r="AR548" s="66"/>
      <c r="AS548" s="63" t="str">
        <f>if(AJ548,if(and(hour(AJ548+AS$5)&gt;11,(hour(AJ548+AS$5)&lt;20)),AJ548+AS$5,_xlfn.workday.intl(int(AJ548),1,"1000000",Holidays!A:A)+hour(AJ548+AS$5-$B$1)/24+minute(AJ548)/1440),"")</f>
        <v/>
      </c>
      <c r="AT548" s="64" t="str">
        <f t="shared" si="21"/>
        <v/>
      </c>
      <c r="AV548" s="66" t="str">
        <f t="shared" si="25"/>
        <v/>
      </c>
      <c r="AW548" s="66"/>
      <c r="AX548" s="56"/>
    </row>
    <row r="549">
      <c r="A549" s="55">
        <v>45496.52781185185</v>
      </c>
      <c r="B549" s="56"/>
      <c r="C549" s="57"/>
      <c r="D549" s="57"/>
      <c r="E549" s="57"/>
      <c r="F549" s="57"/>
      <c r="G549" s="58">
        <f>if(A549,_xlfn.workday.intl(int(A549),1,"1000000",Holidays!A:A)+17/24,"")</f>
        <v>45497.70833</v>
      </c>
      <c r="H549" s="59" t="str">
        <f t="shared" si="23"/>
        <v/>
      </c>
      <c r="I549" s="60"/>
      <c r="J549" s="61">
        <f t="shared" si="2"/>
        <v>636.2755766</v>
      </c>
      <c r="K549" s="58">
        <f>if(G549,_xlfn.workday.intl(int(G549),0,"1000000",Holidays!A:A)+19/24,"")</f>
        <v>45497.79167</v>
      </c>
      <c r="L549" s="59" t="str">
        <f t="shared" si="3"/>
        <v/>
      </c>
      <c r="M549" s="60"/>
      <c r="N549" s="61">
        <f t="shared" si="4"/>
        <v>636.1922432</v>
      </c>
      <c r="O549" s="63">
        <f>if(A549,_xlfn.WORKDAY.INTL(A549,O$5,"1000000",Holidays!A:A)+hour(A549)/24+MINUTE(A549)/1440,"")</f>
        <v>45497.52778</v>
      </c>
      <c r="P549" s="64" t="s">
        <v>2718</v>
      </c>
      <c r="R549" s="66">
        <f t="shared" si="5"/>
        <v>636.4561321</v>
      </c>
      <c r="S549" s="66"/>
      <c r="T549" s="66"/>
      <c r="U549" s="64">
        <f>if(O549,_xlfn.WORKDAY.INTL(O549,U$5,"1000000",Holidays!A:A)+hour(O549)/24+MINUTE(O549)/1440,"")</f>
        <v>45498.52778</v>
      </c>
      <c r="V549" s="64" t="str">
        <f t="shared" si="6"/>
        <v/>
      </c>
      <c r="W549" s="66"/>
      <c r="X549" s="66">
        <f t="shared" si="7"/>
        <v>635.4561321</v>
      </c>
      <c r="Y549" s="66"/>
      <c r="Z549" s="66"/>
      <c r="AA549" s="66"/>
      <c r="AB549" s="63"/>
      <c r="AC549" s="63"/>
      <c r="AD549" s="63"/>
      <c r="AE549" s="63"/>
      <c r="AF549" s="63"/>
      <c r="AG549" s="63"/>
      <c r="AH549" s="63" t="str">
        <f t="shared" si="14"/>
        <v/>
      </c>
      <c r="AI549" s="63" t="str">
        <f>if(AH549,_xlfn.workday.intl(int(AH549),0,"1000000",Holidays!A:A)+18/24,"")</f>
        <v/>
      </c>
      <c r="AJ549" s="64" t="str">
        <f t="shared" si="24"/>
        <v/>
      </c>
      <c r="AL549" s="66" t="str">
        <f t="shared" si="9"/>
        <v/>
      </c>
      <c r="AM549" s="66"/>
      <c r="AN549" s="63" t="str">
        <f>if(AJ549,if(and(hour(AJ549+AN$5)&gt;11,(hour(AJ549+AN$5)&lt;20)),AJ549+AN$5,_xlfn.workday.intl(int(AJ549),1,"1000000",Holidays!A:A)+hour(AJ549+AN$5-$B$1)/24+minute(AJ549)/1440),"")</f>
        <v/>
      </c>
      <c r="AO549" s="64" t="str">
        <f t="shared" si="15"/>
        <v/>
      </c>
      <c r="AQ549" s="66" t="str">
        <f t="shared" si="16"/>
        <v/>
      </c>
      <c r="AR549" s="66"/>
      <c r="AS549" s="63" t="str">
        <f>if(AJ549,if(and(hour(AJ549+AS$5)&gt;11,(hour(AJ549+AS$5)&lt;20)),AJ549+AS$5,_xlfn.workday.intl(int(AJ549),1,"1000000",Holidays!A:A)+hour(AJ549+AS$5-$B$1)/24+minute(AJ549)/1440),"")</f>
        <v/>
      </c>
      <c r="AT549" s="64" t="str">
        <f t="shared" si="21"/>
        <v/>
      </c>
      <c r="AV549" s="66" t="str">
        <f t="shared" si="25"/>
        <v/>
      </c>
      <c r="AW549" s="66"/>
      <c r="AX549" s="56"/>
    </row>
    <row r="550">
      <c r="A550" s="55">
        <v>45499.78636366898</v>
      </c>
      <c r="B550" s="56"/>
      <c r="C550" s="57"/>
      <c r="D550" s="57"/>
      <c r="E550" s="57"/>
      <c r="F550" s="57"/>
      <c r="G550" s="58">
        <f>if(A550,_xlfn.workday.intl(int(A550),1,"1000000",Holidays!A:A)+17/24,"")</f>
        <v>45500.70833</v>
      </c>
      <c r="H550" s="59" t="str">
        <f t="shared" si="23"/>
        <v/>
      </c>
      <c r="I550" s="60"/>
      <c r="J550" s="61">
        <f t="shared" si="2"/>
        <v>633.2755766</v>
      </c>
      <c r="K550" s="58">
        <f>if(G550,_xlfn.workday.intl(int(G550),0,"1000000",Holidays!A:A)+19/24,"")</f>
        <v>45500.79167</v>
      </c>
      <c r="L550" s="59" t="str">
        <f t="shared" si="3"/>
        <v/>
      </c>
      <c r="M550" s="60"/>
      <c r="N550" s="61">
        <f t="shared" si="4"/>
        <v>633.1922432</v>
      </c>
      <c r="O550" s="63">
        <f>if(A550,_xlfn.WORKDAY.INTL(A550,O$5,"1000000",Holidays!A:A)+hour(A550)/24+MINUTE(A550)/1440,"")</f>
        <v>45500.78611</v>
      </c>
      <c r="P550" s="64" t="s">
        <v>2718</v>
      </c>
      <c r="R550" s="66">
        <f t="shared" si="5"/>
        <v>633.1977988</v>
      </c>
      <c r="S550" s="66"/>
      <c r="T550" s="66"/>
      <c r="U550" s="64">
        <f>if(O550,_xlfn.WORKDAY.INTL(O550,U$5,"1000000",Holidays!A:A)+hour(O550)/24+MINUTE(O550)/1440,"")</f>
        <v>45501.78611</v>
      </c>
      <c r="V550" s="64" t="str">
        <f t="shared" si="6"/>
        <v/>
      </c>
      <c r="W550" s="66"/>
      <c r="X550" s="66">
        <f t="shared" si="7"/>
        <v>632.1977988</v>
      </c>
      <c r="Y550" s="66"/>
      <c r="Z550" s="66"/>
      <c r="AA550" s="66"/>
      <c r="AB550" s="63"/>
      <c r="AC550" s="63"/>
      <c r="AD550" s="63"/>
      <c r="AE550" s="63"/>
      <c r="AF550" s="63"/>
      <c r="AG550" s="63"/>
      <c r="AH550" s="63" t="str">
        <f t="shared" si="14"/>
        <v/>
      </c>
      <c r="AI550" s="63" t="str">
        <f>if(AH550,_xlfn.workday.intl(int(AH550),0,"1000000",Holidays!A:A)+18/24,"")</f>
        <v/>
      </c>
      <c r="AJ550" s="64" t="str">
        <f t="shared" si="24"/>
        <v/>
      </c>
      <c r="AL550" s="66" t="str">
        <f t="shared" si="9"/>
        <v/>
      </c>
      <c r="AM550" s="66"/>
      <c r="AN550" s="63" t="str">
        <f>if(AJ550,if(and(hour(AJ550+AN$5)&gt;11,(hour(AJ550+AN$5)&lt;20)),AJ550+AN$5,_xlfn.workday.intl(int(AJ550),1,"1000000",Holidays!A:A)+hour(AJ550+AN$5-$B$1)/24+minute(AJ550)/1440),"")</f>
        <v/>
      </c>
      <c r="AO550" s="64" t="str">
        <f t="shared" si="15"/>
        <v/>
      </c>
      <c r="AQ550" s="66" t="str">
        <f t="shared" si="16"/>
        <v/>
      </c>
      <c r="AR550" s="66"/>
      <c r="AS550" s="63" t="str">
        <f>if(AJ550,if(and(hour(AJ550+AS$5)&gt;11,(hour(AJ550+AS$5)&lt;20)),AJ550+AS$5,_xlfn.workday.intl(int(AJ550),1,"1000000",Holidays!A:A)+hour(AJ550+AS$5-$B$1)/24+minute(AJ550)/1440),"")</f>
        <v/>
      </c>
      <c r="AT550" s="64" t="str">
        <f t="shared" si="21"/>
        <v/>
      </c>
      <c r="AV550" s="66" t="str">
        <f t="shared" si="25"/>
        <v/>
      </c>
      <c r="AW550" s="66"/>
      <c r="AX550" s="56"/>
    </row>
    <row r="551">
      <c r="A551" s="55">
        <v>45501.61146274305</v>
      </c>
      <c r="B551" s="56"/>
      <c r="C551" s="57"/>
      <c r="D551" s="57"/>
      <c r="E551" s="57"/>
      <c r="F551" s="57"/>
      <c r="G551" s="58">
        <f>if(A551,_xlfn.workday.intl(int(A551),1,"1000000",Holidays!A:A)+17/24,"")</f>
        <v>45503.70833</v>
      </c>
      <c r="H551" s="59" t="str">
        <f t="shared" si="23"/>
        <v/>
      </c>
      <c r="I551" s="60"/>
      <c r="J551" s="61">
        <f t="shared" si="2"/>
        <v>630.2755766</v>
      </c>
      <c r="K551" s="58">
        <f>if(G551,_xlfn.workday.intl(int(G551),0,"1000000",Holidays!A:A)+19/24,"")</f>
        <v>45503.79167</v>
      </c>
      <c r="L551" s="59" t="str">
        <f t="shared" si="3"/>
        <v/>
      </c>
      <c r="M551" s="60"/>
      <c r="N551" s="61">
        <f t="shared" si="4"/>
        <v>630.1922432</v>
      </c>
      <c r="O551" s="63">
        <f>if(A551,_xlfn.WORKDAY.INTL(A551,O$5,"1000000",Holidays!A:A)+hour(A551)/24+MINUTE(A551)/1440,"")</f>
        <v>45503.61111</v>
      </c>
      <c r="P551" s="64" t="s">
        <v>2718</v>
      </c>
      <c r="R551" s="66">
        <f t="shared" si="5"/>
        <v>630.3727988</v>
      </c>
      <c r="S551" s="66"/>
      <c r="T551" s="66"/>
      <c r="U551" s="64">
        <f>if(O551,_xlfn.WORKDAY.INTL(O551,U$5,"1000000",Holidays!A:A)+hour(O551)/24+MINUTE(O551)/1440,"")</f>
        <v>45504.61111</v>
      </c>
      <c r="V551" s="64" t="str">
        <f t="shared" si="6"/>
        <v/>
      </c>
      <c r="W551" s="66"/>
      <c r="X551" s="66">
        <f t="shared" si="7"/>
        <v>629.3727988</v>
      </c>
      <c r="Y551" s="66"/>
      <c r="Z551" s="66"/>
      <c r="AA551" s="66"/>
      <c r="AB551" s="63"/>
      <c r="AC551" s="63"/>
      <c r="AD551" s="63"/>
      <c r="AE551" s="63"/>
      <c r="AF551" s="63"/>
      <c r="AG551" s="63"/>
      <c r="AH551" s="63" t="str">
        <f t="shared" si="14"/>
        <v/>
      </c>
      <c r="AI551" s="63" t="str">
        <f>if(AH551,_xlfn.workday.intl(int(AH551),0,"1000000",Holidays!A:A)+18/24,"")</f>
        <v/>
      </c>
      <c r="AJ551" s="64" t="str">
        <f t="shared" si="24"/>
        <v/>
      </c>
      <c r="AL551" s="66" t="str">
        <f t="shared" si="9"/>
        <v/>
      </c>
      <c r="AM551" s="66"/>
      <c r="AN551" s="63" t="str">
        <f>if(AJ551,if(and(hour(AJ551+AN$5)&gt;11,(hour(AJ551+AN$5)&lt;20)),AJ551+AN$5,_xlfn.workday.intl(int(AJ551),1,"1000000",Holidays!A:A)+hour(AJ551+AN$5-$B$1)/24+minute(AJ551)/1440),"")</f>
        <v/>
      </c>
      <c r="AO551" s="64" t="str">
        <f t="shared" si="15"/>
        <v/>
      </c>
      <c r="AQ551" s="66" t="str">
        <f t="shared" si="16"/>
        <v/>
      </c>
      <c r="AR551" s="66"/>
      <c r="AS551" s="63" t="str">
        <f>if(AJ551,if(and(hour(AJ551+AS$5)&gt;11,(hour(AJ551+AS$5)&lt;20)),AJ551+AS$5,_xlfn.workday.intl(int(AJ551),1,"1000000",Holidays!A:A)+hour(AJ551+AS$5-$B$1)/24+minute(AJ551)/1440),"")</f>
        <v/>
      </c>
      <c r="AT551" s="64" t="str">
        <f t="shared" si="21"/>
        <v/>
      </c>
      <c r="AV551" s="66" t="str">
        <f t="shared" si="25"/>
        <v/>
      </c>
      <c r="AW551" s="66"/>
      <c r="AX551" s="56"/>
    </row>
    <row r="552">
      <c r="A552" s="55">
        <v>45504.55864546297</v>
      </c>
      <c r="B552" s="56"/>
      <c r="C552" s="57"/>
      <c r="D552" s="57"/>
      <c r="E552" s="57"/>
      <c r="F552" s="57"/>
      <c r="G552" s="58">
        <f>if(A552,_xlfn.workday.intl(int(A552),1,"1000000",Holidays!A:A)+17/24,"")</f>
        <v>45505.70833</v>
      </c>
      <c r="H552" s="59" t="str">
        <f t="shared" si="23"/>
        <v/>
      </c>
      <c r="I552" s="60"/>
      <c r="J552" s="61">
        <f t="shared" si="2"/>
        <v>628.2755766</v>
      </c>
      <c r="K552" s="58">
        <f>if(G552,_xlfn.workday.intl(int(G552),0,"1000000",Holidays!A:A)+19/24,"")</f>
        <v>45505.79167</v>
      </c>
      <c r="L552" s="59" t="str">
        <f t="shared" si="3"/>
        <v/>
      </c>
      <c r="M552" s="60"/>
      <c r="N552" s="61">
        <f t="shared" si="4"/>
        <v>628.1922432</v>
      </c>
      <c r="O552" s="63">
        <f>if(A552,_xlfn.WORKDAY.INTL(A552,O$5,"1000000",Holidays!A:A)+hour(A552)/24+MINUTE(A552)/1440,"")</f>
        <v>45505.55833</v>
      </c>
      <c r="P552" s="64" t="s">
        <v>2718</v>
      </c>
      <c r="R552" s="66">
        <f t="shared" si="5"/>
        <v>628.4255766</v>
      </c>
      <c r="S552" s="66"/>
      <c r="T552" s="66"/>
      <c r="U552" s="64">
        <f>if(O552,_xlfn.WORKDAY.INTL(O552,U$5,"1000000",Holidays!A:A)+hour(O552)/24+MINUTE(O552)/1440,"")</f>
        <v>45506.55833</v>
      </c>
      <c r="V552" s="64" t="str">
        <f t="shared" si="6"/>
        <v/>
      </c>
      <c r="W552" s="66"/>
      <c r="X552" s="66">
        <f t="shared" si="7"/>
        <v>627.4255766</v>
      </c>
      <c r="Y552" s="66"/>
      <c r="Z552" s="66"/>
      <c r="AA552" s="66"/>
      <c r="AB552" s="63"/>
      <c r="AC552" s="63"/>
      <c r="AD552" s="63"/>
      <c r="AE552" s="63"/>
      <c r="AF552" s="63"/>
      <c r="AG552" s="63"/>
      <c r="AH552" s="63" t="str">
        <f t="shared" si="14"/>
        <v/>
      </c>
      <c r="AI552" s="63" t="str">
        <f>if(AH552,_xlfn.workday.intl(int(AH552),0,"1000000",Holidays!A:A)+18/24,"")</f>
        <v/>
      </c>
      <c r="AJ552" s="64" t="str">
        <f t="shared" si="24"/>
        <v/>
      </c>
      <c r="AL552" s="66" t="str">
        <f t="shared" si="9"/>
        <v/>
      </c>
      <c r="AM552" s="66"/>
      <c r="AN552" s="63" t="str">
        <f>if(AJ552,if(and(hour(AJ552+AN$5)&gt;11,(hour(AJ552+AN$5)&lt;20)),AJ552+AN$5,_xlfn.workday.intl(int(AJ552),1,"1000000",Holidays!A:A)+hour(AJ552+AN$5-$B$1)/24+minute(AJ552)/1440),"")</f>
        <v/>
      </c>
      <c r="AO552" s="64" t="str">
        <f t="shared" si="15"/>
        <v/>
      </c>
      <c r="AQ552" s="66" t="str">
        <f t="shared" si="16"/>
        <v/>
      </c>
      <c r="AR552" s="66"/>
      <c r="AS552" s="63" t="str">
        <f>if(AJ552,if(and(hour(AJ552+AS$5)&gt;11,(hour(AJ552+AS$5)&lt;20)),AJ552+AS$5,_xlfn.workday.intl(int(AJ552),1,"1000000",Holidays!A:A)+hour(AJ552+AS$5-$B$1)/24+minute(AJ552)/1440),"")</f>
        <v/>
      </c>
      <c r="AT552" s="64" t="str">
        <f t="shared" si="21"/>
        <v/>
      </c>
      <c r="AV552" s="66" t="str">
        <f t="shared" si="25"/>
        <v/>
      </c>
      <c r="AW552" s="66"/>
      <c r="AX552" s="56"/>
    </row>
    <row r="553">
      <c r="A553" s="55">
        <v>45504.56551927084</v>
      </c>
      <c r="B553" s="56"/>
      <c r="C553" s="57"/>
      <c r="D553" s="57"/>
      <c r="E553" s="57"/>
      <c r="F553" s="57"/>
      <c r="G553" s="58">
        <f>if(A553,_xlfn.workday.intl(int(A553),1,"1000000",Holidays!A:A)+17/24,"")</f>
        <v>45505.70833</v>
      </c>
      <c r="H553" s="59" t="str">
        <f t="shared" si="23"/>
        <v/>
      </c>
      <c r="I553" s="60"/>
      <c r="J553" s="61">
        <f t="shared" si="2"/>
        <v>628.2755766</v>
      </c>
      <c r="K553" s="58">
        <f>if(G553,_xlfn.workday.intl(int(G553),0,"1000000",Holidays!A:A)+19/24,"")</f>
        <v>45505.79167</v>
      </c>
      <c r="L553" s="59" t="str">
        <f t="shared" si="3"/>
        <v/>
      </c>
      <c r="M553" s="60"/>
      <c r="N553" s="61">
        <f t="shared" si="4"/>
        <v>628.1922432</v>
      </c>
      <c r="O553" s="63">
        <f>if(A553,_xlfn.WORKDAY.INTL(A553,O$5,"1000000",Holidays!A:A)+hour(A553)/24+MINUTE(A553)/1440,"")</f>
        <v>45505.56528</v>
      </c>
      <c r="P553" s="64" t="s">
        <v>2718</v>
      </c>
      <c r="R553" s="66">
        <f t="shared" si="5"/>
        <v>628.4186321</v>
      </c>
      <c r="S553" s="66"/>
      <c r="T553" s="66"/>
      <c r="U553" s="64">
        <f>if(O553,_xlfn.WORKDAY.INTL(O553,U$5,"1000000",Holidays!A:A)+hour(O553)/24+MINUTE(O553)/1440,"")</f>
        <v>45506.56528</v>
      </c>
      <c r="V553" s="64" t="str">
        <f t="shared" si="6"/>
        <v/>
      </c>
      <c r="W553" s="66"/>
      <c r="X553" s="66">
        <f t="shared" si="7"/>
        <v>627.4186321</v>
      </c>
      <c r="Y553" s="66"/>
      <c r="Z553" s="66"/>
      <c r="AA553" s="66"/>
      <c r="AB553" s="63"/>
      <c r="AC553" s="63"/>
      <c r="AD553" s="63"/>
      <c r="AE553" s="63"/>
      <c r="AF553" s="63"/>
      <c r="AG553" s="63"/>
      <c r="AH553" s="63" t="str">
        <f t="shared" si="14"/>
        <v/>
      </c>
      <c r="AI553" s="63" t="str">
        <f>if(AH553,_xlfn.workday.intl(int(AH553),0,"1000000",Holidays!A:A)+18/24,"")</f>
        <v/>
      </c>
      <c r="AJ553" s="64" t="str">
        <f t="shared" si="24"/>
        <v/>
      </c>
      <c r="AL553" s="66" t="str">
        <f t="shared" si="9"/>
        <v/>
      </c>
      <c r="AM553" s="66"/>
      <c r="AN553" s="63" t="str">
        <f>if(AJ553,if(and(hour(AJ553+AN$5)&gt;11,(hour(AJ553+AN$5)&lt;20)),AJ553+AN$5,_xlfn.workday.intl(int(AJ553),1,"1000000",Holidays!A:A)+hour(AJ553+AN$5-$B$1)/24+minute(AJ553)/1440),"")</f>
        <v/>
      </c>
      <c r="AO553" s="64" t="str">
        <f t="shared" si="15"/>
        <v/>
      </c>
      <c r="AQ553" s="66" t="str">
        <f t="shared" si="16"/>
        <v/>
      </c>
      <c r="AR553" s="66"/>
      <c r="AS553" s="63" t="str">
        <f>if(AJ553,if(and(hour(AJ553+AS$5)&gt;11,(hour(AJ553+AS$5)&lt;20)),AJ553+AS$5,_xlfn.workday.intl(int(AJ553),1,"1000000",Holidays!A:A)+hour(AJ553+AS$5-$B$1)/24+minute(AJ553)/1440),"")</f>
        <v/>
      </c>
      <c r="AT553" s="64" t="str">
        <f t="shared" si="21"/>
        <v/>
      </c>
      <c r="AV553" s="66" t="str">
        <f t="shared" si="25"/>
        <v/>
      </c>
      <c r="AW553" s="66"/>
      <c r="AX553" s="56"/>
    </row>
    <row r="554">
      <c r="A554" s="55">
        <v>45512.56613047454</v>
      </c>
      <c r="B554" s="56"/>
      <c r="C554" s="57"/>
      <c r="D554" s="57"/>
      <c r="E554" s="57"/>
      <c r="F554" s="57"/>
      <c r="G554" s="58">
        <f>if(A554,_xlfn.workday.intl(int(A554),1,"1000000",Holidays!A:A)+17/24,"")</f>
        <v>45513.70833</v>
      </c>
      <c r="H554" s="59" t="str">
        <f t="shared" si="23"/>
        <v/>
      </c>
      <c r="I554" s="60"/>
      <c r="J554" s="61">
        <f t="shared" si="2"/>
        <v>620.2755766</v>
      </c>
      <c r="K554" s="58">
        <f>if(G554,_xlfn.workday.intl(int(G554),0,"1000000",Holidays!A:A)+19/24,"")</f>
        <v>45513.79167</v>
      </c>
      <c r="L554" s="59" t="str">
        <f t="shared" si="3"/>
        <v/>
      </c>
      <c r="M554" s="60"/>
      <c r="N554" s="61">
        <f t="shared" si="4"/>
        <v>620.1922432</v>
      </c>
      <c r="O554" s="63">
        <f>if(A554,_xlfn.WORKDAY.INTL(A554,O$5,"1000000",Holidays!A:A)+hour(A554)/24+MINUTE(A554)/1440,"")</f>
        <v>45513.56597</v>
      </c>
      <c r="P554" s="64" t="s">
        <v>2718</v>
      </c>
      <c r="R554" s="66">
        <f t="shared" si="5"/>
        <v>620.4179377</v>
      </c>
      <c r="S554" s="66"/>
      <c r="T554" s="66"/>
      <c r="U554" s="64">
        <f>if(O554,_xlfn.WORKDAY.INTL(O554,U$5,"1000000",Holidays!A:A)+hour(O554)/24+MINUTE(O554)/1440,"")</f>
        <v>45514.56597</v>
      </c>
      <c r="V554" s="64" t="str">
        <f t="shared" si="6"/>
        <v/>
      </c>
      <c r="W554" s="66"/>
      <c r="X554" s="66">
        <f t="shared" si="7"/>
        <v>619.4179377</v>
      </c>
      <c r="Y554" s="66"/>
      <c r="Z554" s="66"/>
      <c r="AA554" s="66"/>
      <c r="AB554" s="63"/>
      <c r="AC554" s="63"/>
      <c r="AD554" s="63"/>
      <c r="AE554" s="63"/>
      <c r="AF554" s="63"/>
      <c r="AG554" s="63"/>
      <c r="AH554" s="63" t="str">
        <f t="shared" si="14"/>
        <v/>
      </c>
      <c r="AI554" s="63" t="str">
        <f>if(AH554,_xlfn.workday.intl(int(AH554),0,"1000000",Holidays!A:A)+18/24,"")</f>
        <v/>
      </c>
      <c r="AJ554" s="64" t="str">
        <f t="shared" si="24"/>
        <v/>
      </c>
      <c r="AL554" s="66" t="str">
        <f t="shared" si="9"/>
        <v/>
      </c>
      <c r="AM554" s="66"/>
      <c r="AN554" s="63" t="str">
        <f>if(AJ554,if(and(hour(AJ554+AN$5)&gt;11,(hour(AJ554+AN$5)&lt;20)),AJ554+AN$5,_xlfn.workday.intl(int(AJ554),1,"1000000",Holidays!A:A)+hour(AJ554+AN$5-$B$1)/24+minute(AJ554)/1440),"")</f>
        <v/>
      </c>
      <c r="AO554" s="64" t="str">
        <f t="shared" si="15"/>
        <v/>
      </c>
      <c r="AQ554" s="66" t="str">
        <f t="shared" si="16"/>
        <v/>
      </c>
      <c r="AR554" s="66"/>
      <c r="AS554" s="63" t="str">
        <f>if(AJ554,if(and(hour(AJ554+AS$5)&gt;11,(hour(AJ554+AS$5)&lt;20)),AJ554+AS$5,_xlfn.workday.intl(int(AJ554),1,"1000000",Holidays!A:A)+hour(AJ554+AS$5-$B$1)/24+minute(AJ554)/1440),"")</f>
        <v/>
      </c>
      <c r="AT554" s="64" t="str">
        <f t="shared" si="21"/>
        <v/>
      </c>
      <c r="AV554" s="66" t="str">
        <f t="shared" si="25"/>
        <v/>
      </c>
      <c r="AW554" s="66"/>
      <c r="AX554" s="56"/>
    </row>
    <row r="555">
      <c r="A555" s="55">
        <v>45512.78827247686</v>
      </c>
      <c r="B555" s="56"/>
      <c r="C555" s="57"/>
      <c r="D555" s="57"/>
      <c r="E555" s="57"/>
      <c r="F555" s="57"/>
      <c r="G555" s="58">
        <f>if(A555,_xlfn.workday.intl(int(A555),1,"1000000",Holidays!A:A)+17/24,"")</f>
        <v>45513.70833</v>
      </c>
      <c r="H555" s="59" t="str">
        <f t="shared" si="23"/>
        <v/>
      </c>
      <c r="I555" s="60"/>
      <c r="J555" s="61">
        <f t="shared" si="2"/>
        <v>620.2755766</v>
      </c>
      <c r="K555" s="58">
        <f>if(G555,_xlfn.workday.intl(int(G555),0,"1000000",Holidays!A:A)+19/24,"")</f>
        <v>45513.79167</v>
      </c>
      <c r="L555" s="59" t="str">
        <f t="shared" si="3"/>
        <v/>
      </c>
      <c r="M555" s="60"/>
      <c r="N555" s="61">
        <f t="shared" si="4"/>
        <v>620.1922432</v>
      </c>
      <c r="O555" s="63">
        <f>if(A555,_xlfn.WORKDAY.INTL(A555,O$5,"1000000",Holidays!A:A)+hour(A555)/24+MINUTE(A555)/1440,"")</f>
        <v>45513.78819</v>
      </c>
      <c r="P555" s="64" t="s">
        <v>2718</v>
      </c>
      <c r="R555" s="66">
        <f t="shared" si="5"/>
        <v>620.1957155</v>
      </c>
      <c r="S555" s="66"/>
      <c r="T555" s="66"/>
      <c r="U555" s="64">
        <f>if(O555,_xlfn.WORKDAY.INTL(O555,U$5,"1000000",Holidays!A:A)+hour(O555)/24+MINUTE(O555)/1440,"")</f>
        <v>45514.78819</v>
      </c>
      <c r="V555" s="64" t="str">
        <f t="shared" si="6"/>
        <v/>
      </c>
      <c r="W555" s="66"/>
      <c r="X555" s="66">
        <f t="shared" si="7"/>
        <v>619.1957155</v>
      </c>
      <c r="Y555" s="66"/>
      <c r="Z555" s="66"/>
      <c r="AA555" s="66"/>
      <c r="AB555" s="63"/>
      <c r="AC555" s="63"/>
      <c r="AD555" s="63"/>
      <c r="AE555" s="63"/>
      <c r="AF555" s="63"/>
      <c r="AG555" s="63"/>
      <c r="AH555" s="63" t="str">
        <f t="shared" si="14"/>
        <v/>
      </c>
      <c r="AI555" s="63" t="str">
        <f>if(AH555,_xlfn.workday.intl(int(AH555),0,"1000000",Holidays!A:A)+18/24,"")</f>
        <v/>
      </c>
      <c r="AJ555" s="64" t="str">
        <f t="shared" si="24"/>
        <v/>
      </c>
      <c r="AL555" s="66" t="str">
        <f t="shared" si="9"/>
        <v/>
      </c>
      <c r="AM555" s="66"/>
      <c r="AN555" s="63" t="str">
        <f>if(AJ555,if(and(hour(AJ555+AN$5)&gt;11,(hour(AJ555+AN$5)&lt;20)),AJ555+AN$5,_xlfn.workday.intl(int(AJ555),1,"1000000",Holidays!A:A)+hour(AJ555+AN$5-$B$1)/24+minute(AJ555)/1440),"")</f>
        <v/>
      </c>
      <c r="AO555" s="64" t="str">
        <f t="shared" si="15"/>
        <v/>
      </c>
      <c r="AQ555" s="66" t="str">
        <f t="shared" si="16"/>
        <v/>
      </c>
      <c r="AR555" s="66"/>
      <c r="AS555" s="63" t="str">
        <f>if(AJ555,if(and(hour(AJ555+AS$5)&gt;11,(hour(AJ555+AS$5)&lt;20)),AJ555+AS$5,_xlfn.workday.intl(int(AJ555),1,"1000000",Holidays!A:A)+hour(AJ555+AS$5-$B$1)/24+minute(AJ555)/1440),"")</f>
        <v/>
      </c>
      <c r="AT555" s="64" t="str">
        <f t="shared" si="21"/>
        <v/>
      </c>
      <c r="AV555" s="66" t="str">
        <f t="shared" si="25"/>
        <v/>
      </c>
      <c r="AW555" s="66"/>
      <c r="AX555" s="56"/>
    </row>
    <row r="556">
      <c r="A556" s="55">
        <v>45525.573758750004</v>
      </c>
      <c r="B556" s="56"/>
      <c r="C556" s="57"/>
      <c r="D556" s="57"/>
      <c r="E556" s="57"/>
      <c r="F556" s="57"/>
      <c r="G556" s="58">
        <f>if(A556,_xlfn.workday.intl(int(A556),1,"1000000",Holidays!A:A)+17/24,"")</f>
        <v>45526.70833</v>
      </c>
      <c r="H556" s="59" t="str">
        <f t="shared" si="23"/>
        <v/>
      </c>
      <c r="I556" s="60"/>
      <c r="J556" s="61">
        <f t="shared" si="2"/>
        <v>607.2755766</v>
      </c>
      <c r="K556" s="58">
        <f>if(G556,_xlfn.workday.intl(int(G556),0,"1000000",Holidays!A:A)+19/24,"")</f>
        <v>45526.79167</v>
      </c>
      <c r="L556" s="59" t="str">
        <f t="shared" si="3"/>
        <v/>
      </c>
      <c r="M556" s="60"/>
      <c r="N556" s="61">
        <f t="shared" si="4"/>
        <v>607.1922432</v>
      </c>
      <c r="O556" s="63">
        <f>if(A556,_xlfn.WORKDAY.INTL(A556,O$5,"1000000",Holidays!A:A)+hour(A556)/24+MINUTE(A556)/1440,"")</f>
        <v>45526.57361</v>
      </c>
      <c r="P556" s="64" t="s">
        <v>2718</v>
      </c>
      <c r="R556" s="66">
        <f t="shared" si="5"/>
        <v>607.4102988</v>
      </c>
      <c r="S556" s="66"/>
      <c r="T556" s="66"/>
      <c r="U556" s="64">
        <f>if(O556,_xlfn.WORKDAY.INTL(O556,U$5,"1000000",Holidays!A:A)+hour(O556)/24+MINUTE(O556)/1440,"")</f>
        <v>45527.57361</v>
      </c>
      <c r="V556" s="64" t="str">
        <f t="shared" si="6"/>
        <v/>
      </c>
      <c r="W556" s="66"/>
      <c r="X556" s="66">
        <f t="shared" si="7"/>
        <v>606.4102988</v>
      </c>
      <c r="Y556" s="66"/>
      <c r="Z556" s="66"/>
      <c r="AA556" s="66"/>
      <c r="AB556" s="63"/>
      <c r="AC556" s="63"/>
      <c r="AD556" s="63"/>
      <c r="AE556" s="63"/>
      <c r="AF556" s="63"/>
      <c r="AG556" s="63"/>
      <c r="AH556" s="63" t="str">
        <f t="shared" si="14"/>
        <v/>
      </c>
      <c r="AI556" s="63" t="str">
        <f>if(AH556,_xlfn.workday.intl(int(AH556),0,"1000000",Holidays!A:A)+18/24,"")</f>
        <v/>
      </c>
      <c r="AJ556" s="64" t="str">
        <f t="shared" si="24"/>
        <v/>
      </c>
      <c r="AL556" s="66" t="str">
        <f t="shared" si="9"/>
        <v/>
      </c>
      <c r="AM556" s="66"/>
      <c r="AN556" s="63" t="str">
        <f>if(AJ556,if(and(hour(AJ556+AN$5)&gt;11,(hour(AJ556+AN$5)&lt;20)),AJ556+AN$5,_xlfn.workday.intl(int(AJ556),1,"1000000",Holidays!A:A)+hour(AJ556+AN$5-$B$1)/24+minute(AJ556)/1440),"")</f>
        <v/>
      </c>
      <c r="AO556" s="64" t="str">
        <f t="shared" si="15"/>
        <v/>
      </c>
      <c r="AQ556" s="66" t="str">
        <f t="shared" si="16"/>
        <v/>
      </c>
      <c r="AR556" s="66"/>
      <c r="AS556" s="63" t="str">
        <f>if(AJ556,if(and(hour(AJ556+AS$5)&gt;11,(hour(AJ556+AS$5)&lt;20)),AJ556+AS$5,_xlfn.workday.intl(int(AJ556),1,"1000000",Holidays!A:A)+hour(AJ556+AS$5-$B$1)/24+minute(AJ556)/1440),"")</f>
        <v/>
      </c>
      <c r="AT556" s="64" t="str">
        <f t="shared" si="21"/>
        <v/>
      </c>
      <c r="AV556" s="66" t="str">
        <f t="shared" si="25"/>
        <v/>
      </c>
      <c r="AW556" s="66"/>
      <c r="AX556" s="56"/>
    </row>
    <row r="557">
      <c r="A557" s="55">
        <v>45536.69539365741</v>
      </c>
      <c r="B557" s="56"/>
      <c r="C557" s="57"/>
      <c r="D557" s="57"/>
      <c r="E557" s="57"/>
      <c r="F557" s="57"/>
      <c r="G557" s="58">
        <f>if(A557,_xlfn.workday.intl(int(A557),1,"1000000",Holidays!A:A)+17/24,"")</f>
        <v>45538.70833</v>
      </c>
      <c r="H557" s="59" t="str">
        <f t="shared" si="23"/>
        <v/>
      </c>
      <c r="I557" s="60"/>
      <c r="J557" s="61">
        <f t="shared" si="2"/>
        <v>595.2755766</v>
      </c>
      <c r="K557" s="58">
        <f>if(G557,_xlfn.workday.intl(int(G557),0,"1000000",Holidays!A:A)+19/24,"")</f>
        <v>45538.79167</v>
      </c>
      <c r="L557" s="59" t="str">
        <f t="shared" si="3"/>
        <v/>
      </c>
      <c r="M557" s="60"/>
      <c r="N557" s="61">
        <f t="shared" si="4"/>
        <v>595.1922432</v>
      </c>
      <c r="O557" s="63">
        <f>if(A557,_xlfn.WORKDAY.INTL(A557,O$5,"1000000",Holidays!A:A)+hour(A557)/24+MINUTE(A557)/1440,"")</f>
        <v>45538.69514</v>
      </c>
      <c r="P557" s="64" t="s">
        <v>2718</v>
      </c>
      <c r="R557" s="66">
        <f t="shared" si="5"/>
        <v>595.288771</v>
      </c>
      <c r="S557" s="66"/>
      <c r="T557" s="66"/>
      <c r="U557" s="64">
        <f>if(O557,_xlfn.WORKDAY.INTL(O557,U$5,"1000000",Holidays!A:A)+hour(O557)/24+MINUTE(O557)/1440,"")</f>
        <v>45539.69514</v>
      </c>
      <c r="V557" s="64" t="str">
        <f t="shared" si="6"/>
        <v/>
      </c>
      <c r="W557" s="66"/>
      <c r="X557" s="66">
        <f t="shared" si="7"/>
        <v>594.288771</v>
      </c>
      <c r="Y557" s="66"/>
      <c r="Z557" s="66"/>
      <c r="AA557" s="66"/>
      <c r="AB557" s="63"/>
      <c r="AC557" s="63"/>
      <c r="AD557" s="63"/>
      <c r="AE557" s="63"/>
      <c r="AF557" s="63"/>
      <c r="AG557" s="63"/>
      <c r="AH557" s="63" t="str">
        <f t="shared" si="14"/>
        <v/>
      </c>
      <c r="AI557" s="63" t="str">
        <f>if(AH557,_xlfn.workday.intl(int(AH557),0,"1000000",Holidays!A:A)+18/24,"")</f>
        <v/>
      </c>
      <c r="AJ557" s="64" t="str">
        <f t="shared" si="24"/>
        <v/>
      </c>
      <c r="AL557" s="66" t="str">
        <f t="shared" si="9"/>
        <v/>
      </c>
      <c r="AM557" s="66"/>
      <c r="AN557" s="63" t="str">
        <f>if(AJ557,if(and(hour(AJ557+AN$5)&gt;11,(hour(AJ557+AN$5)&lt;20)),AJ557+AN$5,_xlfn.workday.intl(int(AJ557),1,"1000000",Holidays!A:A)+hour(AJ557+AN$5-$B$1)/24+minute(AJ557)/1440),"")</f>
        <v/>
      </c>
      <c r="AO557" s="64" t="str">
        <f t="shared" si="15"/>
        <v/>
      </c>
      <c r="AQ557" s="66" t="str">
        <f t="shared" si="16"/>
        <v/>
      </c>
      <c r="AR557" s="66"/>
      <c r="AS557" s="63" t="str">
        <f>if(AJ557,if(and(hour(AJ557+AS$5)&gt;11,(hour(AJ557+AS$5)&lt;20)),AJ557+AS$5,_xlfn.workday.intl(int(AJ557),1,"1000000",Holidays!A:A)+hour(AJ557+AS$5-$B$1)/24+minute(AJ557)/1440),"")</f>
        <v/>
      </c>
      <c r="AT557" s="64" t="str">
        <f t="shared" si="21"/>
        <v/>
      </c>
      <c r="AV557" s="66" t="str">
        <f t="shared" si="25"/>
        <v/>
      </c>
      <c r="AW557" s="66"/>
      <c r="AX557" s="56"/>
    </row>
    <row r="558">
      <c r="A558" s="55">
        <v>45536.69820811343</v>
      </c>
      <c r="B558" s="56"/>
      <c r="C558" s="57"/>
      <c r="D558" s="57"/>
      <c r="E558" s="57"/>
      <c r="F558" s="57"/>
      <c r="G558" s="58">
        <f>if(A558,_xlfn.workday.intl(int(A558),1,"1000000",Holidays!A:A)+17/24,"")</f>
        <v>45538.70833</v>
      </c>
      <c r="H558" s="59" t="str">
        <f t="shared" si="23"/>
        <v/>
      </c>
      <c r="I558" s="60"/>
      <c r="J558" s="61">
        <f t="shared" si="2"/>
        <v>595.2755766</v>
      </c>
      <c r="K558" s="58">
        <f>if(G558,_xlfn.workday.intl(int(G558),0,"1000000",Holidays!A:A)+19/24,"")</f>
        <v>45538.79167</v>
      </c>
      <c r="L558" s="59" t="str">
        <f t="shared" si="3"/>
        <v/>
      </c>
      <c r="M558" s="60"/>
      <c r="N558" s="61">
        <f t="shared" si="4"/>
        <v>595.1922432</v>
      </c>
      <c r="O558" s="63">
        <f>if(A558,_xlfn.WORKDAY.INTL(A558,O$5,"1000000",Holidays!A:A)+hour(A558)/24+MINUTE(A558)/1440,"")</f>
        <v>45538.69792</v>
      </c>
      <c r="P558" s="64" t="s">
        <v>2718</v>
      </c>
      <c r="R558" s="66">
        <f t="shared" si="5"/>
        <v>595.2859932</v>
      </c>
      <c r="S558" s="66"/>
      <c r="T558" s="66"/>
      <c r="U558" s="64">
        <f>if(O558,_xlfn.WORKDAY.INTL(O558,U$5,"1000000",Holidays!A:A)+hour(O558)/24+MINUTE(O558)/1440,"")</f>
        <v>45539.69792</v>
      </c>
      <c r="V558" s="64" t="str">
        <f t="shared" si="6"/>
        <v/>
      </c>
      <c r="W558" s="66"/>
      <c r="X558" s="66">
        <f t="shared" si="7"/>
        <v>594.2859932</v>
      </c>
      <c r="Y558" s="66"/>
      <c r="Z558" s="66"/>
      <c r="AA558" s="66"/>
      <c r="AB558" s="63"/>
      <c r="AC558" s="63"/>
      <c r="AD558" s="63"/>
      <c r="AE558" s="63"/>
      <c r="AF558" s="63"/>
      <c r="AG558" s="63"/>
      <c r="AH558" s="63" t="str">
        <f t="shared" si="14"/>
        <v/>
      </c>
      <c r="AI558" s="63" t="str">
        <f>if(AH558,_xlfn.workday.intl(int(AH558),0,"1000000",Holidays!A:A)+18/24,"")</f>
        <v/>
      </c>
      <c r="AJ558" s="64" t="str">
        <f t="shared" si="24"/>
        <v/>
      </c>
      <c r="AL558" s="66" t="str">
        <f t="shared" si="9"/>
        <v/>
      </c>
      <c r="AM558" s="66"/>
      <c r="AN558" s="63" t="str">
        <f>if(AJ558,if(and(hour(AJ558+AN$5)&gt;11,(hour(AJ558+AN$5)&lt;20)),AJ558+AN$5,_xlfn.workday.intl(int(AJ558),1,"1000000",Holidays!A:A)+hour(AJ558+AN$5-$B$1)/24+minute(AJ558)/1440),"")</f>
        <v/>
      </c>
      <c r="AO558" s="64" t="str">
        <f t="shared" si="15"/>
        <v/>
      </c>
      <c r="AQ558" s="66" t="str">
        <f t="shared" si="16"/>
        <v/>
      </c>
      <c r="AR558" s="66"/>
      <c r="AS558" s="63" t="str">
        <f>if(AJ558,if(and(hour(AJ558+AS$5)&gt;11,(hour(AJ558+AS$5)&lt;20)),AJ558+AS$5,_xlfn.workday.intl(int(AJ558),1,"1000000",Holidays!A:A)+hour(AJ558+AS$5-$B$1)/24+minute(AJ558)/1440),"")</f>
        <v/>
      </c>
      <c r="AT558" s="64" t="str">
        <f t="shared" si="21"/>
        <v/>
      </c>
      <c r="AV558" s="66" t="str">
        <f t="shared" si="25"/>
        <v/>
      </c>
      <c r="AW558" s="66"/>
      <c r="AX558" s="56"/>
    </row>
    <row r="559">
      <c r="A559" s="55">
        <v>45536.6994552199</v>
      </c>
      <c r="B559" s="56"/>
      <c r="C559" s="57"/>
      <c r="D559" s="57"/>
      <c r="E559" s="57"/>
      <c r="F559" s="57"/>
      <c r="G559" s="58">
        <f>if(A559,_xlfn.workday.intl(int(A559),1,"1000000",Holidays!A:A)+17/24,"")</f>
        <v>45538.70833</v>
      </c>
      <c r="H559" s="59" t="str">
        <f t="shared" si="23"/>
        <v/>
      </c>
      <c r="I559" s="60"/>
      <c r="J559" s="61">
        <f t="shared" si="2"/>
        <v>595.2755766</v>
      </c>
      <c r="K559" s="58">
        <f>if(G559,_xlfn.workday.intl(int(G559),0,"1000000",Holidays!A:A)+19/24,"")</f>
        <v>45538.79167</v>
      </c>
      <c r="L559" s="59" t="str">
        <f t="shared" si="3"/>
        <v/>
      </c>
      <c r="M559" s="60"/>
      <c r="N559" s="61">
        <f t="shared" si="4"/>
        <v>595.1922432</v>
      </c>
      <c r="O559" s="63">
        <f>if(A559,_xlfn.WORKDAY.INTL(A559,O$5,"1000000",Holidays!A:A)+hour(A559)/24+MINUTE(A559)/1440,"")</f>
        <v>45538.69931</v>
      </c>
      <c r="P559" s="64" t="s">
        <v>2718</v>
      </c>
      <c r="R559" s="66">
        <f t="shared" si="5"/>
        <v>595.2846043</v>
      </c>
      <c r="S559" s="66"/>
      <c r="T559" s="66"/>
      <c r="U559" s="64">
        <f>if(O559,_xlfn.WORKDAY.INTL(O559,U$5,"1000000",Holidays!A:A)+hour(O559)/24+MINUTE(O559)/1440,"")</f>
        <v>45539.69931</v>
      </c>
      <c r="V559" s="64" t="str">
        <f t="shared" si="6"/>
        <v/>
      </c>
      <c r="W559" s="66"/>
      <c r="X559" s="66">
        <f t="shared" si="7"/>
        <v>594.2846043</v>
      </c>
      <c r="Y559" s="66"/>
      <c r="Z559" s="66"/>
      <c r="AA559" s="66"/>
      <c r="AB559" s="63"/>
      <c r="AC559" s="63"/>
      <c r="AD559" s="63"/>
      <c r="AE559" s="63"/>
      <c r="AF559" s="63"/>
      <c r="AG559" s="63"/>
      <c r="AH559" s="63" t="str">
        <f t="shared" si="14"/>
        <v/>
      </c>
      <c r="AI559" s="63" t="str">
        <f>if(AH559,_xlfn.workday.intl(int(AH559),0,"1000000",Holidays!A:A)+18/24,"")</f>
        <v/>
      </c>
      <c r="AJ559" s="64" t="str">
        <f t="shared" si="24"/>
        <v/>
      </c>
      <c r="AL559" s="66" t="str">
        <f t="shared" si="9"/>
        <v/>
      </c>
      <c r="AM559" s="66"/>
      <c r="AN559" s="63" t="str">
        <f>if(AJ559,if(and(hour(AJ559+AN$5)&gt;11,(hour(AJ559+AN$5)&lt;20)),AJ559+AN$5,_xlfn.workday.intl(int(AJ559),1,"1000000",Holidays!A:A)+hour(AJ559+AN$5-$B$1)/24+minute(AJ559)/1440),"")</f>
        <v/>
      </c>
      <c r="AO559" s="64" t="str">
        <f t="shared" si="15"/>
        <v/>
      </c>
      <c r="AQ559" s="66" t="str">
        <f t="shared" si="16"/>
        <v/>
      </c>
      <c r="AR559" s="66"/>
      <c r="AS559" s="63" t="str">
        <f>if(AJ559,if(and(hour(AJ559+AS$5)&gt;11,(hour(AJ559+AS$5)&lt;20)),AJ559+AS$5,_xlfn.workday.intl(int(AJ559),1,"1000000",Holidays!A:A)+hour(AJ559+AS$5-$B$1)/24+minute(AJ559)/1440),"")</f>
        <v/>
      </c>
      <c r="AT559" s="64" t="str">
        <f t="shared" si="21"/>
        <v/>
      </c>
      <c r="AV559" s="66" t="str">
        <f t="shared" si="25"/>
        <v/>
      </c>
      <c r="AW559" s="66"/>
      <c r="AX559" s="56"/>
    </row>
    <row r="560">
      <c r="A560" s="55">
        <v>45536.70163039352</v>
      </c>
      <c r="B560" s="56"/>
      <c r="C560" s="57"/>
      <c r="D560" s="57"/>
      <c r="E560" s="57"/>
      <c r="F560" s="57"/>
      <c r="G560" s="58">
        <f>if(A560,_xlfn.workday.intl(int(A560),1,"1000000",Holidays!A:A)+17/24,"")</f>
        <v>45538.70833</v>
      </c>
      <c r="H560" s="59" t="str">
        <f t="shared" si="23"/>
        <v/>
      </c>
      <c r="I560" s="60"/>
      <c r="J560" s="61">
        <f t="shared" si="2"/>
        <v>595.2755766</v>
      </c>
      <c r="K560" s="58">
        <f>if(G560,_xlfn.workday.intl(int(G560),0,"1000000",Holidays!A:A)+19/24,"")</f>
        <v>45538.79167</v>
      </c>
      <c r="L560" s="59" t="str">
        <f t="shared" si="3"/>
        <v/>
      </c>
      <c r="M560" s="60"/>
      <c r="N560" s="61">
        <f t="shared" si="4"/>
        <v>595.1922432</v>
      </c>
      <c r="O560" s="63">
        <f>if(A560,_xlfn.WORKDAY.INTL(A560,O$5,"1000000",Holidays!A:A)+hour(A560)/24+MINUTE(A560)/1440,"")</f>
        <v>45538.70139</v>
      </c>
      <c r="P560" s="64" t="s">
        <v>2718</v>
      </c>
      <c r="R560" s="66">
        <f t="shared" si="5"/>
        <v>595.282521</v>
      </c>
      <c r="S560" s="66"/>
      <c r="T560" s="66"/>
      <c r="U560" s="64">
        <f>if(O560,_xlfn.WORKDAY.INTL(O560,U$5,"1000000",Holidays!A:A)+hour(O560)/24+MINUTE(O560)/1440,"")</f>
        <v>45539.70139</v>
      </c>
      <c r="V560" s="64" t="str">
        <f t="shared" si="6"/>
        <v/>
      </c>
      <c r="W560" s="66"/>
      <c r="X560" s="66">
        <f t="shared" si="7"/>
        <v>594.282521</v>
      </c>
      <c r="Y560" s="66"/>
      <c r="Z560" s="66"/>
      <c r="AA560" s="66"/>
      <c r="AB560" s="63"/>
      <c r="AC560" s="63"/>
      <c r="AD560" s="63"/>
      <c r="AE560" s="63"/>
      <c r="AF560" s="63"/>
      <c r="AG560" s="63"/>
      <c r="AH560" s="63" t="str">
        <f t="shared" si="14"/>
        <v/>
      </c>
      <c r="AI560" s="63" t="str">
        <f>if(AH560,_xlfn.workday.intl(int(AH560),0,"1000000",Holidays!A:A)+18/24,"")</f>
        <v/>
      </c>
      <c r="AJ560" s="64" t="str">
        <f t="shared" si="24"/>
        <v/>
      </c>
      <c r="AL560" s="66" t="str">
        <f t="shared" si="9"/>
        <v/>
      </c>
      <c r="AM560" s="66"/>
      <c r="AN560" s="63" t="str">
        <f>if(AJ560,if(and(hour(AJ560+AN$5)&gt;11,(hour(AJ560+AN$5)&lt;20)),AJ560+AN$5,_xlfn.workday.intl(int(AJ560),1,"1000000",Holidays!A:A)+hour(AJ560+AN$5-$B$1)/24+minute(AJ560)/1440),"")</f>
        <v/>
      </c>
      <c r="AO560" s="64" t="str">
        <f t="shared" si="15"/>
        <v/>
      </c>
      <c r="AQ560" s="66" t="str">
        <f t="shared" si="16"/>
        <v/>
      </c>
      <c r="AR560" s="66"/>
      <c r="AS560" s="63" t="str">
        <f>if(AJ560,if(and(hour(AJ560+AS$5)&gt;11,(hour(AJ560+AS$5)&lt;20)),AJ560+AS$5,_xlfn.workday.intl(int(AJ560),1,"1000000",Holidays!A:A)+hour(AJ560+AS$5-$B$1)/24+minute(AJ560)/1440),"")</f>
        <v/>
      </c>
      <c r="AT560" s="64" t="str">
        <f t="shared" si="21"/>
        <v/>
      </c>
      <c r="AV560" s="66" t="str">
        <f t="shared" si="25"/>
        <v/>
      </c>
      <c r="AW560" s="66"/>
      <c r="AX560" s="56"/>
    </row>
    <row r="561">
      <c r="A561" s="55">
        <v>45541.49722269676</v>
      </c>
      <c r="B561" s="56"/>
      <c r="C561" s="57"/>
      <c r="D561" s="57"/>
      <c r="E561" s="57"/>
      <c r="F561" s="57"/>
      <c r="G561" s="58">
        <f>if(A561,_xlfn.workday.intl(int(A561),1,"1000000",Holidays!A:A)+17/24,"")</f>
        <v>45542.70833</v>
      </c>
      <c r="H561" s="59" t="str">
        <f t="shared" si="23"/>
        <v/>
      </c>
      <c r="I561" s="60"/>
      <c r="J561" s="61">
        <f t="shared" si="2"/>
        <v>591.2755766</v>
      </c>
      <c r="K561" s="58">
        <f>if(G561,_xlfn.workday.intl(int(G561),0,"1000000",Holidays!A:A)+19/24,"")</f>
        <v>45542.79167</v>
      </c>
      <c r="L561" s="59" t="str">
        <f t="shared" si="3"/>
        <v/>
      </c>
      <c r="M561" s="60"/>
      <c r="N561" s="61">
        <f t="shared" si="4"/>
        <v>591.1922432</v>
      </c>
      <c r="O561" s="63">
        <f>if(A561,_xlfn.WORKDAY.INTL(A561,O$5,"1000000",Holidays!A:A)+hour(A561)/24+MINUTE(A561)/1440,"")</f>
        <v>45542.49722</v>
      </c>
      <c r="P561" s="64" t="s">
        <v>2718</v>
      </c>
      <c r="R561" s="66">
        <f t="shared" si="5"/>
        <v>591.4866877</v>
      </c>
      <c r="S561" s="66"/>
      <c r="T561" s="66"/>
      <c r="U561" s="64">
        <f>if(O561,_xlfn.WORKDAY.INTL(O561,U$5,"1000000",Holidays!A:A)+hour(O561)/24+MINUTE(O561)/1440,"")</f>
        <v>45543.49722</v>
      </c>
      <c r="V561" s="64" t="str">
        <f t="shared" si="6"/>
        <v/>
      </c>
      <c r="W561" s="66"/>
      <c r="X561" s="66">
        <f t="shared" si="7"/>
        <v>590.4866877</v>
      </c>
      <c r="Y561" s="66"/>
      <c r="Z561" s="66"/>
      <c r="AA561" s="66"/>
      <c r="AB561" s="63"/>
      <c r="AC561" s="63"/>
      <c r="AD561" s="63"/>
      <c r="AE561" s="63"/>
      <c r="AF561" s="63"/>
      <c r="AG561" s="63"/>
      <c r="AH561" s="63" t="str">
        <f t="shared" si="14"/>
        <v/>
      </c>
      <c r="AI561" s="63" t="str">
        <f>if(AH561,_xlfn.workday.intl(int(AH561),0,"1000000",Holidays!A:A)+18/24,"")</f>
        <v/>
      </c>
      <c r="AJ561" s="64" t="str">
        <f t="shared" si="24"/>
        <v/>
      </c>
      <c r="AL561" s="66" t="str">
        <f t="shared" si="9"/>
        <v/>
      </c>
      <c r="AM561" s="66"/>
      <c r="AN561" s="63" t="str">
        <f>if(AJ561,if(and(hour(AJ561+AN$5)&gt;11,(hour(AJ561+AN$5)&lt;20)),AJ561+AN$5,_xlfn.workday.intl(int(AJ561),1,"1000000",Holidays!A:A)+hour(AJ561+AN$5-$B$1)/24+minute(AJ561)/1440),"")</f>
        <v/>
      </c>
      <c r="AO561" s="64" t="str">
        <f t="shared" si="15"/>
        <v/>
      </c>
      <c r="AQ561" s="66" t="str">
        <f t="shared" si="16"/>
        <v/>
      </c>
      <c r="AR561" s="66"/>
      <c r="AS561" s="63" t="str">
        <f>if(AJ561,if(and(hour(AJ561+AS$5)&gt;11,(hour(AJ561+AS$5)&lt;20)),AJ561+AS$5,_xlfn.workday.intl(int(AJ561),1,"1000000",Holidays!A:A)+hour(AJ561+AS$5-$B$1)/24+minute(AJ561)/1440),"")</f>
        <v/>
      </c>
      <c r="AT561" s="64" t="str">
        <f t="shared" si="21"/>
        <v/>
      </c>
      <c r="AV561" s="66" t="str">
        <f t="shared" si="25"/>
        <v/>
      </c>
      <c r="AW561" s="66"/>
      <c r="AX561" s="56"/>
    </row>
    <row r="562">
      <c r="A562" s="55">
        <v>45541.499944675925</v>
      </c>
      <c r="B562" s="56"/>
      <c r="C562" s="57"/>
      <c r="D562" s="57"/>
      <c r="E562" s="57"/>
      <c r="F562" s="57"/>
      <c r="G562" s="58">
        <f>if(A562,_xlfn.workday.intl(int(A562),1,"1000000",Holidays!A:A)+17/24,"")</f>
        <v>45542.70833</v>
      </c>
      <c r="H562" s="59" t="str">
        <f t="shared" si="23"/>
        <v/>
      </c>
      <c r="I562" s="60"/>
      <c r="J562" s="61">
        <f t="shared" si="2"/>
        <v>591.2755766</v>
      </c>
      <c r="K562" s="58">
        <f>if(G562,_xlfn.workday.intl(int(G562),0,"1000000",Holidays!A:A)+19/24,"")</f>
        <v>45542.79167</v>
      </c>
      <c r="L562" s="59" t="str">
        <f t="shared" si="3"/>
        <v/>
      </c>
      <c r="M562" s="60"/>
      <c r="N562" s="61">
        <f t="shared" si="4"/>
        <v>591.1922432</v>
      </c>
      <c r="O562" s="63">
        <f>if(A562,_xlfn.WORKDAY.INTL(A562,O$5,"1000000",Holidays!A:A)+hour(A562)/24+MINUTE(A562)/1440,"")</f>
        <v>45542.49931</v>
      </c>
      <c r="P562" s="64" t="s">
        <v>2718</v>
      </c>
      <c r="R562" s="66">
        <f t="shared" si="5"/>
        <v>591.4846043</v>
      </c>
      <c r="S562" s="66"/>
      <c r="T562" s="66"/>
      <c r="U562" s="64">
        <f>if(O562,_xlfn.WORKDAY.INTL(O562,U$5,"1000000",Holidays!A:A)+hour(O562)/24+MINUTE(O562)/1440,"")</f>
        <v>45543.49931</v>
      </c>
      <c r="V562" s="64" t="str">
        <f t="shared" si="6"/>
        <v/>
      </c>
      <c r="W562" s="66"/>
      <c r="X562" s="66">
        <f t="shared" si="7"/>
        <v>590.4846043</v>
      </c>
      <c r="Y562" s="66"/>
      <c r="Z562" s="66"/>
      <c r="AA562" s="66"/>
      <c r="AB562" s="63"/>
      <c r="AC562" s="63"/>
      <c r="AD562" s="63"/>
      <c r="AE562" s="63"/>
      <c r="AF562" s="63"/>
      <c r="AG562" s="63"/>
      <c r="AH562" s="63" t="str">
        <f t="shared" si="14"/>
        <v/>
      </c>
      <c r="AI562" s="63" t="str">
        <f>if(AH562,_xlfn.workday.intl(int(AH562),0,"1000000",Holidays!A:A)+18/24,"")</f>
        <v/>
      </c>
      <c r="AJ562" s="64" t="str">
        <f t="shared" si="24"/>
        <v/>
      </c>
      <c r="AL562" s="66" t="str">
        <f t="shared" si="9"/>
        <v/>
      </c>
      <c r="AM562" s="66"/>
      <c r="AN562" s="63" t="str">
        <f>if(AJ562,if(and(hour(AJ562+AN$5)&gt;11,(hour(AJ562+AN$5)&lt;20)),AJ562+AN$5,_xlfn.workday.intl(int(AJ562),1,"1000000",Holidays!A:A)+hour(AJ562+AN$5-$B$1)/24+minute(AJ562)/1440),"")</f>
        <v/>
      </c>
      <c r="AO562" s="64" t="str">
        <f t="shared" si="15"/>
        <v/>
      </c>
      <c r="AQ562" s="66" t="str">
        <f t="shared" si="16"/>
        <v/>
      </c>
      <c r="AR562" s="66"/>
      <c r="AS562" s="63" t="str">
        <f>if(AJ562,if(and(hour(AJ562+AS$5)&gt;11,(hour(AJ562+AS$5)&lt;20)),AJ562+AS$5,_xlfn.workday.intl(int(AJ562),1,"1000000",Holidays!A:A)+hour(AJ562+AS$5-$B$1)/24+minute(AJ562)/1440),"")</f>
        <v/>
      </c>
      <c r="AT562" s="64" t="str">
        <f t="shared" si="21"/>
        <v/>
      </c>
      <c r="AV562" s="66" t="str">
        <f t="shared" si="25"/>
        <v/>
      </c>
      <c r="AW562" s="66"/>
      <c r="AX562" s="56"/>
    </row>
    <row r="563">
      <c r="A563" s="55">
        <v>45556.62494822917</v>
      </c>
      <c r="B563" s="56"/>
      <c r="C563" s="57"/>
      <c r="D563" s="57"/>
      <c r="E563" s="57"/>
      <c r="F563" s="57"/>
      <c r="G563" s="58">
        <f>if(A563,_xlfn.workday.intl(int(A563),1,"1000000",Holidays!A:A)+17/24,"")</f>
        <v>45557.70833</v>
      </c>
      <c r="H563" s="59" t="str">
        <f t="shared" si="23"/>
        <v/>
      </c>
      <c r="I563" s="60"/>
      <c r="J563" s="61">
        <f t="shared" si="2"/>
        <v>576.2755766</v>
      </c>
      <c r="K563" s="58">
        <f>if(G563,_xlfn.workday.intl(int(G563),0,"1000000",Holidays!A:A)+19/24,"")</f>
        <v>45557.79167</v>
      </c>
      <c r="L563" s="59" t="str">
        <f t="shared" si="3"/>
        <v/>
      </c>
      <c r="M563" s="60"/>
      <c r="N563" s="61">
        <f t="shared" si="4"/>
        <v>576.1922432</v>
      </c>
      <c r="O563" s="63">
        <f>if(A563,_xlfn.WORKDAY.INTL(A563,O$5,"1000000",Holidays!A:A)+hour(A563)/24+MINUTE(A563)/1440,"")</f>
        <v>45557.62431</v>
      </c>
      <c r="P563" s="64" t="s">
        <v>2718</v>
      </c>
      <c r="R563" s="66">
        <f t="shared" si="5"/>
        <v>576.3596043</v>
      </c>
      <c r="S563" s="66"/>
      <c r="T563" s="66"/>
      <c r="U563" s="64">
        <f>if(O563,_xlfn.WORKDAY.INTL(O563,U$5,"1000000",Holidays!A:A)+hour(O563)/24+MINUTE(O563)/1440,"")</f>
        <v>45559.62431</v>
      </c>
      <c r="V563" s="64" t="str">
        <f t="shared" si="6"/>
        <v/>
      </c>
      <c r="W563" s="66"/>
      <c r="X563" s="66">
        <f t="shared" si="7"/>
        <v>574.3596043</v>
      </c>
      <c r="Y563" s="66"/>
      <c r="Z563" s="66"/>
      <c r="AA563" s="66"/>
      <c r="AB563" s="63"/>
      <c r="AC563" s="63"/>
      <c r="AD563" s="63"/>
      <c r="AE563" s="63"/>
      <c r="AF563" s="63"/>
      <c r="AG563" s="63"/>
      <c r="AH563" s="63" t="str">
        <f t="shared" si="14"/>
        <v/>
      </c>
      <c r="AI563" s="63" t="str">
        <f>if(AH563,_xlfn.workday.intl(int(AH563),0,"1000000",Holidays!A:A)+18/24,"")</f>
        <v/>
      </c>
      <c r="AJ563" s="64" t="str">
        <f t="shared" si="24"/>
        <v/>
      </c>
      <c r="AL563" s="66" t="str">
        <f t="shared" si="9"/>
        <v/>
      </c>
      <c r="AM563" s="66"/>
      <c r="AN563" s="63" t="str">
        <f>if(AJ563,if(and(hour(AJ563+AN$5)&gt;11,(hour(AJ563+AN$5)&lt;20)),AJ563+AN$5,_xlfn.workday.intl(int(AJ563),1,"1000000",Holidays!A:A)+hour(AJ563+AN$5-$B$1)/24+minute(AJ563)/1440),"")</f>
        <v/>
      </c>
      <c r="AO563" s="64" t="str">
        <f t="shared" si="15"/>
        <v/>
      </c>
      <c r="AQ563" s="66" t="str">
        <f t="shared" si="16"/>
        <v/>
      </c>
      <c r="AR563" s="66"/>
      <c r="AS563" s="63" t="str">
        <f>if(AJ563,if(and(hour(AJ563+AS$5)&gt;11,(hour(AJ563+AS$5)&lt;20)),AJ563+AS$5,_xlfn.workday.intl(int(AJ563),1,"1000000",Holidays!A:A)+hour(AJ563+AS$5-$B$1)/24+minute(AJ563)/1440),"")</f>
        <v/>
      </c>
      <c r="AT563" s="64" t="str">
        <f t="shared" si="21"/>
        <v/>
      </c>
      <c r="AV563" s="66" t="str">
        <f t="shared" si="25"/>
        <v/>
      </c>
      <c r="AW563" s="66"/>
      <c r="AX563" s="56"/>
    </row>
    <row r="564">
      <c r="A564" s="55">
        <v>45556.62787509259</v>
      </c>
      <c r="B564" s="56"/>
      <c r="C564" s="57"/>
      <c r="D564" s="57"/>
      <c r="E564" s="57"/>
      <c r="F564" s="57"/>
      <c r="G564" s="58">
        <f>if(A564,_xlfn.workday.intl(int(A564),1,"1000000",Holidays!A:A)+17/24,"")</f>
        <v>45557.70833</v>
      </c>
      <c r="H564" s="59" t="str">
        <f t="shared" si="23"/>
        <v/>
      </c>
      <c r="I564" s="60"/>
      <c r="J564" s="61">
        <f t="shared" si="2"/>
        <v>576.2755766</v>
      </c>
      <c r="K564" s="58">
        <f>if(G564,_xlfn.workday.intl(int(G564),0,"1000000",Holidays!A:A)+19/24,"")</f>
        <v>45557.79167</v>
      </c>
      <c r="L564" s="59" t="str">
        <f t="shared" si="3"/>
        <v/>
      </c>
      <c r="M564" s="60"/>
      <c r="N564" s="61">
        <f t="shared" si="4"/>
        <v>576.1922432</v>
      </c>
      <c r="O564" s="63">
        <f>if(A564,_xlfn.WORKDAY.INTL(A564,O$5,"1000000",Holidays!A:A)+hour(A564)/24+MINUTE(A564)/1440,"")</f>
        <v>45557.62778</v>
      </c>
      <c r="P564" s="64" t="s">
        <v>2718</v>
      </c>
      <c r="R564" s="66">
        <f t="shared" si="5"/>
        <v>576.3561321</v>
      </c>
      <c r="S564" s="66"/>
      <c r="T564" s="66"/>
      <c r="U564" s="64">
        <f>if(O564,_xlfn.WORKDAY.INTL(O564,U$5,"1000000",Holidays!A:A)+hour(O564)/24+MINUTE(O564)/1440,"")</f>
        <v>45559.62778</v>
      </c>
      <c r="V564" s="64" t="str">
        <f t="shared" si="6"/>
        <v/>
      </c>
      <c r="W564" s="66"/>
      <c r="X564" s="66">
        <f t="shared" si="7"/>
        <v>574.3561321</v>
      </c>
      <c r="Y564" s="66"/>
      <c r="Z564" s="66"/>
      <c r="AA564" s="66"/>
      <c r="AB564" s="63"/>
      <c r="AC564" s="63"/>
      <c r="AD564" s="63"/>
      <c r="AE564" s="63"/>
      <c r="AF564" s="63"/>
      <c r="AG564" s="63"/>
      <c r="AH564" s="63" t="str">
        <f t="shared" si="14"/>
        <v/>
      </c>
      <c r="AI564" s="63" t="str">
        <f>if(AH564,_xlfn.workday.intl(int(AH564),0,"1000000",Holidays!A:A)+18/24,"")</f>
        <v/>
      </c>
      <c r="AJ564" s="64" t="str">
        <f t="shared" si="24"/>
        <v/>
      </c>
      <c r="AL564" s="66" t="str">
        <f t="shared" si="9"/>
        <v/>
      </c>
      <c r="AM564" s="66"/>
      <c r="AN564" s="63" t="str">
        <f>if(AJ564,if(and(hour(AJ564+AN$5)&gt;11,(hour(AJ564+AN$5)&lt;20)),AJ564+AN$5,_xlfn.workday.intl(int(AJ564),1,"1000000",Holidays!A:A)+hour(AJ564+AN$5-$B$1)/24+minute(AJ564)/1440),"")</f>
        <v/>
      </c>
      <c r="AO564" s="64" t="str">
        <f t="shared" si="15"/>
        <v/>
      </c>
      <c r="AQ564" s="66" t="str">
        <f t="shared" si="16"/>
        <v/>
      </c>
      <c r="AR564" s="66"/>
      <c r="AS564" s="63" t="str">
        <f>if(AJ564,if(and(hour(AJ564+AS$5)&gt;11,(hour(AJ564+AS$5)&lt;20)),AJ564+AS$5,_xlfn.workday.intl(int(AJ564),1,"1000000",Holidays!A:A)+hour(AJ564+AS$5-$B$1)/24+minute(AJ564)/1440),"")</f>
        <v/>
      </c>
      <c r="AT564" s="64" t="str">
        <f t="shared" si="21"/>
        <v/>
      </c>
      <c r="AV564" s="66" t="str">
        <f t="shared" si="25"/>
        <v/>
      </c>
      <c r="AW564" s="66"/>
      <c r="AX564" s="56"/>
    </row>
    <row r="565">
      <c r="A565" s="55">
        <v>45556.630143622686</v>
      </c>
      <c r="B565" s="56"/>
      <c r="C565" s="57"/>
      <c r="D565" s="57"/>
      <c r="E565" s="57"/>
      <c r="F565" s="57"/>
      <c r="G565" s="58">
        <f>if(A565,_xlfn.workday.intl(int(A565),1,"1000000",Holidays!A:A)+17/24,"")</f>
        <v>45557.70833</v>
      </c>
      <c r="H565" s="59" t="str">
        <f t="shared" si="23"/>
        <v/>
      </c>
      <c r="I565" s="60"/>
      <c r="J565" s="61">
        <f t="shared" si="2"/>
        <v>576.2755766</v>
      </c>
      <c r="K565" s="58">
        <f>if(G565,_xlfn.workday.intl(int(G565),0,"1000000",Holidays!A:A)+19/24,"")</f>
        <v>45557.79167</v>
      </c>
      <c r="L565" s="59" t="str">
        <f t="shared" si="3"/>
        <v/>
      </c>
      <c r="M565" s="60"/>
      <c r="N565" s="61">
        <f t="shared" si="4"/>
        <v>576.1922432</v>
      </c>
      <c r="O565" s="63">
        <f>if(A565,_xlfn.WORKDAY.INTL(A565,O$5,"1000000",Holidays!A:A)+hour(A565)/24+MINUTE(A565)/1440,"")</f>
        <v>45557.62986</v>
      </c>
      <c r="P565" s="64" t="s">
        <v>2718</v>
      </c>
      <c r="R565" s="66">
        <f t="shared" si="5"/>
        <v>576.3540488</v>
      </c>
      <c r="S565" s="66"/>
      <c r="T565" s="66"/>
      <c r="U565" s="64">
        <f>if(O565,_xlfn.WORKDAY.INTL(O565,U$5,"1000000",Holidays!A:A)+hour(O565)/24+MINUTE(O565)/1440,"")</f>
        <v>45559.62986</v>
      </c>
      <c r="V565" s="64" t="str">
        <f t="shared" si="6"/>
        <v/>
      </c>
      <c r="W565" s="66"/>
      <c r="X565" s="66">
        <f t="shared" si="7"/>
        <v>574.3540488</v>
      </c>
      <c r="Y565" s="66"/>
      <c r="Z565" s="66"/>
      <c r="AA565" s="66"/>
      <c r="AB565" s="63"/>
      <c r="AC565" s="63"/>
      <c r="AD565" s="63"/>
      <c r="AE565" s="63"/>
      <c r="AF565" s="63"/>
      <c r="AG565" s="63"/>
      <c r="AH565" s="63" t="str">
        <f t="shared" si="14"/>
        <v/>
      </c>
      <c r="AI565" s="63" t="str">
        <f>if(AH565,_xlfn.workday.intl(int(AH565),0,"1000000",Holidays!A:A)+18/24,"")</f>
        <v/>
      </c>
      <c r="AJ565" s="64" t="str">
        <f t="shared" si="24"/>
        <v/>
      </c>
      <c r="AL565" s="66" t="str">
        <f t="shared" si="9"/>
        <v/>
      </c>
      <c r="AM565" s="66"/>
      <c r="AN565" s="63" t="str">
        <f>if(AJ565,if(and(hour(AJ565+AN$5)&gt;11,(hour(AJ565+AN$5)&lt;20)),AJ565+AN$5,_xlfn.workday.intl(int(AJ565),1,"1000000",Holidays!A:A)+hour(AJ565+AN$5-$B$1)/24+minute(AJ565)/1440),"")</f>
        <v/>
      </c>
      <c r="AO565" s="64" t="str">
        <f t="shared" si="15"/>
        <v/>
      </c>
      <c r="AQ565" s="66" t="str">
        <f t="shared" si="16"/>
        <v/>
      </c>
      <c r="AR565" s="66"/>
      <c r="AS565" s="63" t="str">
        <f>if(AJ565,if(and(hour(AJ565+AS$5)&gt;11,(hour(AJ565+AS$5)&lt;20)),AJ565+AS$5,_xlfn.workday.intl(int(AJ565),1,"1000000",Holidays!A:A)+hour(AJ565+AS$5-$B$1)/24+minute(AJ565)/1440),"")</f>
        <v/>
      </c>
      <c r="AT565" s="64" t="str">
        <f t="shared" si="21"/>
        <v/>
      </c>
      <c r="AV565" s="66" t="str">
        <f t="shared" si="25"/>
        <v/>
      </c>
      <c r="AW565" s="66"/>
      <c r="AX565" s="56"/>
    </row>
    <row r="566">
      <c r="A566" s="55">
        <v>45556.6362168287</v>
      </c>
      <c r="B566" s="56"/>
      <c r="C566" s="57"/>
      <c r="D566" s="57"/>
      <c r="E566" s="57"/>
      <c r="F566" s="57"/>
      <c r="G566" s="58">
        <f>if(A566,_xlfn.workday.intl(int(A566),1,"1000000",Holidays!A:A)+17/24,"")</f>
        <v>45557.70833</v>
      </c>
      <c r="H566" s="59" t="str">
        <f t="shared" si="23"/>
        <v/>
      </c>
      <c r="I566" s="60"/>
      <c r="J566" s="61">
        <f t="shared" si="2"/>
        <v>576.2755766</v>
      </c>
      <c r="K566" s="58">
        <f>if(G566,_xlfn.workday.intl(int(G566),0,"1000000",Holidays!A:A)+19/24,"")</f>
        <v>45557.79167</v>
      </c>
      <c r="L566" s="59" t="str">
        <f t="shared" si="3"/>
        <v/>
      </c>
      <c r="M566" s="60"/>
      <c r="N566" s="61">
        <f t="shared" si="4"/>
        <v>576.1922432</v>
      </c>
      <c r="O566" s="63">
        <f>if(A566,_xlfn.WORKDAY.INTL(A566,O$5,"1000000",Holidays!A:A)+hour(A566)/24+MINUTE(A566)/1440,"")</f>
        <v>45557.63611</v>
      </c>
      <c r="P566" s="64" t="s">
        <v>2718</v>
      </c>
      <c r="R566" s="66">
        <f t="shared" si="5"/>
        <v>576.3477988</v>
      </c>
      <c r="S566" s="66"/>
      <c r="T566" s="66"/>
      <c r="U566" s="64">
        <f>if(O566,_xlfn.WORKDAY.INTL(O566,U$5,"1000000",Holidays!A:A)+hour(O566)/24+MINUTE(O566)/1440,"")</f>
        <v>45559.63611</v>
      </c>
      <c r="V566" s="64" t="str">
        <f t="shared" si="6"/>
        <v/>
      </c>
      <c r="W566" s="66"/>
      <c r="X566" s="66">
        <f t="shared" si="7"/>
        <v>574.3477988</v>
      </c>
      <c r="Y566" s="66"/>
      <c r="Z566" s="66"/>
      <c r="AA566" s="66"/>
      <c r="AB566" s="63"/>
      <c r="AC566" s="63"/>
      <c r="AD566" s="63"/>
      <c r="AE566" s="63"/>
      <c r="AF566" s="63"/>
      <c r="AG566" s="63"/>
      <c r="AH566" s="63" t="str">
        <f t="shared" si="14"/>
        <v/>
      </c>
      <c r="AI566" s="63" t="str">
        <f>if(AH566,_xlfn.workday.intl(int(AH566),0,"1000000",Holidays!A:A)+18/24,"")</f>
        <v/>
      </c>
      <c r="AJ566" s="64" t="str">
        <f t="shared" si="24"/>
        <v/>
      </c>
      <c r="AL566" s="66" t="str">
        <f t="shared" si="9"/>
        <v/>
      </c>
      <c r="AM566" s="66"/>
      <c r="AN566" s="63" t="str">
        <f>if(AJ566,if(and(hour(AJ566+AN$5)&gt;11,(hour(AJ566+AN$5)&lt;20)),AJ566+AN$5,_xlfn.workday.intl(int(AJ566),1,"1000000",Holidays!A:A)+hour(AJ566+AN$5-$B$1)/24+minute(AJ566)/1440),"")</f>
        <v/>
      </c>
      <c r="AO566" s="64" t="str">
        <f t="shared" si="15"/>
        <v/>
      </c>
      <c r="AQ566" s="66" t="str">
        <f t="shared" si="16"/>
        <v/>
      </c>
      <c r="AR566" s="66"/>
      <c r="AS566" s="63" t="str">
        <f>if(AJ566,if(and(hour(AJ566+AS$5)&gt;11,(hour(AJ566+AS$5)&lt;20)),AJ566+AS$5,_xlfn.workday.intl(int(AJ566),1,"1000000",Holidays!A:A)+hour(AJ566+AS$5-$B$1)/24+minute(AJ566)/1440),"")</f>
        <v/>
      </c>
      <c r="AT566" s="64" t="str">
        <f t="shared" si="21"/>
        <v/>
      </c>
      <c r="AV566" s="66" t="str">
        <f t="shared" si="25"/>
        <v/>
      </c>
      <c r="AW566" s="66"/>
      <c r="AX566" s="56"/>
    </row>
    <row r="567">
      <c r="A567" s="55">
        <v>45560.51512964121</v>
      </c>
      <c r="B567" s="56"/>
      <c r="C567" s="57"/>
      <c r="D567" s="57"/>
      <c r="E567" s="57"/>
      <c r="F567" s="57"/>
      <c r="G567" s="58">
        <f>if(A567,_xlfn.workday.intl(int(A567),1,"1000000",Holidays!A:A)+17/24,"")</f>
        <v>45561.70833</v>
      </c>
      <c r="H567" s="59" t="str">
        <f t="shared" si="23"/>
        <v/>
      </c>
      <c r="I567" s="60"/>
      <c r="J567" s="61">
        <f t="shared" si="2"/>
        <v>572.2755766</v>
      </c>
      <c r="K567" s="58">
        <f>if(G567,_xlfn.workday.intl(int(G567),0,"1000000",Holidays!A:A)+19/24,"")</f>
        <v>45561.79167</v>
      </c>
      <c r="L567" s="59" t="str">
        <f t="shared" si="3"/>
        <v/>
      </c>
      <c r="M567" s="60"/>
      <c r="N567" s="61">
        <f t="shared" si="4"/>
        <v>572.1922432</v>
      </c>
      <c r="O567" s="63">
        <f>if(A567,_xlfn.WORKDAY.INTL(A567,O$5,"1000000",Holidays!A:A)+hour(A567)/24+MINUTE(A567)/1440,"")</f>
        <v>45561.51458</v>
      </c>
      <c r="P567" s="64" t="s">
        <v>2718</v>
      </c>
      <c r="R567" s="66">
        <f t="shared" si="5"/>
        <v>572.4693266</v>
      </c>
      <c r="S567" s="66"/>
      <c r="T567" s="66"/>
      <c r="U567" s="64">
        <f>if(O567,_xlfn.WORKDAY.INTL(O567,U$5,"1000000",Holidays!A:A)+hour(O567)/24+MINUTE(O567)/1440,"")</f>
        <v>45562.51458</v>
      </c>
      <c r="V567" s="64" t="str">
        <f t="shared" si="6"/>
        <v/>
      </c>
      <c r="W567" s="66"/>
      <c r="X567" s="66">
        <f t="shared" si="7"/>
        <v>571.4693266</v>
      </c>
      <c r="Y567" s="66"/>
      <c r="Z567" s="66"/>
      <c r="AA567" s="66"/>
      <c r="AB567" s="63"/>
      <c r="AC567" s="63"/>
      <c r="AD567" s="63"/>
      <c r="AE567" s="63"/>
      <c r="AF567" s="63"/>
      <c r="AG567" s="63"/>
      <c r="AH567" s="63" t="str">
        <f t="shared" si="14"/>
        <v/>
      </c>
      <c r="AI567" s="63" t="str">
        <f>if(AH567,_xlfn.workday.intl(int(AH567),0,"1000000",Holidays!A:A)+18/24,"")</f>
        <v/>
      </c>
      <c r="AJ567" s="64" t="str">
        <f t="shared" si="24"/>
        <v/>
      </c>
      <c r="AL567" s="66" t="str">
        <f t="shared" si="9"/>
        <v/>
      </c>
      <c r="AM567" s="66"/>
      <c r="AN567" s="63" t="str">
        <f>if(AJ567,if(and(hour(AJ567+AN$5)&gt;11,(hour(AJ567+AN$5)&lt;20)),AJ567+AN$5,_xlfn.workday.intl(int(AJ567),1,"1000000",Holidays!A:A)+hour(AJ567+AN$5-$B$1)/24+minute(AJ567)/1440),"")</f>
        <v/>
      </c>
      <c r="AO567" s="64" t="str">
        <f t="shared" si="15"/>
        <v/>
      </c>
      <c r="AQ567" s="66" t="str">
        <f t="shared" si="16"/>
        <v/>
      </c>
      <c r="AR567" s="66"/>
      <c r="AS567" s="63" t="str">
        <f>if(AJ567,if(and(hour(AJ567+AS$5)&gt;11,(hour(AJ567+AS$5)&lt;20)),AJ567+AS$5,_xlfn.workday.intl(int(AJ567),1,"1000000",Holidays!A:A)+hour(AJ567+AS$5-$B$1)/24+minute(AJ567)/1440),"")</f>
        <v/>
      </c>
      <c r="AT567" s="64" t="str">
        <f t="shared" si="21"/>
        <v/>
      </c>
      <c r="AV567" s="66" t="str">
        <f t="shared" si="25"/>
        <v/>
      </c>
      <c r="AW567" s="66"/>
      <c r="AX567" s="56"/>
    </row>
    <row r="568">
      <c r="A568" s="55">
        <v>45561.66120125</v>
      </c>
      <c r="B568" s="56"/>
      <c r="C568" s="57"/>
      <c r="D568" s="57"/>
      <c r="E568" s="57"/>
      <c r="F568" s="57"/>
      <c r="G568" s="58">
        <f>if(A568,_xlfn.workday.intl(int(A568),1,"1000000",Holidays!A:A)+17/24,"")</f>
        <v>45562.70833</v>
      </c>
      <c r="H568" s="59" t="str">
        <f t="shared" si="23"/>
        <v/>
      </c>
      <c r="I568" s="60"/>
      <c r="J568" s="61">
        <f t="shared" si="2"/>
        <v>571.2755766</v>
      </c>
      <c r="K568" s="58">
        <f>if(G568,_xlfn.workday.intl(int(G568),0,"1000000",Holidays!A:A)+19/24,"")</f>
        <v>45562.79167</v>
      </c>
      <c r="L568" s="59" t="str">
        <f t="shared" si="3"/>
        <v/>
      </c>
      <c r="M568" s="60"/>
      <c r="N568" s="61">
        <f t="shared" si="4"/>
        <v>571.1922432</v>
      </c>
      <c r="O568" s="63">
        <f>if(A568,_xlfn.WORKDAY.INTL(A568,O$5,"1000000",Holidays!A:A)+hour(A568)/24+MINUTE(A568)/1440,"")</f>
        <v>45562.66111</v>
      </c>
      <c r="P568" s="64" t="s">
        <v>2718</v>
      </c>
      <c r="R568" s="66">
        <f t="shared" si="5"/>
        <v>571.3227988</v>
      </c>
      <c r="S568" s="66"/>
      <c r="T568" s="66"/>
      <c r="U568" s="64">
        <f>if(O568,_xlfn.WORKDAY.INTL(O568,U$5,"1000000",Holidays!A:A)+hour(O568)/24+MINUTE(O568)/1440,"")</f>
        <v>45563.66111</v>
      </c>
      <c r="V568" s="64" t="str">
        <f t="shared" si="6"/>
        <v/>
      </c>
      <c r="W568" s="66"/>
      <c r="X568" s="66">
        <f t="shared" si="7"/>
        <v>570.3227988</v>
      </c>
      <c r="Y568" s="66"/>
      <c r="Z568" s="66"/>
      <c r="AA568" s="66"/>
      <c r="AB568" s="63"/>
      <c r="AC568" s="63"/>
      <c r="AD568" s="63"/>
      <c r="AE568" s="63"/>
      <c r="AF568" s="63"/>
      <c r="AG568" s="63"/>
      <c r="AH568" s="63" t="str">
        <f t="shared" si="14"/>
        <v/>
      </c>
      <c r="AI568" s="63" t="str">
        <f>if(AH568,_xlfn.workday.intl(int(AH568),0,"1000000",Holidays!A:A)+18/24,"")</f>
        <v/>
      </c>
      <c r="AJ568" s="64" t="str">
        <f t="shared" si="24"/>
        <v/>
      </c>
      <c r="AL568" s="66" t="str">
        <f t="shared" si="9"/>
        <v/>
      </c>
      <c r="AM568" s="66"/>
      <c r="AN568" s="63" t="str">
        <f>if(AJ568,if(and(hour(AJ568+AN$5)&gt;11,(hour(AJ568+AN$5)&lt;20)),AJ568+AN$5,_xlfn.workday.intl(int(AJ568),1,"1000000",Holidays!A:A)+hour(AJ568+AN$5-$B$1)/24+minute(AJ568)/1440),"")</f>
        <v/>
      </c>
      <c r="AO568" s="64" t="str">
        <f t="shared" si="15"/>
        <v/>
      </c>
      <c r="AQ568" s="66" t="str">
        <f t="shared" si="16"/>
        <v/>
      </c>
      <c r="AR568" s="66"/>
      <c r="AS568" s="63" t="str">
        <f>if(AJ568,if(and(hour(AJ568+AS$5)&gt;11,(hour(AJ568+AS$5)&lt;20)),AJ568+AS$5,_xlfn.workday.intl(int(AJ568),1,"1000000",Holidays!A:A)+hour(AJ568+AS$5-$B$1)/24+minute(AJ568)/1440),"")</f>
        <v/>
      </c>
      <c r="AT568" s="64" t="str">
        <f t="shared" si="21"/>
        <v/>
      </c>
      <c r="AV568" s="66" t="str">
        <f t="shared" si="25"/>
        <v/>
      </c>
      <c r="AW568" s="66"/>
      <c r="AX568" s="56"/>
    </row>
    <row r="569">
      <c r="A569" s="55">
        <v>45563.64611533565</v>
      </c>
      <c r="B569" s="56"/>
      <c r="C569" s="57"/>
      <c r="D569" s="57"/>
      <c r="E569" s="57"/>
      <c r="F569" s="57"/>
      <c r="G569" s="58">
        <f>if(A569,_xlfn.workday.intl(int(A569),1,"1000000",Holidays!A:A)+17/24,"")</f>
        <v>45564.70833</v>
      </c>
      <c r="H569" s="59" t="str">
        <f t="shared" si="23"/>
        <v/>
      </c>
      <c r="I569" s="60"/>
      <c r="J569" s="61">
        <f t="shared" si="2"/>
        <v>569.2755766</v>
      </c>
      <c r="K569" s="58">
        <f>if(G569,_xlfn.workday.intl(int(G569),0,"1000000",Holidays!A:A)+19/24,"")</f>
        <v>45564.79167</v>
      </c>
      <c r="L569" s="59" t="str">
        <f t="shared" si="3"/>
        <v/>
      </c>
      <c r="M569" s="60"/>
      <c r="N569" s="61">
        <f t="shared" si="4"/>
        <v>569.1922432</v>
      </c>
      <c r="O569" s="63">
        <f>if(A569,_xlfn.WORKDAY.INTL(A569,O$5,"1000000",Holidays!A:A)+hour(A569)/24+MINUTE(A569)/1440,"")</f>
        <v>45564.64583</v>
      </c>
      <c r="P569" s="64" t="s">
        <v>2718</v>
      </c>
      <c r="R569" s="66">
        <f t="shared" si="5"/>
        <v>569.3380766</v>
      </c>
      <c r="S569" s="66"/>
      <c r="T569" s="66"/>
      <c r="U569" s="64">
        <f>if(O569,_xlfn.WORKDAY.INTL(O569,U$5,"1000000",Holidays!A:A)+hour(O569)/24+MINUTE(O569)/1440,"")</f>
        <v>45566.64583</v>
      </c>
      <c r="V569" s="64" t="str">
        <f t="shared" si="6"/>
        <v/>
      </c>
      <c r="W569" s="66"/>
      <c r="X569" s="66">
        <f t="shared" si="7"/>
        <v>567.3380766</v>
      </c>
      <c r="Y569" s="66"/>
      <c r="Z569" s="66"/>
      <c r="AA569" s="66"/>
      <c r="AB569" s="63"/>
      <c r="AC569" s="63"/>
      <c r="AD569" s="63"/>
      <c r="AE569" s="63"/>
      <c r="AF569" s="63"/>
      <c r="AG569" s="63"/>
      <c r="AH569" s="63" t="str">
        <f t="shared" si="14"/>
        <v/>
      </c>
      <c r="AI569" s="63" t="str">
        <f>if(AH569,_xlfn.workday.intl(int(AH569),0,"1000000",Holidays!A:A)+18/24,"")</f>
        <v/>
      </c>
      <c r="AJ569" s="64" t="str">
        <f t="shared" si="24"/>
        <v/>
      </c>
      <c r="AL569" s="66" t="str">
        <f t="shared" si="9"/>
        <v/>
      </c>
      <c r="AM569" s="66"/>
      <c r="AN569" s="63" t="str">
        <f>if(AJ569,if(and(hour(AJ569+AN$5)&gt;11,(hour(AJ569+AN$5)&lt;20)),AJ569+AN$5,_xlfn.workday.intl(int(AJ569),1,"1000000",Holidays!A:A)+hour(AJ569+AN$5-$B$1)/24+minute(AJ569)/1440),"")</f>
        <v/>
      </c>
      <c r="AO569" s="64" t="str">
        <f t="shared" si="15"/>
        <v/>
      </c>
      <c r="AQ569" s="66" t="str">
        <f t="shared" si="16"/>
        <v/>
      </c>
      <c r="AR569" s="66"/>
      <c r="AS569" s="63" t="str">
        <f>if(AJ569,if(and(hour(AJ569+AS$5)&gt;11,(hour(AJ569+AS$5)&lt;20)),AJ569+AS$5,_xlfn.workday.intl(int(AJ569),1,"1000000",Holidays!A:A)+hour(AJ569+AS$5-$B$1)/24+minute(AJ569)/1440),"")</f>
        <v/>
      </c>
      <c r="AT569" s="64" t="str">
        <f t="shared" si="21"/>
        <v/>
      </c>
      <c r="AV569" s="66" t="str">
        <f t="shared" si="25"/>
        <v/>
      </c>
      <c r="AW569" s="66"/>
      <c r="AX569" s="56"/>
    </row>
    <row r="570">
      <c r="A570" s="55">
        <v>45563.71384561343</v>
      </c>
      <c r="B570" s="56"/>
      <c r="C570" s="57"/>
      <c r="D570" s="57"/>
      <c r="E570" s="57"/>
      <c r="F570" s="57"/>
      <c r="G570" s="58">
        <f>if(A570,_xlfn.workday.intl(int(A570),1,"1000000",Holidays!A:A)+17/24,"")</f>
        <v>45564.70833</v>
      </c>
      <c r="H570" s="59" t="str">
        <f t="shared" si="23"/>
        <v/>
      </c>
      <c r="I570" s="60"/>
      <c r="J570" s="61">
        <f t="shared" si="2"/>
        <v>569.2755766</v>
      </c>
      <c r="K570" s="58">
        <f>if(G570,_xlfn.workday.intl(int(G570),0,"1000000",Holidays!A:A)+19/24,"")</f>
        <v>45564.79167</v>
      </c>
      <c r="L570" s="59" t="str">
        <f t="shared" si="3"/>
        <v/>
      </c>
      <c r="M570" s="60"/>
      <c r="N570" s="61">
        <f t="shared" si="4"/>
        <v>569.1922432</v>
      </c>
      <c r="O570" s="63">
        <f>if(A570,_xlfn.WORKDAY.INTL(A570,O$5,"1000000",Holidays!A:A)+hour(A570)/24+MINUTE(A570)/1440,"")</f>
        <v>45564.71319</v>
      </c>
      <c r="P570" s="64" t="s">
        <v>2718</v>
      </c>
      <c r="R570" s="66">
        <f t="shared" si="5"/>
        <v>569.2707155</v>
      </c>
      <c r="S570" s="66"/>
      <c r="T570" s="66"/>
      <c r="U570" s="64">
        <f>if(O570,_xlfn.WORKDAY.INTL(O570,U$5,"1000000",Holidays!A:A)+hour(O570)/24+MINUTE(O570)/1440,"")</f>
        <v>45566.71319</v>
      </c>
      <c r="V570" s="64" t="str">
        <f t="shared" si="6"/>
        <v/>
      </c>
      <c r="W570" s="66"/>
      <c r="X570" s="66">
        <f t="shared" si="7"/>
        <v>567.2707155</v>
      </c>
      <c r="Y570" s="66"/>
      <c r="Z570" s="66"/>
      <c r="AA570" s="66"/>
      <c r="AB570" s="63"/>
      <c r="AC570" s="63"/>
      <c r="AD570" s="63"/>
      <c r="AE570" s="63"/>
      <c r="AF570" s="63"/>
      <c r="AG570" s="63"/>
      <c r="AH570" s="63" t="str">
        <f t="shared" si="14"/>
        <v/>
      </c>
      <c r="AI570" s="63" t="str">
        <f>if(AH570,_xlfn.workday.intl(int(AH570),0,"1000000",Holidays!A:A)+18/24,"")</f>
        <v/>
      </c>
      <c r="AJ570" s="64" t="str">
        <f t="shared" si="24"/>
        <v/>
      </c>
      <c r="AL570" s="66" t="str">
        <f t="shared" si="9"/>
        <v/>
      </c>
      <c r="AM570" s="66"/>
      <c r="AN570" s="63" t="str">
        <f>if(AJ570,if(and(hour(AJ570+AN$5)&gt;11,(hour(AJ570+AN$5)&lt;20)),AJ570+AN$5,_xlfn.workday.intl(int(AJ570),1,"1000000",Holidays!A:A)+hour(AJ570+AN$5-$B$1)/24+minute(AJ570)/1440),"")</f>
        <v/>
      </c>
      <c r="AO570" s="64" t="str">
        <f t="shared" si="15"/>
        <v/>
      </c>
      <c r="AQ570" s="66" t="str">
        <f t="shared" si="16"/>
        <v/>
      </c>
      <c r="AR570" s="66"/>
      <c r="AS570" s="63" t="str">
        <f>if(AJ570,if(and(hour(AJ570+AS$5)&gt;11,(hour(AJ570+AS$5)&lt;20)),AJ570+AS$5,_xlfn.workday.intl(int(AJ570),1,"1000000",Holidays!A:A)+hour(AJ570+AS$5-$B$1)/24+minute(AJ570)/1440),"")</f>
        <v/>
      </c>
      <c r="AT570" s="64" t="str">
        <f t="shared" si="21"/>
        <v/>
      </c>
      <c r="AV570" s="66" t="str">
        <f t="shared" si="25"/>
        <v/>
      </c>
      <c r="AW570" s="66"/>
      <c r="AX570" s="56"/>
    </row>
    <row r="571">
      <c r="A571" s="55">
        <v>45563.75472326389</v>
      </c>
      <c r="B571" s="56"/>
      <c r="C571" s="57"/>
      <c r="D571" s="57"/>
      <c r="E571" s="57"/>
      <c r="F571" s="57"/>
      <c r="G571" s="58">
        <f>if(A571,_xlfn.workday.intl(int(A571),1,"1000000",Holidays!A:A)+17/24,"")</f>
        <v>45564.70833</v>
      </c>
      <c r="H571" s="59" t="str">
        <f t="shared" si="23"/>
        <v/>
      </c>
      <c r="I571" s="60"/>
      <c r="J571" s="61">
        <f t="shared" si="2"/>
        <v>569.2755766</v>
      </c>
      <c r="K571" s="58">
        <f>if(G571,_xlfn.workday.intl(int(G571),0,"1000000",Holidays!A:A)+19/24,"")</f>
        <v>45564.79167</v>
      </c>
      <c r="L571" s="59" t="str">
        <f t="shared" si="3"/>
        <v/>
      </c>
      <c r="M571" s="60"/>
      <c r="N571" s="61">
        <f t="shared" si="4"/>
        <v>569.1922432</v>
      </c>
      <c r="O571" s="63">
        <f>if(A571,_xlfn.WORKDAY.INTL(A571,O$5,"1000000",Holidays!A:A)+hour(A571)/24+MINUTE(A571)/1440,"")</f>
        <v>45564.75417</v>
      </c>
      <c r="P571" s="64" t="s">
        <v>2718</v>
      </c>
      <c r="R571" s="66">
        <f t="shared" si="5"/>
        <v>569.2297432</v>
      </c>
      <c r="S571" s="66"/>
      <c r="T571" s="66"/>
      <c r="U571" s="64">
        <f>if(O571,_xlfn.WORKDAY.INTL(O571,U$5,"1000000",Holidays!A:A)+hour(O571)/24+MINUTE(O571)/1440,"")</f>
        <v>45566.75417</v>
      </c>
      <c r="V571" s="64" t="str">
        <f t="shared" si="6"/>
        <v/>
      </c>
      <c r="W571" s="66"/>
      <c r="X571" s="66">
        <f t="shared" si="7"/>
        <v>567.2297432</v>
      </c>
      <c r="Y571" s="66"/>
      <c r="Z571" s="66"/>
      <c r="AA571" s="66"/>
      <c r="AB571" s="63"/>
      <c r="AC571" s="63"/>
      <c r="AD571" s="63"/>
      <c r="AE571" s="63"/>
      <c r="AF571" s="63"/>
      <c r="AG571" s="63"/>
      <c r="AH571" s="63" t="str">
        <f t="shared" si="14"/>
        <v/>
      </c>
      <c r="AI571" s="63" t="str">
        <f>if(AH571,_xlfn.workday.intl(int(AH571),0,"1000000",Holidays!A:A)+18/24,"")</f>
        <v/>
      </c>
      <c r="AJ571" s="64" t="str">
        <f t="shared" si="24"/>
        <v/>
      </c>
      <c r="AL571" s="66" t="str">
        <f t="shared" si="9"/>
        <v/>
      </c>
      <c r="AM571" s="66"/>
      <c r="AN571" s="63" t="str">
        <f>if(AJ571,if(and(hour(AJ571+AN$5)&gt;11,(hour(AJ571+AN$5)&lt;20)),AJ571+AN$5,_xlfn.workday.intl(int(AJ571),1,"1000000",Holidays!A:A)+hour(AJ571+AN$5-$B$1)/24+minute(AJ571)/1440),"")</f>
        <v/>
      </c>
      <c r="AO571" s="64" t="str">
        <f t="shared" si="15"/>
        <v/>
      </c>
      <c r="AQ571" s="66" t="str">
        <f t="shared" si="16"/>
        <v/>
      </c>
      <c r="AR571" s="66"/>
      <c r="AS571" s="63" t="str">
        <f>if(AJ571,if(and(hour(AJ571+AS$5)&gt;11,(hour(AJ571+AS$5)&lt;20)),AJ571+AS$5,_xlfn.workday.intl(int(AJ571),1,"1000000",Holidays!A:A)+hour(AJ571+AS$5-$B$1)/24+minute(AJ571)/1440),"")</f>
        <v/>
      </c>
      <c r="AT571" s="64" t="str">
        <f t="shared" si="21"/>
        <v/>
      </c>
      <c r="AV571" s="66" t="str">
        <f t="shared" si="25"/>
        <v/>
      </c>
      <c r="AW571" s="66"/>
      <c r="AX571" s="56"/>
    </row>
    <row r="572">
      <c r="A572" s="55">
        <v>45563.77998452546</v>
      </c>
      <c r="B572" s="56"/>
      <c r="C572" s="57"/>
      <c r="D572" s="57"/>
      <c r="E572" s="57"/>
      <c r="F572" s="57"/>
      <c r="G572" s="58">
        <f>if(A572,_xlfn.workday.intl(int(A572),1,"1000000",Holidays!A:A)+17/24,"")</f>
        <v>45564.70833</v>
      </c>
      <c r="H572" s="59" t="str">
        <f t="shared" si="23"/>
        <v/>
      </c>
      <c r="I572" s="60"/>
      <c r="J572" s="61">
        <f t="shared" si="2"/>
        <v>569.2755766</v>
      </c>
      <c r="K572" s="58">
        <f>if(G572,_xlfn.workday.intl(int(G572),0,"1000000",Holidays!A:A)+19/24,"")</f>
        <v>45564.79167</v>
      </c>
      <c r="L572" s="59" t="str">
        <f t="shared" si="3"/>
        <v/>
      </c>
      <c r="M572" s="60"/>
      <c r="N572" s="61">
        <f t="shared" si="4"/>
        <v>569.1922432</v>
      </c>
      <c r="O572" s="63">
        <f>if(A572,_xlfn.WORKDAY.INTL(A572,O$5,"1000000",Holidays!A:A)+hour(A572)/24+MINUTE(A572)/1440,"")</f>
        <v>45564.77986</v>
      </c>
      <c r="P572" s="64" t="s">
        <v>2718</v>
      </c>
      <c r="R572" s="66">
        <f t="shared" si="5"/>
        <v>569.2040488</v>
      </c>
      <c r="S572" s="66"/>
      <c r="T572" s="66"/>
      <c r="U572" s="64">
        <f>if(O572,_xlfn.WORKDAY.INTL(O572,U$5,"1000000",Holidays!A:A)+hour(O572)/24+MINUTE(O572)/1440,"")</f>
        <v>45566.77986</v>
      </c>
      <c r="V572" s="64" t="str">
        <f t="shared" si="6"/>
        <v/>
      </c>
      <c r="W572" s="66"/>
      <c r="X572" s="66">
        <f t="shared" si="7"/>
        <v>567.2040488</v>
      </c>
      <c r="Y572" s="66"/>
      <c r="Z572" s="66"/>
      <c r="AA572" s="66"/>
      <c r="AB572" s="63"/>
      <c r="AC572" s="63"/>
      <c r="AD572" s="63"/>
      <c r="AE572" s="63"/>
      <c r="AF572" s="63"/>
      <c r="AG572" s="63"/>
      <c r="AH572" s="63" t="str">
        <f t="shared" si="14"/>
        <v/>
      </c>
      <c r="AI572" s="63" t="str">
        <f>if(AH572,_xlfn.workday.intl(int(AH572),0,"1000000",Holidays!A:A)+18/24,"")</f>
        <v/>
      </c>
      <c r="AJ572" s="64" t="str">
        <f t="shared" si="24"/>
        <v/>
      </c>
      <c r="AL572" s="66" t="str">
        <f t="shared" si="9"/>
        <v/>
      </c>
      <c r="AM572" s="66"/>
      <c r="AN572" s="63" t="str">
        <f>if(AJ572,if(and(hour(AJ572+AN$5)&gt;11,(hour(AJ572+AN$5)&lt;20)),AJ572+AN$5,_xlfn.workday.intl(int(AJ572),1,"1000000",Holidays!A:A)+hour(AJ572+AN$5-$B$1)/24+minute(AJ572)/1440),"")</f>
        <v/>
      </c>
      <c r="AO572" s="64" t="str">
        <f t="shared" si="15"/>
        <v/>
      </c>
      <c r="AQ572" s="66" t="str">
        <f t="shared" si="16"/>
        <v/>
      </c>
      <c r="AR572" s="66"/>
      <c r="AS572" s="63" t="str">
        <f>if(AJ572,if(and(hour(AJ572+AS$5)&gt;11,(hour(AJ572+AS$5)&lt;20)),AJ572+AS$5,_xlfn.workday.intl(int(AJ572),1,"1000000",Holidays!A:A)+hour(AJ572+AS$5-$B$1)/24+minute(AJ572)/1440),"")</f>
        <v/>
      </c>
      <c r="AT572" s="64" t="str">
        <f t="shared" si="21"/>
        <v/>
      </c>
      <c r="AV572" s="66" t="str">
        <f t="shared" si="25"/>
        <v/>
      </c>
      <c r="AW572" s="66"/>
      <c r="AX572" s="56"/>
    </row>
    <row r="573">
      <c r="A573" s="55">
        <v>45566.77695196759</v>
      </c>
      <c r="B573" s="56"/>
      <c r="C573" s="57"/>
      <c r="D573" s="57"/>
      <c r="E573" s="57"/>
      <c r="F573" s="57"/>
      <c r="G573" s="58">
        <f>if(A573,_xlfn.workday.intl(int(A573),1,"1000000",Holidays!A:A)+17/24,"")</f>
        <v>45567.70833</v>
      </c>
      <c r="H573" s="59" t="str">
        <f t="shared" si="23"/>
        <v/>
      </c>
      <c r="I573" s="60"/>
      <c r="J573" s="61">
        <f t="shared" si="2"/>
        <v>566.2755766</v>
      </c>
      <c r="K573" s="58">
        <f>if(G573,_xlfn.workday.intl(int(G573),0,"1000000",Holidays!A:A)+19/24,"")</f>
        <v>45567.79167</v>
      </c>
      <c r="L573" s="59" t="str">
        <f t="shared" si="3"/>
        <v/>
      </c>
      <c r="M573" s="60"/>
      <c r="N573" s="61">
        <f t="shared" si="4"/>
        <v>566.1922432</v>
      </c>
      <c r="O573" s="63">
        <f>if(A573,_xlfn.WORKDAY.INTL(A573,O$5,"1000000",Holidays!A:A)+hour(A573)/24+MINUTE(A573)/1440,"")</f>
        <v>45567.77639</v>
      </c>
      <c r="P573" s="64" t="s">
        <v>2718</v>
      </c>
      <c r="R573" s="66">
        <f t="shared" si="5"/>
        <v>566.207521</v>
      </c>
      <c r="S573" s="66"/>
      <c r="T573" s="66"/>
      <c r="U573" s="64">
        <f>if(O573,_xlfn.WORKDAY.INTL(O573,U$5,"1000000",Holidays!A:A)+hour(O573)/24+MINUTE(O573)/1440,"")</f>
        <v>45568.77639</v>
      </c>
      <c r="V573" s="64" t="str">
        <f t="shared" si="6"/>
        <v/>
      </c>
      <c r="W573" s="66"/>
      <c r="X573" s="66">
        <f t="shared" si="7"/>
        <v>565.207521</v>
      </c>
      <c r="Y573" s="66"/>
      <c r="Z573" s="66"/>
      <c r="AA573" s="66"/>
      <c r="AB573" s="63"/>
      <c r="AC573" s="63"/>
      <c r="AD573" s="63"/>
      <c r="AE573" s="63"/>
      <c r="AF573" s="63"/>
      <c r="AG573" s="63"/>
      <c r="AH573" s="63" t="str">
        <f t="shared" si="14"/>
        <v/>
      </c>
      <c r="AI573" s="63" t="str">
        <f>if(AH573,_xlfn.workday.intl(int(AH573),0,"1000000",Holidays!A:A)+18/24,"")</f>
        <v/>
      </c>
      <c r="AJ573" s="64" t="str">
        <f t="shared" si="24"/>
        <v/>
      </c>
      <c r="AL573" s="66" t="str">
        <f t="shared" si="9"/>
        <v/>
      </c>
      <c r="AM573" s="66"/>
      <c r="AN573" s="63" t="str">
        <f>if(AJ573,if(and(hour(AJ573+AN$5)&gt;11,(hour(AJ573+AN$5)&lt;20)),AJ573+AN$5,_xlfn.workday.intl(int(AJ573),1,"1000000",Holidays!A:A)+hour(AJ573+AN$5-$B$1)/24+minute(AJ573)/1440),"")</f>
        <v/>
      </c>
      <c r="AO573" s="64" t="str">
        <f t="shared" si="15"/>
        <v/>
      </c>
      <c r="AQ573" s="66" t="str">
        <f t="shared" si="16"/>
        <v/>
      </c>
      <c r="AR573" s="66"/>
      <c r="AS573" s="63" t="str">
        <f>if(AJ573,if(and(hour(AJ573+AS$5)&gt;11,(hour(AJ573+AS$5)&lt;20)),AJ573+AS$5,_xlfn.workday.intl(int(AJ573),1,"1000000",Holidays!A:A)+hour(AJ573+AS$5-$B$1)/24+minute(AJ573)/1440),"")</f>
        <v/>
      </c>
      <c r="AT573" s="64" t="str">
        <f t="shared" si="21"/>
        <v/>
      </c>
      <c r="AV573" s="66" t="str">
        <f t="shared" si="25"/>
        <v/>
      </c>
      <c r="AW573" s="66"/>
      <c r="AX573" s="56"/>
    </row>
    <row r="574">
      <c r="A574" s="55">
        <v>45573.64941116898</v>
      </c>
      <c r="B574" s="56"/>
      <c r="C574" s="57"/>
      <c r="D574" s="57"/>
      <c r="E574" s="57"/>
      <c r="F574" s="57"/>
      <c r="G574" s="58">
        <f>if(A574,_xlfn.workday.intl(int(A574),1,"1000000",Holidays!A:A)+17/24,"")</f>
        <v>45574.70833</v>
      </c>
      <c r="H574" s="59" t="str">
        <f t="shared" si="23"/>
        <v/>
      </c>
      <c r="I574" s="60"/>
      <c r="J574" s="61">
        <f t="shared" si="2"/>
        <v>559.2755766</v>
      </c>
      <c r="K574" s="58">
        <f>if(G574,_xlfn.workday.intl(int(G574),0,"1000000",Holidays!A:A)+19/24,"")</f>
        <v>45574.79167</v>
      </c>
      <c r="L574" s="59" t="str">
        <f t="shared" si="3"/>
        <v/>
      </c>
      <c r="M574" s="60"/>
      <c r="N574" s="61">
        <f t="shared" si="4"/>
        <v>559.1922432</v>
      </c>
      <c r="O574" s="63">
        <f>if(A574,_xlfn.WORKDAY.INTL(A574,O$5,"1000000",Holidays!A:A)+hour(A574)/24+MINUTE(A574)/1440,"")</f>
        <v>45574.64931</v>
      </c>
      <c r="P574" s="64" t="s">
        <v>2718</v>
      </c>
      <c r="R574" s="66">
        <f t="shared" si="5"/>
        <v>559.3346043</v>
      </c>
      <c r="S574" s="66"/>
      <c r="T574" s="66"/>
      <c r="U574" s="64">
        <f>if(O574,_xlfn.WORKDAY.INTL(O574,U$5,"1000000",Holidays!A:A)+hour(O574)/24+MINUTE(O574)/1440,"")</f>
        <v>45575.64931</v>
      </c>
      <c r="V574" s="64" t="str">
        <f t="shared" si="6"/>
        <v/>
      </c>
      <c r="W574" s="66"/>
      <c r="X574" s="66">
        <f t="shared" si="7"/>
        <v>558.3346043</v>
      </c>
      <c r="Y574" s="66"/>
      <c r="Z574" s="66"/>
      <c r="AA574" s="66"/>
      <c r="AB574" s="63"/>
      <c r="AC574" s="63"/>
      <c r="AD574" s="63"/>
      <c r="AE574" s="63"/>
      <c r="AF574" s="63"/>
      <c r="AG574" s="63"/>
      <c r="AH574" s="63" t="str">
        <f t="shared" si="14"/>
        <v/>
      </c>
      <c r="AI574" s="63" t="str">
        <f>if(AH574,_xlfn.workday.intl(int(AH574),0,"1000000",Holidays!A:A)+18/24,"")</f>
        <v/>
      </c>
      <c r="AJ574" s="64" t="str">
        <f t="shared" si="24"/>
        <v/>
      </c>
      <c r="AL574" s="66" t="str">
        <f t="shared" si="9"/>
        <v/>
      </c>
      <c r="AM574" s="66"/>
      <c r="AN574" s="63" t="str">
        <f>if(AJ574,if(and(hour(AJ574+AN$5)&gt;11,(hour(AJ574+AN$5)&lt;20)),AJ574+AN$5,_xlfn.workday.intl(int(AJ574),1,"1000000",Holidays!A:A)+hour(AJ574+AN$5-$B$1)/24+minute(AJ574)/1440),"")</f>
        <v/>
      </c>
      <c r="AO574" s="64" t="str">
        <f t="shared" si="15"/>
        <v/>
      </c>
      <c r="AQ574" s="66" t="str">
        <f t="shared" si="16"/>
        <v/>
      </c>
      <c r="AR574" s="66"/>
      <c r="AS574" s="63" t="str">
        <f>if(AJ574,if(and(hour(AJ574+AS$5)&gt;11,(hour(AJ574+AS$5)&lt;20)),AJ574+AS$5,_xlfn.workday.intl(int(AJ574),1,"1000000",Holidays!A:A)+hour(AJ574+AS$5-$B$1)/24+minute(AJ574)/1440),"")</f>
        <v/>
      </c>
      <c r="AT574" s="64" t="str">
        <f t="shared" si="21"/>
        <v/>
      </c>
      <c r="AV574" s="66" t="str">
        <f t="shared" si="25"/>
        <v/>
      </c>
      <c r="AW574" s="66"/>
      <c r="AX574" s="56"/>
    </row>
    <row r="575">
      <c r="A575" s="55">
        <v>45573.652469085646</v>
      </c>
      <c r="B575" s="56"/>
      <c r="C575" s="57"/>
      <c r="D575" s="57"/>
      <c r="E575" s="57"/>
      <c r="F575" s="57"/>
      <c r="G575" s="58">
        <f>if(A575,_xlfn.workday.intl(int(A575),1,"1000000",Holidays!A:A)+17/24,"")</f>
        <v>45574.70833</v>
      </c>
      <c r="H575" s="59" t="str">
        <f t="shared" si="23"/>
        <v/>
      </c>
      <c r="I575" s="60"/>
      <c r="J575" s="61">
        <f t="shared" si="2"/>
        <v>559.2755766</v>
      </c>
      <c r="K575" s="58">
        <f>if(G575,_xlfn.workday.intl(int(G575),0,"1000000",Holidays!A:A)+19/24,"")</f>
        <v>45574.79167</v>
      </c>
      <c r="L575" s="59" t="str">
        <f t="shared" si="3"/>
        <v/>
      </c>
      <c r="M575" s="60"/>
      <c r="N575" s="61">
        <f t="shared" si="4"/>
        <v>559.1922432</v>
      </c>
      <c r="O575" s="63">
        <f>if(A575,_xlfn.WORKDAY.INTL(A575,O$5,"1000000",Holidays!A:A)+hour(A575)/24+MINUTE(A575)/1440,"")</f>
        <v>45574.65208</v>
      </c>
      <c r="P575" s="64" t="s">
        <v>2718</v>
      </c>
      <c r="R575" s="66">
        <f t="shared" si="5"/>
        <v>559.3318266</v>
      </c>
      <c r="S575" s="66"/>
      <c r="T575" s="66"/>
      <c r="U575" s="64">
        <f>if(O575,_xlfn.WORKDAY.INTL(O575,U$5,"1000000",Holidays!A:A)+hour(O575)/24+MINUTE(O575)/1440,"")</f>
        <v>45575.65208</v>
      </c>
      <c r="V575" s="64" t="str">
        <f t="shared" si="6"/>
        <v/>
      </c>
      <c r="W575" s="66"/>
      <c r="X575" s="66">
        <f t="shared" si="7"/>
        <v>558.3318266</v>
      </c>
      <c r="Y575" s="66"/>
      <c r="Z575" s="66"/>
      <c r="AA575" s="66"/>
      <c r="AB575" s="63"/>
      <c r="AC575" s="63"/>
      <c r="AD575" s="63"/>
      <c r="AE575" s="63"/>
      <c r="AF575" s="63"/>
      <c r="AG575" s="63"/>
      <c r="AH575" s="63" t="str">
        <f t="shared" si="14"/>
        <v/>
      </c>
      <c r="AI575" s="63" t="str">
        <f>if(AH575,_xlfn.workday.intl(int(AH575),0,"1000000",Holidays!A:A)+18/24,"")</f>
        <v/>
      </c>
      <c r="AJ575" s="64" t="str">
        <f t="shared" si="24"/>
        <v/>
      </c>
      <c r="AL575" s="66" t="str">
        <f t="shared" si="9"/>
        <v/>
      </c>
      <c r="AM575" s="66"/>
      <c r="AN575" s="63" t="str">
        <f>if(AJ575,if(and(hour(AJ575+AN$5)&gt;11,(hour(AJ575+AN$5)&lt;20)),AJ575+AN$5,_xlfn.workday.intl(int(AJ575),1,"1000000",Holidays!A:A)+hour(AJ575+AN$5-$B$1)/24+minute(AJ575)/1440),"")</f>
        <v/>
      </c>
      <c r="AO575" s="64" t="str">
        <f t="shared" si="15"/>
        <v/>
      </c>
      <c r="AQ575" s="66" t="str">
        <f t="shared" si="16"/>
        <v/>
      </c>
      <c r="AR575" s="66"/>
      <c r="AS575" s="63" t="str">
        <f>if(AJ575,if(and(hour(AJ575+AS$5)&gt;11,(hour(AJ575+AS$5)&lt;20)),AJ575+AS$5,_xlfn.workday.intl(int(AJ575),1,"1000000",Holidays!A:A)+hour(AJ575+AS$5-$B$1)/24+minute(AJ575)/1440),"")</f>
        <v/>
      </c>
      <c r="AT575" s="64" t="str">
        <f t="shared" si="21"/>
        <v/>
      </c>
      <c r="AV575" s="66" t="str">
        <f t="shared" si="25"/>
        <v/>
      </c>
      <c r="AW575" s="66"/>
      <c r="AX575" s="56"/>
    </row>
    <row r="576">
      <c r="A576" s="55">
        <v>45573.65337483796</v>
      </c>
      <c r="B576" s="56"/>
      <c r="C576" s="57"/>
      <c r="D576" s="57"/>
      <c r="E576" s="57"/>
      <c r="F576" s="57"/>
      <c r="G576" s="58">
        <f>if(A576,_xlfn.workday.intl(int(A576),1,"1000000",Holidays!A:A)+17/24,"")</f>
        <v>45574.70833</v>
      </c>
      <c r="H576" s="59" t="str">
        <f t="shared" si="23"/>
        <v/>
      </c>
      <c r="I576" s="60"/>
      <c r="J576" s="61">
        <f t="shared" si="2"/>
        <v>559.2755766</v>
      </c>
      <c r="K576" s="58">
        <f>if(G576,_xlfn.workday.intl(int(G576),0,"1000000",Holidays!A:A)+19/24,"")</f>
        <v>45574.79167</v>
      </c>
      <c r="L576" s="59" t="str">
        <f t="shared" si="3"/>
        <v/>
      </c>
      <c r="M576" s="60"/>
      <c r="N576" s="61">
        <f t="shared" si="4"/>
        <v>559.1922432</v>
      </c>
      <c r="O576" s="63">
        <f>if(A576,_xlfn.WORKDAY.INTL(A576,O$5,"1000000",Holidays!A:A)+hour(A576)/24+MINUTE(A576)/1440,"")</f>
        <v>45574.65278</v>
      </c>
      <c r="P576" s="64" t="s">
        <v>2718</v>
      </c>
      <c r="R576" s="66">
        <f t="shared" si="5"/>
        <v>559.3311321</v>
      </c>
      <c r="S576" s="66"/>
      <c r="T576" s="66"/>
      <c r="U576" s="64">
        <f>if(O576,_xlfn.WORKDAY.INTL(O576,U$5,"1000000",Holidays!A:A)+hour(O576)/24+MINUTE(O576)/1440,"")</f>
        <v>45575.65278</v>
      </c>
      <c r="V576" s="64" t="str">
        <f t="shared" si="6"/>
        <v/>
      </c>
      <c r="W576" s="66"/>
      <c r="X576" s="66">
        <f t="shared" si="7"/>
        <v>558.3311321</v>
      </c>
      <c r="Y576" s="66"/>
      <c r="Z576" s="66"/>
      <c r="AA576" s="66"/>
      <c r="AB576" s="63"/>
      <c r="AC576" s="63"/>
      <c r="AD576" s="63"/>
      <c r="AE576" s="63"/>
      <c r="AF576" s="63"/>
      <c r="AG576" s="63"/>
      <c r="AH576" s="63" t="str">
        <f t="shared" si="14"/>
        <v/>
      </c>
      <c r="AI576" s="63" t="str">
        <f>if(AH576,_xlfn.workday.intl(int(AH576),0,"1000000",Holidays!A:A)+18/24,"")</f>
        <v/>
      </c>
      <c r="AJ576" s="64" t="str">
        <f t="shared" si="24"/>
        <v/>
      </c>
      <c r="AL576" s="66" t="str">
        <f t="shared" si="9"/>
        <v/>
      </c>
      <c r="AM576" s="66"/>
      <c r="AN576" s="63" t="str">
        <f>if(AJ576,if(and(hour(AJ576+AN$5)&gt;11,(hour(AJ576+AN$5)&lt;20)),AJ576+AN$5,_xlfn.workday.intl(int(AJ576),1,"1000000",Holidays!A:A)+hour(AJ576+AN$5-$B$1)/24+minute(AJ576)/1440),"")</f>
        <v/>
      </c>
      <c r="AO576" s="64" t="str">
        <f t="shared" si="15"/>
        <v/>
      </c>
      <c r="AQ576" s="66" t="str">
        <f t="shared" si="16"/>
        <v/>
      </c>
      <c r="AR576" s="66"/>
      <c r="AS576" s="63" t="str">
        <f>if(AJ576,if(and(hour(AJ576+AS$5)&gt;11,(hour(AJ576+AS$5)&lt;20)),AJ576+AS$5,_xlfn.workday.intl(int(AJ576),1,"1000000",Holidays!A:A)+hour(AJ576+AS$5-$B$1)/24+minute(AJ576)/1440),"")</f>
        <v/>
      </c>
      <c r="AT576" s="64" t="str">
        <f t="shared" si="21"/>
        <v/>
      </c>
      <c r="AV576" s="66" t="str">
        <f t="shared" si="25"/>
        <v/>
      </c>
      <c r="AW576" s="66"/>
      <c r="AX576" s="56"/>
    </row>
    <row r="577">
      <c r="A577" s="55">
        <v>45581.70692840278</v>
      </c>
      <c r="B577" s="56"/>
      <c r="C577" s="57"/>
      <c r="D577" s="57"/>
      <c r="E577" s="57"/>
      <c r="F577" s="57"/>
      <c r="G577" s="58">
        <f>if(A577,_xlfn.workday.intl(int(A577),1,"1000000",Holidays!A:A)+17/24,"")</f>
        <v>45582.70833</v>
      </c>
      <c r="H577" s="59" t="str">
        <f t="shared" si="23"/>
        <v/>
      </c>
      <c r="I577" s="60"/>
      <c r="J577" s="61">
        <f t="shared" si="2"/>
        <v>551.2755766</v>
      </c>
      <c r="K577" s="58">
        <f>if(G577,_xlfn.workday.intl(int(G577),0,"1000000",Holidays!A:A)+19/24,"")</f>
        <v>45582.79167</v>
      </c>
      <c r="L577" s="59" t="str">
        <f t="shared" si="3"/>
        <v/>
      </c>
      <c r="M577" s="60"/>
      <c r="N577" s="61">
        <f t="shared" si="4"/>
        <v>551.1922432</v>
      </c>
      <c r="O577" s="63">
        <f>if(A577,_xlfn.WORKDAY.INTL(A577,O$5,"1000000",Holidays!A:A)+hour(A577)/24+MINUTE(A577)/1440,"")</f>
        <v>45582.70625</v>
      </c>
      <c r="P577" s="64" t="s">
        <v>2718</v>
      </c>
      <c r="R577" s="66">
        <f t="shared" si="5"/>
        <v>551.2776599</v>
      </c>
      <c r="S577" s="66"/>
      <c r="T577" s="66"/>
      <c r="U577" s="64">
        <f>if(O577,_xlfn.WORKDAY.INTL(O577,U$5,"1000000",Holidays!A:A)+hour(O577)/24+MINUTE(O577)/1440,"")</f>
        <v>45583.70625</v>
      </c>
      <c r="V577" s="64" t="str">
        <f t="shared" si="6"/>
        <v/>
      </c>
      <c r="W577" s="66"/>
      <c r="X577" s="66">
        <f t="shared" si="7"/>
        <v>550.2776599</v>
      </c>
      <c r="Y577" s="66"/>
      <c r="Z577" s="66"/>
      <c r="AA577" s="66"/>
      <c r="AB577" s="63"/>
      <c r="AC577" s="63"/>
      <c r="AD577" s="63"/>
      <c r="AE577" s="63"/>
      <c r="AF577" s="63"/>
      <c r="AG577" s="63"/>
      <c r="AH577" s="63" t="str">
        <f t="shared" si="14"/>
        <v/>
      </c>
      <c r="AI577" s="63" t="str">
        <f>if(AH577,_xlfn.workday.intl(int(AH577),0,"1000000",Holidays!A:A)+18/24,"")</f>
        <v/>
      </c>
      <c r="AJ577" s="64" t="str">
        <f t="shared" si="24"/>
        <v/>
      </c>
      <c r="AL577" s="66" t="str">
        <f t="shared" si="9"/>
        <v/>
      </c>
      <c r="AM577" s="66"/>
      <c r="AN577" s="63" t="str">
        <f>if(AJ577,if(and(hour(AJ577+AN$5)&gt;11,(hour(AJ577+AN$5)&lt;20)),AJ577+AN$5,_xlfn.workday.intl(int(AJ577),1,"1000000",Holidays!A:A)+hour(AJ577+AN$5-$B$1)/24+minute(AJ577)/1440),"")</f>
        <v/>
      </c>
      <c r="AO577" s="64" t="str">
        <f t="shared" si="15"/>
        <v/>
      </c>
      <c r="AQ577" s="66" t="str">
        <f t="shared" si="16"/>
        <v/>
      </c>
      <c r="AR577" s="66"/>
      <c r="AS577" s="63" t="str">
        <f>if(AJ577,if(and(hour(AJ577+AS$5)&gt;11,(hour(AJ577+AS$5)&lt;20)),AJ577+AS$5,_xlfn.workday.intl(int(AJ577),1,"1000000",Holidays!A:A)+hour(AJ577+AS$5-$B$1)/24+minute(AJ577)/1440),"")</f>
        <v/>
      </c>
      <c r="AT577" s="64" t="str">
        <f t="shared" si="21"/>
        <v/>
      </c>
      <c r="AV577" s="66" t="str">
        <f t="shared" si="25"/>
        <v/>
      </c>
      <c r="AW577" s="66"/>
      <c r="AX577" s="56"/>
    </row>
    <row r="578">
      <c r="A578" s="55">
        <v>45581.71528358797</v>
      </c>
      <c r="B578" s="56"/>
      <c r="C578" s="57"/>
      <c r="D578" s="57"/>
      <c r="E578" s="57"/>
      <c r="F578" s="57"/>
      <c r="G578" s="58">
        <f>if(A578,_xlfn.workday.intl(int(A578),1,"1000000",Holidays!A:A)+17/24,"")</f>
        <v>45582.70833</v>
      </c>
      <c r="H578" s="59" t="str">
        <f t="shared" si="23"/>
        <v/>
      </c>
      <c r="I578" s="60"/>
      <c r="J578" s="61">
        <f t="shared" si="2"/>
        <v>551.2755766</v>
      </c>
      <c r="K578" s="58">
        <f>if(G578,_xlfn.workday.intl(int(G578),0,"1000000",Holidays!A:A)+19/24,"")</f>
        <v>45582.79167</v>
      </c>
      <c r="L578" s="59" t="str">
        <f t="shared" si="3"/>
        <v/>
      </c>
      <c r="M578" s="60"/>
      <c r="N578" s="61">
        <f t="shared" si="4"/>
        <v>551.1922432</v>
      </c>
      <c r="O578" s="63">
        <f>if(A578,_xlfn.WORKDAY.INTL(A578,O$5,"1000000",Holidays!A:A)+hour(A578)/24+MINUTE(A578)/1440,"")</f>
        <v>45582.71528</v>
      </c>
      <c r="P578" s="64" t="s">
        <v>2718</v>
      </c>
      <c r="R578" s="66">
        <f t="shared" si="5"/>
        <v>551.2686321</v>
      </c>
      <c r="S578" s="66"/>
      <c r="T578" s="66"/>
      <c r="U578" s="64">
        <f>if(O578,_xlfn.WORKDAY.INTL(O578,U$5,"1000000",Holidays!A:A)+hour(O578)/24+MINUTE(O578)/1440,"")</f>
        <v>45583.71528</v>
      </c>
      <c r="V578" s="64" t="str">
        <f t="shared" si="6"/>
        <v/>
      </c>
      <c r="W578" s="66"/>
      <c r="X578" s="66">
        <f t="shared" si="7"/>
        <v>550.2686321</v>
      </c>
      <c r="Y578" s="66"/>
      <c r="Z578" s="66"/>
      <c r="AA578" s="66"/>
      <c r="AB578" s="63"/>
      <c r="AC578" s="63"/>
      <c r="AD578" s="63"/>
      <c r="AE578" s="63"/>
      <c r="AF578" s="63"/>
      <c r="AG578" s="63"/>
      <c r="AH578" s="63" t="str">
        <f t="shared" si="14"/>
        <v/>
      </c>
      <c r="AI578" s="63" t="str">
        <f>if(AH578,_xlfn.workday.intl(int(AH578),0,"1000000",Holidays!A:A)+18/24,"")</f>
        <v/>
      </c>
      <c r="AJ578" s="64" t="str">
        <f t="shared" si="24"/>
        <v/>
      </c>
      <c r="AL578" s="66" t="str">
        <f t="shared" si="9"/>
        <v/>
      </c>
      <c r="AM578" s="66"/>
      <c r="AN578" s="63" t="str">
        <f>if(AJ578,if(and(hour(AJ578+AN$5)&gt;11,(hour(AJ578+AN$5)&lt;20)),AJ578+AN$5,_xlfn.workday.intl(int(AJ578),1,"1000000",Holidays!A:A)+hour(AJ578+AN$5-$B$1)/24+minute(AJ578)/1440),"")</f>
        <v/>
      </c>
      <c r="AO578" s="64" t="str">
        <f t="shared" si="15"/>
        <v/>
      </c>
      <c r="AQ578" s="66" t="str">
        <f t="shared" si="16"/>
        <v/>
      </c>
      <c r="AR578" s="66"/>
      <c r="AS578" s="63" t="str">
        <f>if(AJ578,if(and(hour(AJ578+AS$5)&gt;11,(hour(AJ578+AS$5)&lt;20)),AJ578+AS$5,_xlfn.workday.intl(int(AJ578),1,"1000000",Holidays!A:A)+hour(AJ578+AS$5-$B$1)/24+minute(AJ578)/1440),"")</f>
        <v/>
      </c>
      <c r="AT578" s="64" t="str">
        <f t="shared" si="21"/>
        <v/>
      </c>
      <c r="AV578" s="66" t="str">
        <f t="shared" si="25"/>
        <v/>
      </c>
      <c r="AW578" s="66"/>
      <c r="AX578" s="56"/>
    </row>
    <row r="579">
      <c r="A579" s="55">
        <v>45586.628311134264</v>
      </c>
      <c r="B579" s="56"/>
      <c r="C579" s="57"/>
      <c r="D579" s="57"/>
      <c r="E579" s="57"/>
      <c r="F579" s="57"/>
      <c r="G579" s="58">
        <f>if(A579,_xlfn.workday.intl(int(A579),1,"1000000",Holidays!A:A)+17/24,"")</f>
        <v>45587.70833</v>
      </c>
      <c r="H579" s="59" t="str">
        <f t="shared" si="23"/>
        <v/>
      </c>
      <c r="I579" s="60"/>
      <c r="J579" s="61">
        <f t="shared" si="2"/>
        <v>546.2755766</v>
      </c>
      <c r="K579" s="58">
        <f>if(G579,_xlfn.workday.intl(int(G579),0,"1000000",Holidays!A:A)+19/24,"")</f>
        <v>45587.79167</v>
      </c>
      <c r="L579" s="59" t="str">
        <f t="shared" si="3"/>
        <v/>
      </c>
      <c r="M579" s="60"/>
      <c r="N579" s="61">
        <f t="shared" si="4"/>
        <v>546.1922432</v>
      </c>
      <c r="O579" s="63">
        <f>if(A579,_xlfn.WORKDAY.INTL(A579,O$5,"1000000",Holidays!A:A)+hour(A579)/24+MINUTE(A579)/1440,"")</f>
        <v>45587.62778</v>
      </c>
      <c r="P579" s="64" t="s">
        <v>2718</v>
      </c>
      <c r="R579" s="66">
        <f t="shared" si="5"/>
        <v>546.3561321</v>
      </c>
      <c r="S579" s="66"/>
      <c r="T579" s="66"/>
      <c r="U579" s="64">
        <f>if(O579,_xlfn.WORKDAY.INTL(O579,U$5,"1000000",Holidays!A:A)+hour(O579)/24+MINUTE(O579)/1440,"")</f>
        <v>45588.62778</v>
      </c>
      <c r="V579" s="64" t="str">
        <f t="shared" si="6"/>
        <v/>
      </c>
      <c r="W579" s="66"/>
      <c r="X579" s="66">
        <f t="shared" si="7"/>
        <v>545.3561321</v>
      </c>
      <c r="Y579" s="66"/>
      <c r="Z579" s="66"/>
      <c r="AA579" s="66"/>
      <c r="AB579" s="63"/>
      <c r="AC579" s="63"/>
      <c r="AD579" s="63"/>
      <c r="AE579" s="63"/>
      <c r="AF579" s="63"/>
      <c r="AG579" s="63"/>
      <c r="AH579" s="63" t="str">
        <f t="shared" si="14"/>
        <v/>
      </c>
      <c r="AI579" s="63" t="str">
        <f>if(AH579,_xlfn.workday.intl(int(AH579),0,"1000000",Holidays!A:A)+18/24,"")</f>
        <v/>
      </c>
      <c r="AJ579" s="64" t="str">
        <f t="shared" si="24"/>
        <v/>
      </c>
      <c r="AL579" s="66" t="str">
        <f t="shared" si="9"/>
        <v/>
      </c>
      <c r="AM579" s="66"/>
      <c r="AN579" s="63" t="str">
        <f>if(AJ579,if(and(hour(AJ579+AN$5)&gt;11,(hour(AJ579+AN$5)&lt;20)),AJ579+AN$5,_xlfn.workday.intl(int(AJ579),1,"1000000",Holidays!A:A)+hour(AJ579+AN$5-$B$1)/24+minute(AJ579)/1440),"")</f>
        <v/>
      </c>
      <c r="AO579" s="64" t="str">
        <f t="shared" si="15"/>
        <v/>
      </c>
      <c r="AQ579" s="66" t="str">
        <f t="shared" si="16"/>
        <v/>
      </c>
      <c r="AR579" s="66"/>
      <c r="AS579" s="63" t="str">
        <f>if(AJ579,if(and(hour(AJ579+AS$5)&gt;11,(hour(AJ579+AS$5)&lt;20)),AJ579+AS$5,_xlfn.workday.intl(int(AJ579),1,"1000000",Holidays!A:A)+hour(AJ579+AS$5-$B$1)/24+minute(AJ579)/1440),"")</f>
        <v/>
      </c>
      <c r="AT579" s="64" t="str">
        <f t="shared" si="21"/>
        <v/>
      </c>
      <c r="AV579" s="66" t="str">
        <f t="shared" si="25"/>
        <v/>
      </c>
      <c r="AW579" s="66"/>
      <c r="AX579" s="56"/>
    </row>
    <row r="580">
      <c r="A580" s="55">
        <v>45586.63013628472</v>
      </c>
      <c r="B580" s="56"/>
      <c r="C580" s="57"/>
      <c r="D580" s="57"/>
      <c r="E580" s="57"/>
      <c r="F580" s="57"/>
      <c r="G580" s="58">
        <f>if(A580,_xlfn.workday.intl(int(A580),1,"1000000",Holidays!A:A)+17/24,"")</f>
        <v>45587.70833</v>
      </c>
      <c r="H580" s="59" t="str">
        <f t="shared" si="23"/>
        <v/>
      </c>
      <c r="I580" s="60"/>
      <c r="J580" s="61">
        <f t="shared" si="2"/>
        <v>546.2755766</v>
      </c>
      <c r="K580" s="58">
        <f>if(G580,_xlfn.workday.intl(int(G580),0,"1000000",Holidays!A:A)+19/24,"")</f>
        <v>45587.79167</v>
      </c>
      <c r="L580" s="59" t="str">
        <f t="shared" si="3"/>
        <v/>
      </c>
      <c r="M580" s="60"/>
      <c r="N580" s="61">
        <f t="shared" si="4"/>
        <v>546.1922432</v>
      </c>
      <c r="O580" s="63">
        <f>if(A580,_xlfn.WORKDAY.INTL(A580,O$5,"1000000",Holidays!A:A)+hour(A580)/24+MINUTE(A580)/1440,"")</f>
        <v>45587.62986</v>
      </c>
      <c r="P580" s="64" t="s">
        <v>2718</v>
      </c>
      <c r="R580" s="66">
        <f t="shared" si="5"/>
        <v>546.3540488</v>
      </c>
      <c r="S580" s="66"/>
      <c r="T580" s="66"/>
      <c r="U580" s="64">
        <f>if(O580,_xlfn.WORKDAY.INTL(O580,U$5,"1000000",Holidays!A:A)+hour(O580)/24+MINUTE(O580)/1440,"")</f>
        <v>45588.62986</v>
      </c>
      <c r="V580" s="64" t="str">
        <f t="shared" si="6"/>
        <v/>
      </c>
      <c r="W580" s="66"/>
      <c r="X580" s="66">
        <f t="shared" si="7"/>
        <v>545.3540488</v>
      </c>
      <c r="Y580" s="66"/>
      <c r="Z580" s="66"/>
      <c r="AA580" s="66"/>
      <c r="AB580" s="63"/>
      <c r="AC580" s="63"/>
      <c r="AD580" s="63"/>
      <c r="AE580" s="63"/>
      <c r="AF580" s="63"/>
      <c r="AG580" s="63"/>
      <c r="AH580" s="63" t="str">
        <f t="shared" si="14"/>
        <v/>
      </c>
      <c r="AI580" s="63" t="str">
        <f>if(AH580,_xlfn.workday.intl(int(AH580),0,"1000000",Holidays!A:A)+18/24,"")</f>
        <v/>
      </c>
      <c r="AJ580" s="64" t="str">
        <f t="shared" si="24"/>
        <v/>
      </c>
      <c r="AL580" s="66" t="str">
        <f t="shared" si="9"/>
        <v/>
      </c>
      <c r="AM580" s="66"/>
      <c r="AN580" s="63" t="str">
        <f>if(AJ580,if(and(hour(AJ580+AN$5)&gt;11,(hour(AJ580+AN$5)&lt;20)),AJ580+AN$5,_xlfn.workday.intl(int(AJ580),1,"1000000",Holidays!A:A)+hour(AJ580+AN$5-$B$1)/24+minute(AJ580)/1440),"")</f>
        <v/>
      </c>
      <c r="AO580" s="64" t="str">
        <f t="shared" si="15"/>
        <v/>
      </c>
      <c r="AQ580" s="66" t="str">
        <f t="shared" si="16"/>
        <v/>
      </c>
      <c r="AR580" s="66"/>
      <c r="AS580" s="63" t="str">
        <f>if(AJ580,if(and(hour(AJ580+AS$5)&gt;11,(hour(AJ580+AS$5)&lt;20)),AJ580+AS$5,_xlfn.workday.intl(int(AJ580),1,"1000000",Holidays!A:A)+hour(AJ580+AS$5-$B$1)/24+minute(AJ580)/1440),"")</f>
        <v/>
      </c>
      <c r="AT580" s="64" t="str">
        <f t="shared" si="21"/>
        <v/>
      </c>
      <c r="AV580" s="66" t="str">
        <f t="shared" si="25"/>
        <v/>
      </c>
      <c r="AW580" s="66"/>
      <c r="AX580" s="56"/>
    </row>
    <row r="581">
      <c r="A581" s="55">
        <v>45586.632364930556</v>
      </c>
      <c r="B581" s="56"/>
      <c r="C581" s="57"/>
      <c r="D581" s="57"/>
      <c r="E581" s="57"/>
      <c r="F581" s="57"/>
      <c r="G581" s="58">
        <f>if(A581,_xlfn.workday.intl(int(A581),1,"1000000",Holidays!A:A)+17/24,"")</f>
        <v>45587.70833</v>
      </c>
      <c r="H581" s="59" t="str">
        <f t="shared" si="23"/>
        <v/>
      </c>
      <c r="I581" s="60"/>
      <c r="J581" s="61">
        <f t="shared" si="2"/>
        <v>546.2755766</v>
      </c>
      <c r="K581" s="58">
        <f>if(G581,_xlfn.workday.intl(int(G581),0,"1000000",Holidays!A:A)+19/24,"")</f>
        <v>45587.79167</v>
      </c>
      <c r="L581" s="59" t="str">
        <f t="shared" si="3"/>
        <v/>
      </c>
      <c r="M581" s="60"/>
      <c r="N581" s="61">
        <f t="shared" si="4"/>
        <v>546.1922432</v>
      </c>
      <c r="O581" s="63">
        <f>if(A581,_xlfn.WORKDAY.INTL(A581,O$5,"1000000",Holidays!A:A)+hour(A581)/24+MINUTE(A581)/1440,"")</f>
        <v>45587.63194</v>
      </c>
      <c r="P581" s="64" t="s">
        <v>2718</v>
      </c>
      <c r="R581" s="66">
        <f t="shared" si="5"/>
        <v>546.3519655</v>
      </c>
      <c r="S581" s="66"/>
      <c r="T581" s="66"/>
      <c r="U581" s="64">
        <f>if(O581,_xlfn.WORKDAY.INTL(O581,U$5,"1000000",Holidays!A:A)+hour(O581)/24+MINUTE(O581)/1440,"")</f>
        <v>45588.63194</v>
      </c>
      <c r="V581" s="64" t="str">
        <f t="shared" si="6"/>
        <v/>
      </c>
      <c r="W581" s="66"/>
      <c r="X581" s="66">
        <f t="shared" si="7"/>
        <v>545.3519655</v>
      </c>
      <c r="Y581" s="66"/>
      <c r="Z581" s="66"/>
      <c r="AA581" s="66"/>
      <c r="AB581" s="63"/>
      <c r="AC581" s="63"/>
      <c r="AD581" s="63"/>
      <c r="AE581" s="63"/>
      <c r="AF581" s="63"/>
      <c r="AG581" s="63"/>
      <c r="AH581" s="63" t="str">
        <f t="shared" si="14"/>
        <v/>
      </c>
      <c r="AI581" s="63" t="str">
        <f>if(AH581,_xlfn.workday.intl(int(AH581),0,"1000000",Holidays!A:A)+18/24,"")</f>
        <v/>
      </c>
      <c r="AJ581" s="64" t="str">
        <f t="shared" si="24"/>
        <v/>
      </c>
      <c r="AL581" s="66" t="str">
        <f t="shared" si="9"/>
        <v/>
      </c>
      <c r="AM581" s="66"/>
      <c r="AN581" s="63" t="str">
        <f>if(AJ581,if(and(hour(AJ581+AN$5)&gt;11,(hour(AJ581+AN$5)&lt;20)),AJ581+AN$5,_xlfn.workday.intl(int(AJ581),1,"1000000",Holidays!A:A)+hour(AJ581+AN$5-$B$1)/24+minute(AJ581)/1440),"")</f>
        <v/>
      </c>
      <c r="AO581" s="64" t="str">
        <f t="shared" si="15"/>
        <v/>
      </c>
      <c r="AQ581" s="66" t="str">
        <f t="shared" si="16"/>
        <v/>
      </c>
      <c r="AR581" s="66"/>
      <c r="AS581" s="63" t="str">
        <f>if(AJ581,if(and(hour(AJ581+AS$5)&gt;11,(hour(AJ581+AS$5)&lt;20)),AJ581+AS$5,_xlfn.workday.intl(int(AJ581),1,"1000000",Holidays!A:A)+hour(AJ581+AS$5-$B$1)/24+minute(AJ581)/1440),"")</f>
        <v/>
      </c>
      <c r="AT581" s="64" t="str">
        <f t="shared" si="21"/>
        <v/>
      </c>
      <c r="AV581" s="66" t="str">
        <f t="shared" si="25"/>
        <v/>
      </c>
      <c r="AW581" s="66"/>
      <c r="AX581" s="56"/>
    </row>
    <row r="582">
      <c r="A582" s="55">
        <v>45586.6910837037</v>
      </c>
      <c r="B582" s="56"/>
      <c r="C582" s="57"/>
      <c r="D582" s="57"/>
      <c r="E582" s="57"/>
      <c r="F582" s="57"/>
      <c r="G582" s="58">
        <f>if(A582,_xlfn.workday.intl(int(A582),1,"1000000",Holidays!A:A)+17/24,"")</f>
        <v>45587.70833</v>
      </c>
      <c r="H582" s="59" t="str">
        <f t="shared" si="23"/>
        <v/>
      </c>
      <c r="I582" s="60"/>
      <c r="J582" s="61">
        <f t="shared" si="2"/>
        <v>546.2755766</v>
      </c>
      <c r="K582" s="58">
        <f>if(G582,_xlfn.workday.intl(int(G582),0,"1000000",Holidays!A:A)+19/24,"")</f>
        <v>45587.79167</v>
      </c>
      <c r="L582" s="59" t="str">
        <f t="shared" si="3"/>
        <v/>
      </c>
      <c r="M582" s="60"/>
      <c r="N582" s="61">
        <f t="shared" si="4"/>
        <v>546.1922432</v>
      </c>
      <c r="O582" s="63">
        <f>if(A582,_xlfn.WORKDAY.INTL(A582,O$5,"1000000",Holidays!A:A)+hour(A582)/24+MINUTE(A582)/1440,"")</f>
        <v>45587.69097</v>
      </c>
      <c r="P582" s="64" t="s">
        <v>2718</v>
      </c>
      <c r="R582" s="66">
        <f t="shared" si="5"/>
        <v>546.2929377</v>
      </c>
      <c r="S582" s="66"/>
      <c r="T582" s="66"/>
      <c r="U582" s="64">
        <f>if(O582,_xlfn.WORKDAY.INTL(O582,U$5,"1000000",Holidays!A:A)+hour(O582)/24+MINUTE(O582)/1440,"")</f>
        <v>45588.69097</v>
      </c>
      <c r="V582" s="64" t="str">
        <f t="shared" si="6"/>
        <v/>
      </c>
      <c r="W582" s="66"/>
      <c r="X582" s="66">
        <f t="shared" si="7"/>
        <v>545.2929377</v>
      </c>
      <c r="Y582" s="66"/>
      <c r="Z582" s="66"/>
      <c r="AA582" s="66"/>
      <c r="AB582" s="63"/>
      <c r="AC582" s="63"/>
      <c r="AD582" s="63"/>
      <c r="AE582" s="63"/>
      <c r="AF582" s="63"/>
      <c r="AG582" s="63"/>
      <c r="AH582" s="63" t="str">
        <f t="shared" si="14"/>
        <v/>
      </c>
      <c r="AI582" s="63" t="str">
        <f>if(AH582,_xlfn.workday.intl(int(AH582),0,"1000000",Holidays!A:A)+18/24,"")</f>
        <v/>
      </c>
      <c r="AJ582" s="64" t="str">
        <f t="shared" si="24"/>
        <v/>
      </c>
      <c r="AL582" s="66" t="str">
        <f t="shared" si="9"/>
        <v/>
      </c>
      <c r="AM582" s="66"/>
      <c r="AN582" s="63" t="str">
        <f>if(AJ582,if(and(hour(AJ582+AN$5)&gt;11,(hour(AJ582+AN$5)&lt;20)),AJ582+AN$5,_xlfn.workday.intl(int(AJ582),1,"1000000",Holidays!A:A)+hour(AJ582+AN$5-$B$1)/24+minute(AJ582)/1440),"")</f>
        <v/>
      </c>
      <c r="AO582" s="64" t="str">
        <f t="shared" si="15"/>
        <v/>
      </c>
      <c r="AQ582" s="66" t="str">
        <f t="shared" si="16"/>
        <v/>
      </c>
      <c r="AR582" s="66"/>
      <c r="AS582" s="63" t="str">
        <f>if(AJ582,if(and(hour(AJ582+AS$5)&gt;11,(hour(AJ582+AS$5)&lt;20)),AJ582+AS$5,_xlfn.workday.intl(int(AJ582),1,"1000000",Holidays!A:A)+hour(AJ582+AS$5-$B$1)/24+minute(AJ582)/1440),"")</f>
        <v/>
      </c>
      <c r="AT582" s="64" t="str">
        <f t="shared" si="21"/>
        <v/>
      </c>
      <c r="AV582" s="66" t="str">
        <f t="shared" si="25"/>
        <v/>
      </c>
      <c r="AW582" s="66"/>
      <c r="AX582" s="56"/>
    </row>
    <row r="583">
      <c r="A583" s="55">
        <v>45586.695186261575</v>
      </c>
      <c r="B583" s="56"/>
      <c r="C583" s="57"/>
      <c r="D583" s="57"/>
      <c r="E583" s="57"/>
      <c r="F583" s="57"/>
      <c r="G583" s="58">
        <f>if(A583,_xlfn.workday.intl(int(A583),1,"1000000",Holidays!A:A)+17/24,"")</f>
        <v>45587.70833</v>
      </c>
      <c r="H583" s="59" t="str">
        <f t="shared" si="23"/>
        <v/>
      </c>
      <c r="I583" s="60"/>
      <c r="J583" s="61">
        <f t="shared" si="2"/>
        <v>546.2755766</v>
      </c>
      <c r="K583" s="58">
        <f>if(G583,_xlfn.workday.intl(int(G583),0,"1000000",Holidays!A:A)+19/24,"")</f>
        <v>45587.79167</v>
      </c>
      <c r="L583" s="59" t="str">
        <f t="shared" si="3"/>
        <v/>
      </c>
      <c r="M583" s="60"/>
      <c r="N583" s="61">
        <f t="shared" si="4"/>
        <v>546.1922432</v>
      </c>
      <c r="O583" s="63">
        <f>if(A583,_xlfn.WORKDAY.INTL(A583,O$5,"1000000",Holidays!A:A)+hour(A583)/24+MINUTE(A583)/1440,"")</f>
        <v>45587.69514</v>
      </c>
      <c r="P583" s="64" t="s">
        <v>2718</v>
      </c>
      <c r="R583" s="66">
        <f t="shared" si="5"/>
        <v>546.288771</v>
      </c>
      <c r="S583" s="66"/>
      <c r="T583" s="66"/>
      <c r="U583" s="64">
        <f>if(O583,_xlfn.WORKDAY.INTL(O583,U$5,"1000000",Holidays!A:A)+hour(O583)/24+MINUTE(O583)/1440,"")</f>
        <v>45588.69514</v>
      </c>
      <c r="V583" s="64" t="str">
        <f t="shared" si="6"/>
        <v/>
      </c>
      <c r="W583" s="66"/>
      <c r="X583" s="66">
        <f t="shared" si="7"/>
        <v>545.288771</v>
      </c>
      <c r="Y583" s="66"/>
      <c r="Z583" s="66"/>
      <c r="AA583" s="66"/>
      <c r="AB583" s="63"/>
      <c r="AC583" s="63"/>
      <c r="AD583" s="63"/>
      <c r="AE583" s="63"/>
      <c r="AF583" s="63"/>
      <c r="AG583" s="63"/>
      <c r="AH583" s="63" t="str">
        <f t="shared" si="14"/>
        <v/>
      </c>
      <c r="AI583" s="63" t="str">
        <f>if(AH583,_xlfn.workday.intl(int(AH583),0,"1000000",Holidays!A:A)+18/24,"")</f>
        <v/>
      </c>
      <c r="AJ583" s="64" t="str">
        <f t="shared" si="24"/>
        <v/>
      </c>
      <c r="AL583" s="66" t="str">
        <f t="shared" si="9"/>
        <v/>
      </c>
      <c r="AM583" s="66"/>
      <c r="AN583" s="63" t="str">
        <f>if(AJ583,if(and(hour(AJ583+AN$5)&gt;11,(hour(AJ583+AN$5)&lt;20)),AJ583+AN$5,_xlfn.workday.intl(int(AJ583),1,"1000000",Holidays!A:A)+hour(AJ583+AN$5-$B$1)/24+minute(AJ583)/1440),"")</f>
        <v/>
      </c>
      <c r="AO583" s="64" t="str">
        <f t="shared" si="15"/>
        <v/>
      </c>
      <c r="AQ583" s="66" t="str">
        <f t="shared" si="16"/>
        <v/>
      </c>
      <c r="AR583" s="66"/>
      <c r="AS583" s="63" t="str">
        <f>if(AJ583,if(and(hour(AJ583+AS$5)&gt;11,(hour(AJ583+AS$5)&lt;20)),AJ583+AS$5,_xlfn.workday.intl(int(AJ583),1,"1000000",Holidays!A:A)+hour(AJ583+AS$5-$B$1)/24+minute(AJ583)/1440),"")</f>
        <v/>
      </c>
      <c r="AT583" s="64" t="str">
        <f t="shared" si="21"/>
        <v/>
      </c>
      <c r="AV583" s="66" t="str">
        <f t="shared" si="25"/>
        <v/>
      </c>
      <c r="AW583" s="66"/>
      <c r="AX583" s="56"/>
    </row>
    <row r="584">
      <c r="A584" s="55">
        <v>45586.696716527775</v>
      </c>
      <c r="B584" s="56"/>
      <c r="C584" s="57"/>
      <c r="D584" s="57"/>
      <c r="E584" s="57"/>
      <c r="F584" s="57"/>
      <c r="G584" s="58">
        <f>if(A584,_xlfn.workday.intl(int(A584),1,"1000000",Holidays!A:A)+17/24,"")</f>
        <v>45587.70833</v>
      </c>
      <c r="H584" s="59" t="str">
        <f t="shared" si="23"/>
        <v/>
      </c>
      <c r="I584" s="60"/>
      <c r="J584" s="61">
        <f t="shared" si="2"/>
        <v>546.2755766</v>
      </c>
      <c r="K584" s="58">
        <f>if(G584,_xlfn.workday.intl(int(G584),0,"1000000",Holidays!A:A)+19/24,"")</f>
        <v>45587.79167</v>
      </c>
      <c r="L584" s="59" t="str">
        <f t="shared" si="3"/>
        <v/>
      </c>
      <c r="M584" s="60"/>
      <c r="N584" s="61">
        <f t="shared" si="4"/>
        <v>546.1922432</v>
      </c>
      <c r="O584" s="63">
        <f>if(A584,_xlfn.WORKDAY.INTL(A584,O$5,"1000000",Holidays!A:A)+hour(A584)/24+MINUTE(A584)/1440,"")</f>
        <v>45587.69653</v>
      </c>
      <c r="P584" s="64" t="s">
        <v>2718</v>
      </c>
      <c r="R584" s="66">
        <f t="shared" si="5"/>
        <v>546.2873821</v>
      </c>
      <c r="S584" s="66"/>
      <c r="T584" s="66"/>
      <c r="U584" s="64">
        <f>if(O584,_xlfn.WORKDAY.INTL(O584,U$5,"1000000",Holidays!A:A)+hour(O584)/24+MINUTE(O584)/1440,"")</f>
        <v>45588.69653</v>
      </c>
      <c r="V584" s="64" t="str">
        <f t="shared" si="6"/>
        <v/>
      </c>
      <c r="W584" s="66"/>
      <c r="X584" s="66">
        <f t="shared" si="7"/>
        <v>545.2873821</v>
      </c>
      <c r="Y584" s="66"/>
      <c r="Z584" s="66"/>
      <c r="AA584" s="66"/>
      <c r="AB584" s="63"/>
      <c r="AC584" s="63"/>
      <c r="AD584" s="63"/>
      <c r="AE584" s="63"/>
      <c r="AF584" s="63"/>
      <c r="AG584" s="63"/>
      <c r="AH584" s="63" t="str">
        <f t="shared" si="14"/>
        <v/>
      </c>
      <c r="AI584" s="63" t="str">
        <f>if(AH584,_xlfn.workday.intl(int(AH584),0,"1000000",Holidays!A:A)+18/24,"")</f>
        <v/>
      </c>
      <c r="AJ584" s="64" t="str">
        <f t="shared" si="24"/>
        <v/>
      </c>
      <c r="AL584" s="66" t="str">
        <f t="shared" si="9"/>
        <v/>
      </c>
      <c r="AM584" s="66"/>
      <c r="AN584" s="63" t="str">
        <f>if(AJ584,if(and(hour(AJ584+AN$5)&gt;11,(hour(AJ584+AN$5)&lt;20)),AJ584+AN$5,_xlfn.workday.intl(int(AJ584),1,"1000000",Holidays!A:A)+hour(AJ584+AN$5-$B$1)/24+minute(AJ584)/1440),"")</f>
        <v/>
      </c>
      <c r="AO584" s="64" t="str">
        <f t="shared" si="15"/>
        <v/>
      </c>
      <c r="AQ584" s="66" t="str">
        <f t="shared" si="16"/>
        <v/>
      </c>
      <c r="AR584" s="66"/>
      <c r="AS584" s="63" t="str">
        <f>if(AJ584,if(and(hour(AJ584+AS$5)&gt;11,(hour(AJ584+AS$5)&lt;20)),AJ584+AS$5,_xlfn.workday.intl(int(AJ584),1,"1000000",Holidays!A:A)+hour(AJ584+AS$5-$B$1)/24+minute(AJ584)/1440),"")</f>
        <v/>
      </c>
      <c r="AT584" s="64" t="str">
        <f t="shared" si="21"/>
        <v/>
      </c>
      <c r="AV584" s="66" t="str">
        <f t="shared" si="25"/>
        <v/>
      </c>
      <c r="AW584" s="66"/>
      <c r="AX584" s="56"/>
    </row>
    <row r="585">
      <c r="A585" s="55">
        <v>45586.70012678241</v>
      </c>
      <c r="B585" s="56"/>
      <c r="C585" s="57"/>
      <c r="D585" s="57"/>
      <c r="E585" s="57"/>
      <c r="F585" s="57"/>
      <c r="G585" s="58">
        <f>if(A585,_xlfn.workday.intl(int(A585),1,"1000000",Holidays!A:A)+17/24,"")</f>
        <v>45587.70833</v>
      </c>
      <c r="H585" s="59" t="str">
        <f t="shared" si="23"/>
        <v/>
      </c>
      <c r="I585" s="60"/>
      <c r="J585" s="61">
        <f t="shared" si="2"/>
        <v>546.2755766</v>
      </c>
      <c r="K585" s="58">
        <f>if(G585,_xlfn.workday.intl(int(G585),0,"1000000",Holidays!A:A)+19/24,"")</f>
        <v>45587.79167</v>
      </c>
      <c r="L585" s="59" t="str">
        <f t="shared" si="3"/>
        <v/>
      </c>
      <c r="M585" s="60"/>
      <c r="N585" s="61">
        <f t="shared" si="4"/>
        <v>546.1922432</v>
      </c>
      <c r="O585" s="63">
        <f>if(A585,_xlfn.WORKDAY.INTL(A585,O$5,"1000000",Holidays!A:A)+hour(A585)/24+MINUTE(A585)/1440,"")</f>
        <v>45587.7</v>
      </c>
      <c r="P585" s="64" t="s">
        <v>2718</v>
      </c>
      <c r="R585" s="66">
        <f t="shared" si="5"/>
        <v>546.2839099</v>
      </c>
      <c r="S585" s="66"/>
      <c r="T585" s="66"/>
      <c r="U585" s="64">
        <f>if(O585,_xlfn.WORKDAY.INTL(O585,U$5,"1000000",Holidays!A:A)+hour(O585)/24+MINUTE(O585)/1440,"")</f>
        <v>45588.7</v>
      </c>
      <c r="V585" s="64" t="str">
        <f t="shared" si="6"/>
        <v/>
      </c>
      <c r="W585" s="66"/>
      <c r="X585" s="66">
        <f t="shared" si="7"/>
        <v>545.2839099</v>
      </c>
      <c r="Y585" s="66"/>
      <c r="Z585" s="66"/>
      <c r="AA585" s="66"/>
      <c r="AB585" s="63"/>
      <c r="AC585" s="63"/>
      <c r="AD585" s="63"/>
      <c r="AE585" s="63"/>
      <c r="AF585" s="63"/>
      <c r="AG585" s="63"/>
      <c r="AH585" s="63" t="str">
        <f t="shared" si="14"/>
        <v/>
      </c>
      <c r="AI585" s="63" t="str">
        <f>if(AH585,_xlfn.workday.intl(int(AH585),0,"1000000",Holidays!A:A)+18/24,"")</f>
        <v/>
      </c>
      <c r="AJ585" s="64" t="str">
        <f t="shared" si="24"/>
        <v/>
      </c>
      <c r="AL585" s="66" t="str">
        <f t="shared" si="9"/>
        <v/>
      </c>
      <c r="AM585" s="66"/>
      <c r="AN585" s="63" t="str">
        <f>if(AJ585,if(and(hour(AJ585+AN$5)&gt;11,(hour(AJ585+AN$5)&lt;20)),AJ585+AN$5,_xlfn.workday.intl(int(AJ585),1,"1000000",Holidays!A:A)+hour(AJ585+AN$5-$B$1)/24+minute(AJ585)/1440),"")</f>
        <v/>
      </c>
      <c r="AO585" s="64" t="str">
        <f t="shared" si="15"/>
        <v/>
      </c>
      <c r="AQ585" s="66" t="str">
        <f t="shared" si="16"/>
        <v/>
      </c>
      <c r="AR585" s="66"/>
      <c r="AS585" s="63" t="str">
        <f>if(AJ585,if(and(hour(AJ585+AS$5)&gt;11,(hour(AJ585+AS$5)&lt;20)),AJ585+AS$5,_xlfn.workday.intl(int(AJ585),1,"1000000",Holidays!A:A)+hour(AJ585+AS$5-$B$1)/24+minute(AJ585)/1440),"")</f>
        <v/>
      </c>
      <c r="AT585" s="64" t="str">
        <f t="shared" si="21"/>
        <v/>
      </c>
      <c r="AV585" s="66" t="str">
        <f t="shared" si="25"/>
        <v/>
      </c>
      <c r="AW585" s="66"/>
      <c r="AX585" s="56"/>
    </row>
    <row r="586">
      <c r="A586" s="55">
        <v>45587.628233483796</v>
      </c>
      <c r="B586" s="56"/>
      <c r="C586" s="57"/>
      <c r="D586" s="57"/>
      <c r="E586" s="57"/>
      <c r="F586" s="57"/>
      <c r="G586" s="58">
        <f>if(A586,_xlfn.workday.intl(int(A586),1,"1000000",Holidays!A:A)+17/24,"")</f>
        <v>45588.70833</v>
      </c>
      <c r="H586" s="59" t="str">
        <f t="shared" si="23"/>
        <v/>
      </c>
      <c r="I586" s="60"/>
      <c r="J586" s="61">
        <f t="shared" si="2"/>
        <v>545.2755766</v>
      </c>
      <c r="K586" s="58">
        <f>if(G586,_xlfn.workday.intl(int(G586),0,"1000000",Holidays!A:A)+19/24,"")</f>
        <v>45588.79167</v>
      </c>
      <c r="L586" s="59" t="str">
        <f t="shared" si="3"/>
        <v/>
      </c>
      <c r="M586" s="60"/>
      <c r="N586" s="61">
        <f t="shared" si="4"/>
        <v>545.1922432</v>
      </c>
      <c r="O586" s="63">
        <f>if(A586,_xlfn.WORKDAY.INTL(A586,O$5,"1000000",Holidays!A:A)+hour(A586)/24+MINUTE(A586)/1440,"")</f>
        <v>45588.62778</v>
      </c>
      <c r="P586" s="64" t="s">
        <v>2718</v>
      </c>
      <c r="R586" s="66">
        <f t="shared" si="5"/>
        <v>545.3561321</v>
      </c>
      <c r="S586" s="66"/>
      <c r="T586" s="66"/>
      <c r="U586" s="64">
        <f>if(O586,_xlfn.WORKDAY.INTL(O586,U$5,"1000000",Holidays!A:A)+hour(O586)/24+MINUTE(O586)/1440,"")</f>
        <v>45589.62778</v>
      </c>
      <c r="V586" s="64" t="str">
        <f t="shared" si="6"/>
        <v/>
      </c>
      <c r="W586" s="66"/>
      <c r="X586" s="66">
        <f t="shared" si="7"/>
        <v>544.3561321</v>
      </c>
      <c r="Y586" s="66"/>
      <c r="Z586" s="66"/>
      <c r="AA586" s="66"/>
      <c r="AB586" s="63"/>
      <c r="AC586" s="63"/>
      <c r="AD586" s="63"/>
      <c r="AE586" s="63"/>
      <c r="AF586" s="63"/>
      <c r="AG586" s="63"/>
      <c r="AH586" s="63" t="str">
        <f t="shared" si="14"/>
        <v/>
      </c>
      <c r="AI586" s="63" t="str">
        <f>if(AH586,_xlfn.workday.intl(int(AH586),0,"1000000",Holidays!A:A)+18/24,"")</f>
        <v/>
      </c>
      <c r="AJ586" s="64" t="str">
        <f t="shared" si="24"/>
        <v/>
      </c>
      <c r="AL586" s="66" t="str">
        <f t="shared" si="9"/>
        <v/>
      </c>
      <c r="AM586" s="66"/>
      <c r="AN586" s="63" t="str">
        <f>if(AJ586,if(and(hour(AJ586+AN$5)&gt;11,(hour(AJ586+AN$5)&lt;20)),AJ586+AN$5,_xlfn.workday.intl(int(AJ586),1,"1000000",Holidays!A:A)+hour(AJ586+AN$5-$B$1)/24+minute(AJ586)/1440),"")</f>
        <v/>
      </c>
      <c r="AO586" s="64" t="str">
        <f t="shared" si="15"/>
        <v/>
      </c>
      <c r="AQ586" s="66" t="str">
        <f t="shared" si="16"/>
        <v/>
      </c>
      <c r="AR586" s="66"/>
      <c r="AS586" s="63" t="str">
        <f>if(AJ586,if(and(hour(AJ586+AS$5)&gt;11,(hour(AJ586+AS$5)&lt;20)),AJ586+AS$5,_xlfn.workday.intl(int(AJ586),1,"1000000",Holidays!A:A)+hour(AJ586+AS$5-$B$1)/24+minute(AJ586)/1440),"")</f>
        <v/>
      </c>
      <c r="AT586" s="64" t="str">
        <f t="shared" si="21"/>
        <v/>
      </c>
      <c r="AV586" s="66" t="str">
        <f t="shared" si="25"/>
        <v/>
      </c>
      <c r="AW586" s="66"/>
      <c r="AX586" s="56"/>
    </row>
    <row r="587">
      <c r="A587" s="55">
        <v>45589.66779212963</v>
      </c>
      <c r="B587" s="56"/>
      <c r="C587" s="57"/>
      <c r="D587" s="57"/>
      <c r="E587" s="57"/>
      <c r="F587" s="57"/>
      <c r="G587" s="58">
        <f>if(A587,_xlfn.workday.intl(int(A587),1,"1000000",Holidays!A:A)+17/24,"")</f>
        <v>45590.70833</v>
      </c>
      <c r="H587" s="59" t="str">
        <f t="shared" si="23"/>
        <v/>
      </c>
      <c r="I587" s="60"/>
      <c r="J587" s="61">
        <f t="shared" si="2"/>
        <v>543.2755766</v>
      </c>
      <c r="K587" s="58">
        <f>if(G587,_xlfn.workday.intl(int(G587),0,"1000000",Holidays!A:A)+19/24,"")</f>
        <v>45590.79167</v>
      </c>
      <c r="L587" s="59" t="str">
        <f t="shared" si="3"/>
        <v/>
      </c>
      <c r="M587" s="60"/>
      <c r="N587" s="61">
        <f t="shared" si="4"/>
        <v>543.1922432</v>
      </c>
      <c r="O587" s="63">
        <f>if(A587,_xlfn.WORKDAY.INTL(A587,O$5,"1000000",Holidays!A:A)+hour(A587)/24+MINUTE(A587)/1440,"")</f>
        <v>45590.66736</v>
      </c>
      <c r="P587" s="64" t="s">
        <v>2718</v>
      </c>
      <c r="R587" s="66">
        <f t="shared" si="5"/>
        <v>543.3165488</v>
      </c>
      <c r="S587" s="66"/>
      <c r="T587" s="66"/>
      <c r="U587" s="64">
        <f>if(O587,_xlfn.WORKDAY.INTL(O587,U$5,"1000000",Holidays!A:A)+hour(O587)/24+MINUTE(O587)/1440,"")</f>
        <v>45591.66736</v>
      </c>
      <c r="V587" s="64" t="str">
        <f t="shared" si="6"/>
        <v/>
      </c>
      <c r="W587" s="66"/>
      <c r="X587" s="66">
        <f t="shared" si="7"/>
        <v>542.3165488</v>
      </c>
      <c r="Y587" s="66"/>
      <c r="Z587" s="66"/>
      <c r="AA587" s="66"/>
      <c r="AB587" s="63"/>
      <c r="AC587" s="63"/>
      <c r="AD587" s="63"/>
      <c r="AE587" s="63"/>
      <c r="AF587" s="63"/>
      <c r="AG587" s="63"/>
      <c r="AH587" s="63" t="str">
        <f t="shared" si="14"/>
        <v/>
      </c>
      <c r="AI587" s="63" t="str">
        <f>if(AH587,_xlfn.workday.intl(int(AH587),0,"1000000",Holidays!A:A)+18/24,"")</f>
        <v/>
      </c>
      <c r="AJ587" s="64" t="str">
        <f t="shared" si="24"/>
        <v/>
      </c>
      <c r="AL587" s="66" t="str">
        <f t="shared" si="9"/>
        <v/>
      </c>
      <c r="AM587" s="66"/>
      <c r="AN587" s="63" t="str">
        <f>if(AJ587,if(and(hour(AJ587+AN$5)&gt;11,(hour(AJ587+AN$5)&lt;20)),AJ587+AN$5,_xlfn.workday.intl(int(AJ587),1,"1000000",Holidays!A:A)+hour(AJ587+AN$5-$B$1)/24+minute(AJ587)/1440),"")</f>
        <v/>
      </c>
      <c r="AO587" s="64" t="str">
        <f t="shared" si="15"/>
        <v/>
      </c>
      <c r="AQ587" s="66" t="str">
        <f t="shared" si="16"/>
        <v/>
      </c>
      <c r="AR587" s="66"/>
      <c r="AS587" s="63" t="str">
        <f>if(AJ587,if(and(hour(AJ587+AS$5)&gt;11,(hour(AJ587+AS$5)&lt;20)),AJ587+AS$5,_xlfn.workday.intl(int(AJ587),1,"1000000",Holidays!A:A)+hour(AJ587+AS$5-$B$1)/24+minute(AJ587)/1440),"")</f>
        <v/>
      </c>
      <c r="AT587" s="64" t="str">
        <f t="shared" si="21"/>
        <v/>
      </c>
      <c r="AV587" s="66" t="str">
        <f t="shared" si="25"/>
        <v/>
      </c>
      <c r="AW587" s="66"/>
      <c r="AX587" s="56"/>
    </row>
    <row r="588">
      <c r="A588" s="55">
        <v>45591.61053747685</v>
      </c>
      <c r="B588" s="56"/>
      <c r="C588" s="57"/>
      <c r="D588" s="57"/>
      <c r="E588" s="57"/>
      <c r="F588" s="57"/>
      <c r="G588" s="58">
        <f>if(A588,_xlfn.workday.intl(int(A588),1,"1000000",Holidays!A:A)+17/24,"")</f>
        <v>45592.70833</v>
      </c>
      <c r="H588" s="59" t="str">
        <f t="shared" si="23"/>
        <v/>
      </c>
      <c r="I588" s="60"/>
      <c r="J588" s="61">
        <f t="shared" si="2"/>
        <v>541.2755766</v>
      </c>
      <c r="K588" s="58">
        <f>if(G588,_xlfn.workday.intl(int(G588),0,"1000000",Holidays!A:A)+19/24,"")</f>
        <v>45592.79167</v>
      </c>
      <c r="L588" s="59" t="str">
        <f t="shared" si="3"/>
        <v/>
      </c>
      <c r="M588" s="60"/>
      <c r="N588" s="61">
        <f t="shared" si="4"/>
        <v>541.1922432</v>
      </c>
      <c r="O588" s="63">
        <f>if(A588,_xlfn.WORKDAY.INTL(A588,O$5,"1000000",Holidays!A:A)+hour(A588)/24+MINUTE(A588)/1440,"")</f>
        <v>45592.61042</v>
      </c>
      <c r="P588" s="64" t="s">
        <v>2718</v>
      </c>
      <c r="R588" s="66">
        <f t="shared" si="5"/>
        <v>541.3734932</v>
      </c>
      <c r="S588" s="66"/>
      <c r="T588" s="66"/>
      <c r="U588" s="64">
        <f>if(O588,_xlfn.WORKDAY.INTL(O588,U$5,"1000000",Holidays!A:A)+hour(O588)/24+MINUTE(O588)/1440,"")</f>
        <v>45594.61042</v>
      </c>
      <c r="V588" s="64" t="str">
        <f t="shared" si="6"/>
        <v/>
      </c>
      <c r="W588" s="66"/>
      <c r="X588" s="66">
        <f t="shared" si="7"/>
        <v>539.3734932</v>
      </c>
      <c r="Y588" s="66"/>
      <c r="Z588" s="66"/>
      <c r="AA588" s="66"/>
      <c r="AB588" s="63"/>
      <c r="AC588" s="63"/>
      <c r="AD588" s="63"/>
      <c r="AE588" s="63"/>
      <c r="AF588" s="63"/>
      <c r="AG588" s="63"/>
      <c r="AH588" s="63" t="str">
        <f t="shared" si="14"/>
        <v/>
      </c>
      <c r="AI588" s="63" t="str">
        <f>if(AH588,_xlfn.workday.intl(int(AH588),0,"1000000",Holidays!A:A)+18/24,"")</f>
        <v/>
      </c>
      <c r="AJ588" s="64" t="str">
        <f t="shared" si="24"/>
        <v/>
      </c>
      <c r="AL588" s="66" t="str">
        <f t="shared" si="9"/>
        <v/>
      </c>
      <c r="AM588" s="66"/>
      <c r="AN588" s="63" t="str">
        <f>if(AJ588,if(and(hour(AJ588+AN$5)&gt;11,(hour(AJ588+AN$5)&lt;20)),AJ588+AN$5,_xlfn.workday.intl(int(AJ588),1,"1000000",Holidays!A:A)+hour(AJ588+AN$5-$B$1)/24+minute(AJ588)/1440),"")</f>
        <v/>
      </c>
      <c r="AO588" s="64" t="str">
        <f t="shared" si="15"/>
        <v/>
      </c>
      <c r="AQ588" s="66" t="str">
        <f t="shared" si="16"/>
        <v/>
      </c>
      <c r="AR588" s="66"/>
      <c r="AS588" s="63" t="str">
        <f>if(AJ588,if(and(hour(AJ588+AS$5)&gt;11,(hour(AJ588+AS$5)&lt;20)),AJ588+AS$5,_xlfn.workday.intl(int(AJ588),1,"1000000",Holidays!A:A)+hour(AJ588+AS$5-$B$1)/24+minute(AJ588)/1440),"")</f>
        <v/>
      </c>
      <c r="AT588" s="64" t="str">
        <f t="shared" si="21"/>
        <v/>
      </c>
      <c r="AV588" s="66" t="str">
        <f t="shared" si="25"/>
        <v/>
      </c>
      <c r="AW588" s="66"/>
      <c r="AX588" s="56"/>
    </row>
    <row r="589">
      <c r="A589" s="55">
        <v>45591.767281168984</v>
      </c>
      <c r="B589" s="56"/>
      <c r="C589" s="57"/>
      <c r="D589" s="57"/>
      <c r="E589" s="57"/>
      <c r="F589" s="57"/>
      <c r="G589" s="58">
        <f>if(A589,_xlfn.workday.intl(int(A589),1,"1000000",Holidays!A:A)+17/24,"")</f>
        <v>45592.70833</v>
      </c>
      <c r="H589" s="59" t="str">
        <f t="shared" si="23"/>
        <v/>
      </c>
      <c r="I589" s="60"/>
      <c r="J589" s="61">
        <f t="shared" si="2"/>
        <v>541.2755766</v>
      </c>
      <c r="K589" s="58">
        <f>if(G589,_xlfn.workday.intl(int(G589),0,"1000000",Holidays!A:A)+19/24,"")</f>
        <v>45592.79167</v>
      </c>
      <c r="L589" s="59" t="str">
        <f t="shared" si="3"/>
        <v/>
      </c>
      <c r="M589" s="60"/>
      <c r="N589" s="61">
        <f t="shared" si="4"/>
        <v>541.1922432</v>
      </c>
      <c r="O589" s="63">
        <f>if(A589,_xlfn.WORKDAY.INTL(A589,O$5,"1000000",Holidays!A:A)+hour(A589)/24+MINUTE(A589)/1440,"")</f>
        <v>45592.76667</v>
      </c>
      <c r="P589" s="64" t="s">
        <v>2718</v>
      </c>
      <c r="R589" s="66">
        <f t="shared" si="5"/>
        <v>541.2172432</v>
      </c>
      <c r="S589" s="66"/>
      <c r="T589" s="66"/>
      <c r="U589" s="64">
        <f>if(O589,_xlfn.WORKDAY.INTL(O589,U$5,"1000000",Holidays!A:A)+hour(O589)/24+MINUTE(O589)/1440,"")</f>
        <v>45594.76667</v>
      </c>
      <c r="V589" s="64" t="str">
        <f t="shared" si="6"/>
        <v/>
      </c>
      <c r="W589" s="66"/>
      <c r="X589" s="66">
        <f t="shared" si="7"/>
        <v>539.2172432</v>
      </c>
      <c r="Y589" s="66"/>
      <c r="Z589" s="66"/>
      <c r="AA589" s="66"/>
      <c r="AB589" s="63"/>
      <c r="AC589" s="63"/>
      <c r="AD589" s="63"/>
      <c r="AE589" s="63"/>
      <c r="AF589" s="63"/>
      <c r="AG589" s="63"/>
      <c r="AH589" s="63" t="str">
        <f t="shared" si="14"/>
        <v/>
      </c>
      <c r="AI589" s="63" t="str">
        <f>if(AH589,_xlfn.workday.intl(int(AH589),0,"1000000",Holidays!A:A)+18/24,"")</f>
        <v/>
      </c>
      <c r="AJ589" s="64" t="str">
        <f t="shared" si="24"/>
        <v/>
      </c>
      <c r="AL589" s="66" t="str">
        <f t="shared" si="9"/>
        <v/>
      </c>
      <c r="AM589" s="66"/>
      <c r="AN589" s="63" t="str">
        <f>if(AJ589,if(and(hour(AJ589+AN$5)&gt;11,(hour(AJ589+AN$5)&lt;20)),AJ589+AN$5,_xlfn.workday.intl(int(AJ589),1,"1000000",Holidays!A:A)+hour(AJ589+AN$5-$B$1)/24+minute(AJ589)/1440),"")</f>
        <v/>
      </c>
      <c r="AO589" s="64" t="str">
        <f t="shared" si="15"/>
        <v/>
      </c>
      <c r="AQ589" s="66" t="str">
        <f t="shared" si="16"/>
        <v/>
      </c>
      <c r="AR589" s="66"/>
      <c r="AS589" s="63" t="str">
        <f>if(AJ589,if(and(hour(AJ589+AS$5)&gt;11,(hour(AJ589+AS$5)&lt;20)),AJ589+AS$5,_xlfn.workday.intl(int(AJ589),1,"1000000",Holidays!A:A)+hour(AJ589+AS$5-$B$1)/24+minute(AJ589)/1440),"")</f>
        <v/>
      </c>
      <c r="AT589" s="64" t="str">
        <f t="shared" si="21"/>
        <v/>
      </c>
      <c r="AV589" s="66" t="str">
        <f t="shared" si="25"/>
        <v/>
      </c>
      <c r="AW589" s="66"/>
      <c r="AX589" s="56"/>
    </row>
    <row r="590">
      <c r="A590" s="55">
        <v>45591.76888857639</v>
      </c>
      <c r="B590" s="56"/>
      <c r="C590" s="57"/>
      <c r="D590" s="57"/>
      <c r="E590" s="57"/>
      <c r="F590" s="57"/>
      <c r="G590" s="58">
        <f>if(A590,_xlfn.workday.intl(int(A590),1,"1000000",Holidays!A:A)+17/24,"")</f>
        <v>45592.70833</v>
      </c>
      <c r="H590" s="59" t="str">
        <f t="shared" si="23"/>
        <v/>
      </c>
      <c r="I590" s="60"/>
      <c r="J590" s="61">
        <f t="shared" si="2"/>
        <v>541.2755766</v>
      </c>
      <c r="K590" s="58">
        <f>if(G590,_xlfn.workday.intl(int(G590),0,"1000000",Holidays!A:A)+19/24,"")</f>
        <v>45592.79167</v>
      </c>
      <c r="L590" s="59" t="str">
        <f t="shared" si="3"/>
        <v/>
      </c>
      <c r="M590" s="60"/>
      <c r="N590" s="61">
        <f t="shared" si="4"/>
        <v>541.1922432</v>
      </c>
      <c r="O590" s="63">
        <f>if(A590,_xlfn.WORKDAY.INTL(A590,O$5,"1000000",Holidays!A:A)+hour(A590)/24+MINUTE(A590)/1440,"")</f>
        <v>45592.76875</v>
      </c>
      <c r="P590" s="64" t="s">
        <v>2718</v>
      </c>
      <c r="R590" s="66">
        <f t="shared" si="5"/>
        <v>541.2151599</v>
      </c>
      <c r="S590" s="66"/>
      <c r="T590" s="66"/>
      <c r="U590" s="64">
        <f>if(O590,_xlfn.WORKDAY.INTL(O590,U$5,"1000000",Holidays!A:A)+hour(O590)/24+MINUTE(O590)/1440,"")</f>
        <v>45594.76875</v>
      </c>
      <c r="V590" s="64" t="str">
        <f t="shared" si="6"/>
        <v/>
      </c>
      <c r="W590" s="66"/>
      <c r="X590" s="66">
        <f t="shared" si="7"/>
        <v>539.2151599</v>
      </c>
      <c r="Y590" s="66"/>
      <c r="Z590" s="66"/>
      <c r="AA590" s="66"/>
      <c r="AB590" s="63"/>
      <c r="AC590" s="63"/>
      <c r="AD590" s="63"/>
      <c r="AE590" s="63"/>
      <c r="AF590" s="63"/>
      <c r="AG590" s="63"/>
      <c r="AH590" s="63" t="str">
        <f t="shared" si="14"/>
        <v/>
      </c>
      <c r="AI590" s="63" t="str">
        <f>if(AH590,_xlfn.workday.intl(int(AH590),0,"1000000",Holidays!A:A)+18/24,"")</f>
        <v/>
      </c>
      <c r="AJ590" s="64" t="str">
        <f t="shared" si="24"/>
        <v/>
      </c>
      <c r="AL590" s="66" t="str">
        <f t="shared" si="9"/>
        <v/>
      </c>
      <c r="AM590" s="66"/>
      <c r="AN590" s="63" t="str">
        <f>if(AJ590,if(and(hour(AJ590+AN$5)&gt;11,(hour(AJ590+AN$5)&lt;20)),AJ590+AN$5,_xlfn.workday.intl(int(AJ590),1,"1000000",Holidays!A:A)+hour(AJ590+AN$5-$B$1)/24+minute(AJ590)/1440),"")</f>
        <v/>
      </c>
      <c r="AO590" s="64" t="str">
        <f t="shared" si="15"/>
        <v/>
      </c>
      <c r="AQ590" s="66" t="str">
        <f t="shared" si="16"/>
        <v/>
      </c>
      <c r="AR590" s="66"/>
      <c r="AS590" s="63" t="str">
        <f>if(AJ590,if(and(hour(AJ590+AS$5)&gt;11,(hour(AJ590+AS$5)&lt;20)),AJ590+AS$5,_xlfn.workday.intl(int(AJ590),1,"1000000",Holidays!A:A)+hour(AJ590+AS$5-$B$1)/24+minute(AJ590)/1440),"")</f>
        <v/>
      </c>
      <c r="AT590" s="64" t="str">
        <f t="shared" si="21"/>
        <v/>
      </c>
      <c r="AV590" s="66" t="str">
        <f t="shared" si="25"/>
        <v/>
      </c>
      <c r="AW590" s="66"/>
      <c r="AX590" s="56"/>
    </row>
    <row r="591">
      <c r="A591" s="55">
        <v>45591.769745046295</v>
      </c>
      <c r="B591" s="56"/>
      <c r="C591" s="57"/>
      <c r="D591" s="57"/>
      <c r="E591" s="57"/>
      <c r="F591" s="57"/>
      <c r="G591" s="58">
        <f>if(A591,_xlfn.workday.intl(int(A591),1,"1000000",Holidays!A:A)+17/24,"")</f>
        <v>45592.70833</v>
      </c>
      <c r="H591" s="59" t="str">
        <f t="shared" si="23"/>
        <v/>
      </c>
      <c r="I591" s="60"/>
      <c r="J591" s="61">
        <f t="shared" si="2"/>
        <v>541.2755766</v>
      </c>
      <c r="K591" s="58">
        <f>if(G591,_xlfn.workday.intl(int(G591),0,"1000000",Holidays!A:A)+19/24,"")</f>
        <v>45592.79167</v>
      </c>
      <c r="L591" s="59" t="str">
        <f t="shared" si="3"/>
        <v/>
      </c>
      <c r="M591" s="60"/>
      <c r="N591" s="61">
        <f t="shared" si="4"/>
        <v>541.1922432</v>
      </c>
      <c r="O591" s="63">
        <f>if(A591,_xlfn.WORKDAY.INTL(A591,O$5,"1000000",Holidays!A:A)+hour(A591)/24+MINUTE(A591)/1440,"")</f>
        <v>45592.76944</v>
      </c>
      <c r="P591" s="64" t="s">
        <v>2718</v>
      </c>
      <c r="R591" s="66">
        <f t="shared" si="5"/>
        <v>541.2144655</v>
      </c>
      <c r="S591" s="66"/>
      <c r="T591" s="66"/>
      <c r="U591" s="64">
        <f>if(O591,_xlfn.WORKDAY.INTL(O591,U$5,"1000000",Holidays!A:A)+hour(O591)/24+MINUTE(O591)/1440,"")</f>
        <v>45594.76944</v>
      </c>
      <c r="V591" s="64" t="str">
        <f t="shared" si="6"/>
        <v/>
      </c>
      <c r="W591" s="66"/>
      <c r="X591" s="66">
        <f t="shared" si="7"/>
        <v>539.2144655</v>
      </c>
      <c r="Y591" s="66"/>
      <c r="Z591" s="66"/>
      <c r="AA591" s="66"/>
      <c r="AB591" s="63"/>
      <c r="AC591" s="63"/>
      <c r="AD591" s="63"/>
      <c r="AE591" s="63"/>
      <c r="AF591" s="63"/>
      <c r="AG591" s="63"/>
      <c r="AH591" s="63" t="str">
        <f t="shared" si="14"/>
        <v/>
      </c>
      <c r="AI591" s="63" t="str">
        <f>if(AH591,_xlfn.workday.intl(int(AH591),0,"1000000",Holidays!A:A)+18/24,"")</f>
        <v/>
      </c>
      <c r="AJ591" s="64" t="str">
        <f t="shared" si="24"/>
        <v/>
      </c>
      <c r="AL591" s="66" t="str">
        <f t="shared" si="9"/>
        <v/>
      </c>
      <c r="AM591" s="66"/>
      <c r="AN591" s="63" t="str">
        <f>if(AJ591,if(and(hour(AJ591+AN$5)&gt;11,(hour(AJ591+AN$5)&lt;20)),AJ591+AN$5,_xlfn.workday.intl(int(AJ591),1,"1000000",Holidays!A:A)+hour(AJ591+AN$5-$B$1)/24+minute(AJ591)/1440),"")</f>
        <v/>
      </c>
      <c r="AO591" s="64" t="str">
        <f t="shared" si="15"/>
        <v/>
      </c>
      <c r="AQ591" s="66" t="str">
        <f t="shared" si="16"/>
        <v/>
      </c>
      <c r="AR591" s="66"/>
      <c r="AS591" s="63" t="str">
        <f>if(AJ591,if(and(hour(AJ591+AS$5)&gt;11,(hour(AJ591+AS$5)&lt;20)),AJ591+AS$5,_xlfn.workday.intl(int(AJ591),1,"1000000",Holidays!A:A)+hour(AJ591+AS$5-$B$1)/24+minute(AJ591)/1440),"")</f>
        <v/>
      </c>
      <c r="AT591" s="64" t="str">
        <f t="shared" si="21"/>
        <v/>
      </c>
      <c r="AV591" s="66" t="str">
        <f t="shared" si="25"/>
        <v/>
      </c>
      <c r="AW591" s="66"/>
      <c r="AX591" s="56"/>
    </row>
    <row r="592">
      <c r="A592" s="55">
        <v>45591.771093194446</v>
      </c>
      <c r="B592" s="56"/>
      <c r="C592" s="57"/>
      <c r="D592" s="57"/>
      <c r="E592" s="57"/>
      <c r="F592" s="57"/>
      <c r="G592" s="58">
        <f>if(A592,_xlfn.workday.intl(int(A592),1,"1000000",Holidays!A:A)+17/24,"")</f>
        <v>45592.70833</v>
      </c>
      <c r="H592" s="59" t="str">
        <f t="shared" si="23"/>
        <v/>
      </c>
      <c r="I592" s="60"/>
      <c r="J592" s="61">
        <f t="shared" si="2"/>
        <v>541.2755766</v>
      </c>
      <c r="K592" s="58">
        <f>if(G592,_xlfn.workday.intl(int(G592),0,"1000000",Holidays!A:A)+19/24,"")</f>
        <v>45592.79167</v>
      </c>
      <c r="L592" s="59" t="str">
        <f t="shared" si="3"/>
        <v/>
      </c>
      <c r="M592" s="60"/>
      <c r="N592" s="61">
        <f t="shared" si="4"/>
        <v>541.1922432</v>
      </c>
      <c r="O592" s="63">
        <f>if(A592,_xlfn.WORKDAY.INTL(A592,O$5,"1000000",Holidays!A:A)+hour(A592)/24+MINUTE(A592)/1440,"")</f>
        <v>45592.77083</v>
      </c>
      <c r="P592" s="64" t="s">
        <v>2718</v>
      </c>
      <c r="R592" s="66">
        <f t="shared" si="5"/>
        <v>541.2130766</v>
      </c>
      <c r="S592" s="66"/>
      <c r="T592" s="66"/>
      <c r="U592" s="64">
        <f>if(O592,_xlfn.WORKDAY.INTL(O592,U$5,"1000000",Holidays!A:A)+hour(O592)/24+MINUTE(O592)/1440,"")</f>
        <v>45594.77083</v>
      </c>
      <c r="V592" s="64" t="str">
        <f t="shared" si="6"/>
        <v/>
      </c>
      <c r="W592" s="66"/>
      <c r="X592" s="66">
        <f t="shared" si="7"/>
        <v>539.2130766</v>
      </c>
      <c r="Y592" s="66"/>
      <c r="Z592" s="66"/>
      <c r="AA592" s="66"/>
      <c r="AB592" s="63"/>
      <c r="AC592" s="63"/>
      <c r="AD592" s="63"/>
      <c r="AE592" s="63"/>
      <c r="AF592" s="63"/>
      <c r="AG592" s="63"/>
      <c r="AH592" s="63" t="str">
        <f t="shared" si="14"/>
        <v/>
      </c>
      <c r="AI592" s="63" t="str">
        <f>if(AH592,_xlfn.workday.intl(int(AH592),0,"1000000",Holidays!A:A)+18/24,"")</f>
        <v/>
      </c>
      <c r="AJ592" s="64" t="str">
        <f t="shared" si="24"/>
        <v/>
      </c>
      <c r="AL592" s="66" t="str">
        <f t="shared" si="9"/>
        <v/>
      </c>
      <c r="AM592" s="66"/>
      <c r="AN592" s="63" t="str">
        <f>if(AJ592,if(and(hour(AJ592+AN$5)&gt;11,(hour(AJ592+AN$5)&lt;20)),AJ592+AN$5,_xlfn.workday.intl(int(AJ592),1,"1000000",Holidays!A:A)+hour(AJ592+AN$5-$B$1)/24+minute(AJ592)/1440),"")</f>
        <v/>
      </c>
      <c r="AO592" s="64" t="str">
        <f t="shared" si="15"/>
        <v/>
      </c>
      <c r="AQ592" s="66" t="str">
        <f t="shared" si="16"/>
        <v/>
      </c>
      <c r="AR592" s="66"/>
      <c r="AS592" s="63" t="str">
        <f>if(AJ592,if(and(hour(AJ592+AS$5)&gt;11,(hour(AJ592+AS$5)&lt;20)),AJ592+AS$5,_xlfn.workday.intl(int(AJ592),1,"1000000",Holidays!A:A)+hour(AJ592+AS$5-$B$1)/24+minute(AJ592)/1440),"")</f>
        <v/>
      </c>
      <c r="AT592" s="64" t="str">
        <f t="shared" si="21"/>
        <v/>
      </c>
      <c r="AV592" s="66" t="str">
        <f t="shared" si="25"/>
        <v/>
      </c>
      <c r="AW592" s="66"/>
      <c r="AX592" s="56"/>
    </row>
    <row r="593">
      <c r="A593" s="55">
        <v>45591.77307539352</v>
      </c>
      <c r="B593" s="56"/>
      <c r="C593" s="57"/>
      <c r="D593" s="57"/>
      <c r="E593" s="57"/>
      <c r="F593" s="57"/>
      <c r="G593" s="58">
        <f>if(A593,_xlfn.workday.intl(int(A593),1,"1000000",Holidays!A:A)+17/24,"")</f>
        <v>45592.70833</v>
      </c>
      <c r="H593" s="59" t="str">
        <f t="shared" si="23"/>
        <v/>
      </c>
      <c r="I593" s="60"/>
      <c r="J593" s="61">
        <f t="shared" si="2"/>
        <v>541.2755766</v>
      </c>
      <c r="K593" s="58">
        <f>if(G593,_xlfn.workday.intl(int(G593),0,"1000000",Holidays!A:A)+19/24,"")</f>
        <v>45592.79167</v>
      </c>
      <c r="L593" s="59" t="str">
        <f t="shared" si="3"/>
        <v/>
      </c>
      <c r="M593" s="60"/>
      <c r="N593" s="61">
        <f t="shared" si="4"/>
        <v>541.1922432</v>
      </c>
      <c r="O593" s="63">
        <f>if(A593,_xlfn.WORKDAY.INTL(A593,O$5,"1000000",Holidays!A:A)+hour(A593)/24+MINUTE(A593)/1440,"")</f>
        <v>45592.77292</v>
      </c>
      <c r="P593" s="64" t="s">
        <v>2718</v>
      </c>
      <c r="R593" s="66">
        <f t="shared" si="5"/>
        <v>541.2109932</v>
      </c>
      <c r="S593" s="66"/>
      <c r="T593" s="66"/>
      <c r="U593" s="64">
        <f>if(O593,_xlfn.WORKDAY.INTL(O593,U$5,"1000000",Holidays!A:A)+hour(O593)/24+MINUTE(O593)/1440,"")</f>
        <v>45594.77292</v>
      </c>
      <c r="V593" s="64" t="str">
        <f t="shared" si="6"/>
        <v/>
      </c>
      <c r="W593" s="66"/>
      <c r="X593" s="66">
        <f t="shared" si="7"/>
        <v>539.2109932</v>
      </c>
      <c r="Y593" s="66"/>
      <c r="Z593" s="66"/>
      <c r="AA593" s="66"/>
      <c r="AB593" s="63"/>
      <c r="AC593" s="63"/>
      <c r="AD593" s="63"/>
      <c r="AE593" s="63"/>
      <c r="AF593" s="63"/>
      <c r="AG593" s="63"/>
      <c r="AH593" s="63" t="str">
        <f t="shared" si="14"/>
        <v/>
      </c>
      <c r="AI593" s="63" t="str">
        <f>if(AH593,_xlfn.workday.intl(int(AH593),0,"1000000",Holidays!A:A)+18/24,"")</f>
        <v/>
      </c>
      <c r="AJ593" s="64" t="str">
        <f t="shared" si="24"/>
        <v/>
      </c>
      <c r="AL593" s="66" t="str">
        <f t="shared" si="9"/>
        <v/>
      </c>
      <c r="AM593" s="66"/>
      <c r="AN593" s="63" t="str">
        <f>if(AJ593,if(and(hour(AJ593+AN$5)&gt;11,(hour(AJ593+AN$5)&lt;20)),AJ593+AN$5,_xlfn.workday.intl(int(AJ593),1,"1000000",Holidays!A:A)+hour(AJ593+AN$5-$B$1)/24+minute(AJ593)/1440),"")</f>
        <v/>
      </c>
      <c r="AO593" s="64" t="str">
        <f t="shared" si="15"/>
        <v/>
      </c>
      <c r="AQ593" s="66" t="str">
        <f t="shared" si="16"/>
        <v/>
      </c>
      <c r="AR593" s="66"/>
      <c r="AS593" s="63" t="str">
        <f>if(AJ593,if(and(hour(AJ593+AS$5)&gt;11,(hour(AJ593+AS$5)&lt;20)),AJ593+AS$5,_xlfn.workday.intl(int(AJ593),1,"1000000",Holidays!A:A)+hour(AJ593+AS$5-$B$1)/24+minute(AJ593)/1440),"")</f>
        <v/>
      </c>
      <c r="AT593" s="64" t="str">
        <f t="shared" si="21"/>
        <v/>
      </c>
      <c r="AV593" s="66" t="str">
        <f t="shared" si="25"/>
        <v/>
      </c>
      <c r="AW593" s="66"/>
      <c r="AX593" s="56"/>
    </row>
    <row r="594">
      <c r="A594" s="55">
        <v>45591.77453643519</v>
      </c>
      <c r="B594" s="56"/>
      <c r="C594" s="57"/>
      <c r="D594" s="57"/>
      <c r="E594" s="57"/>
      <c r="F594" s="57"/>
      <c r="G594" s="58">
        <f>if(A594,_xlfn.workday.intl(int(A594),1,"1000000",Holidays!A:A)+17/24,"")</f>
        <v>45592.70833</v>
      </c>
      <c r="H594" s="59" t="str">
        <f t="shared" si="23"/>
        <v/>
      </c>
      <c r="I594" s="60"/>
      <c r="J594" s="61">
        <f t="shared" si="2"/>
        <v>541.2755766</v>
      </c>
      <c r="K594" s="58">
        <f>if(G594,_xlfn.workday.intl(int(G594),0,"1000000",Holidays!A:A)+19/24,"")</f>
        <v>45592.79167</v>
      </c>
      <c r="L594" s="59" t="str">
        <f t="shared" si="3"/>
        <v/>
      </c>
      <c r="M594" s="60"/>
      <c r="N594" s="61">
        <f t="shared" si="4"/>
        <v>541.1922432</v>
      </c>
      <c r="O594" s="63">
        <f>if(A594,_xlfn.WORKDAY.INTL(A594,O$5,"1000000",Holidays!A:A)+hour(A594)/24+MINUTE(A594)/1440,"")</f>
        <v>45592.77431</v>
      </c>
      <c r="P594" s="64" t="s">
        <v>2718</v>
      </c>
      <c r="R594" s="66">
        <f t="shared" si="5"/>
        <v>541.2096043</v>
      </c>
      <c r="S594" s="66"/>
      <c r="T594" s="66"/>
      <c r="U594" s="64">
        <f>if(O594,_xlfn.WORKDAY.INTL(O594,U$5,"1000000",Holidays!A:A)+hour(O594)/24+MINUTE(O594)/1440,"")</f>
        <v>45594.77431</v>
      </c>
      <c r="V594" s="64" t="str">
        <f t="shared" si="6"/>
        <v/>
      </c>
      <c r="W594" s="66"/>
      <c r="X594" s="66">
        <f t="shared" si="7"/>
        <v>539.2096043</v>
      </c>
      <c r="Y594" s="66"/>
      <c r="Z594" s="66"/>
      <c r="AA594" s="66"/>
      <c r="AB594" s="63"/>
      <c r="AC594" s="63"/>
      <c r="AD594" s="63"/>
      <c r="AE594" s="63"/>
      <c r="AF594" s="63"/>
      <c r="AG594" s="63"/>
      <c r="AH594" s="63" t="str">
        <f t="shared" si="14"/>
        <v/>
      </c>
      <c r="AI594" s="63" t="str">
        <f>if(AH594,_xlfn.workday.intl(int(AH594),0,"1000000",Holidays!A:A)+18/24,"")</f>
        <v/>
      </c>
      <c r="AJ594" s="64" t="str">
        <f t="shared" si="24"/>
        <v/>
      </c>
      <c r="AL594" s="66" t="str">
        <f t="shared" si="9"/>
        <v/>
      </c>
      <c r="AM594" s="66"/>
      <c r="AN594" s="63" t="str">
        <f>if(AJ594,if(and(hour(AJ594+AN$5)&gt;11,(hour(AJ594+AN$5)&lt;20)),AJ594+AN$5,_xlfn.workday.intl(int(AJ594),1,"1000000",Holidays!A:A)+hour(AJ594+AN$5-$B$1)/24+minute(AJ594)/1440),"")</f>
        <v/>
      </c>
      <c r="AO594" s="64" t="str">
        <f t="shared" si="15"/>
        <v/>
      </c>
      <c r="AQ594" s="66" t="str">
        <f t="shared" si="16"/>
        <v/>
      </c>
      <c r="AR594" s="66"/>
      <c r="AS594" s="63" t="str">
        <f>if(AJ594,if(and(hour(AJ594+AS$5)&gt;11,(hour(AJ594+AS$5)&lt;20)),AJ594+AS$5,_xlfn.workday.intl(int(AJ594),1,"1000000",Holidays!A:A)+hour(AJ594+AS$5-$B$1)/24+minute(AJ594)/1440),"")</f>
        <v/>
      </c>
      <c r="AT594" s="64" t="str">
        <f t="shared" si="21"/>
        <v/>
      </c>
      <c r="AV594" s="66" t="str">
        <f t="shared" si="25"/>
        <v/>
      </c>
      <c r="AW594" s="66"/>
      <c r="AX594" s="56"/>
    </row>
    <row r="595">
      <c r="A595" s="55">
        <v>45591.77644670139</v>
      </c>
      <c r="B595" s="56"/>
      <c r="C595" s="57"/>
      <c r="D595" s="57"/>
      <c r="E595" s="57"/>
      <c r="F595" s="57"/>
      <c r="G595" s="58">
        <f>if(A595,_xlfn.workday.intl(int(A595),1,"1000000",Holidays!A:A)+17/24,"")</f>
        <v>45592.70833</v>
      </c>
      <c r="H595" s="59" t="str">
        <f t="shared" si="23"/>
        <v/>
      </c>
      <c r="I595" s="60"/>
      <c r="J595" s="61">
        <f t="shared" si="2"/>
        <v>541.2755766</v>
      </c>
      <c r="K595" s="58">
        <f>if(G595,_xlfn.workday.intl(int(G595),0,"1000000",Holidays!A:A)+19/24,"")</f>
        <v>45592.79167</v>
      </c>
      <c r="L595" s="59" t="str">
        <f t="shared" si="3"/>
        <v/>
      </c>
      <c r="M595" s="60"/>
      <c r="N595" s="61">
        <f t="shared" si="4"/>
        <v>541.1922432</v>
      </c>
      <c r="O595" s="63">
        <f>if(A595,_xlfn.WORKDAY.INTL(A595,O$5,"1000000",Holidays!A:A)+hour(A595)/24+MINUTE(A595)/1440,"")</f>
        <v>45592.77639</v>
      </c>
      <c r="P595" s="64" t="s">
        <v>2718</v>
      </c>
      <c r="R595" s="66">
        <f t="shared" si="5"/>
        <v>541.207521</v>
      </c>
      <c r="S595" s="66"/>
      <c r="T595" s="66"/>
      <c r="U595" s="64">
        <f>if(O595,_xlfn.WORKDAY.INTL(O595,U$5,"1000000",Holidays!A:A)+hour(O595)/24+MINUTE(O595)/1440,"")</f>
        <v>45594.77639</v>
      </c>
      <c r="V595" s="64" t="str">
        <f t="shared" si="6"/>
        <v/>
      </c>
      <c r="W595" s="66"/>
      <c r="X595" s="66">
        <f t="shared" si="7"/>
        <v>539.207521</v>
      </c>
      <c r="Y595" s="66"/>
      <c r="Z595" s="66"/>
      <c r="AA595" s="66"/>
      <c r="AB595" s="63"/>
      <c r="AC595" s="63"/>
      <c r="AD595" s="63"/>
      <c r="AE595" s="63"/>
      <c r="AF595" s="63"/>
      <c r="AG595" s="63"/>
      <c r="AH595" s="63" t="str">
        <f t="shared" si="14"/>
        <v/>
      </c>
      <c r="AI595" s="63" t="str">
        <f>if(AH595,_xlfn.workday.intl(int(AH595),0,"1000000",Holidays!A:A)+18/24,"")</f>
        <v/>
      </c>
      <c r="AJ595" s="64" t="str">
        <f t="shared" si="24"/>
        <v/>
      </c>
      <c r="AL595" s="66" t="str">
        <f t="shared" si="9"/>
        <v/>
      </c>
      <c r="AM595" s="66"/>
      <c r="AN595" s="63" t="str">
        <f>if(AJ595,if(and(hour(AJ595+AN$5)&gt;11,(hour(AJ595+AN$5)&lt;20)),AJ595+AN$5,_xlfn.workday.intl(int(AJ595),1,"1000000",Holidays!A:A)+hour(AJ595+AN$5-$B$1)/24+minute(AJ595)/1440),"")</f>
        <v/>
      </c>
      <c r="AO595" s="64" t="str">
        <f t="shared" si="15"/>
        <v/>
      </c>
      <c r="AQ595" s="66" t="str">
        <f t="shared" si="16"/>
        <v/>
      </c>
      <c r="AR595" s="66"/>
      <c r="AS595" s="63" t="str">
        <f>if(AJ595,if(and(hour(AJ595+AS$5)&gt;11,(hour(AJ595+AS$5)&lt;20)),AJ595+AS$5,_xlfn.workday.intl(int(AJ595),1,"1000000",Holidays!A:A)+hour(AJ595+AS$5-$B$1)/24+minute(AJ595)/1440),"")</f>
        <v/>
      </c>
      <c r="AT595" s="64" t="str">
        <f t="shared" si="21"/>
        <v/>
      </c>
      <c r="AV595" s="66" t="str">
        <f t="shared" si="25"/>
        <v/>
      </c>
      <c r="AW595" s="66"/>
      <c r="AX595" s="56"/>
    </row>
    <row r="596">
      <c r="A596" s="55">
        <v>45591.77843561342</v>
      </c>
      <c r="B596" s="56"/>
      <c r="C596" s="57"/>
      <c r="D596" s="57"/>
      <c r="E596" s="57"/>
      <c r="F596" s="57"/>
      <c r="G596" s="58">
        <f>if(A596,_xlfn.workday.intl(int(A596),1,"1000000",Holidays!A:A)+17/24,"")</f>
        <v>45592.70833</v>
      </c>
      <c r="H596" s="59" t="str">
        <f t="shared" si="23"/>
        <v/>
      </c>
      <c r="I596" s="60"/>
      <c r="J596" s="61">
        <f t="shared" si="2"/>
        <v>541.2755766</v>
      </c>
      <c r="K596" s="58">
        <f>if(G596,_xlfn.workday.intl(int(G596),0,"1000000",Holidays!A:A)+19/24,"")</f>
        <v>45592.79167</v>
      </c>
      <c r="L596" s="59" t="str">
        <f t="shared" si="3"/>
        <v/>
      </c>
      <c r="M596" s="60"/>
      <c r="N596" s="61">
        <f t="shared" si="4"/>
        <v>541.1922432</v>
      </c>
      <c r="O596" s="63">
        <f>if(A596,_xlfn.WORKDAY.INTL(A596,O$5,"1000000",Holidays!A:A)+hour(A596)/24+MINUTE(A596)/1440,"")</f>
        <v>45592.77778</v>
      </c>
      <c r="P596" s="64" t="s">
        <v>2718</v>
      </c>
      <c r="R596" s="66">
        <f t="shared" si="5"/>
        <v>541.2061321</v>
      </c>
      <c r="S596" s="66"/>
      <c r="T596" s="66"/>
      <c r="U596" s="64">
        <f>if(O596,_xlfn.WORKDAY.INTL(O596,U$5,"1000000",Holidays!A:A)+hour(O596)/24+MINUTE(O596)/1440,"")</f>
        <v>45594.77778</v>
      </c>
      <c r="V596" s="64" t="str">
        <f t="shared" si="6"/>
        <v/>
      </c>
      <c r="W596" s="66"/>
      <c r="X596" s="66">
        <f t="shared" si="7"/>
        <v>539.2061321</v>
      </c>
      <c r="Y596" s="66"/>
      <c r="Z596" s="66"/>
      <c r="AA596" s="66"/>
      <c r="AB596" s="63"/>
      <c r="AC596" s="63"/>
      <c r="AD596" s="63"/>
      <c r="AE596" s="63"/>
      <c r="AF596" s="63"/>
      <c r="AG596" s="63"/>
      <c r="AH596" s="63" t="str">
        <f t="shared" si="14"/>
        <v/>
      </c>
      <c r="AI596" s="63" t="str">
        <f>if(AH596,_xlfn.workday.intl(int(AH596),0,"1000000",Holidays!A:A)+18/24,"")</f>
        <v/>
      </c>
      <c r="AJ596" s="64" t="str">
        <f t="shared" si="24"/>
        <v/>
      </c>
      <c r="AL596" s="66" t="str">
        <f t="shared" si="9"/>
        <v/>
      </c>
      <c r="AM596" s="66"/>
      <c r="AN596" s="63" t="str">
        <f>if(AJ596,if(and(hour(AJ596+AN$5)&gt;11,(hour(AJ596+AN$5)&lt;20)),AJ596+AN$5,_xlfn.workday.intl(int(AJ596),1,"1000000",Holidays!A:A)+hour(AJ596+AN$5-$B$1)/24+minute(AJ596)/1440),"")</f>
        <v/>
      </c>
      <c r="AO596" s="64" t="str">
        <f t="shared" si="15"/>
        <v/>
      </c>
      <c r="AQ596" s="66" t="str">
        <f t="shared" si="16"/>
        <v/>
      </c>
      <c r="AR596" s="66"/>
      <c r="AS596" s="63" t="str">
        <f>if(AJ596,if(and(hour(AJ596+AS$5)&gt;11,(hour(AJ596+AS$5)&lt;20)),AJ596+AS$5,_xlfn.workday.intl(int(AJ596),1,"1000000",Holidays!A:A)+hour(AJ596+AS$5-$B$1)/24+minute(AJ596)/1440),"")</f>
        <v/>
      </c>
      <c r="AT596" s="64" t="str">
        <f t="shared" si="21"/>
        <v/>
      </c>
      <c r="AV596" s="66" t="str">
        <f t="shared" si="25"/>
        <v/>
      </c>
      <c r="AW596" s="66"/>
      <c r="AX596" s="56"/>
    </row>
    <row r="597">
      <c r="A597" s="55">
        <v>45591.781356527776</v>
      </c>
      <c r="B597" s="56"/>
      <c r="C597" s="57"/>
      <c r="D597" s="57"/>
      <c r="E597" s="57"/>
      <c r="F597" s="57"/>
      <c r="G597" s="58">
        <f>if(A597,_xlfn.workday.intl(int(A597),1,"1000000",Holidays!A:A)+17/24,"")</f>
        <v>45592.70833</v>
      </c>
      <c r="H597" s="59" t="str">
        <f t="shared" si="23"/>
        <v/>
      </c>
      <c r="I597" s="60"/>
      <c r="J597" s="61">
        <f t="shared" si="2"/>
        <v>541.2755766</v>
      </c>
      <c r="K597" s="58">
        <f>if(G597,_xlfn.workday.intl(int(G597),0,"1000000",Holidays!A:A)+19/24,"")</f>
        <v>45592.79167</v>
      </c>
      <c r="L597" s="59" t="str">
        <f t="shared" si="3"/>
        <v/>
      </c>
      <c r="M597" s="60"/>
      <c r="N597" s="61">
        <f t="shared" si="4"/>
        <v>541.1922432</v>
      </c>
      <c r="O597" s="63">
        <f>if(A597,_xlfn.WORKDAY.INTL(A597,O$5,"1000000",Holidays!A:A)+hour(A597)/24+MINUTE(A597)/1440,"")</f>
        <v>45592.78125</v>
      </c>
      <c r="P597" s="64" t="s">
        <v>2718</v>
      </c>
      <c r="R597" s="66">
        <f t="shared" si="5"/>
        <v>541.2026599</v>
      </c>
      <c r="S597" s="66"/>
      <c r="T597" s="66"/>
      <c r="U597" s="64">
        <f>if(O597,_xlfn.WORKDAY.INTL(O597,U$5,"1000000",Holidays!A:A)+hour(O597)/24+MINUTE(O597)/1440,"")</f>
        <v>45594.78125</v>
      </c>
      <c r="V597" s="64" t="str">
        <f t="shared" si="6"/>
        <v/>
      </c>
      <c r="W597" s="66"/>
      <c r="X597" s="66">
        <f t="shared" si="7"/>
        <v>539.2026599</v>
      </c>
      <c r="Y597" s="66"/>
      <c r="Z597" s="66"/>
      <c r="AA597" s="66"/>
      <c r="AB597" s="63"/>
      <c r="AC597" s="63"/>
      <c r="AD597" s="63"/>
      <c r="AE597" s="63"/>
      <c r="AF597" s="63"/>
      <c r="AG597" s="63"/>
      <c r="AH597" s="63" t="str">
        <f t="shared" si="14"/>
        <v/>
      </c>
      <c r="AI597" s="63" t="str">
        <f>if(AH597,_xlfn.workday.intl(int(AH597),0,"1000000",Holidays!A:A)+18/24,"")</f>
        <v/>
      </c>
      <c r="AJ597" s="64" t="str">
        <f t="shared" si="24"/>
        <v/>
      </c>
      <c r="AL597" s="66" t="str">
        <f t="shared" si="9"/>
        <v/>
      </c>
      <c r="AM597" s="66"/>
      <c r="AN597" s="63" t="str">
        <f>if(AJ597,if(and(hour(AJ597+AN$5)&gt;11,(hour(AJ597+AN$5)&lt;20)),AJ597+AN$5,_xlfn.workday.intl(int(AJ597),1,"1000000",Holidays!A:A)+hour(AJ597+AN$5-$B$1)/24+minute(AJ597)/1440),"")</f>
        <v/>
      </c>
      <c r="AO597" s="64" t="str">
        <f t="shared" si="15"/>
        <v/>
      </c>
      <c r="AQ597" s="66" t="str">
        <f t="shared" si="16"/>
        <v/>
      </c>
      <c r="AR597" s="66"/>
      <c r="AS597" s="63" t="str">
        <f>if(AJ597,if(and(hour(AJ597+AS$5)&gt;11,(hour(AJ597+AS$5)&lt;20)),AJ597+AS$5,_xlfn.workday.intl(int(AJ597),1,"1000000",Holidays!A:A)+hour(AJ597+AS$5-$B$1)/24+minute(AJ597)/1440),"")</f>
        <v/>
      </c>
      <c r="AT597" s="64" t="str">
        <f t="shared" si="21"/>
        <v/>
      </c>
      <c r="AV597" s="66" t="str">
        <f t="shared" si="25"/>
        <v/>
      </c>
      <c r="AW597" s="66"/>
      <c r="AX597" s="56"/>
    </row>
    <row r="598">
      <c r="A598" s="55">
        <v>45601.68034673611</v>
      </c>
      <c r="B598" s="56"/>
      <c r="C598" s="57"/>
      <c r="D598" s="57"/>
      <c r="E598" s="57"/>
      <c r="F598" s="57"/>
      <c r="G598" s="58">
        <f>if(A598,_xlfn.workday.intl(int(A598),1,"1000000",Holidays!A:A)+17/24,"")</f>
        <v>45602.70833</v>
      </c>
      <c r="H598" s="59" t="str">
        <f t="shared" si="23"/>
        <v/>
      </c>
      <c r="I598" s="60"/>
      <c r="J598" s="61">
        <f t="shared" si="2"/>
        <v>531.2755766</v>
      </c>
      <c r="K598" s="58">
        <f>if(G598,_xlfn.workday.intl(int(G598),0,"1000000",Holidays!A:A)+19/24,"")</f>
        <v>45602.79167</v>
      </c>
      <c r="L598" s="59" t="str">
        <f t="shared" si="3"/>
        <v/>
      </c>
      <c r="M598" s="60"/>
      <c r="N598" s="61">
        <f t="shared" si="4"/>
        <v>531.1922432</v>
      </c>
      <c r="O598" s="63">
        <f>if(A598,_xlfn.WORKDAY.INTL(A598,O$5,"1000000",Holidays!A:A)+hour(A598)/24+MINUTE(A598)/1440,"")</f>
        <v>45602.67986</v>
      </c>
      <c r="P598" s="64" t="s">
        <v>2718</v>
      </c>
      <c r="R598" s="66">
        <f t="shared" si="5"/>
        <v>531.3040488</v>
      </c>
      <c r="S598" s="66"/>
      <c r="T598" s="66"/>
      <c r="U598" s="64">
        <f>if(O598,_xlfn.WORKDAY.INTL(O598,U$5,"1000000",Holidays!A:A)+hour(O598)/24+MINUTE(O598)/1440,"")</f>
        <v>45603.67986</v>
      </c>
      <c r="V598" s="64" t="str">
        <f t="shared" si="6"/>
        <v/>
      </c>
      <c r="W598" s="66"/>
      <c r="X598" s="66">
        <f t="shared" si="7"/>
        <v>530.3040488</v>
      </c>
      <c r="Y598" s="66"/>
      <c r="Z598" s="66"/>
      <c r="AA598" s="66"/>
      <c r="AB598" s="63"/>
      <c r="AC598" s="63"/>
      <c r="AD598" s="63"/>
      <c r="AE598" s="63"/>
      <c r="AF598" s="63"/>
      <c r="AG598" s="63"/>
      <c r="AH598" s="63" t="str">
        <f t="shared" si="14"/>
        <v/>
      </c>
      <c r="AI598" s="63" t="str">
        <f>if(AH598,_xlfn.workday.intl(int(AH598),0,"1000000",Holidays!A:A)+18/24,"")</f>
        <v/>
      </c>
      <c r="AJ598" s="64" t="str">
        <f t="shared" si="24"/>
        <v/>
      </c>
      <c r="AL598" s="66" t="str">
        <f t="shared" si="9"/>
        <v/>
      </c>
      <c r="AM598" s="66"/>
      <c r="AN598" s="63" t="str">
        <f>if(AJ598,if(and(hour(AJ598+AN$5)&gt;11,(hour(AJ598+AN$5)&lt;20)),AJ598+AN$5,_xlfn.workday.intl(int(AJ598),1,"1000000",Holidays!A:A)+hour(AJ598+AN$5-$B$1)/24+minute(AJ598)/1440),"")</f>
        <v/>
      </c>
      <c r="AO598" s="64" t="str">
        <f t="shared" si="15"/>
        <v/>
      </c>
      <c r="AQ598" s="66" t="str">
        <f t="shared" si="16"/>
        <v/>
      </c>
      <c r="AR598" s="66"/>
      <c r="AS598" s="63" t="str">
        <f>if(AJ598,if(and(hour(AJ598+AS$5)&gt;11,(hour(AJ598+AS$5)&lt;20)),AJ598+AS$5,_xlfn.workday.intl(int(AJ598),1,"1000000",Holidays!A:A)+hour(AJ598+AS$5-$B$1)/24+minute(AJ598)/1440),"")</f>
        <v/>
      </c>
      <c r="AT598" s="64" t="str">
        <f t="shared" si="21"/>
        <v/>
      </c>
      <c r="AV598" s="66" t="str">
        <f t="shared" si="25"/>
        <v/>
      </c>
      <c r="AW598" s="66"/>
      <c r="AX598" s="56"/>
    </row>
    <row r="599">
      <c r="A599" s="55">
        <v>45601.685212372686</v>
      </c>
      <c r="B599" s="56"/>
      <c r="C599" s="57"/>
      <c r="D599" s="57"/>
      <c r="E599" s="57"/>
      <c r="F599" s="57"/>
      <c r="G599" s="58">
        <f>if(A599,_xlfn.workday.intl(int(A599),1,"1000000",Holidays!A:A)+17/24,"")</f>
        <v>45602.70833</v>
      </c>
      <c r="H599" s="59" t="str">
        <f t="shared" si="23"/>
        <v/>
      </c>
      <c r="I599" s="60"/>
      <c r="J599" s="61">
        <f t="shared" si="2"/>
        <v>531.2755766</v>
      </c>
      <c r="K599" s="58">
        <f>if(G599,_xlfn.workday.intl(int(G599),0,"1000000",Holidays!A:A)+19/24,"")</f>
        <v>45602.79167</v>
      </c>
      <c r="L599" s="59" t="str">
        <f t="shared" si="3"/>
        <v/>
      </c>
      <c r="M599" s="60"/>
      <c r="N599" s="61">
        <f t="shared" si="4"/>
        <v>531.1922432</v>
      </c>
      <c r="O599" s="63">
        <f>if(A599,_xlfn.WORKDAY.INTL(A599,O$5,"1000000",Holidays!A:A)+hour(A599)/24+MINUTE(A599)/1440,"")</f>
        <v>45602.68472</v>
      </c>
      <c r="P599" s="64" t="s">
        <v>2718</v>
      </c>
      <c r="R599" s="66">
        <f t="shared" si="5"/>
        <v>531.2991877</v>
      </c>
      <c r="S599" s="66"/>
      <c r="T599" s="66"/>
      <c r="U599" s="64">
        <f>if(O599,_xlfn.WORKDAY.INTL(O599,U$5,"1000000",Holidays!A:A)+hour(O599)/24+MINUTE(O599)/1440,"")</f>
        <v>45603.68472</v>
      </c>
      <c r="V599" s="64" t="str">
        <f t="shared" si="6"/>
        <v/>
      </c>
      <c r="W599" s="66"/>
      <c r="X599" s="66">
        <f t="shared" si="7"/>
        <v>530.2991877</v>
      </c>
      <c r="Y599" s="66"/>
      <c r="Z599" s="66"/>
      <c r="AA599" s="66"/>
      <c r="AB599" s="63"/>
      <c r="AC599" s="63"/>
      <c r="AD599" s="63"/>
      <c r="AE599" s="63"/>
      <c r="AF599" s="63"/>
      <c r="AG599" s="63"/>
      <c r="AH599" s="63" t="str">
        <f t="shared" si="14"/>
        <v/>
      </c>
      <c r="AI599" s="63" t="str">
        <f>if(AH599,_xlfn.workday.intl(int(AH599),0,"1000000",Holidays!A:A)+18/24,"")</f>
        <v/>
      </c>
      <c r="AJ599" s="64" t="str">
        <f t="shared" si="24"/>
        <v/>
      </c>
      <c r="AL599" s="66" t="str">
        <f t="shared" si="9"/>
        <v/>
      </c>
      <c r="AM599" s="66"/>
      <c r="AN599" s="63" t="str">
        <f>if(AJ599,if(and(hour(AJ599+AN$5)&gt;11,(hour(AJ599+AN$5)&lt;20)),AJ599+AN$5,_xlfn.workday.intl(int(AJ599),1,"1000000",Holidays!A:A)+hour(AJ599+AN$5-$B$1)/24+minute(AJ599)/1440),"")</f>
        <v/>
      </c>
      <c r="AO599" s="64" t="str">
        <f t="shared" si="15"/>
        <v/>
      </c>
      <c r="AQ599" s="66" t="str">
        <f t="shared" si="16"/>
        <v/>
      </c>
      <c r="AR599" s="66"/>
      <c r="AS599" s="63" t="str">
        <f>if(AJ599,if(and(hour(AJ599+AS$5)&gt;11,(hour(AJ599+AS$5)&lt;20)),AJ599+AS$5,_xlfn.workday.intl(int(AJ599),1,"1000000",Holidays!A:A)+hour(AJ599+AS$5-$B$1)/24+minute(AJ599)/1440),"")</f>
        <v/>
      </c>
      <c r="AT599" s="64" t="str">
        <f t="shared" si="21"/>
        <v/>
      </c>
      <c r="AV599" s="66" t="str">
        <f t="shared" si="25"/>
        <v/>
      </c>
      <c r="AW599" s="66"/>
      <c r="AX599" s="56"/>
    </row>
    <row r="600">
      <c r="A600" s="55">
        <v>45601.686889351855</v>
      </c>
      <c r="B600" s="56"/>
      <c r="C600" s="57"/>
      <c r="D600" s="57"/>
      <c r="E600" s="57"/>
      <c r="F600" s="57"/>
      <c r="G600" s="58">
        <f>if(A600,_xlfn.workday.intl(int(A600),1,"1000000",Holidays!A:A)+17/24,"")</f>
        <v>45602.70833</v>
      </c>
      <c r="H600" s="59" t="str">
        <f t="shared" si="23"/>
        <v/>
      </c>
      <c r="I600" s="60"/>
      <c r="J600" s="61">
        <f t="shared" si="2"/>
        <v>531.2755766</v>
      </c>
      <c r="K600" s="58">
        <f>if(G600,_xlfn.workday.intl(int(G600),0,"1000000",Holidays!A:A)+19/24,"")</f>
        <v>45602.79167</v>
      </c>
      <c r="L600" s="59" t="str">
        <f t="shared" si="3"/>
        <v/>
      </c>
      <c r="M600" s="60"/>
      <c r="N600" s="61">
        <f t="shared" si="4"/>
        <v>531.1922432</v>
      </c>
      <c r="O600" s="63">
        <f>if(A600,_xlfn.WORKDAY.INTL(A600,O$5,"1000000",Holidays!A:A)+hour(A600)/24+MINUTE(A600)/1440,"")</f>
        <v>45602.68681</v>
      </c>
      <c r="P600" s="64" t="s">
        <v>2718</v>
      </c>
      <c r="R600" s="66">
        <f t="shared" si="5"/>
        <v>531.2971043</v>
      </c>
      <c r="S600" s="66"/>
      <c r="T600" s="66"/>
      <c r="U600" s="64">
        <f>if(O600,_xlfn.WORKDAY.INTL(O600,U$5,"1000000",Holidays!A:A)+hour(O600)/24+MINUTE(O600)/1440,"")</f>
        <v>45603.68681</v>
      </c>
      <c r="V600" s="64" t="str">
        <f t="shared" si="6"/>
        <v/>
      </c>
      <c r="W600" s="66"/>
      <c r="X600" s="66">
        <f t="shared" si="7"/>
        <v>530.2971043</v>
      </c>
      <c r="Y600" s="66"/>
      <c r="Z600" s="66"/>
      <c r="AA600" s="66"/>
      <c r="AB600" s="63"/>
      <c r="AC600" s="63"/>
      <c r="AD600" s="63"/>
      <c r="AE600" s="63"/>
      <c r="AF600" s="63"/>
      <c r="AG600" s="63"/>
      <c r="AH600" s="63" t="str">
        <f t="shared" si="14"/>
        <v/>
      </c>
      <c r="AI600" s="63" t="str">
        <f>if(AH600,_xlfn.workday.intl(int(AH600),0,"1000000",Holidays!A:A)+18/24,"")</f>
        <v/>
      </c>
      <c r="AJ600" s="64" t="str">
        <f t="shared" si="24"/>
        <v/>
      </c>
      <c r="AL600" s="66" t="str">
        <f t="shared" si="9"/>
        <v/>
      </c>
      <c r="AM600" s="66"/>
      <c r="AN600" s="63" t="str">
        <f>if(AJ600,if(and(hour(AJ600+AN$5)&gt;11,(hour(AJ600+AN$5)&lt;20)),AJ600+AN$5,_xlfn.workday.intl(int(AJ600),1,"1000000",Holidays!A:A)+hour(AJ600+AN$5-$B$1)/24+minute(AJ600)/1440),"")</f>
        <v/>
      </c>
      <c r="AO600" s="64" t="str">
        <f t="shared" si="15"/>
        <v/>
      </c>
      <c r="AQ600" s="66" t="str">
        <f t="shared" si="16"/>
        <v/>
      </c>
      <c r="AR600" s="66"/>
      <c r="AS600" s="63" t="str">
        <f>if(AJ600,if(and(hour(AJ600+AS$5)&gt;11,(hour(AJ600+AS$5)&lt;20)),AJ600+AS$5,_xlfn.workday.intl(int(AJ600),1,"1000000",Holidays!A:A)+hour(AJ600+AS$5-$B$1)/24+minute(AJ600)/1440),"")</f>
        <v/>
      </c>
      <c r="AT600" s="64" t="str">
        <f t="shared" si="21"/>
        <v/>
      </c>
      <c r="AV600" s="66" t="str">
        <f t="shared" si="25"/>
        <v/>
      </c>
      <c r="AW600" s="66"/>
      <c r="AX600" s="56"/>
    </row>
    <row r="601">
      <c r="A601" s="55">
        <v>45601.69073596065</v>
      </c>
      <c r="B601" s="56"/>
      <c r="C601" s="57"/>
      <c r="D601" s="57"/>
      <c r="E601" s="57"/>
      <c r="F601" s="57"/>
      <c r="G601" s="58">
        <f>if(A601,_xlfn.workday.intl(int(A601),1,"1000000",Holidays!A:A)+17/24,"")</f>
        <v>45602.70833</v>
      </c>
      <c r="H601" s="59" t="str">
        <f t="shared" si="23"/>
        <v/>
      </c>
      <c r="I601" s="60"/>
      <c r="J601" s="61">
        <f t="shared" si="2"/>
        <v>531.2755766</v>
      </c>
      <c r="K601" s="58">
        <f>if(G601,_xlfn.workday.intl(int(G601),0,"1000000",Holidays!A:A)+19/24,"")</f>
        <v>45602.79167</v>
      </c>
      <c r="L601" s="59" t="str">
        <f t="shared" si="3"/>
        <v/>
      </c>
      <c r="M601" s="60"/>
      <c r="N601" s="61">
        <f t="shared" si="4"/>
        <v>531.1922432</v>
      </c>
      <c r="O601" s="63">
        <f>if(A601,_xlfn.WORKDAY.INTL(A601,O$5,"1000000",Holidays!A:A)+hour(A601)/24+MINUTE(A601)/1440,"")</f>
        <v>45602.69028</v>
      </c>
      <c r="P601" s="64" t="s">
        <v>2718</v>
      </c>
      <c r="R601" s="66">
        <f t="shared" si="5"/>
        <v>531.2936321</v>
      </c>
      <c r="S601" s="66"/>
      <c r="T601" s="66"/>
      <c r="U601" s="64">
        <f>if(O601,_xlfn.WORKDAY.INTL(O601,U$5,"1000000",Holidays!A:A)+hour(O601)/24+MINUTE(O601)/1440,"")</f>
        <v>45603.69028</v>
      </c>
      <c r="V601" s="64" t="str">
        <f t="shared" si="6"/>
        <v/>
      </c>
      <c r="W601" s="66"/>
      <c r="X601" s="66">
        <f t="shared" si="7"/>
        <v>530.2936321</v>
      </c>
      <c r="Y601" s="66"/>
      <c r="Z601" s="66"/>
      <c r="AA601" s="66"/>
      <c r="AB601" s="63"/>
      <c r="AC601" s="63"/>
      <c r="AD601" s="63"/>
      <c r="AE601" s="63"/>
      <c r="AF601" s="63"/>
      <c r="AG601" s="63"/>
      <c r="AH601" s="63" t="str">
        <f t="shared" si="14"/>
        <v/>
      </c>
      <c r="AI601" s="63" t="str">
        <f>if(AH601,_xlfn.workday.intl(int(AH601),0,"1000000",Holidays!A:A)+18/24,"")</f>
        <v/>
      </c>
      <c r="AJ601" s="64" t="str">
        <f t="shared" si="24"/>
        <v/>
      </c>
      <c r="AL601" s="66" t="str">
        <f t="shared" si="9"/>
        <v/>
      </c>
      <c r="AM601" s="66"/>
      <c r="AN601" s="63" t="str">
        <f>if(AJ601,if(and(hour(AJ601+AN$5)&gt;11,(hour(AJ601+AN$5)&lt;20)),AJ601+AN$5,_xlfn.workday.intl(int(AJ601),1,"1000000",Holidays!A:A)+hour(AJ601+AN$5-$B$1)/24+minute(AJ601)/1440),"")</f>
        <v/>
      </c>
      <c r="AO601" s="64" t="str">
        <f t="shared" si="15"/>
        <v/>
      </c>
      <c r="AQ601" s="66" t="str">
        <f t="shared" si="16"/>
        <v/>
      </c>
      <c r="AR601" s="66"/>
      <c r="AS601" s="63" t="str">
        <f>if(AJ601,if(and(hour(AJ601+AS$5)&gt;11,(hour(AJ601+AS$5)&lt;20)),AJ601+AS$5,_xlfn.workday.intl(int(AJ601),1,"1000000",Holidays!A:A)+hour(AJ601+AS$5-$B$1)/24+minute(AJ601)/1440),"")</f>
        <v/>
      </c>
      <c r="AT601" s="64" t="str">
        <f t="shared" si="21"/>
        <v/>
      </c>
      <c r="AV601" s="66" t="str">
        <f t="shared" si="25"/>
        <v/>
      </c>
      <c r="AW601" s="66"/>
      <c r="AX601" s="56"/>
    </row>
    <row r="602">
      <c r="A602" s="55">
        <v>45601.69707445602</v>
      </c>
      <c r="B602" s="56"/>
      <c r="C602" s="57"/>
      <c r="D602" s="57"/>
      <c r="E602" s="57"/>
      <c r="F602" s="57"/>
      <c r="G602" s="58">
        <f>if(A602,_xlfn.workday.intl(int(A602),1,"1000000",Holidays!A:A)+17/24,"")</f>
        <v>45602.70833</v>
      </c>
      <c r="H602" s="59" t="str">
        <f t="shared" si="23"/>
        <v/>
      </c>
      <c r="I602" s="60"/>
      <c r="J602" s="61">
        <f t="shared" si="2"/>
        <v>531.2755766</v>
      </c>
      <c r="K602" s="58">
        <f>if(G602,_xlfn.workday.intl(int(G602),0,"1000000",Holidays!A:A)+19/24,"")</f>
        <v>45602.79167</v>
      </c>
      <c r="L602" s="59" t="str">
        <f t="shared" si="3"/>
        <v/>
      </c>
      <c r="M602" s="60"/>
      <c r="N602" s="61">
        <f t="shared" si="4"/>
        <v>531.1922432</v>
      </c>
      <c r="O602" s="63">
        <f>if(A602,_xlfn.WORKDAY.INTL(A602,O$5,"1000000",Holidays!A:A)+hour(A602)/24+MINUTE(A602)/1440,"")</f>
        <v>45602.69653</v>
      </c>
      <c r="P602" s="64" t="s">
        <v>2718</v>
      </c>
      <c r="R602" s="66">
        <f t="shared" si="5"/>
        <v>531.2873821</v>
      </c>
      <c r="S602" s="66"/>
      <c r="T602" s="66"/>
      <c r="U602" s="64">
        <f>if(O602,_xlfn.WORKDAY.INTL(O602,U$5,"1000000",Holidays!A:A)+hour(O602)/24+MINUTE(O602)/1440,"")</f>
        <v>45603.69653</v>
      </c>
      <c r="V602" s="64" t="str">
        <f t="shared" si="6"/>
        <v/>
      </c>
      <c r="W602" s="66"/>
      <c r="X602" s="66">
        <f t="shared" si="7"/>
        <v>530.2873821</v>
      </c>
      <c r="Y602" s="66"/>
      <c r="Z602" s="66"/>
      <c r="AA602" s="66"/>
      <c r="AB602" s="63"/>
      <c r="AC602" s="63"/>
      <c r="AD602" s="63"/>
      <c r="AE602" s="63"/>
      <c r="AF602" s="63"/>
      <c r="AG602" s="63"/>
      <c r="AH602" s="63" t="str">
        <f t="shared" si="14"/>
        <v/>
      </c>
      <c r="AI602" s="63" t="str">
        <f>if(AH602,_xlfn.workday.intl(int(AH602),0,"1000000",Holidays!A:A)+18/24,"")</f>
        <v/>
      </c>
      <c r="AJ602" s="64" t="str">
        <f t="shared" si="24"/>
        <v/>
      </c>
      <c r="AL602" s="66" t="str">
        <f t="shared" si="9"/>
        <v/>
      </c>
      <c r="AM602" s="66"/>
      <c r="AN602" s="63" t="str">
        <f>if(AJ602,if(and(hour(AJ602+AN$5)&gt;11,(hour(AJ602+AN$5)&lt;20)),AJ602+AN$5,_xlfn.workday.intl(int(AJ602),1,"1000000",Holidays!A:A)+hour(AJ602+AN$5-$B$1)/24+minute(AJ602)/1440),"")</f>
        <v/>
      </c>
      <c r="AO602" s="64" t="str">
        <f t="shared" si="15"/>
        <v/>
      </c>
      <c r="AQ602" s="66" t="str">
        <f t="shared" si="16"/>
        <v/>
      </c>
      <c r="AR602" s="66"/>
      <c r="AS602" s="63" t="str">
        <f>if(AJ602,if(and(hour(AJ602+AS$5)&gt;11,(hour(AJ602+AS$5)&lt;20)),AJ602+AS$5,_xlfn.workday.intl(int(AJ602),1,"1000000",Holidays!A:A)+hour(AJ602+AS$5-$B$1)/24+minute(AJ602)/1440),"")</f>
        <v/>
      </c>
      <c r="AT602" s="64" t="str">
        <f t="shared" si="21"/>
        <v/>
      </c>
      <c r="AV602" s="66" t="str">
        <f t="shared" si="25"/>
        <v/>
      </c>
      <c r="AW602" s="66"/>
      <c r="AX602" s="56"/>
    </row>
    <row r="603">
      <c r="A603" s="55">
        <v>45601.69980938657</v>
      </c>
      <c r="B603" s="56"/>
      <c r="C603" s="57"/>
      <c r="D603" s="57"/>
      <c r="E603" s="57"/>
      <c r="F603" s="57"/>
      <c r="G603" s="58">
        <f>if(A603,_xlfn.workday.intl(int(A603),1,"1000000",Holidays!A:A)+17/24,"")</f>
        <v>45602.70833</v>
      </c>
      <c r="H603" s="59" t="str">
        <f t="shared" si="23"/>
        <v/>
      </c>
      <c r="I603" s="60"/>
      <c r="J603" s="61">
        <f t="shared" si="2"/>
        <v>531.2755766</v>
      </c>
      <c r="K603" s="58">
        <f>if(G603,_xlfn.workday.intl(int(G603),0,"1000000",Holidays!A:A)+19/24,"")</f>
        <v>45602.79167</v>
      </c>
      <c r="L603" s="59" t="str">
        <f t="shared" si="3"/>
        <v/>
      </c>
      <c r="M603" s="60"/>
      <c r="N603" s="61">
        <f t="shared" si="4"/>
        <v>531.1922432</v>
      </c>
      <c r="O603" s="63">
        <f>if(A603,_xlfn.WORKDAY.INTL(A603,O$5,"1000000",Holidays!A:A)+hour(A603)/24+MINUTE(A603)/1440,"")</f>
        <v>45602.69931</v>
      </c>
      <c r="P603" s="64" t="s">
        <v>2718</v>
      </c>
      <c r="R603" s="66">
        <f t="shared" si="5"/>
        <v>531.2846043</v>
      </c>
      <c r="S603" s="66"/>
      <c r="T603" s="66"/>
      <c r="U603" s="64">
        <f>if(O603,_xlfn.WORKDAY.INTL(O603,U$5,"1000000",Holidays!A:A)+hour(O603)/24+MINUTE(O603)/1440,"")</f>
        <v>45603.69931</v>
      </c>
      <c r="V603" s="64" t="str">
        <f t="shared" si="6"/>
        <v/>
      </c>
      <c r="W603" s="66"/>
      <c r="X603" s="66">
        <f t="shared" si="7"/>
        <v>530.2846043</v>
      </c>
      <c r="Y603" s="66"/>
      <c r="Z603" s="66"/>
      <c r="AA603" s="66"/>
      <c r="AB603" s="63"/>
      <c r="AC603" s="63"/>
      <c r="AD603" s="63"/>
      <c r="AE603" s="63"/>
      <c r="AF603" s="63"/>
      <c r="AG603" s="63"/>
      <c r="AH603" s="63" t="str">
        <f t="shared" si="14"/>
        <v/>
      </c>
      <c r="AI603" s="63" t="str">
        <f>if(AH603,_xlfn.workday.intl(int(AH603),0,"1000000",Holidays!A:A)+18/24,"")</f>
        <v/>
      </c>
      <c r="AJ603" s="64" t="str">
        <f t="shared" si="24"/>
        <v/>
      </c>
      <c r="AL603" s="66" t="str">
        <f t="shared" si="9"/>
        <v/>
      </c>
      <c r="AM603" s="66"/>
      <c r="AN603" s="63" t="str">
        <f>if(AJ603,if(and(hour(AJ603+AN$5)&gt;11,(hour(AJ603+AN$5)&lt;20)),AJ603+AN$5,_xlfn.workday.intl(int(AJ603),1,"1000000",Holidays!A:A)+hour(AJ603+AN$5-$B$1)/24+minute(AJ603)/1440),"")</f>
        <v/>
      </c>
      <c r="AO603" s="64" t="str">
        <f t="shared" si="15"/>
        <v/>
      </c>
      <c r="AQ603" s="66" t="str">
        <f t="shared" si="16"/>
        <v/>
      </c>
      <c r="AR603" s="66"/>
      <c r="AS603" s="63" t="str">
        <f>if(AJ603,if(and(hour(AJ603+AS$5)&gt;11,(hour(AJ603+AS$5)&lt;20)),AJ603+AS$5,_xlfn.workday.intl(int(AJ603),1,"1000000",Holidays!A:A)+hour(AJ603+AS$5-$B$1)/24+minute(AJ603)/1440),"")</f>
        <v/>
      </c>
      <c r="AT603" s="64" t="str">
        <f t="shared" si="21"/>
        <v/>
      </c>
      <c r="AV603" s="66" t="str">
        <f t="shared" si="25"/>
        <v/>
      </c>
      <c r="AW603" s="66"/>
      <c r="AX603" s="56"/>
    </row>
    <row r="604">
      <c r="A604" s="55">
        <v>45601.70118047454</v>
      </c>
      <c r="B604" s="56"/>
      <c r="C604" s="57"/>
      <c r="D604" s="57"/>
      <c r="E604" s="57"/>
      <c r="F604" s="57"/>
      <c r="G604" s="58">
        <f>if(A604,_xlfn.workday.intl(int(A604),1,"1000000",Holidays!A:A)+17/24,"")</f>
        <v>45602.70833</v>
      </c>
      <c r="H604" s="59" t="str">
        <f t="shared" si="23"/>
        <v/>
      </c>
      <c r="I604" s="60"/>
      <c r="J604" s="61">
        <f t="shared" si="2"/>
        <v>531.2755766</v>
      </c>
      <c r="K604" s="58">
        <f>if(G604,_xlfn.workday.intl(int(G604),0,"1000000",Holidays!A:A)+19/24,"")</f>
        <v>45602.79167</v>
      </c>
      <c r="L604" s="59" t="str">
        <f t="shared" si="3"/>
        <v/>
      </c>
      <c r="M604" s="60"/>
      <c r="N604" s="61">
        <f t="shared" si="4"/>
        <v>531.1922432</v>
      </c>
      <c r="O604" s="63">
        <f>if(A604,_xlfn.WORKDAY.INTL(A604,O$5,"1000000",Holidays!A:A)+hour(A604)/24+MINUTE(A604)/1440,"")</f>
        <v>45602.70069</v>
      </c>
      <c r="P604" s="64" t="s">
        <v>2718</v>
      </c>
      <c r="R604" s="66">
        <f t="shared" si="5"/>
        <v>531.2832155</v>
      </c>
      <c r="S604" s="66"/>
      <c r="T604" s="66"/>
      <c r="U604" s="64">
        <f>if(O604,_xlfn.WORKDAY.INTL(O604,U$5,"1000000",Holidays!A:A)+hour(O604)/24+MINUTE(O604)/1440,"")</f>
        <v>45603.70069</v>
      </c>
      <c r="V604" s="64" t="str">
        <f t="shared" si="6"/>
        <v/>
      </c>
      <c r="W604" s="66"/>
      <c r="X604" s="66">
        <f t="shared" si="7"/>
        <v>530.2832155</v>
      </c>
      <c r="Y604" s="66"/>
      <c r="Z604" s="66"/>
      <c r="AA604" s="66"/>
      <c r="AB604" s="63"/>
      <c r="AC604" s="63"/>
      <c r="AD604" s="63"/>
      <c r="AE604" s="63"/>
      <c r="AF604" s="63"/>
      <c r="AG604" s="63"/>
      <c r="AH604" s="63" t="str">
        <f t="shared" si="14"/>
        <v/>
      </c>
      <c r="AI604" s="63" t="str">
        <f>if(AH604,_xlfn.workday.intl(int(AH604),0,"1000000",Holidays!A:A)+18/24,"")</f>
        <v/>
      </c>
      <c r="AJ604" s="64" t="str">
        <f t="shared" si="24"/>
        <v/>
      </c>
      <c r="AL604" s="66" t="str">
        <f t="shared" si="9"/>
        <v/>
      </c>
      <c r="AM604" s="66"/>
      <c r="AN604" s="63" t="str">
        <f>if(AJ604,if(and(hour(AJ604+AN$5)&gt;11,(hour(AJ604+AN$5)&lt;20)),AJ604+AN$5,_xlfn.workday.intl(int(AJ604),1,"1000000",Holidays!A:A)+hour(AJ604+AN$5-$B$1)/24+minute(AJ604)/1440),"")</f>
        <v/>
      </c>
      <c r="AO604" s="64" t="str">
        <f t="shared" si="15"/>
        <v/>
      </c>
      <c r="AQ604" s="66" t="str">
        <f t="shared" si="16"/>
        <v/>
      </c>
      <c r="AR604" s="66"/>
      <c r="AS604" s="63" t="str">
        <f>if(AJ604,if(and(hour(AJ604+AS$5)&gt;11,(hour(AJ604+AS$5)&lt;20)),AJ604+AS$5,_xlfn.workday.intl(int(AJ604),1,"1000000",Holidays!A:A)+hour(AJ604+AS$5-$B$1)/24+minute(AJ604)/1440),"")</f>
        <v/>
      </c>
      <c r="AT604" s="64" t="str">
        <f t="shared" si="21"/>
        <v/>
      </c>
      <c r="AV604" s="66" t="str">
        <f t="shared" si="25"/>
        <v/>
      </c>
      <c r="AW604" s="66"/>
      <c r="AX604" s="56"/>
    </row>
    <row r="605">
      <c r="A605" s="55">
        <v>45602.54024030092</v>
      </c>
      <c r="B605" s="56"/>
      <c r="C605" s="57"/>
      <c r="D605" s="57"/>
      <c r="E605" s="57"/>
      <c r="F605" s="57"/>
      <c r="G605" s="58">
        <f>if(A605,_xlfn.workday.intl(int(A605),1,"1000000",Holidays!A:A)+17/24,"")</f>
        <v>45603.70833</v>
      </c>
      <c r="H605" s="59" t="str">
        <f t="shared" si="23"/>
        <v/>
      </c>
      <c r="I605" s="60"/>
      <c r="J605" s="61">
        <f t="shared" si="2"/>
        <v>530.2755766</v>
      </c>
      <c r="K605" s="58">
        <f>if(G605,_xlfn.workday.intl(int(G605),0,"1000000",Holidays!A:A)+19/24,"")</f>
        <v>45603.79167</v>
      </c>
      <c r="L605" s="59" t="str">
        <f t="shared" si="3"/>
        <v/>
      </c>
      <c r="M605" s="60"/>
      <c r="N605" s="61">
        <f t="shared" si="4"/>
        <v>530.1922432</v>
      </c>
      <c r="O605" s="63">
        <f>if(A605,_xlfn.WORKDAY.INTL(A605,O$5,"1000000",Holidays!A:A)+hour(A605)/24+MINUTE(A605)/1440,"")</f>
        <v>45603.53958</v>
      </c>
      <c r="P605" s="64" t="s">
        <v>2718</v>
      </c>
      <c r="R605" s="66">
        <f t="shared" si="5"/>
        <v>530.4443266</v>
      </c>
      <c r="S605" s="66"/>
      <c r="T605" s="66"/>
      <c r="U605" s="64">
        <f>if(O605,_xlfn.WORKDAY.INTL(O605,U$5,"1000000",Holidays!A:A)+hour(O605)/24+MINUTE(O605)/1440,"")</f>
        <v>45604.53958</v>
      </c>
      <c r="V605" s="64" t="str">
        <f t="shared" si="6"/>
        <v/>
      </c>
      <c r="W605" s="66"/>
      <c r="X605" s="66">
        <f t="shared" si="7"/>
        <v>529.4443266</v>
      </c>
      <c r="Y605" s="66"/>
      <c r="Z605" s="66"/>
      <c r="AA605" s="66"/>
      <c r="AB605" s="63"/>
      <c r="AC605" s="63"/>
      <c r="AD605" s="63"/>
      <c r="AE605" s="63"/>
      <c r="AF605" s="63"/>
      <c r="AG605" s="63"/>
      <c r="AH605" s="63" t="str">
        <f t="shared" si="14"/>
        <v/>
      </c>
      <c r="AI605" s="63" t="str">
        <f>if(AH605,_xlfn.workday.intl(int(AH605),0,"1000000",Holidays!A:A)+18/24,"")</f>
        <v/>
      </c>
      <c r="AJ605" s="64" t="str">
        <f t="shared" si="24"/>
        <v/>
      </c>
      <c r="AL605" s="66" t="str">
        <f t="shared" si="9"/>
        <v/>
      </c>
      <c r="AM605" s="66"/>
      <c r="AN605" s="63" t="str">
        <f>if(AJ605,if(and(hour(AJ605+AN$5)&gt;11,(hour(AJ605+AN$5)&lt;20)),AJ605+AN$5,_xlfn.workday.intl(int(AJ605),1,"1000000",Holidays!A:A)+hour(AJ605+AN$5-$B$1)/24+minute(AJ605)/1440),"")</f>
        <v/>
      </c>
      <c r="AO605" s="64" t="str">
        <f t="shared" si="15"/>
        <v/>
      </c>
      <c r="AQ605" s="66" t="str">
        <f t="shared" si="16"/>
        <v/>
      </c>
      <c r="AR605" s="66"/>
      <c r="AS605" s="63" t="str">
        <f>if(AJ605,if(and(hour(AJ605+AS$5)&gt;11,(hour(AJ605+AS$5)&lt;20)),AJ605+AS$5,_xlfn.workday.intl(int(AJ605),1,"1000000",Holidays!A:A)+hour(AJ605+AS$5-$B$1)/24+minute(AJ605)/1440),"")</f>
        <v/>
      </c>
      <c r="AT605" s="64" t="str">
        <f t="shared" si="21"/>
        <v/>
      </c>
      <c r="AV605" s="66" t="str">
        <f t="shared" si="25"/>
        <v/>
      </c>
      <c r="AW605" s="66"/>
      <c r="AX605" s="56"/>
    </row>
    <row r="606">
      <c r="A606" s="55">
        <v>45603.630199363426</v>
      </c>
      <c r="B606" s="56"/>
      <c r="C606" s="57"/>
      <c r="D606" s="57"/>
      <c r="E606" s="57"/>
      <c r="F606" s="57"/>
      <c r="G606" s="58">
        <f>if(A606,_xlfn.workday.intl(int(A606),1,"1000000",Holidays!A:A)+17/24,"")</f>
        <v>45604.70833</v>
      </c>
      <c r="H606" s="59" t="str">
        <f t="shared" si="23"/>
        <v/>
      </c>
      <c r="I606" s="60"/>
      <c r="J606" s="61">
        <f t="shared" si="2"/>
        <v>529.2755766</v>
      </c>
      <c r="K606" s="58">
        <f>if(G606,_xlfn.workday.intl(int(G606),0,"1000000",Holidays!A:A)+19/24,"")</f>
        <v>45604.79167</v>
      </c>
      <c r="L606" s="59" t="str">
        <f t="shared" si="3"/>
        <v/>
      </c>
      <c r="M606" s="60"/>
      <c r="N606" s="61">
        <f t="shared" si="4"/>
        <v>529.1922432</v>
      </c>
      <c r="O606" s="63">
        <f>if(A606,_xlfn.WORKDAY.INTL(A606,O$5,"1000000",Holidays!A:A)+hour(A606)/24+MINUTE(A606)/1440,"")</f>
        <v>45604.62986</v>
      </c>
      <c r="P606" s="64" t="s">
        <v>2718</v>
      </c>
      <c r="R606" s="66">
        <f t="shared" si="5"/>
        <v>529.3540488</v>
      </c>
      <c r="S606" s="66"/>
      <c r="T606" s="66"/>
      <c r="U606" s="64">
        <f>if(O606,_xlfn.WORKDAY.INTL(O606,U$5,"1000000",Holidays!A:A)+hour(O606)/24+MINUTE(O606)/1440,"")</f>
        <v>45605.62986</v>
      </c>
      <c r="V606" s="64" t="str">
        <f t="shared" si="6"/>
        <v/>
      </c>
      <c r="W606" s="66"/>
      <c r="X606" s="66">
        <f t="shared" si="7"/>
        <v>528.3540488</v>
      </c>
      <c r="Y606" s="66"/>
      <c r="Z606" s="66"/>
      <c r="AA606" s="66"/>
      <c r="AB606" s="63"/>
      <c r="AC606" s="63"/>
      <c r="AD606" s="63"/>
      <c r="AE606" s="63"/>
      <c r="AF606" s="63"/>
      <c r="AG606" s="63"/>
      <c r="AH606" s="63" t="str">
        <f t="shared" si="14"/>
        <v/>
      </c>
      <c r="AI606" s="63" t="str">
        <f>if(AH606,_xlfn.workday.intl(int(AH606),0,"1000000",Holidays!A:A)+18/24,"")</f>
        <v/>
      </c>
      <c r="AJ606" s="64" t="str">
        <f t="shared" si="24"/>
        <v/>
      </c>
      <c r="AL606" s="66" t="str">
        <f t="shared" si="9"/>
        <v/>
      </c>
      <c r="AM606" s="66"/>
      <c r="AN606" s="63" t="str">
        <f>if(AJ606,if(and(hour(AJ606+AN$5)&gt;11,(hour(AJ606+AN$5)&lt;20)),AJ606+AN$5,_xlfn.workday.intl(int(AJ606),1,"1000000",Holidays!A:A)+hour(AJ606+AN$5-$B$1)/24+minute(AJ606)/1440),"")</f>
        <v/>
      </c>
      <c r="AO606" s="64" t="str">
        <f t="shared" si="15"/>
        <v/>
      </c>
      <c r="AQ606" s="66" t="str">
        <f t="shared" si="16"/>
        <v/>
      </c>
      <c r="AR606" s="66"/>
      <c r="AS606" s="63" t="str">
        <f>if(AJ606,if(and(hour(AJ606+AS$5)&gt;11,(hour(AJ606+AS$5)&lt;20)),AJ606+AS$5,_xlfn.workday.intl(int(AJ606),1,"1000000",Holidays!A:A)+hour(AJ606+AS$5-$B$1)/24+minute(AJ606)/1440),"")</f>
        <v/>
      </c>
      <c r="AT606" s="64" t="str">
        <f t="shared" si="21"/>
        <v/>
      </c>
      <c r="AV606" s="66" t="str">
        <f t="shared" si="25"/>
        <v/>
      </c>
      <c r="AW606" s="66"/>
      <c r="AX606" s="56"/>
    </row>
    <row r="607">
      <c r="A607" s="55">
        <v>45609.70254067129</v>
      </c>
      <c r="B607" s="56"/>
      <c r="C607" s="57"/>
      <c r="D607" s="57"/>
      <c r="E607" s="57"/>
      <c r="F607" s="57"/>
      <c r="G607" s="58">
        <f>if(A607,_xlfn.workday.intl(int(A607),1,"1000000",Holidays!A:A)+17/24,"")</f>
        <v>45610.70833</v>
      </c>
      <c r="H607" s="59" t="str">
        <f t="shared" si="23"/>
        <v/>
      </c>
      <c r="I607" s="60"/>
      <c r="J607" s="61">
        <f t="shared" si="2"/>
        <v>523.2755766</v>
      </c>
      <c r="K607" s="58">
        <f>if(G607,_xlfn.workday.intl(int(G607),0,"1000000",Holidays!A:A)+19/24,"")</f>
        <v>45610.79167</v>
      </c>
      <c r="L607" s="59" t="str">
        <f t="shared" si="3"/>
        <v/>
      </c>
      <c r="M607" s="60"/>
      <c r="N607" s="61">
        <f t="shared" si="4"/>
        <v>523.1922432</v>
      </c>
      <c r="O607" s="63">
        <f>if(A607,_xlfn.WORKDAY.INTL(A607,O$5,"1000000",Holidays!A:A)+hour(A607)/24+MINUTE(A607)/1440,"")</f>
        <v>45610.70208</v>
      </c>
      <c r="P607" s="64" t="s">
        <v>2718</v>
      </c>
      <c r="R607" s="66">
        <f t="shared" si="5"/>
        <v>523.2818266</v>
      </c>
      <c r="S607" s="66"/>
      <c r="T607" s="66"/>
      <c r="U607" s="64">
        <f>if(O607,_xlfn.WORKDAY.INTL(O607,U$5,"1000000",Holidays!A:A)+hour(O607)/24+MINUTE(O607)/1440,"")</f>
        <v>45611.70208</v>
      </c>
      <c r="V607" s="64" t="str">
        <f t="shared" si="6"/>
        <v/>
      </c>
      <c r="W607" s="66"/>
      <c r="X607" s="66">
        <f t="shared" si="7"/>
        <v>522.2818266</v>
      </c>
      <c r="Y607" s="66"/>
      <c r="Z607" s="66"/>
      <c r="AA607" s="66"/>
      <c r="AB607" s="63"/>
      <c r="AC607" s="63"/>
      <c r="AD607" s="63"/>
      <c r="AE607" s="63"/>
      <c r="AF607" s="63"/>
      <c r="AG607" s="63"/>
      <c r="AH607" s="63" t="str">
        <f t="shared" si="14"/>
        <v/>
      </c>
      <c r="AI607" s="63" t="str">
        <f>if(AH607,_xlfn.workday.intl(int(AH607),0,"1000000",Holidays!A:A)+18/24,"")</f>
        <v/>
      </c>
      <c r="AJ607" s="64" t="str">
        <f t="shared" si="24"/>
        <v/>
      </c>
      <c r="AL607" s="66" t="str">
        <f t="shared" si="9"/>
        <v/>
      </c>
      <c r="AM607" s="66"/>
      <c r="AN607" s="63" t="str">
        <f>if(AJ607,if(and(hour(AJ607+AN$5)&gt;11,(hour(AJ607+AN$5)&lt;20)),AJ607+AN$5,_xlfn.workday.intl(int(AJ607),1,"1000000",Holidays!A:A)+hour(AJ607+AN$5-$B$1)/24+minute(AJ607)/1440),"")</f>
        <v/>
      </c>
      <c r="AO607" s="64" t="str">
        <f t="shared" si="15"/>
        <v/>
      </c>
      <c r="AQ607" s="66" t="str">
        <f t="shared" si="16"/>
        <v/>
      </c>
      <c r="AR607" s="66"/>
      <c r="AS607" s="63" t="str">
        <f>if(AJ607,if(and(hour(AJ607+AS$5)&gt;11,(hour(AJ607+AS$5)&lt;20)),AJ607+AS$5,_xlfn.workday.intl(int(AJ607),1,"1000000",Holidays!A:A)+hour(AJ607+AS$5-$B$1)/24+minute(AJ607)/1440),"")</f>
        <v/>
      </c>
      <c r="AT607" s="64" t="str">
        <f t="shared" si="21"/>
        <v/>
      </c>
      <c r="AV607" s="66" t="str">
        <f t="shared" si="25"/>
        <v/>
      </c>
      <c r="AW607" s="66"/>
      <c r="AX607" s="56"/>
    </row>
    <row r="608">
      <c r="A608" s="55">
        <v>45609.705399768514</v>
      </c>
      <c r="B608" s="56"/>
      <c r="C608" s="57"/>
      <c r="D608" s="57"/>
      <c r="E608" s="57"/>
      <c r="F608" s="57"/>
      <c r="G608" s="58">
        <f>if(A608,_xlfn.workday.intl(int(A608),1,"1000000",Holidays!A:A)+17/24,"")</f>
        <v>45610.70833</v>
      </c>
      <c r="H608" s="59" t="str">
        <f t="shared" si="23"/>
        <v/>
      </c>
      <c r="I608" s="60"/>
      <c r="J608" s="61">
        <f t="shared" si="2"/>
        <v>523.2755766</v>
      </c>
      <c r="K608" s="58">
        <f>if(G608,_xlfn.workday.intl(int(G608),0,"1000000",Holidays!A:A)+19/24,"")</f>
        <v>45610.79167</v>
      </c>
      <c r="L608" s="59" t="str">
        <f t="shared" si="3"/>
        <v/>
      </c>
      <c r="M608" s="60"/>
      <c r="N608" s="61">
        <f t="shared" si="4"/>
        <v>523.1922432</v>
      </c>
      <c r="O608" s="63">
        <f>if(A608,_xlfn.WORKDAY.INTL(A608,O$5,"1000000",Holidays!A:A)+hour(A608)/24+MINUTE(A608)/1440,"")</f>
        <v>45610.70486</v>
      </c>
      <c r="P608" s="64" t="s">
        <v>2718</v>
      </c>
      <c r="R608" s="66">
        <f t="shared" si="5"/>
        <v>523.2790488</v>
      </c>
      <c r="S608" s="66"/>
      <c r="T608" s="66"/>
      <c r="U608" s="64">
        <f>if(O608,_xlfn.WORKDAY.INTL(O608,U$5,"1000000",Holidays!A:A)+hour(O608)/24+MINUTE(O608)/1440,"")</f>
        <v>45611.70486</v>
      </c>
      <c r="V608" s="64" t="str">
        <f t="shared" si="6"/>
        <v/>
      </c>
      <c r="W608" s="66"/>
      <c r="X608" s="66">
        <f t="shared" si="7"/>
        <v>522.2790488</v>
      </c>
      <c r="Y608" s="66"/>
      <c r="Z608" s="66"/>
      <c r="AA608" s="66"/>
      <c r="AB608" s="63"/>
      <c r="AC608" s="63"/>
      <c r="AD608" s="63"/>
      <c r="AE608" s="63"/>
      <c r="AF608" s="63"/>
      <c r="AG608" s="63"/>
      <c r="AH608" s="63" t="str">
        <f t="shared" si="14"/>
        <v/>
      </c>
      <c r="AI608" s="63" t="str">
        <f>if(AH608,_xlfn.workday.intl(int(AH608),0,"1000000",Holidays!A:A)+18/24,"")</f>
        <v/>
      </c>
      <c r="AJ608" s="64" t="str">
        <f t="shared" si="24"/>
        <v/>
      </c>
      <c r="AL608" s="66" t="str">
        <f t="shared" si="9"/>
        <v/>
      </c>
      <c r="AM608" s="66"/>
      <c r="AN608" s="63" t="str">
        <f>if(AJ608,if(and(hour(AJ608+AN$5)&gt;11,(hour(AJ608+AN$5)&lt;20)),AJ608+AN$5,_xlfn.workday.intl(int(AJ608),1,"1000000",Holidays!A:A)+hour(AJ608+AN$5-$B$1)/24+minute(AJ608)/1440),"")</f>
        <v/>
      </c>
      <c r="AO608" s="64" t="str">
        <f t="shared" si="15"/>
        <v/>
      </c>
      <c r="AQ608" s="66" t="str">
        <f t="shared" si="16"/>
        <v/>
      </c>
      <c r="AR608" s="66"/>
      <c r="AS608" s="63" t="str">
        <f>if(AJ608,if(and(hour(AJ608+AS$5)&gt;11,(hour(AJ608+AS$5)&lt;20)),AJ608+AS$5,_xlfn.workday.intl(int(AJ608),1,"1000000",Holidays!A:A)+hour(AJ608+AS$5-$B$1)/24+minute(AJ608)/1440),"")</f>
        <v/>
      </c>
      <c r="AT608" s="64" t="str">
        <f t="shared" si="21"/>
        <v/>
      </c>
      <c r="AV608" s="66" t="str">
        <f t="shared" si="25"/>
        <v/>
      </c>
      <c r="AW608" s="66"/>
      <c r="AX608" s="56"/>
    </row>
    <row r="609">
      <c r="A609" s="55">
        <v>45609.709468877314</v>
      </c>
      <c r="B609" s="56"/>
      <c r="C609" s="57"/>
      <c r="D609" s="57"/>
      <c r="E609" s="57"/>
      <c r="F609" s="57"/>
      <c r="G609" s="58">
        <f>if(A609,_xlfn.workday.intl(int(A609),1,"1000000",Holidays!A:A)+17/24,"")</f>
        <v>45610.70833</v>
      </c>
      <c r="H609" s="59" t="str">
        <f t="shared" si="23"/>
        <v/>
      </c>
      <c r="I609" s="60"/>
      <c r="J609" s="61">
        <f t="shared" si="2"/>
        <v>523.2755766</v>
      </c>
      <c r="K609" s="58">
        <f>if(G609,_xlfn.workday.intl(int(G609),0,"1000000",Holidays!A:A)+19/24,"")</f>
        <v>45610.79167</v>
      </c>
      <c r="L609" s="59" t="str">
        <f t="shared" si="3"/>
        <v/>
      </c>
      <c r="M609" s="60"/>
      <c r="N609" s="61">
        <f t="shared" si="4"/>
        <v>523.1922432</v>
      </c>
      <c r="O609" s="63">
        <f>if(A609,_xlfn.WORKDAY.INTL(A609,O$5,"1000000",Holidays!A:A)+hour(A609)/24+MINUTE(A609)/1440,"")</f>
        <v>45610.70903</v>
      </c>
      <c r="P609" s="64" t="s">
        <v>2718</v>
      </c>
      <c r="R609" s="66">
        <f t="shared" si="5"/>
        <v>523.2748821</v>
      </c>
      <c r="S609" s="66"/>
      <c r="T609" s="66"/>
      <c r="U609" s="64">
        <f>if(O609,_xlfn.WORKDAY.INTL(O609,U$5,"1000000",Holidays!A:A)+hour(O609)/24+MINUTE(O609)/1440,"")</f>
        <v>45611.70903</v>
      </c>
      <c r="V609" s="64" t="str">
        <f t="shared" si="6"/>
        <v/>
      </c>
      <c r="W609" s="66"/>
      <c r="X609" s="66">
        <f t="shared" si="7"/>
        <v>522.2748821</v>
      </c>
      <c r="Y609" s="66"/>
      <c r="Z609" s="66"/>
      <c r="AA609" s="66"/>
      <c r="AB609" s="63"/>
      <c r="AC609" s="63"/>
      <c r="AD609" s="63"/>
      <c r="AE609" s="63"/>
      <c r="AF609" s="63"/>
      <c r="AG609" s="63"/>
      <c r="AH609" s="63" t="str">
        <f t="shared" si="14"/>
        <v/>
      </c>
      <c r="AI609" s="63" t="str">
        <f>if(AH609,_xlfn.workday.intl(int(AH609),0,"1000000",Holidays!A:A)+18/24,"")</f>
        <v/>
      </c>
      <c r="AJ609" s="64" t="str">
        <f t="shared" si="24"/>
        <v/>
      </c>
      <c r="AL609" s="66" t="str">
        <f t="shared" si="9"/>
        <v/>
      </c>
      <c r="AM609" s="66"/>
      <c r="AN609" s="63" t="str">
        <f>if(AJ609,if(and(hour(AJ609+AN$5)&gt;11,(hour(AJ609+AN$5)&lt;20)),AJ609+AN$5,_xlfn.workday.intl(int(AJ609),1,"1000000",Holidays!A:A)+hour(AJ609+AN$5-$B$1)/24+minute(AJ609)/1440),"")</f>
        <v/>
      </c>
      <c r="AO609" s="64" t="str">
        <f t="shared" si="15"/>
        <v/>
      </c>
      <c r="AQ609" s="66" t="str">
        <f t="shared" si="16"/>
        <v/>
      </c>
      <c r="AR609" s="66"/>
      <c r="AS609" s="63" t="str">
        <f>if(AJ609,if(and(hour(AJ609+AS$5)&gt;11,(hour(AJ609+AS$5)&lt;20)),AJ609+AS$5,_xlfn.workday.intl(int(AJ609),1,"1000000",Holidays!A:A)+hour(AJ609+AS$5-$B$1)/24+minute(AJ609)/1440),"")</f>
        <v/>
      </c>
      <c r="AT609" s="64" t="str">
        <f t="shared" si="21"/>
        <v/>
      </c>
      <c r="AV609" s="66" t="str">
        <f t="shared" si="25"/>
        <v/>
      </c>
      <c r="AW609" s="66"/>
      <c r="AX609" s="56"/>
    </row>
    <row r="610">
      <c r="A610" s="55">
        <v>45609.71834503472</v>
      </c>
      <c r="B610" s="56"/>
      <c r="C610" s="57"/>
      <c r="D610" s="57"/>
      <c r="E610" s="57"/>
      <c r="F610" s="57"/>
      <c r="G610" s="58">
        <f>if(A610,_xlfn.workday.intl(int(A610),1,"1000000",Holidays!A:A)+17/24,"")</f>
        <v>45610.70833</v>
      </c>
      <c r="H610" s="59" t="str">
        <f t="shared" si="23"/>
        <v/>
      </c>
      <c r="I610" s="60"/>
      <c r="J610" s="61">
        <f t="shared" si="2"/>
        <v>523.2755766</v>
      </c>
      <c r="K610" s="58">
        <f>if(G610,_xlfn.workday.intl(int(G610),0,"1000000",Holidays!A:A)+19/24,"")</f>
        <v>45610.79167</v>
      </c>
      <c r="L610" s="59" t="str">
        <f t="shared" si="3"/>
        <v/>
      </c>
      <c r="M610" s="60"/>
      <c r="N610" s="61">
        <f t="shared" si="4"/>
        <v>523.1922432</v>
      </c>
      <c r="O610" s="63">
        <f>if(A610,_xlfn.WORKDAY.INTL(A610,O$5,"1000000",Holidays!A:A)+hour(A610)/24+MINUTE(A610)/1440,"")</f>
        <v>45610.71806</v>
      </c>
      <c r="P610" s="64" t="s">
        <v>2718</v>
      </c>
      <c r="R610" s="66">
        <f t="shared" si="5"/>
        <v>523.2658543</v>
      </c>
      <c r="S610" s="66"/>
      <c r="T610" s="66"/>
      <c r="U610" s="64">
        <f>if(O610,_xlfn.WORKDAY.INTL(O610,U$5,"1000000",Holidays!A:A)+hour(O610)/24+MINUTE(O610)/1440,"")</f>
        <v>45611.71806</v>
      </c>
      <c r="V610" s="64" t="str">
        <f t="shared" si="6"/>
        <v/>
      </c>
      <c r="W610" s="66"/>
      <c r="X610" s="66">
        <f t="shared" si="7"/>
        <v>522.2658543</v>
      </c>
      <c r="Y610" s="66"/>
      <c r="Z610" s="66"/>
      <c r="AA610" s="66"/>
      <c r="AB610" s="63"/>
      <c r="AC610" s="63"/>
      <c r="AD610" s="63"/>
      <c r="AE610" s="63"/>
      <c r="AF610" s="63"/>
      <c r="AG610" s="63"/>
      <c r="AH610" s="63" t="str">
        <f t="shared" si="14"/>
        <v/>
      </c>
      <c r="AI610" s="63" t="str">
        <f>if(AH610,_xlfn.workday.intl(int(AH610),0,"1000000",Holidays!A:A)+18/24,"")</f>
        <v/>
      </c>
      <c r="AJ610" s="64" t="str">
        <f t="shared" si="24"/>
        <v/>
      </c>
      <c r="AL610" s="66" t="str">
        <f t="shared" si="9"/>
        <v/>
      </c>
      <c r="AM610" s="66"/>
      <c r="AN610" s="63" t="str">
        <f>if(AJ610,if(and(hour(AJ610+AN$5)&gt;11,(hour(AJ610+AN$5)&lt;20)),AJ610+AN$5,_xlfn.workday.intl(int(AJ610),1,"1000000",Holidays!A:A)+hour(AJ610+AN$5-$B$1)/24+minute(AJ610)/1440),"")</f>
        <v/>
      </c>
      <c r="AO610" s="64" t="str">
        <f t="shared" si="15"/>
        <v/>
      </c>
      <c r="AQ610" s="66" t="str">
        <f t="shared" si="16"/>
        <v/>
      </c>
      <c r="AR610" s="66"/>
      <c r="AS610" s="63" t="str">
        <f>if(AJ610,if(and(hour(AJ610+AS$5)&gt;11,(hour(AJ610+AS$5)&lt;20)),AJ610+AS$5,_xlfn.workday.intl(int(AJ610),1,"1000000",Holidays!A:A)+hour(AJ610+AS$5-$B$1)/24+minute(AJ610)/1440),"")</f>
        <v/>
      </c>
      <c r="AT610" s="64" t="str">
        <f t="shared" si="21"/>
        <v/>
      </c>
      <c r="AV610" s="66" t="str">
        <f t="shared" si="25"/>
        <v/>
      </c>
      <c r="AW610" s="66"/>
      <c r="AX610" s="56"/>
    </row>
    <row r="611">
      <c r="A611" s="55">
        <v>45609.72139946759</v>
      </c>
      <c r="B611" s="56"/>
      <c r="C611" s="57"/>
      <c r="D611" s="57"/>
      <c r="E611" s="57"/>
      <c r="F611" s="57"/>
      <c r="G611" s="58">
        <f>if(A611,_xlfn.workday.intl(int(A611),1,"1000000",Holidays!A:A)+17/24,"")</f>
        <v>45610.70833</v>
      </c>
      <c r="H611" s="59" t="str">
        <f t="shared" si="23"/>
        <v/>
      </c>
      <c r="I611" s="60"/>
      <c r="J611" s="61">
        <f t="shared" si="2"/>
        <v>523.2755766</v>
      </c>
      <c r="K611" s="58">
        <f>if(G611,_xlfn.workday.intl(int(G611),0,"1000000",Holidays!A:A)+19/24,"")</f>
        <v>45610.79167</v>
      </c>
      <c r="L611" s="59" t="str">
        <f t="shared" si="3"/>
        <v/>
      </c>
      <c r="M611" s="60"/>
      <c r="N611" s="61">
        <f t="shared" si="4"/>
        <v>523.1922432</v>
      </c>
      <c r="O611" s="63">
        <f>if(A611,_xlfn.WORKDAY.INTL(A611,O$5,"1000000",Holidays!A:A)+hour(A611)/24+MINUTE(A611)/1440,"")</f>
        <v>45610.72083</v>
      </c>
      <c r="P611" s="64" t="s">
        <v>2718</v>
      </c>
      <c r="R611" s="66">
        <f t="shared" si="5"/>
        <v>523.2630766</v>
      </c>
      <c r="S611" s="66"/>
      <c r="T611" s="66"/>
      <c r="U611" s="64">
        <f>if(O611,_xlfn.WORKDAY.INTL(O611,U$5,"1000000",Holidays!A:A)+hour(O611)/24+MINUTE(O611)/1440,"")</f>
        <v>45611.72083</v>
      </c>
      <c r="V611" s="64" t="str">
        <f t="shared" si="6"/>
        <v/>
      </c>
      <c r="W611" s="66"/>
      <c r="X611" s="66">
        <f t="shared" si="7"/>
        <v>522.2630766</v>
      </c>
      <c r="Y611" s="66"/>
      <c r="Z611" s="66"/>
      <c r="AA611" s="66"/>
      <c r="AB611" s="63"/>
      <c r="AC611" s="63"/>
      <c r="AD611" s="63"/>
      <c r="AE611" s="63"/>
      <c r="AF611" s="63"/>
      <c r="AG611" s="63"/>
      <c r="AH611" s="63" t="str">
        <f t="shared" si="14"/>
        <v/>
      </c>
      <c r="AI611" s="63" t="str">
        <f>if(AH611,_xlfn.workday.intl(int(AH611),0,"1000000",Holidays!A:A)+18/24,"")</f>
        <v/>
      </c>
      <c r="AJ611" s="64" t="str">
        <f t="shared" si="24"/>
        <v/>
      </c>
      <c r="AL611" s="66" t="str">
        <f t="shared" si="9"/>
        <v/>
      </c>
      <c r="AM611" s="66"/>
      <c r="AN611" s="63" t="str">
        <f>if(AJ611,if(and(hour(AJ611+AN$5)&gt;11,(hour(AJ611+AN$5)&lt;20)),AJ611+AN$5,_xlfn.workday.intl(int(AJ611),1,"1000000",Holidays!A:A)+hour(AJ611+AN$5-$B$1)/24+minute(AJ611)/1440),"")</f>
        <v/>
      </c>
      <c r="AO611" s="64" t="str">
        <f t="shared" si="15"/>
        <v/>
      </c>
      <c r="AQ611" s="66" t="str">
        <f t="shared" si="16"/>
        <v/>
      </c>
      <c r="AR611" s="66"/>
      <c r="AS611" s="63" t="str">
        <f>if(AJ611,if(and(hour(AJ611+AS$5)&gt;11,(hour(AJ611+AS$5)&lt;20)),AJ611+AS$5,_xlfn.workday.intl(int(AJ611),1,"1000000",Holidays!A:A)+hour(AJ611+AS$5-$B$1)/24+minute(AJ611)/1440),"")</f>
        <v/>
      </c>
      <c r="AT611" s="64" t="str">
        <f t="shared" si="21"/>
        <v/>
      </c>
      <c r="AV611" s="66" t="str">
        <f t="shared" si="25"/>
        <v/>
      </c>
      <c r="AW611" s="66"/>
      <c r="AX611" s="56"/>
    </row>
    <row r="612">
      <c r="A612" s="55">
        <v>45609.72432230324</v>
      </c>
      <c r="B612" s="56"/>
      <c r="C612" s="57"/>
      <c r="D612" s="57"/>
      <c r="E612" s="57"/>
      <c r="F612" s="57"/>
      <c r="G612" s="58">
        <f>if(A612,_xlfn.workday.intl(int(A612),1,"1000000",Holidays!A:A)+17/24,"")</f>
        <v>45610.70833</v>
      </c>
      <c r="H612" s="59" t="str">
        <f t="shared" si="23"/>
        <v/>
      </c>
      <c r="I612" s="60"/>
      <c r="J612" s="61">
        <f t="shared" si="2"/>
        <v>523.2755766</v>
      </c>
      <c r="K612" s="58">
        <f>if(G612,_xlfn.workday.intl(int(G612),0,"1000000",Holidays!A:A)+19/24,"")</f>
        <v>45610.79167</v>
      </c>
      <c r="L612" s="59" t="str">
        <f t="shared" si="3"/>
        <v/>
      </c>
      <c r="M612" s="60"/>
      <c r="N612" s="61">
        <f t="shared" si="4"/>
        <v>523.1922432</v>
      </c>
      <c r="O612" s="63">
        <f>if(A612,_xlfn.WORKDAY.INTL(A612,O$5,"1000000",Holidays!A:A)+hour(A612)/24+MINUTE(A612)/1440,"")</f>
        <v>45610.72431</v>
      </c>
      <c r="P612" s="64" t="s">
        <v>2718</v>
      </c>
      <c r="R612" s="66">
        <f t="shared" si="5"/>
        <v>523.2596043</v>
      </c>
      <c r="S612" s="66"/>
      <c r="T612" s="66"/>
      <c r="U612" s="64">
        <f>if(O612,_xlfn.WORKDAY.INTL(O612,U$5,"1000000",Holidays!A:A)+hour(O612)/24+MINUTE(O612)/1440,"")</f>
        <v>45611.72431</v>
      </c>
      <c r="V612" s="64" t="str">
        <f t="shared" si="6"/>
        <v/>
      </c>
      <c r="W612" s="66"/>
      <c r="X612" s="66">
        <f t="shared" si="7"/>
        <v>522.2596043</v>
      </c>
      <c r="Y612" s="66"/>
      <c r="Z612" s="66"/>
      <c r="AA612" s="66"/>
      <c r="AB612" s="63"/>
      <c r="AC612" s="63"/>
      <c r="AD612" s="63"/>
      <c r="AE612" s="63"/>
      <c r="AF612" s="63"/>
      <c r="AG612" s="63"/>
      <c r="AH612" s="63" t="str">
        <f t="shared" si="14"/>
        <v/>
      </c>
      <c r="AI612" s="63" t="str">
        <f>if(AH612,_xlfn.workday.intl(int(AH612),0,"1000000",Holidays!A:A)+18/24,"")</f>
        <v/>
      </c>
      <c r="AJ612" s="64" t="str">
        <f t="shared" si="24"/>
        <v/>
      </c>
      <c r="AL612" s="66" t="str">
        <f t="shared" si="9"/>
        <v/>
      </c>
      <c r="AM612" s="66"/>
      <c r="AN612" s="63" t="str">
        <f>if(AJ612,if(and(hour(AJ612+AN$5)&gt;11,(hour(AJ612+AN$5)&lt;20)),AJ612+AN$5,_xlfn.workday.intl(int(AJ612),1,"1000000",Holidays!A:A)+hour(AJ612+AN$5-$B$1)/24+minute(AJ612)/1440),"")</f>
        <v/>
      </c>
      <c r="AO612" s="64" t="str">
        <f t="shared" si="15"/>
        <v/>
      </c>
      <c r="AQ612" s="66" t="str">
        <f t="shared" si="16"/>
        <v/>
      </c>
      <c r="AR612" s="66"/>
      <c r="AS612" s="63" t="str">
        <f>if(AJ612,if(and(hour(AJ612+AS$5)&gt;11,(hour(AJ612+AS$5)&lt;20)),AJ612+AS$5,_xlfn.workday.intl(int(AJ612),1,"1000000",Holidays!A:A)+hour(AJ612+AS$5-$B$1)/24+minute(AJ612)/1440),"")</f>
        <v/>
      </c>
      <c r="AT612" s="64" t="str">
        <f t="shared" si="21"/>
        <v/>
      </c>
      <c r="AV612" s="66" t="str">
        <f t="shared" si="25"/>
        <v/>
      </c>
      <c r="AW612" s="66"/>
      <c r="AX612" s="56"/>
    </row>
    <row r="613">
      <c r="A613" s="55">
        <v>45611.69938417824</v>
      </c>
      <c r="B613" s="56"/>
      <c r="C613" s="57"/>
      <c r="D613" s="57"/>
      <c r="E613" s="57"/>
      <c r="F613" s="57"/>
      <c r="G613" s="58">
        <f>if(A613,_xlfn.workday.intl(int(A613),1,"1000000",Holidays!A:A)+17/24,"")</f>
        <v>45612.70833</v>
      </c>
      <c r="H613" s="59" t="str">
        <f t="shared" si="23"/>
        <v/>
      </c>
      <c r="I613" s="60"/>
      <c r="J613" s="61">
        <f t="shared" si="2"/>
        <v>521.2755766</v>
      </c>
      <c r="K613" s="58">
        <f>if(G613,_xlfn.workday.intl(int(G613),0,"1000000",Holidays!A:A)+19/24,"")</f>
        <v>45612.79167</v>
      </c>
      <c r="L613" s="59" t="str">
        <f t="shared" si="3"/>
        <v/>
      </c>
      <c r="M613" s="60"/>
      <c r="N613" s="61">
        <f t="shared" si="4"/>
        <v>521.1922432</v>
      </c>
      <c r="O613" s="63">
        <f>if(A613,_xlfn.WORKDAY.INTL(A613,O$5,"1000000",Holidays!A:A)+hour(A613)/24+MINUTE(A613)/1440,"")</f>
        <v>45612.69931</v>
      </c>
      <c r="P613" s="64" t="s">
        <v>2718</v>
      </c>
      <c r="R613" s="66">
        <f t="shared" si="5"/>
        <v>521.2846043</v>
      </c>
      <c r="S613" s="66"/>
      <c r="T613" s="66"/>
      <c r="U613" s="64">
        <f>if(O613,_xlfn.WORKDAY.INTL(O613,U$5,"1000000",Holidays!A:A)+hour(O613)/24+MINUTE(O613)/1440,"")</f>
        <v>45613.69931</v>
      </c>
      <c r="V613" s="64" t="str">
        <f t="shared" si="6"/>
        <v/>
      </c>
      <c r="W613" s="66"/>
      <c r="X613" s="66">
        <f t="shared" si="7"/>
        <v>520.2846043</v>
      </c>
      <c r="Y613" s="66"/>
      <c r="Z613" s="66"/>
      <c r="AA613" s="66"/>
      <c r="AB613" s="63"/>
      <c r="AC613" s="63"/>
      <c r="AD613" s="63"/>
      <c r="AE613" s="63"/>
      <c r="AF613" s="63"/>
      <c r="AG613" s="63"/>
      <c r="AH613" s="63" t="str">
        <f t="shared" si="14"/>
        <v/>
      </c>
      <c r="AI613" s="63" t="str">
        <f>if(AH613,_xlfn.workday.intl(int(AH613),0,"1000000",Holidays!A:A)+18/24,"")</f>
        <v/>
      </c>
      <c r="AJ613" s="64" t="str">
        <f t="shared" si="24"/>
        <v/>
      </c>
      <c r="AL613" s="66" t="str">
        <f t="shared" si="9"/>
        <v/>
      </c>
      <c r="AM613" s="66"/>
      <c r="AN613" s="63" t="str">
        <f>if(AJ613,if(and(hour(AJ613+AN$5)&gt;11,(hour(AJ613+AN$5)&lt;20)),AJ613+AN$5,_xlfn.workday.intl(int(AJ613),1,"1000000",Holidays!A:A)+hour(AJ613+AN$5-$B$1)/24+minute(AJ613)/1440),"")</f>
        <v/>
      </c>
      <c r="AO613" s="64" t="str">
        <f t="shared" si="15"/>
        <v/>
      </c>
      <c r="AQ613" s="66" t="str">
        <f t="shared" si="16"/>
        <v/>
      </c>
      <c r="AR613" s="66"/>
      <c r="AS613" s="63" t="str">
        <f>if(AJ613,if(and(hour(AJ613+AS$5)&gt;11,(hour(AJ613+AS$5)&lt;20)),AJ613+AS$5,_xlfn.workday.intl(int(AJ613),1,"1000000",Holidays!A:A)+hour(AJ613+AS$5-$B$1)/24+minute(AJ613)/1440),"")</f>
        <v/>
      </c>
      <c r="AT613" s="64" t="str">
        <f t="shared" si="21"/>
        <v/>
      </c>
      <c r="AV613" s="66" t="str">
        <f t="shared" si="25"/>
        <v/>
      </c>
      <c r="AW613" s="66"/>
      <c r="AX613" s="56"/>
    </row>
    <row r="614">
      <c r="A614" s="55">
        <v>45611.716393622686</v>
      </c>
      <c r="B614" s="56"/>
      <c r="C614" s="57"/>
      <c r="D614" s="57"/>
      <c r="E614" s="57"/>
      <c r="F614" s="57"/>
      <c r="G614" s="58">
        <f>if(A614,_xlfn.workday.intl(int(A614),1,"1000000",Holidays!A:A)+17/24,"")</f>
        <v>45612.70833</v>
      </c>
      <c r="H614" s="59" t="str">
        <f t="shared" si="23"/>
        <v/>
      </c>
      <c r="I614" s="60"/>
      <c r="J614" s="61">
        <f t="shared" si="2"/>
        <v>521.2755766</v>
      </c>
      <c r="K614" s="58">
        <f>if(G614,_xlfn.workday.intl(int(G614),0,"1000000",Holidays!A:A)+19/24,"")</f>
        <v>45612.79167</v>
      </c>
      <c r="L614" s="59" t="str">
        <f t="shared" si="3"/>
        <v/>
      </c>
      <c r="M614" s="60"/>
      <c r="N614" s="61">
        <f t="shared" si="4"/>
        <v>521.1922432</v>
      </c>
      <c r="O614" s="63">
        <f>if(A614,_xlfn.WORKDAY.INTL(A614,O$5,"1000000",Holidays!A:A)+hour(A614)/24+MINUTE(A614)/1440,"")</f>
        <v>45612.71597</v>
      </c>
      <c r="P614" s="64" t="s">
        <v>2718</v>
      </c>
      <c r="R614" s="66">
        <f t="shared" si="5"/>
        <v>521.2679377</v>
      </c>
      <c r="S614" s="66"/>
      <c r="T614" s="66"/>
      <c r="U614" s="64">
        <f>if(O614,_xlfn.WORKDAY.INTL(O614,U$5,"1000000",Holidays!A:A)+hour(O614)/24+MINUTE(O614)/1440,"")</f>
        <v>45613.71597</v>
      </c>
      <c r="V614" s="64" t="str">
        <f t="shared" si="6"/>
        <v/>
      </c>
      <c r="W614" s="66"/>
      <c r="X614" s="66">
        <f t="shared" si="7"/>
        <v>520.2679377</v>
      </c>
      <c r="Y614" s="66"/>
      <c r="Z614" s="66"/>
      <c r="AA614" s="66"/>
      <c r="AB614" s="63"/>
      <c r="AC614" s="63"/>
      <c r="AD614" s="63"/>
      <c r="AE614" s="63"/>
      <c r="AF614" s="63"/>
      <c r="AG614" s="63"/>
      <c r="AH614" s="63" t="str">
        <f t="shared" si="14"/>
        <v/>
      </c>
      <c r="AI614" s="63" t="str">
        <f>if(AH614,_xlfn.workday.intl(int(AH614),0,"1000000",Holidays!A:A)+18/24,"")</f>
        <v/>
      </c>
      <c r="AJ614" s="64" t="str">
        <f t="shared" si="24"/>
        <v/>
      </c>
      <c r="AL614" s="66" t="str">
        <f t="shared" si="9"/>
        <v/>
      </c>
      <c r="AM614" s="66"/>
      <c r="AN614" s="63" t="str">
        <f>if(AJ614,if(and(hour(AJ614+AN$5)&gt;11,(hour(AJ614+AN$5)&lt;20)),AJ614+AN$5,_xlfn.workday.intl(int(AJ614),1,"1000000",Holidays!A:A)+hour(AJ614+AN$5-$B$1)/24+minute(AJ614)/1440),"")</f>
        <v/>
      </c>
      <c r="AO614" s="64" t="str">
        <f t="shared" si="15"/>
        <v/>
      </c>
      <c r="AQ614" s="66" t="str">
        <f t="shared" si="16"/>
        <v/>
      </c>
      <c r="AR614" s="66"/>
      <c r="AS614" s="63" t="str">
        <f>if(AJ614,if(and(hour(AJ614+AS$5)&gt;11,(hour(AJ614+AS$5)&lt;20)),AJ614+AS$5,_xlfn.workday.intl(int(AJ614),1,"1000000",Holidays!A:A)+hour(AJ614+AS$5-$B$1)/24+minute(AJ614)/1440),"")</f>
        <v/>
      </c>
      <c r="AT614" s="64" t="str">
        <f t="shared" si="21"/>
        <v/>
      </c>
      <c r="AV614" s="66" t="str">
        <f t="shared" si="25"/>
        <v/>
      </c>
      <c r="AW614" s="66"/>
      <c r="AX614" s="56"/>
    </row>
    <row r="615">
      <c r="A615" s="55">
        <v>45611.724998564816</v>
      </c>
      <c r="B615" s="56"/>
      <c r="C615" s="57"/>
      <c r="D615" s="57"/>
      <c r="E615" s="57"/>
      <c r="F615" s="57"/>
      <c r="G615" s="58">
        <f>if(A615,_xlfn.workday.intl(int(A615),1,"1000000",Holidays!A:A)+17/24,"")</f>
        <v>45612.70833</v>
      </c>
      <c r="H615" s="59" t="str">
        <f t="shared" si="23"/>
        <v/>
      </c>
      <c r="I615" s="60"/>
      <c r="J615" s="61">
        <f t="shared" si="2"/>
        <v>521.2755766</v>
      </c>
      <c r="K615" s="58">
        <f>if(G615,_xlfn.workday.intl(int(G615),0,"1000000",Holidays!A:A)+19/24,"")</f>
        <v>45612.79167</v>
      </c>
      <c r="L615" s="59" t="str">
        <f t="shared" si="3"/>
        <v/>
      </c>
      <c r="M615" s="60"/>
      <c r="N615" s="61">
        <f t="shared" si="4"/>
        <v>521.1922432</v>
      </c>
      <c r="O615" s="63">
        <f>if(A615,_xlfn.WORKDAY.INTL(A615,O$5,"1000000",Holidays!A:A)+hour(A615)/24+MINUTE(A615)/1440,"")</f>
        <v>45612.725</v>
      </c>
      <c r="P615" s="64" t="s">
        <v>2718</v>
      </c>
      <c r="R615" s="66">
        <f t="shared" si="5"/>
        <v>521.2589099</v>
      </c>
      <c r="S615" s="66"/>
      <c r="T615" s="66"/>
      <c r="U615" s="64">
        <f>if(O615,_xlfn.WORKDAY.INTL(O615,U$5,"1000000",Holidays!A:A)+hour(O615)/24+MINUTE(O615)/1440,"")</f>
        <v>45613.725</v>
      </c>
      <c r="V615" s="64" t="str">
        <f t="shared" si="6"/>
        <v/>
      </c>
      <c r="W615" s="66"/>
      <c r="X615" s="66">
        <f t="shared" si="7"/>
        <v>520.2589099</v>
      </c>
      <c r="Y615" s="66"/>
      <c r="Z615" s="66"/>
      <c r="AA615" s="66"/>
      <c r="AB615" s="63"/>
      <c r="AC615" s="63"/>
      <c r="AD615" s="63"/>
      <c r="AE615" s="63"/>
      <c r="AF615" s="63"/>
      <c r="AG615" s="63"/>
      <c r="AH615" s="63" t="str">
        <f t="shared" si="14"/>
        <v/>
      </c>
      <c r="AI615" s="63" t="str">
        <f>if(AH615,_xlfn.workday.intl(int(AH615),0,"1000000",Holidays!A:A)+18/24,"")</f>
        <v/>
      </c>
      <c r="AJ615" s="64" t="str">
        <f t="shared" si="24"/>
        <v/>
      </c>
      <c r="AL615" s="66" t="str">
        <f t="shared" si="9"/>
        <v/>
      </c>
      <c r="AM615" s="66"/>
      <c r="AN615" s="63" t="str">
        <f>if(AJ615,if(and(hour(AJ615+AN$5)&gt;11,(hour(AJ615+AN$5)&lt;20)),AJ615+AN$5,_xlfn.workday.intl(int(AJ615),1,"1000000",Holidays!A:A)+hour(AJ615+AN$5-$B$1)/24+minute(AJ615)/1440),"")</f>
        <v/>
      </c>
      <c r="AO615" s="64" t="str">
        <f t="shared" si="15"/>
        <v/>
      </c>
      <c r="AQ615" s="66" t="str">
        <f t="shared" si="16"/>
        <v/>
      </c>
      <c r="AR615" s="66"/>
      <c r="AS615" s="63" t="str">
        <f>if(AJ615,if(and(hour(AJ615+AS$5)&gt;11,(hour(AJ615+AS$5)&lt;20)),AJ615+AS$5,_xlfn.workday.intl(int(AJ615),1,"1000000",Holidays!A:A)+hour(AJ615+AS$5-$B$1)/24+minute(AJ615)/1440),"")</f>
        <v/>
      </c>
      <c r="AT615" s="64" t="str">
        <f t="shared" si="21"/>
        <v/>
      </c>
      <c r="AV615" s="66" t="str">
        <f t="shared" si="25"/>
        <v/>
      </c>
      <c r="AW615" s="66"/>
      <c r="AX615" s="56"/>
    </row>
    <row r="616">
      <c r="A616" s="55">
        <v>45611.7260241551</v>
      </c>
      <c r="B616" s="56"/>
      <c r="C616" s="57"/>
      <c r="D616" s="57"/>
      <c r="E616" s="57"/>
      <c r="F616" s="57"/>
      <c r="G616" s="58">
        <f>if(A616,_xlfn.workday.intl(int(A616),1,"1000000",Holidays!A:A)+17/24,"")</f>
        <v>45612.70833</v>
      </c>
      <c r="H616" s="59" t="str">
        <f t="shared" si="23"/>
        <v/>
      </c>
      <c r="I616" s="60"/>
      <c r="J616" s="61">
        <f t="shared" si="2"/>
        <v>521.2755766</v>
      </c>
      <c r="K616" s="58">
        <f>if(G616,_xlfn.workday.intl(int(G616),0,"1000000",Holidays!A:A)+19/24,"")</f>
        <v>45612.79167</v>
      </c>
      <c r="L616" s="59" t="str">
        <f t="shared" si="3"/>
        <v/>
      </c>
      <c r="M616" s="60"/>
      <c r="N616" s="61">
        <f t="shared" si="4"/>
        <v>521.1922432</v>
      </c>
      <c r="O616" s="63">
        <f>if(A616,_xlfn.WORKDAY.INTL(A616,O$5,"1000000",Holidays!A:A)+hour(A616)/24+MINUTE(A616)/1440,"")</f>
        <v>45612.72569</v>
      </c>
      <c r="P616" s="64" t="s">
        <v>2718</v>
      </c>
      <c r="R616" s="66">
        <f t="shared" si="5"/>
        <v>521.2582155</v>
      </c>
      <c r="S616" s="66"/>
      <c r="T616" s="66"/>
      <c r="U616" s="64">
        <f>if(O616,_xlfn.WORKDAY.INTL(O616,U$5,"1000000",Holidays!A:A)+hour(O616)/24+MINUTE(O616)/1440,"")</f>
        <v>45613.72569</v>
      </c>
      <c r="V616" s="64" t="str">
        <f t="shared" si="6"/>
        <v/>
      </c>
      <c r="W616" s="66"/>
      <c r="X616" s="66">
        <f t="shared" si="7"/>
        <v>520.2582155</v>
      </c>
      <c r="Y616" s="66"/>
      <c r="Z616" s="66"/>
      <c r="AA616" s="66"/>
      <c r="AB616" s="63"/>
      <c r="AC616" s="63"/>
      <c r="AD616" s="63"/>
      <c r="AE616" s="63"/>
      <c r="AF616" s="63"/>
      <c r="AG616" s="63"/>
      <c r="AH616" s="63" t="str">
        <f t="shared" si="14"/>
        <v/>
      </c>
      <c r="AI616" s="63" t="str">
        <f>if(AH616,_xlfn.workday.intl(int(AH616),0,"1000000",Holidays!A:A)+18/24,"")</f>
        <v/>
      </c>
      <c r="AJ616" s="64" t="str">
        <f t="shared" si="24"/>
        <v/>
      </c>
      <c r="AL616" s="66" t="str">
        <f t="shared" si="9"/>
        <v/>
      </c>
      <c r="AM616" s="66"/>
      <c r="AN616" s="63" t="str">
        <f>if(AJ616,if(and(hour(AJ616+AN$5)&gt;11,(hour(AJ616+AN$5)&lt;20)),AJ616+AN$5,_xlfn.workday.intl(int(AJ616),1,"1000000",Holidays!A:A)+hour(AJ616+AN$5-$B$1)/24+minute(AJ616)/1440),"")</f>
        <v/>
      </c>
      <c r="AO616" s="64" t="str">
        <f t="shared" si="15"/>
        <v/>
      </c>
      <c r="AQ616" s="66" t="str">
        <f t="shared" si="16"/>
        <v/>
      </c>
      <c r="AR616" s="66"/>
      <c r="AS616" s="63" t="str">
        <f>if(AJ616,if(and(hour(AJ616+AS$5)&gt;11,(hour(AJ616+AS$5)&lt;20)),AJ616+AS$5,_xlfn.workday.intl(int(AJ616),1,"1000000",Holidays!A:A)+hour(AJ616+AS$5-$B$1)/24+minute(AJ616)/1440),"")</f>
        <v/>
      </c>
      <c r="AT616" s="64" t="str">
        <f t="shared" si="21"/>
        <v/>
      </c>
      <c r="AV616" s="66" t="str">
        <f t="shared" si="25"/>
        <v/>
      </c>
      <c r="AW616" s="66"/>
      <c r="AX616" s="56"/>
    </row>
    <row r="617">
      <c r="A617" s="55">
        <v>45611.72720094907</v>
      </c>
      <c r="B617" s="56"/>
      <c r="C617" s="57"/>
      <c r="D617" s="57"/>
      <c r="E617" s="57"/>
      <c r="F617" s="57"/>
      <c r="G617" s="58">
        <f>if(A617,_xlfn.workday.intl(int(A617),1,"1000000",Holidays!A:A)+17/24,"")</f>
        <v>45612.70833</v>
      </c>
      <c r="H617" s="59" t="str">
        <f t="shared" si="23"/>
        <v/>
      </c>
      <c r="I617" s="60"/>
      <c r="J617" s="61">
        <f t="shared" si="2"/>
        <v>521.2755766</v>
      </c>
      <c r="K617" s="58">
        <f>if(G617,_xlfn.workday.intl(int(G617),0,"1000000",Holidays!A:A)+19/24,"")</f>
        <v>45612.79167</v>
      </c>
      <c r="L617" s="59" t="str">
        <f t="shared" si="3"/>
        <v/>
      </c>
      <c r="M617" s="60"/>
      <c r="N617" s="61">
        <f t="shared" si="4"/>
        <v>521.1922432</v>
      </c>
      <c r="O617" s="63">
        <f>if(A617,_xlfn.WORKDAY.INTL(A617,O$5,"1000000",Holidays!A:A)+hour(A617)/24+MINUTE(A617)/1440,"")</f>
        <v>45612.72708</v>
      </c>
      <c r="P617" s="64" t="s">
        <v>2718</v>
      </c>
      <c r="R617" s="66">
        <f t="shared" si="5"/>
        <v>521.2568266</v>
      </c>
      <c r="S617" s="66"/>
      <c r="T617" s="66"/>
      <c r="U617" s="64">
        <f>if(O617,_xlfn.WORKDAY.INTL(O617,U$5,"1000000",Holidays!A:A)+hour(O617)/24+MINUTE(O617)/1440,"")</f>
        <v>45613.72708</v>
      </c>
      <c r="V617" s="64" t="str">
        <f t="shared" si="6"/>
        <v/>
      </c>
      <c r="W617" s="66"/>
      <c r="X617" s="66">
        <f t="shared" si="7"/>
        <v>520.2568266</v>
      </c>
      <c r="Y617" s="66"/>
      <c r="Z617" s="66"/>
      <c r="AA617" s="66"/>
      <c r="AB617" s="63"/>
      <c r="AC617" s="63"/>
      <c r="AD617" s="63"/>
      <c r="AE617" s="63"/>
      <c r="AF617" s="63"/>
      <c r="AG617" s="63"/>
      <c r="AH617" s="63" t="str">
        <f t="shared" si="14"/>
        <v/>
      </c>
      <c r="AI617" s="63" t="str">
        <f>if(AH617,_xlfn.workday.intl(int(AH617),0,"1000000",Holidays!A:A)+18/24,"")</f>
        <v/>
      </c>
      <c r="AJ617" s="64" t="str">
        <f t="shared" si="24"/>
        <v/>
      </c>
      <c r="AL617" s="66" t="str">
        <f t="shared" si="9"/>
        <v/>
      </c>
      <c r="AM617" s="66"/>
      <c r="AN617" s="63" t="str">
        <f>if(AJ617,if(and(hour(AJ617+AN$5)&gt;11,(hour(AJ617+AN$5)&lt;20)),AJ617+AN$5,_xlfn.workday.intl(int(AJ617),1,"1000000",Holidays!A:A)+hour(AJ617+AN$5-$B$1)/24+minute(AJ617)/1440),"")</f>
        <v/>
      </c>
      <c r="AO617" s="64" t="str">
        <f t="shared" si="15"/>
        <v/>
      </c>
      <c r="AQ617" s="66" t="str">
        <f t="shared" si="16"/>
        <v/>
      </c>
      <c r="AR617" s="66"/>
      <c r="AS617" s="63" t="str">
        <f>if(AJ617,if(and(hour(AJ617+AS$5)&gt;11,(hour(AJ617+AS$5)&lt;20)),AJ617+AS$5,_xlfn.workday.intl(int(AJ617),1,"1000000",Holidays!A:A)+hour(AJ617+AS$5-$B$1)/24+minute(AJ617)/1440),"")</f>
        <v/>
      </c>
      <c r="AT617" s="64" t="str">
        <f t="shared" si="21"/>
        <v/>
      </c>
      <c r="AV617" s="66" t="str">
        <f t="shared" si="25"/>
        <v/>
      </c>
      <c r="AW617" s="66"/>
      <c r="AX617" s="56"/>
    </row>
    <row r="618">
      <c r="A618" s="55">
        <v>45611.72843216435</v>
      </c>
      <c r="B618" s="56"/>
      <c r="C618" s="57"/>
      <c r="D618" s="57"/>
      <c r="E618" s="57"/>
      <c r="F618" s="57"/>
      <c r="G618" s="58">
        <f>if(A618,_xlfn.workday.intl(int(A618),1,"1000000",Holidays!A:A)+17/24,"")</f>
        <v>45612.70833</v>
      </c>
      <c r="H618" s="59" t="str">
        <f t="shared" si="23"/>
        <v/>
      </c>
      <c r="I618" s="60"/>
      <c r="J618" s="61">
        <f t="shared" si="2"/>
        <v>521.2755766</v>
      </c>
      <c r="K618" s="58">
        <f>if(G618,_xlfn.workday.intl(int(G618),0,"1000000",Holidays!A:A)+19/24,"")</f>
        <v>45612.79167</v>
      </c>
      <c r="L618" s="59" t="str">
        <f t="shared" si="3"/>
        <v/>
      </c>
      <c r="M618" s="60"/>
      <c r="N618" s="61">
        <f t="shared" si="4"/>
        <v>521.1922432</v>
      </c>
      <c r="O618" s="63">
        <f>if(A618,_xlfn.WORKDAY.INTL(A618,O$5,"1000000",Holidays!A:A)+hour(A618)/24+MINUTE(A618)/1440,"")</f>
        <v>45612.72778</v>
      </c>
      <c r="P618" s="64" t="s">
        <v>2718</v>
      </c>
      <c r="R618" s="66">
        <f t="shared" si="5"/>
        <v>521.2561321</v>
      </c>
      <c r="S618" s="66"/>
      <c r="T618" s="66"/>
      <c r="U618" s="64">
        <f>if(O618,_xlfn.WORKDAY.INTL(O618,U$5,"1000000",Holidays!A:A)+hour(O618)/24+MINUTE(O618)/1440,"")</f>
        <v>45613.72778</v>
      </c>
      <c r="V618" s="64" t="str">
        <f t="shared" si="6"/>
        <v/>
      </c>
      <c r="W618" s="66"/>
      <c r="X618" s="66">
        <f t="shared" si="7"/>
        <v>520.2561321</v>
      </c>
      <c r="Y618" s="66"/>
      <c r="Z618" s="66"/>
      <c r="AA618" s="66"/>
      <c r="AB618" s="63"/>
      <c r="AC618" s="63"/>
      <c r="AD618" s="63"/>
      <c r="AE618" s="63"/>
      <c r="AF618" s="63"/>
      <c r="AG618" s="63"/>
      <c r="AH618" s="63" t="str">
        <f t="shared" si="14"/>
        <v/>
      </c>
      <c r="AI618" s="63" t="str">
        <f>if(AH618,_xlfn.workday.intl(int(AH618),0,"1000000",Holidays!A:A)+18/24,"")</f>
        <v/>
      </c>
      <c r="AJ618" s="64" t="str">
        <f t="shared" si="24"/>
        <v/>
      </c>
      <c r="AL618" s="66" t="str">
        <f t="shared" si="9"/>
        <v/>
      </c>
      <c r="AM618" s="66"/>
      <c r="AN618" s="63" t="str">
        <f>if(AJ618,if(and(hour(AJ618+AN$5)&gt;11,(hour(AJ618+AN$5)&lt;20)),AJ618+AN$5,_xlfn.workday.intl(int(AJ618),1,"1000000",Holidays!A:A)+hour(AJ618+AN$5-$B$1)/24+minute(AJ618)/1440),"")</f>
        <v/>
      </c>
      <c r="AO618" s="64" t="str">
        <f t="shared" si="15"/>
        <v/>
      </c>
      <c r="AQ618" s="66" t="str">
        <f t="shared" si="16"/>
        <v/>
      </c>
      <c r="AR618" s="66"/>
      <c r="AS618" s="63" t="str">
        <f>if(AJ618,if(and(hour(AJ618+AS$5)&gt;11,(hour(AJ618+AS$5)&lt;20)),AJ618+AS$5,_xlfn.workday.intl(int(AJ618),1,"1000000",Holidays!A:A)+hour(AJ618+AS$5-$B$1)/24+minute(AJ618)/1440),"")</f>
        <v/>
      </c>
      <c r="AT618" s="64" t="str">
        <f t="shared" si="21"/>
        <v/>
      </c>
      <c r="AV618" s="66" t="str">
        <f t="shared" si="25"/>
        <v/>
      </c>
      <c r="AW618" s="66"/>
      <c r="AX618" s="56"/>
    </row>
    <row r="619">
      <c r="A619" s="55">
        <v>45612.67533467592</v>
      </c>
      <c r="B619" s="56"/>
      <c r="C619" s="57"/>
      <c r="D619" s="57"/>
      <c r="E619" s="57"/>
      <c r="F619" s="57"/>
      <c r="G619" s="58">
        <f>if(A619,_xlfn.workday.intl(int(A619),1,"1000000",Holidays!A:A)+17/24,"")</f>
        <v>45613.70833</v>
      </c>
      <c r="H619" s="59" t="str">
        <f t="shared" si="23"/>
        <v/>
      </c>
      <c r="I619" s="60"/>
      <c r="J619" s="61">
        <f t="shared" si="2"/>
        <v>520.2755766</v>
      </c>
      <c r="K619" s="58">
        <f>if(G619,_xlfn.workday.intl(int(G619),0,"1000000",Holidays!A:A)+19/24,"")</f>
        <v>45613.79167</v>
      </c>
      <c r="L619" s="59" t="str">
        <f t="shared" si="3"/>
        <v/>
      </c>
      <c r="M619" s="60"/>
      <c r="N619" s="61">
        <f t="shared" si="4"/>
        <v>520.1922432</v>
      </c>
      <c r="O619" s="63">
        <f>if(A619,_xlfn.WORKDAY.INTL(A619,O$5,"1000000",Holidays!A:A)+hour(A619)/24+MINUTE(A619)/1440,"")</f>
        <v>45613.675</v>
      </c>
      <c r="P619" s="64" t="s">
        <v>2718</v>
      </c>
      <c r="R619" s="66">
        <f t="shared" si="5"/>
        <v>520.3089099</v>
      </c>
      <c r="S619" s="66"/>
      <c r="T619" s="66"/>
      <c r="U619" s="64">
        <f>if(O619,_xlfn.WORKDAY.INTL(O619,U$5,"1000000",Holidays!A:A)+hour(O619)/24+MINUTE(O619)/1440,"")</f>
        <v>45615.675</v>
      </c>
      <c r="V619" s="64" t="str">
        <f t="shared" si="6"/>
        <v/>
      </c>
      <c r="W619" s="66"/>
      <c r="X619" s="66">
        <f t="shared" si="7"/>
        <v>518.3089099</v>
      </c>
      <c r="Y619" s="66"/>
      <c r="Z619" s="66"/>
      <c r="AA619" s="66"/>
      <c r="AB619" s="63"/>
      <c r="AC619" s="63"/>
      <c r="AD619" s="63"/>
      <c r="AE619" s="63"/>
      <c r="AF619" s="63"/>
      <c r="AG619" s="63"/>
      <c r="AH619" s="63" t="str">
        <f t="shared" si="14"/>
        <v/>
      </c>
      <c r="AI619" s="63" t="str">
        <f>if(AH619,_xlfn.workday.intl(int(AH619),0,"1000000",Holidays!A:A)+18/24,"")</f>
        <v/>
      </c>
      <c r="AJ619" s="64" t="str">
        <f t="shared" si="24"/>
        <v/>
      </c>
      <c r="AL619" s="66" t="str">
        <f t="shared" si="9"/>
        <v/>
      </c>
      <c r="AM619" s="66"/>
      <c r="AN619" s="63" t="str">
        <f>if(AJ619,if(and(hour(AJ619+AN$5)&gt;11,(hour(AJ619+AN$5)&lt;20)),AJ619+AN$5,_xlfn.workday.intl(int(AJ619),1,"1000000",Holidays!A:A)+hour(AJ619+AN$5-$B$1)/24+minute(AJ619)/1440),"")</f>
        <v/>
      </c>
      <c r="AO619" s="64" t="str">
        <f t="shared" si="15"/>
        <v/>
      </c>
      <c r="AQ619" s="66" t="str">
        <f t="shared" si="16"/>
        <v/>
      </c>
      <c r="AR619" s="66"/>
      <c r="AS619" s="63" t="str">
        <f>if(AJ619,if(and(hour(AJ619+AS$5)&gt;11,(hour(AJ619+AS$5)&lt;20)),AJ619+AS$5,_xlfn.workday.intl(int(AJ619),1,"1000000",Holidays!A:A)+hour(AJ619+AS$5-$B$1)/24+minute(AJ619)/1440),"")</f>
        <v/>
      </c>
      <c r="AT619" s="64" t="str">
        <f t="shared" si="21"/>
        <v/>
      </c>
      <c r="AV619" s="66" t="str">
        <f t="shared" si="25"/>
        <v/>
      </c>
      <c r="AW619" s="66"/>
      <c r="AX619" s="56"/>
    </row>
    <row r="620">
      <c r="A620" s="55">
        <v>45612.73374935186</v>
      </c>
      <c r="B620" s="56"/>
      <c r="C620" s="57"/>
      <c r="D620" s="57"/>
      <c r="E620" s="57"/>
      <c r="F620" s="57"/>
      <c r="G620" s="58">
        <f>if(A620,_xlfn.workday.intl(int(A620),1,"1000000",Holidays!A:A)+17/24,"")</f>
        <v>45613.70833</v>
      </c>
      <c r="H620" s="59" t="str">
        <f t="shared" si="23"/>
        <v/>
      </c>
      <c r="I620" s="60"/>
      <c r="J620" s="61">
        <f t="shared" si="2"/>
        <v>520.2755766</v>
      </c>
      <c r="K620" s="58">
        <f>if(G620,_xlfn.workday.intl(int(G620),0,"1000000",Holidays!A:A)+19/24,"")</f>
        <v>45613.79167</v>
      </c>
      <c r="L620" s="59" t="str">
        <f t="shared" si="3"/>
        <v/>
      </c>
      <c r="M620" s="60"/>
      <c r="N620" s="61">
        <f t="shared" si="4"/>
        <v>520.1922432</v>
      </c>
      <c r="O620" s="63">
        <f>if(A620,_xlfn.WORKDAY.INTL(A620,O$5,"1000000",Holidays!A:A)+hour(A620)/24+MINUTE(A620)/1440,"")</f>
        <v>45613.73333</v>
      </c>
      <c r="P620" s="64" t="s">
        <v>2718</v>
      </c>
      <c r="R620" s="66">
        <f t="shared" si="5"/>
        <v>520.2505766</v>
      </c>
      <c r="S620" s="66"/>
      <c r="T620" s="66"/>
      <c r="U620" s="64">
        <f>if(O620,_xlfn.WORKDAY.INTL(O620,U$5,"1000000",Holidays!A:A)+hour(O620)/24+MINUTE(O620)/1440,"")</f>
        <v>45615.73333</v>
      </c>
      <c r="V620" s="64" t="str">
        <f t="shared" si="6"/>
        <v/>
      </c>
      <c r="W620" s="66"/>
      <c r="X620" s="66">
        <f t="shared" si="7"/>
        <v>518.2505766</v>
      </c>
      <c r="Y620" s="66"/>
      <c r="Z620" s="66"/>
      <c r="AA620" s="66"/>
      <c r="AB620" s="63"/>
      <c r="AC620" s="63"/>
      <c r="AD620" s="63"/>
      <c r="AE620" s="63"/>
      <c r="AF620" s="63"/>
      <c r="AG620" s="63"/>
      <c r="AH620" s="63" t="str">
        <f t="shared" si="14"/>
        <v/>
      </c>
      <c r="AI620" s="63" t="str">
        <f>if(AH620,_xlfn.workday.intl(int(AH620),0,"1000000",Holidays!A:A)+18/24,"")</f>
        <v/>
      </c>
      <c r="AJ620" s="64" t="str">
        <f t="shared" si="24"/>
        <v/>
      </c>
      <c r="AL620" s="66" t="str">
        <f t="shared" si="9"/>
        <v/>
      </c>
      <c r="AM620" s="66"/>
      <c r="AN620" s="63" t="str">
        <f>if(AJ620,if(and(hour(AJ620+AN$5)&gt;11,(hour(AJ620+AN$5)&lt;20)),AJ620+AN$5,_xlfn.workday.intl(int(AJ620),1,"1000000",Holidays!A:A)+hour(AJ620+AN$5-$B$1)/24+minute(AJ620)/1440),"")</f>
        <v/>
      </c>
      <c r="AO620" s="64" t="str">
        <f t="shared" si="15"/>
        <v/>
      </c>
      <c r="AQ620" s="66" t="str">
        <f t="shared" si="16"/>
        <v/>
      </c>
      <c r="AR620" s="66"/>
      <c r="AS620" s="63" t="str">
        <f>if(AJ620,if(and(hour(AJ620+AS$5)&gt;11,(hour(AJ620+AS$5)&lt;20)),AJ620+AS$5,_xlfn.workday.intl(int(AJ620),1,"1000000",Holidays!A:A)+hour(AJ620+AS$5-$B$1)/24+minute(AJ620)/1440),"")</f>
        <v/>
      </c>
      <c r="AT620" s="64" t="str">
        <f t="shared" si="21"/>
        <v/>
      </c>
      <c r="AV620" s="66" t="str">
        <f t="shared" si="25"/>
        <v/>
      </c>
      <c r="AW620" s="66"/>
      <c r="AX620" s="56"/>
    </row>
    <row r="621">
      <c r="A621" s="55">
        <v>45617.70137001158</v>
      </c>
      <c r="B621" s="56"/>
      <c r="C621" s="57"/>
      <c r="D621" s="57"/>
      <c r="E621" s="57"/>
      <c r="F621" s="57"/>
      <c r="G621" s="58">
        <f>if(A621,_xlfn.workday.intl(int(A621),1,"1000000",Holidays!A:A)+17/24,"")</f>
        <v>45618.70833</v>
      </c>
      <c r="H621" s="59" t="str">
        <f t="shared" si="23"/>
        <v/>
      </c>
      <c r="I621" s="60"/>
      <c r="J621" s="61">
        <f t="shared" si="2"/>
        <v>515.2755766</v>
      </c>
      <c r="K621" s="58">
        <f>if(G621,_xlfn.workday.intl(int(G621),0,"1000000",Holidays!A:A)+19/24,"")</f>
        <v>45618.79167</v>
      </c>
      <c r="L621" s="59" t="str">
        <f t="shared" si="3"/>
        <v/>
      </c>
      <c r="M621" s="60"/>
      <c r="N621" s="61">
        <f t="shared" si="4"/>
        <v>515.1922432</v>
      </c>
      <c r="O621" s="63">
        <f>if(A621,_xlfn.WORKDAY.INTL(A621,O$5,"1000000",Holidays!A:A)+hour(A621)/24+MINUTE(A621)/1440,"")</f>
        <v>45618.70069</v>
      </c>
      <c r="P621" s="64" t="s">
        <v>2718</v>
      </c>
      <c r="R621" s="66">
        <f t="shared" si="5"/>
        <v>515.2832155</v>
      </c>
      <c r="S621" s="66"/>
      <c r="T621" s="66"/>
      <c r="U621" s="64">
        <f>if(O621,_xlfn.WORKDAY.INTL(O621,U$5,"1000000",Holidays!A:A)+hour(O621)/24+MINUTE(O621)/1440,"")</f>
        <v>45619.70069</v>
      </c>
      <c r="V621" s="64" t="str">
        <f t="shared" si="6"/>
        <v/>
      </c>
      <c r="W621" s="66"/>
      <c r="X621" s="66">
        <f t="shared" si="7"/>
        <v>514.2832155</v>
      </c>
      <c r="Y621" s="66"/>
      <c r="Z621" s="66"/>
      <c r="AA621" s="66"/>
      <c r="AB621" s="63"/>
      <c r="AC621" s="63"/>
      <c r="AD621" s="63"/>
      <c r="AE621" s="63"/>
      <c r="AF621" s="63"/>
      <c r="AG621" s="63"/>
      <c r="AH621" s="63" t="str">
        <f t="shared" si="14"/>
        <v/>
      </c>
      <c r="AI621" s="63" t="str">
        <f>if(AH621,_xlfn.workday.intl(int(AH621),0,"1000000",Holidays!A:A)+18/24,"")</f>
        <v/>
      </c>
      <c r="AJ621" s="64" t="str">
        <f t="shared" si="24"/>
        <v/>
      </c>
      <c r="AL621" s="66" t="str">
        <f t="shared" si="9"/>
        <v/>
      </c>
      <c r="AM621" s="66"/>
      <c r="AN621" s="63" t="str">
        <f>if(AJ621,if(and(hour(AJ621+AN$5)&gt;11,(hour(AJ621+AN$5)&lt;20)),AJ621+AN$5,_xlfn.workday.intl(int(AJ621),1,"1000000",Holidays!A:A)+hour(AJ621+AN$5-$B$1)/24+minute(AJ621)/1440),"")</f>
        <v/>
      </c>
      <c r="AO621" s="64" t="str">
        <f t="shared" si="15"/>
        <v/>
      </c>
      <c r="AQ621" s="66" t="str">
        <f t="shared" si="16"/>
        <v/>
      </c>
      <c r="AR621" s="66"/>
      <c r="AS621" s="63" t="str">
        <f>if(AJ621,if(and(hour(AJ621+AS$5)&gt;11,(hour(AJ621+AS$5)&lt;20)),AJ621+AS$5,_xlfn.workday.intl(int(AJ621),1,"1000000",Holidays!A:A)+hour(AJ621+AS$5-$B$1)/24+minute(AJ621)/1440),"")</f>
        <v/>
      </c>
      <c r="AT621" s="64" t="str">
        <f t="shared" si="21"/>
        <v/>
      </c>
      <c r="AV621" s="66" t="str">
        <f t="shared" si="25"/>
        <v/>
      </c>
      <c r="AW621" s="66"/>
      <c r="AX621" s="56"/>
    </row>
    <row r="622">
      <c r="A622" s="55">
        <v>45617.70756703704</v>
      </c>
      <c r="B622" s="56"/>
      <c r="C622" s="57"/>
      <c r="D622" s="57"/>
      <c r="E622" s="57"/>
      <c r="F622" s="57"/>
      <c r="G622" s="58">
        <f>if(A622,_xlfn.workday.intl(int(A622),1,"1000000",Holidays!A:A)+17/24,"")</f>
        <v>45618.70833</v>
      </c>
      <c r="H622" s="59" t="str">
        <f t="shared" si="23"/>
        <v/>
      </c>
      <c r="I622" s="60"/>
      <c r="J622" s="61">
        <f t="shared" si="2"/>
        <v>515.2755766</v>
      </c>
      <c r="K622" s="58">
        <f>if(G622,_xlfn.workday.intl(int(G622),0,"1000000",Holidays!A:A)+19/24,"")</f>
        <v>45618.79167</v>
      </c>
      <c r="L622" s="59" t="str">
        <f t="shared" si="3"/>
        <v/>
      </c>
      <c r="M622" s="60"/>
      <c r="N622" s="61">
        <f t="shared" si="4"/>
        <v>515.1922432</v>
      </c>
      <c r="O622" s="63">
        <f>if(A622,_xlfn.WORKDAY.INTL(A622,O$5,"1000000",Holidays!A:A)+hour(A622)/24+MINUTE(A622)/1440,"")</f>
        <v>45618.70694</v>
      </c>
      <c r="P622" s="64" t="s">
        <v>2718</v>
      </c>
      <c r="R622" s="66">
        <f t="shared" si="5"/>
        <v>515.2769655</v>
      </c>
      <c r="S622" s="66"/>
      <c r="T622" s="66"/>
      <c r="U622" s="64">
        <f>if(O622,_xlfn.WORKDAY.INTL(O622,U$5,"1000000",Holidays!A:A)+hour(O622)/24+MINUTE(O622)/1440,"")</f>
        <v>45619.70694</v>
      </c>
      <c r="V622" s="64" t="str">
        <f t="shared" si="6"/>
        <v/>
      </c>
      <c r="W622" s="66"/>
      <c r="X622" s="66">
        <f t="shared" si="7"/>
        <v>514.2769655</v>
      </c>
      <c r="Y622" s="66"/>
      <c r="Z622" s="66"/>
      <c r="AA622" s="66"/>
      <c r="AB622" s="63"/>
      <c r="AC622" s="63"/>
      <c r="AD622" s="63"/>
      <c r="AE622" s="63"/>
      <c r="AF622" s="63"/>
      <c r="AG622" s="63"/>
      <c r="AH622" s="63" t="str">
        <f t="shared" si="14"/>
        <v/>
      </c>
      <c r="AI622" s="63" t="str">
        <f>if(AH622,_xlfn.workday.intl(int(AH622),0,"1000000",Holidays!A:A)+18/24,"")</f>
        <v/>
      </c>
      <c r="AJ622" s="64" t="str">
        <f t="shared" si="24"/>
        <v/>
      </c>
      <c r="AL622" s="66" t="str">
        <f t="shared" si="9"/>
        <v/>
      </c>
      <c r="AM622" s="66"/>
      <c r="AN622" s="63" t="str">
        <f>if(AJ622,if(and(hour(AJ622+AN$5)&gt;11,(hour(AJ622+AN$5)&lt;20)),AJ622+AN$5,_xlfn.workday.intl(int(AJ622),1,"1000000",Holidays!A:A)+hour(AJ622+AN$5-$B$1)/24+minute(AJ622)/1440),"")</f>
        <v/>
      </c>
      <c r="AO622" s="64" t="str">
        <f t="shared" si="15"/>
        <v/>
      </c>
      <c r="AQ622" s="66" t="str">
        <f t="shared" si="16"/>
        <v/>
      </c>
      <c r="AR622" s="66"/>
      <c r="AS622" s="63" t="str">
        <f>if(AJ622,if(and(hour(AJ622+AS$5)&gt;11,(hour(AJ622+AS$5)&lt;20)),AJ622+AS$5,_xlfn.workday.intl(int(AJ622),1,"1000000",Holidays!A:A)+hour(AJ622+AS$5-$B$1)/24+minute(AJ622)/1440),"")</f>
        <v/>
      </c>
      <c r="AT622" s="64" t="str">
        <f t="shared" si="21"/>
        <v/>
      </c>
      <c r="AV622" s="66" t="str">
        <f t="shared" si="25"/>
        <v/>
      </c>
      <c r="AW622" s="66"/>
      <c r="AX622" s="56"/>
    </row>
    <row r="623">
      <c r="A623" s="55">
        <v>45618.768173819444</v>
      </c>
      <c r="B623" s="56"/>
      <c r="C623" s="57"/>
      <c r="D623" s="57"/>
      <c r="E623" s="57"/>
      <c r="F623" s="57"/>
      <c r="G623" s="58">
        <f>if(A623,_xlfn.workday.intl(int(A623),1,"1000000",Holidays!A:A)+17/24,"")</f>
        <v>45619.70833</v>
      </c>
      <c r="H623" s="59" t="str">
        <f t="shared" si="23"/>
        <v/>
      </c>
      <c r="I623" s="60"/>
      <c r="J623" s="61">
        <f t="shared" si="2"/>
        <v>514.2755766</v>
      </c>
      <c r="K623" s="58">
        <f>if(G623,_xlfn.workday.intl(int(G623),0,"1000000",Holidays!A:A)+19/24,"")</f>
        <v>45619.79167</v>
      </c>
      <c r="L623" s="59" t="str">
        <f t="shared" si="3"/>
        <v/>
      </c>
      <c r="M623" s="60"/>
      <c r="N623" s="61">
        <f t="shared" si="4"/>
        <v>514.1922432</v>
      </c>
      <c r="O623" s="63">
        <f>if(A623,_xlfn.WORKDAY.INTL(A623,O$5,"1000000",Holidays!A:A)+hour(A623)/24+MINUTE(A623)/1440,"")</f>
        <v>45619.76806</v>
      </c>
      <c r="P623" s="64" t="s">
        <v>2718</v>
      </c>
      <c r="R623" s="66">
        <f t="shared" si="5"/>
        <v>514.2158543</v>
      </c>
      <c r="S623" s="66"/>
      <c r="T623" s="66"/>
      <c r="U623" s="64">
        <f>if(O623,_xlfn.WORKDAY.INTL(O623,U$5,"1000000",Holidays!A:A)+hour(O623)/24+MINUTE(O623)/1440,"")</f>
        <v>45620.76806</v>
      </c>
      <c r="V623" s="64" t="str">
        <f t="shared" si="6"/>
        <v/>
      </c>
      <c r="W623" s="66"/>
      <c r="X623" s="66">
        <f t="shared" si="7"/>
        <v>513.2158543</v>
      </c>
      <c r="Y623" s="66"/>
      <c r="Z623" s="66"/>
      <c r="AA623" s="66"/>
      <c r="AB623" s="63"/>
      <c r="AC623" s="63"/>
      <c r="AD623" s="63"/>
      <c r="AE623" s="63"/>
      <c r="AF623" s="63"/>
      <c r="AG623" s="63"/>
      <c r="AH623" s="63" t="str">
        <f t="shared" si="14"/>
        <v/>
      </c>
      <c r="AI623" s="63" t="str">
        <f>if(AH623,_xlfn.workday.intl(int(AH623),0,"1000000",Holidays!A:A)+18/24,"")</f>
        <v/>
      </c>
      <c r="AJ623" s="64" t="str">
        <f t="shared" si="24"/>
        <v/>
      </c>
      <c r="AL623" s="66" t="str">
        <f t="shared" si="9"/>
        <v/>
      </c>
      <c r="AM623" s="66"/>
      <c r="AN623" s="63" t="str">
        <f>if(AJ623,if(and(hour(AJ623+AN$5)&gt;11,(hour(AJ623+AN$5)&lt;20)),AJ623+AN$5,_xlfn.workday.intl(int(AJ623),1,"1000000",Holidays!A:A)+hour(AJ623+AN$5-$B$1)/24+minute(AJ623)/1440),"")</f>
        <v/>
      </c>
      <c r="AO623" s="64" t="str">
        <f t="shared" si="15"/>
        <v/>
      </c>
      <c r="AQ623" s="66" t="str">
        <f t="shared" si="16"/>
        <v/>
      </c>
      <c r="AR623" s="66"/>
      <c r="AS623" s="63" t="str">
        <f>if(AJ623,if(and(hour(AJ623+AS$5)&gt;11,(hour(AJ623+AS$5)&lt;20)),AJ623+AS$5,_xlfn.workday.intl(int(AJ623),1,"1000000",Holidays!A:A)+hour(AJ623+AS$5-$B$1)/24+minute(AJ623)/1440),"")</f>
        <v/>
      </c>
      <c r="AT623" s="64" t="str">
        <f t="shared" si="21"/>
        <v/>
      </c>
      <c r="AV623" s="66" t="str">
        <f t="shared" si="25"/>
        <v/>
      </c>
      <c r="AW623" s="66"/>
      <c r="AX623" s="56"/>
    </row>
    <row r="624">
      <c r="A624" s="55">
        <v>45619.67263444445</v>
      </c>
      <c r="B624" s="56"/>
      <c r="C624" s="57"/>
      <c r="D624" s="57"/>
      <c r="E624" s="57"/>
      <c r="F624" s="57"/>
      <c r="G624" s="58">
        <f>if(A624,_xlfn.workday.intl(int(A624),1,"1000000",Holidays!A:A)+17/24,"")</f>
        <v>45620.70833</v>
      </c>
      <c r="H624" s="59" t="str">
        <f t="shared" si="23"/>
        <v/>
      </c>
      <c r="I624" s="60"/>
      <c r="J624" s="61">
        <f t="shared" si="2"/>
        <v>513.2755766</v>
      </c>
      <c r="K624" s="58">
        <f>if(G624,_xlfn.workday.intl(int(G624),0,"1000000",Holidays!A:A)+19/24,"")</f>
        <v>45620.79167</v>
      </c>
      <c r="L624" s="59" t="str">
        <f t="shared" si="3"/>
        <v/>
      </c>
      <c r="M624" s="60"/>
      <c r="N624" s="61">
        <f t="shared" si="4"/>
        <v>513.1922432</v>
      </c>
      <c r="O624" s="63">
        <f>if(A624,_xlfn.WORKDAY.INTL(A624,O$5,"1000000",Holidays!A:A)+hour(A624)/24+MINUTE(A624)/1440,"")</f>
        <v>45620.67222</v>
      </c>
      <c r="P624" s="64" t="s">
        <v>2718</v>
      </c>
      <c r="R624" s="66">
        <f t="shared" si="5"/>
        <v>513.3116877</v>
      </c>
      <c r="S624" s="66"/>
      <c r="T624" s="66"/>
      <c r="U624" s="64">
        <f>if(O624,_xlfn.WORKDAY.INTL(O624,U$5,"1000000",Holidays!A:A)+hour(O624)/24+MINUTE(O624)/1440,"")</f>
        <v>45622.67222</v>
      </c>
      <c r="V624" s="64" t="str">
        <f t="shared" si="6"/>
        <v/>
      </c>
      <c r="W624" s="66"/>
      <c r="X624" s="66">
        <f t="shared" si="7"/>
        <v>511.3116877</v>
      </c>
      <c r="Y624" s="66"/>
      <c r="Z624" s="66"/>
      <c r="AA624" s="66"/>
      <c r="AB624" s="63"/>
      <c r="AC624" s="63"/>
      <c r="AD624" s="63"/>
      <c r="AE624" s="63"/>
      <c r="AF624" s="63"/>
      <c r="AG624" s="63"/>
      <c r="AH624" s="63" t="str">
        <f t="shared" si="14"/>
        <v/>
      </c>
      <c r="AI624" s="63" t="str">
        <f>if(AH624,_xlfn.workday.intl(int(AH624),0,"1000000",Holidays!A:A)+18/24,"")</f>
        <v/>
      </c>
      <c r="AJ624" s="64" t="str">
        <f t="shared" si="24"/>
        <v/>
      </c>
      <c r="AL624" s="66" t="str">
        <f t="shared" si="9"/>
        <v/>
      </c>
      <c r="AM624" s="66"/>
      <c r="AN624" s="63" t="str">
        <f>if(AJ624,if(and(hour(AJ624+AN$5)&gt;11,(hour(AJ624+AN$5)&lt;20)),AJ624+AN$5,_xlfn.workday.intl(int(AJ624),1,"1000000",Holidays!A:A)+hour(AJ624+AN$5-$B$1)/24+minute(AJ624)/1440),"")</f>
        <v/>
      </c>
      <c r="AO624" s="64" t="str">
        <f t="shared" si="15"/>
        <v/>
      </c>
      <c r="AQ624" s="66" t="str">
        <f t="shared" si="16"/>
        <v/>
      </c>
      <c r="AR624" s="66"/>
      <c r="AS624" s="63" t="str">
        <f>if(AJ624,if(and(hour(AJ624+AS$5)&gt;11,(hour(AJ624+AS$5)&lt;20)),AJ624+AS$5,_xlfn.workday.intl(int(AJ624),1,"1000000",Holidays!A:A)+hour(AJ624+AS$5-$B$1)/24+minute(AJ624)/1440),"")</f>
        <v/>
      </c>
      <c r="AT624" s="64" t="str">
        <f t="shared" si="21"/>
        <v/>
      </c>
      <c r="AV624" s="66" t="str">
        <f t="shared" si="25"/>
        <v/>
      </c>
      <c r="AW624" s="66"/>
      <c r="AX624" s="56"/>
    </row>
    <row r="625">
      <c r="A625" s="55">
        <v>45624.71567738426</v>
      </c>
      <c r="B625" s="56"/>
      <c r="C625" s="57"/>
      <c r="D625" s="57"/>
      <c r="E625" s="57"/>
      <c r="F625" s="57"/>
      <c r="G625" s="58">
        <f>if(A625,_xlfn.workday.intl(int(A625),1,"1000000",Holidays!A:A)+17/24,"")</f>
        <v>45625.70833</v>
      </c>
      <c r="H625" s="59" t="str">
        <f t="shared" si="23"/>
        <v/>
      </c>
      <c r="I625" s="60"/>
      <c r="J625" s="61">
        <f t="shared" si="2"/>
        <v>508.2755766</v>
      </c>
      <c r="K625" s="58">
        <f>if(G625,_xlfn.workday.intl(int(G625),0,"1000000",Holidays!A:A)+19/24,"")</f>
        <v>45625.79167</v>
      </c>
      <c r="L625" s="59" t="str">
        <f t="shared" si="3"/>
        <v/>
      </c>
      <c r="M625" s="60"/>
      <c r="N625" s="61">
        <f t="shared" si="4"/>
        <v>508.1922432</v>
      </c>
      <c r="O625" s="63">
        <f>if(A625,_xlfn.WORKDAY.INTL(A625,O$5,"1000000",Holidays!A:A)+hour(A625)/24+MINUTE(A625)/1440,"")</f>
        <v>45625.71528</v>
      </c>
      <c r="P625" s="64" t="s">
        <v>2718</v>
      </c>
      <c r="R625" s="66">
        <f t="shared" si="5"/>
        <v>508.2686321</v>
      </c>
      <c r="S625" s="66"/>
      <c r="T625" s="66"/>
      <c r="U625" s="64">
        <f>if(O625,_xlfn.WORKDAY.INTL(O625,U$5,"1000000",Holidays!A:A)+hour(O625)/24+MINUTE(O625)/1440,"")</f>
        <v>45626.71528</v>
      </c>
      <c r="V625" s="64" t="str">
        <f t="shared" si="6"/>
        <v/>
      </c>
      <c r="W625" s="66"/>
      <c r="X625" s="66">
        <f t="shared" si="7"/>
        <v>507.2686321</v>
      </c>
      <c r="Y625" s="66"/>
      <c r="Z625" s="66"/>
      <c r="AA625" s="66"/>
      <c r="AB625" s="63"/>
      <c r="AC625" s="63"/>
      <c r="AD625" s="63"/>
      <c r="AE625" s="63"/>
      <c r="AF625" s="63"/>
      <c r="AG625" s="63"/>
      <c r="AH625" s="63" t="str">
        <f t="shared" si="14"/>
        <v/>
      </c>
      <c r="AI625" s="63" t="str">
        <f>if(AH625,_xlfn.workday.intl(int(AH625),0,"1000000",Holidays!A:A)+18/24,"")</f>
        <v/>
      </c>
      <c r="AJ625" s="64" t="str">
        <f t="shared" si="24"/>
        <v/>
      </c>
      <c r="AL625" s="66" t="str">
        <f t="shared" si="9"/>
        <v/>
      </c>
      <c r="AM625" s="66"/>
      <c r="AN625" s="63" t="str">
        <f>if(AJ625,if(and(hour(AJ625+AN$5)&gt;11,(hour(AJ625+AN$5)&lt;20)),AJ625+AN$5,_xlfn.workday.intl(int(AJ625),1,"1000000",Holidays!A:A)+hour(AJ625+AN$5-$B$1)/24+minute(AJ625)/1440),"")</f>
        <v/>
      </c>
      <c r="AO625" s="64" t="str">
        <f t="shared" si="15"/>
        <v/>
      </c>
      <c r="AQ625" s="66" t="str">
        <f t="shared" si="16"/>
        <v/>
      </c>
      <c r="AR625" s="66"/>
      <c r="AS625" s="63" t="str">
        <f>if(AJ625,if(and(hour(AJ625+AS$5)&gt;11,(hour(AJ625+AS$5)&lt;20)),AJ625+AS$5,_xlfn.workday.intl(int(AJ625),1,"1000000",Holidays!A:A)+hour(AJ625+AS$5-$B$1)/24+minute(AJ625)/1440),"")</f>
        <v/>
      </c>
      <c r="AT625" s="64" t="str">
        <f t="shared" si="21"/>
        <v/>
      </c>
      <c r="AV625" s="66" t="str">
        <f t="shared" si="25"/>
        <v/>
      </c>
      <c r="AW625" s="66"/>
      <c r="AX625" s="56"/>
    </row>
    <row r="626">
      <c r="A626" s="55">
        <v>45625.66311248843</v>
      </c>
      <c r="B626" s="56"/>
      <c r="C626" s="57"/>
      <c r="D626" s="57"/>
      <c r="E626" s="57"/>
      <c r="F626" s="57"/>
      <c r="G626" s="58">
        <f>if(A626,_xlfn.workday.intl(int(A626),1,"1000000",Holidays!A:A)+17/24,"")</f>
        <v>45626.70833</v>
      </c>
      <c r="H626" s="59" t="str">
        <f t="shared" si="23"/>
        <v/>
      </c>
      <c r="I626" s="60"/>
      <c r="J626" s="61">
        <f t="shared" si="2"/>
        <v>507.2755766</v>
      </c>
      <c r="K626" s="58">
        <f>if(G626,_xlfn.workday.intl(int(G626),0,"1000000",Holidays!A:A)+19/24,"")</f>
        <v>45626.79167</v>
      </c>
      <c r="L626" s="59" t="str">
        <f t="shared" si="3"/>
        <v/>
      </c>
      <c r="M626" s="60"/>
      <c r="N626" s="61">
        <f t="shared" si="4"/>
        <v>507.1922432</v>
      </c>
      <c r="O626" s="63">
        <f>if(A626,_xlfn.WORKDAY.INTL(A626,O$5,"1000000",Holidays!A:A)+hour(A626)/24+MINUTE(A626)/1440,"")</f>
        <v>45626.6625</v>
      </c>
      <c r="P626" s="64" t="s">
        <v>2718</v>
      </c>
      <c r="R626" s="66">
        <f t="shared" si="5"/>
        <v>507.3214099</v>
      </c>
      <c r="S626" s="66"/>
      <c r="T626" s="66"/>
      <c r="U626" s="64">
        <f>if(O626,_xlfn.WORKDAY.INTL(O626,U$5,"1000000",Holidays!A:A)+hour(O626)/24+MINUTE(O626)/1440,"")</f>
        <v>45627.6625</v>
      </c>
      <c r="V626" s="64" t="str">
        <f t="shared" si="6"/>
        <v/>
      </c>
      <c r="W626" s="66"/>
      <c r="X626" s="66">
        <f t="shared" si="7"/>
        <v>506.3214099</v>
      </c>
      <c r="Y626" s="66"/>
      <c r="Z626" s="66"/>
      <c r="AA626" s="66"/>
      <c r="AB626" s="63"/>
      <c r="AC626" s="63"/>
      <c r="AD626" s="63"/>
      <c r="AE626" s="63"/>
      <c r="AF626" s="63"/>
      <c r="AG626" s="63"/>
      <c r="AH626" s="63" t="str">
        <f t="shared" si="14"/>
        <v/>
      </c>
      <c r="AI626" s="63" t="str">
        <f>if(AH626,_xlfn.workday.intl(int(AH626),0,"1000000",Holidays!A:A)+18/24,"")</f>
        <v/>
      </c>
      <c r="AJ626" s="64" t="str">
        <f t="shared" si="24"/>
        <v/>
      </c>
      <c r="AL626" s="66" t="str">
        <f t="shared" si="9"/>
        <v/>
      </c>
      <c r="AM626" s="66"/>
      <c r="AN626" s="63" t="str">
        <f>if(AJ626,if(and(hour(AJ626+AN$5)&gt;11,(hour(AJ626+AN$5)&lt;20)),AJ626+AN$5,_xlfn.workday.intl(int(AJ626),1,"1000000",Holidays!A:A)+hour(AJ626+AN$5-$B$1)/24+minute(AJ626)/1440),"")</f>
        <v/>
      </c>
      <c r="AO626" s="64" t="str">
        <f t="shared" si="15"/>
        <v/>
      </c>
      <c r="AQ626" s="66" t="str">
        <f t="shared" si="16"/>
        <v/>
      </c>
      <c r="AR626" s="66"/>
      <c r="AS626" s="63" t="str">
        <f>if(AJ626,if(and(hour(AJ626+AS$5)&gt;11,(hour(AJ626+AS$5)&lt;20)),AJ626+AS$5,_xlfn.workday.intl(int(AJ626),1,"1000000",Holidays!A:A)+hour(AJ626+AS$5-$B$1)/24+minute(AJ626)/1440),"")</f>
        <v/>
      </c>
      <c r="AT626" s="64" t="str">
        <f t="shared" si="21"/>
        <v/>
      </c>
      <c r="AV626" s="66" t="str">
        <f t="shared" si="25"/>
        <v/>
      </c>
      <c r="AW626" s="66"/>
      <c r="AX626" s="56"/>
    </row>
    <row r="627">
      <c r="A627" s="55">
        <v>45626.77135793981</v>
      </c>
      <c r="B627" s="56"/>
      <c r="C627" s="57"/>
      <c r="D627" s="57"/>
      <c r="E627" s="57"/>
      <c r="F627" s="57"/>
      <c r="G627" s="58">
        <f>if(A627,_xlfn.workday.intl(int(A627),1,"1000000",Holidays!A:A)+17/24,"")</f>
        <v>45627.70833</v>
      </c>
      <c r="H627" s="59" t="str">
        <f t="shared" si="23"/>
        <v/>
      </c>
      <c r="I627" s="60"/>
      <c r="J627" s="61">
        <f t="shared" si="2"/>
        <v>506.2755766</v>
      </c>
      <c r="K627" s="58">
        <f>if(G627,_xlfn.workday.intl(int(G627),0,"1000000",Holidays!A:A)+19/24,"")</f>
        <v>45627.79167</v>
      </c>
      <c r="L627" s="59" t="str">
        <f t="shared" si="3"/>
        <v/>
      </c>
      <c r="M627" s="60"/>
      <c r="N627" s="61">
        <f t="shared" si="4"/>
        <v>506.1922432</v>
      </c>
      <c r="O627" s="63">
        <f>if(A627,_xlfn.WORKDAY.INTL(A627,O$5,"1000000",Holidays!A:A)+hour(A627)/24+MINUTE(A627)/1440,"")</f>
        <v>45627.77083</v>
      </c>
      <c r="P627" s="64" t="s">
        <v>2718</v>
      </c>
      <c r="R627" s="66">
        <f t="shared" si="5"/>
        <v>506.2130766</v>
      </c>
      <c r="S627" s="66"/>
      <c r="T627" s="66"/>
      <c r="U627" s="64">
        <f>if(O627,_xlfn.WORKDAY.INTL(O627,U$5,"1000000",Holidays!A:A)+hour(O627)/24+MINUTE(O627)/1440,"")</f>
        <v>45629.77083</v>
      </c>
      <c r="V627" s="64" t="str">
        <f t="shared" si="6"/>
        <v/>
      </c>
      <c r="W627" s="66"/>
      <c r="X627" s="66">
        <f t="shared" si="7"/>
        <v>504.2130766</v>
      </c>
      <c r="Y627" s="66"/>
      <c r="Z627" s="66"/>
      <c r="AA627" s="66"/>
      <c r="AB627" s="63"/>
      <c r="AC627" s="63"/>
      <c r="AD627" s="63"/>
      <c r="AE627" s="63"/>
      <c r="AF627" s="63"/>
      <c r="AG627" s="63"/>
      <c r="AH627" s="63" t="str">
        <f t="shared" si="14"/>
        <v/>
      </c>
      <c r="AI627" s="63" t="str">
        <f>if(AH627,_xlfn.workday.intl(int(AH627),0,"1000000",Holidays!A:A)+18/24,"")</f>
        <v/>
      </c>
      <c r="AJ627" s="64" t="str">
        <f t="shared" si="24"/>
        <v/>
      </c>
      <c r="AL627" s="66" t="str">
        <f t="shared" si="9"/>
        <v/>
      </c>
      <c r="AM627" s="66"/>
      <c r="AN627" s="63" t="str">
        <f>if(AJ627,if(and(hour(AJ627+AN$5)&gt;11,(hour(AJ627+AN$5)&lt;20)),AJ627+AN$5,_xlfn.workday.intl(int(AJ627),1,"1000000",Holidays!A:A)+hour(AJ627+AN$5-$B$1)/24+minute(AJ627)/1440),"")</f>
        <v/>
      </c>
      <c r="AO627" s="64" t="str">
        <f t="shared" si="15"/>
        <v/>
      </c>
      <c r="AQ627" s="66" t="str">
        <f t="shared" si="16"/>
        <v/>
      </c>
      <c r="AR627" s="66"/>
      <c r="AS627" s="63" t="str">
        <f>if(AJ627,if(and(hour(AJ627+AS$5)&gt;11,(hour(AJ627+AS$5)&lt;20)),AJ627+AS$5,_xlfn.workday.intl(int(AJ627),1,"1000000",Holidays!A:A)+hour(AJ627+AS$5-$B$1)/24+minute(AJ627)/1440),"")</f>
        <v/>
      </c>
      <c r="AT627" s="64" t="str">
        <f t="shared" si="21"/>
        <v/>
      </c>
      <c r="AV627" s="66" t="str">
        <f t="shared" si="25"/>
        <v/>
      </c>
      <c r="AW627" s="66"/>
      <c r="AX627" s="56"/>
    </row>
    <row r="628">
      <c r="A628" s="55">
        <v>45630.67738761574</v>
      </c>
      <c r="B628" s="56"/>
      <c r="C628" s="57"/>
      <c r="D628" s="57"/>
      <c r="E628" s="57"/>
      <c r="F628" s="57"/>
      <c r="G628" s="58">
        <f>if(A628,_xlfn.workday.intl(int(A628),1,"1000000",Holidays!A:A)+17/24,"")</f>
        <v>45631.70833</v>
      </c>
      <c r="H628" s="59" t="str">
        <f t="shared" si="23"/>
        <v/>
      </c>
      <c r="I628" s="60"/>
      <c r="J628" s="61">
        <f t="shared" si="2"/>
        <v>502.2755766</v>
      </c>
      <c r="K628" s="58">
        <f>if(G628,_xlfn.workday.intl(int(G628),0,"1000000",Holidays!A:A)+19/24,"")</f>
        <v>45631.79167</v>
      </c>
      <c r="L628" s="59" t="str">
        <f t="shared" si="3"/>
        <v/>
      </c>
      <c r="M628" s="60"/>
      <c r="N628" s="61">
        <f t="shared" si="4"/>
        <v>502.1922432</v>
      </c>
      <c r="O628" s="63">
        <f>if(A628,_xlfn.WORKDAY.INTL(A628,O$5,"1000000",Holidays!A:A)+hour(A628)/24+MINUTE(A628)/1440,"")</f>
        <v>45631.67708</v>
      </c>
      <c r="P628" s="64" t="s">
        <v>2718</v>
      </c>
      <c r="R628" s="66">
        <f t="shared" si="5"/>
        <v>502.3068266</v>
      </c>
      <c r="S628" s="66"/>
      <c r="T628" s="66"/>
      <c r="U628" s="64">
        <f>if(O628,_xlfn.WORKDAY.INTL(O628,U$5,"1000000",Holidays!A:A)+hour(O628)/24+MINUTE(O628)/1440,"")</f>
        <v>45632.67708</v>
      </c>
      <c r="V628" s="64" t="str">
        <f t="shared" si="6"/>
        <v/>
      </c>
      <c r="W628" s="66"/>
      <c r="X628" s="66">
        <f t="shared" si="7"/>
        <v>501.3068266</v>
      </c>
      <c r="Y628" s="66"/>
      <c r="Z628" s="66"/>
      <c r="AA628" s="66"/>
      <c r="AB628" s="63"/>
      <c r="AC628" s="63"/>
      <c r="AD628" s="63"/>
      <c r="AE628" s="63"/>
      <c r="AF628" s="63"/>
      <c r="AG628" s="63"/>
      <c r="AH628" s="63" t="str">
        <f t="shared" si="14"/>
        <v/>
      </c>
      <c r="AI628" s="63" t="str">
        <f>if(AH628,_xlfn.workday.intl(int(AH628),0,"1000000",Holidays!A:A)+18/24,"")</f>
        <v/>
      </c>
      <c r="AJ628" s="64" t="str">
        <f t="shared" si="24"/>
        <v/>
      </c>
      <c r="AL628" s="66" t="str">
        <f t="shared" si="9"/>
        <v/>
      </c>
      <c r="AM628" s="66"/>
      <c r="AN628" s="63" t="str">
        <f>if(AJ628,if(and(hour(AJ628+AN$5)&gt;11,(hour(AJ628+AN$5)&lt;20)),AJ628+AN$5,_xlfn.workday.intl(int(AJ628),1,"1000000",Holidays!A:A)+hour(AJ628+AN$5-$B$1)/24+minute(AJ628)/1440),"")</f>
        <v/>
      </c>
      <c r="AO628" s="64" t="str">
        <f t="shared" si="15"/>
        <v/>
      </c>
      <c r="AQ628" s="66" t="str">
        <f t="shared" si="16"/>
        <v/>
      </c>
      <c r="AR628" s="66"/>
      <c r="AS628" s="63" t="str">
        <f>if(AJ628,if(and(hour(AJ628+AS$5)&gt;11,(hour(AJ628+AS$5)&lt;20)),AJ628+AS$5,_xlfn.workday.intl(int(AJ628),1,"1000000",Holidays!A:A)+hour(AJ628+AS$5-$B$1)/24+minute(AJ628)/1440),"")</f>
        <v/>
      </c>
      <c r="AT628" s="64" t="str">
        <f t="shared" si="21"/>
        <v/>
      </c>
      <c r="AV628" s="66" t="str">
        <f t="shared" si="25"/>
        <v/>
      </c>
      <c r="AW628" s="66"/>
      <c r="AX628" s="56"/>
    </row>
    <row r="629">
      <c r="A629" s="55">
        <v>45630.68613288194</v>
      </c>
      <c r="B629" s="56"/>
      <c r="C629" s="57"/>
      <c r="D629" s="57"/>
      <c r="E629" s="57"/>
      <c r="F629" s="57"/>
      <c r="G629" s="58">
        <f>if(A629,_xlfn.workday.intl(int(A629),1,"1000000",Holidays!A:A)+17/24,"")</f>
        <v>45631.70833</v>
      </c>
      <c r="H629" s="59" t="str">
        <f t="shared" si="23"/>
        <v/>
      </c>
      <c r="I629" s="60"/>
      <c r="J629" s="61">
        <f t="shared" si="2"/>
        <v>502.2755766</v>
      </c>
      <c r="K629" s="58">
        <f>if(G629,_xlfn.workday.intl(int(G629),0,"1000000",Holidays!A:A)+19/24,"")</f>
        <v>45631.79167</v>
      </c>
      <c r="L629" s="59" t="str">
        <f t="shared" si="3"/>
        <v/>
      </c>
      <c r="M629" s="60"/>
      <c r="N629" s="61">
        <f t="shared" si="4"/>
        <v>502.1922432</v>
      </c>
      <c r="O629" s="63">
        <f>if(A629,_xlfn.WORKDAY.INTL(A629,O$5,"1000000",Holidays!A:A)+hour(A629)/24+MINUTE(A629)/1440,"")</f>
        <v>45631.68611</v>
      </c>
      <c r="P629" s="64" t="s">
        <v>2718</v>
      </c>
      <c r="R629" s="66">
        <f t="shared" si="5"/>
        <v>502.2977988</v>
      </c>
      <c r="S629" s="66"/>
      <c r="T629" s="66"/>
      <c r="U629" s="64">
        <f>if(O629,_xlfn.WORKDAY.INTL(O629,U$5,"1000000",Holidays!A:A)+hour(O629)/24+MINUTE(O629)/1440,"")</f>
        <v>45632.68611</v>
      </c>
      <c r="V629" s="64" t="str">
        <f t="shared" si="6"/>
        <v/>
      </c>
      <c r="W629" s="66"/>
      <c r="X629" s="66">
        <f t="shared" si="7"/>
        <v>501.2977988</v>
      </c>
      <c r="Y629" s="66"/>
      <c r="Z629" s="66"/>
      <c r="AA629" s="66"/>
      <c r="AB629" s="63"/>
      <c r="AC629" s="63"/>
      <c r="AD629" s="63"/>
      <c r="AE629" s="63"/>
      <c r="AF629" s="63"/>
      <c r="AG629" s="63"/>
      <c r="AH629" s="63" t="str">
        <f t="shared" si="14"/>
        <v/>
      </c>
      <c r="AI629" s="63" t="str">
        <f>if(AH629,_xlfn.workday.intl(int(AH629),0,"1000000",Holidays!A:A)+18/24,"")</f>
        <v/>
      </c>
      <c r="AJ629" s="64" t="str">
        <f t="shared" si="24"/>
        <v/>
      </c>
      <c r="AL629" s="66" t="str">
        <f t="shared" si="9"/>
        <v/>
      </c>
      <c r="AM629" s="66"/>
      <c r="AN629" s="63" t="str">
        <f>if(AJ629,if(and(hour(AJ629+AN$5)&gt;11,(hour(AJ629+AN$5)&lt;20)),AJ629+AN$5,_xlfn.workday.intl(int(AJ629),1,"1000000",Holidays!A:A)+hour(AJ629+AN$5-$B$1)/24+minute(AJ629)/1440),"")</f>
        <v/>
      </c>
      <c r="AO629" s="64" t="str">
        <f t="shared" si="15"/>
        <v/>
      </c>
      <c r="AQ629" s="66" t="str">
        <f t="shared" si="16"/>
        <v/>
      </c>
      <c r="AR629" s="66"/>
      <c r="AS629" s="63" t="str">
        <f>if(AJ629,if(and(hour(AJ629+AS$5)&gt;11,(hour(AJ629+AS$5)&lt;20)),AJ629+AS$5,_xlfn.workday.intl(int(AJ629),1,"1000000",Holidays!A:A)+hour(AJ629+AS$5-$B$1)/24+minute(AJ629)/1440),"")</f>
        <v/>
      </c>
      <c r="AT629" s="64" t="str">
        <f t="shared" si="21"/>
        <v/>
      </c>
      <c r="AV629" s="66" t="str">
        <f t="shared" si="25"/>
        <v/>
      </c>
      <c r="AW629" s="66"/>
      <c r="AX629" s="56"/>
    </row>
    <row r="630">
      <c r="A630" s="55">
        <v>45630.690677997685</v>
      </c>
      <c r="B630" s="56"/>
      <c r="C630" s="57"/>
      <c r="D630" s="57"/>
      <c r="E630" s="57"/>
      <c r="F630" s="57"/>
      <c r="G630" s="58">
        <f>if(A630,_xlfn.workday.intl(int(A630),1,"1000000",Holidays!A:A)+17/24,"")</f>
        <v>45631.70833</v>
      </c>
      <c r="H630" s="59" t="str">
        <f t="shared" si="23"/>
        <v/>
      </c>
      <c r="I630" s="60"/>
      <c r="J630" s="61">
        <f t="shared" si="2"/>
        <v>502.2755766</v>
      </c>
      <c r="K630" s="58">
        <f>if(G630,_xlfn.workday.intl(int(G630),0,"1000000",Holidays!A:A)+19/24,"")</f>
        <v>45631.79167</v>
      </c>
      <c r="L630" s="59" t="str">
        <f t="shared" si="3"/>
        <v/>
      </c>
      <c r="M630" s="60"/>
      <c r="N630" s="61">
        <f t="shared" si="4"/>
        <v>502.1922432</v>
      </c>
      <c r="O630" s="63">
        <f>if(A630,_xlfn.WORKDAY.INTL(A630,O$5,"1000000",Holidays!A:A)+hour(A630)/24+MINUTE(A630)/1440,"")</f>
        <v>45631.69028</v>
      </c>
      <c r="P630" s="64" t="s">
        <v>2718</v>
      </c>
      <c r="R630" s="66">
        <f t="shared" si="5"/>
        <v>502.2936321</v>
      </c>
      <c r="S630" s="66"/>
      <c r="T630" s="66"/>
      <c r="U630" s="64">
        <f>if(O630,_xlfn.WORKDAY.INTL(O630,U$5,"1000000",Holidays!A:A)+hour(O630)/24+MINUTE(O630)/1440,"")</f>
        <v>45632.69028</v>
      </c>
      <c r="V630" s="64" t="str">
        <f t="shared" si="6"/>
        <v/>
      </c>
      <c r="W630" s="66"/>
      <c r="X630" s="66">
        <f t="shared" si="7"/>
        <v>501.2936321</v>
      </c>
      <c r="Y630" s="66"/>
      <c r="Z630" s="66"/>
      <c r="AA630" s="66"/>
      <c r="AB630" s="63"/>
      <c r="AC630" s="63"/>
      <c r="AD630" s="63"/>
      <c r="AE630" s="63"/>
      <c r="AF630" s="63"/>
      <c r="AG630" s="63"/>
      <c r="AH630" s="63" t="str">
        <f t="shared" si="14"/>
        <v/>
      </c>
      <c r="AI630" s="63" t="str">
        <f>if(AH630,_xlfn.workday.intl(int(AH630),0,"1000000",Holidays!A:A)+18/24,"")</f>
        <v/>
      </c>
      <c r="AJ630" s="64" t="str">
        <f t="shared" si="24"/>
        <v/>
      </c>
      <c r="AL630" s="66" t="str">
        <f t="shared" si="9"/>
        <v/>
      </c>
      <c r="AM630" s="66"/>
      <c r="AN630" s="63" t="str">
        <f>if(AJ630,if(and(hour(AJ630+AN$5)&gt;11,(hour(AJ630+AN$5)&lt;20)),AJ630+AN$5,_xlfn.workday.intl(int(AJ630),1,"1000000",Holidays!A:A)+hour(AJ630+AN$5-$B$1)/24+minute(AJ630)/1440),"")</f>
        <v/>
      </c>
      <c r="AO630" s="64" t="str">
        <f t="shared" si="15"/>
        <v/>
      </c>
      <c r="AQ630" s="66" t="str">
        <f t="shared" si="16"/>
        <v/>
      </c>
      <c r="AR630" s="66"/>
      <c r="AS630" s="63" t="str">
        <f>if(AJ630,if(and(hour(AJ630+AS$5)&gt;11,(hour(AJ630+AS$5)&lt;20)),AJ630+AS$5,_xlfn.workday.intl(int(AJ630),1,"1000000",Holidays!A:A)+hour(AJ630+AS$5-$B$1)/24+minute(AJ630)/1440),"")</f>
        <v/>
      </c>
      <c r="AT630" s="64" t="str">
        <f t="shared" si="21"/>
        <v/>
      </c>
      <c r="AV630" s="66" t="str">
        <f t="shared" si="25"/>
        <v/>
      </c>
      <c r="AW630" s="66"/>
      <c r="AX630" s="56"/>
    </row>
    <row r="631">
      <c r="A631" s="55">
        <v>45630.69297643518</v>
      </c>
      <c r="B631" s="56"/>
      <c r="C631" s="57"/>
      <c r="D631" s="57"/>
      <c r="E631" s="57"/>
      <c r="F631" s="57"/>
      <c r="G631" s="58">
        <f>if(A631,_xlfn.workday.intl(int(A631),1,"1000000",Holidays!A:A)+17/24,"")</f>
        <v>45631.70833</v>
      </c>
      <c r="H631" s="59" t="str">
        <f t="shared" si="23"/>
        <v/>
      </c>
      <c r="I631" s="60"/>
      <c r="J631" s="61">
        <f t="shared" si="2"/>
        <v>502.2755766</v>
      </c>
      <c r="K631" s="58">
        <f>if(G631,_xlfn.workday.intl(int(G631),0,"1000000",Holidays!A:A)+19/24,"")</f>
        <v>45631.79167</v>
      </c>
      <c r="L631" s="59" t="str">
        <f t="shared" si="3"/>
        <v/>
      </c>
      <c r="M631" s="60"/>
      <c r="N631" s="61">
        <f t="shared" si="4"/>
        <v>502.1922432</v>
      </c>
      <c r="O631" s="63">
        <f>if(A631,_xlfn.WORKDAY.INTL(A631,O$5,"1000000",Holidays!A:A)+hour(A631)/24+MINUTE(A631)/1440,"")</f>
        <v>45631.69236</v>
      </c>
      <c r="P631" s="64" t="s">
        <v>2718</v>
      </c>
      <c r="R631" s="66">
        <f t="shared" si="5"/>
        <v>502.2915488</v>
      </c>
      <c r="S631" s="66"/>
      <c r="T631" s="66"/>
      <c r="U631" s="64">
        <f>if(O631,_xlfn.WORKDAY.INTL(O631,U$5,"1000000",Holidays!A:A)+hour(O631)/24+MINUTE(O631)/1440,"")</f>
        <v>45632.69236</v>
      </c>
      <c r="V631" s="64" t="str">
        <f t="shared" si="6"/>
        <v/>
      </c>
      <c r="W631" s="66"/>
      <c r="X631" s="66">
        <f t="shared" si="7"/>
        <v>501.2915488</v>
      </c>
      <c r="Y631" s="66"/>
      <c r="Z631" s="66"/>
      <c r="AA631" s="66"/>
      <c r="AB631" s="63"/>
      <c r="AC631" s="63"/>
      <c r="AD631" s="63"/>
      <c r="AE631" s="63"/>
      <c r="AF631" s="63"/>
      <c r="AG631" s="63"/>
      <c r="AH631" s="63" t="str">
        <f t="shared" si="14"/>
        <v/>
      </c>
      <c r="AI631" s="63" t="str">
        <f>if(AH631,_xlfn.workday.intl(int(AH631),0,"1000000",Holidays!A:A)+18/24,"")</f>
        <v/>
      </c>
      <c r="AJ631" s="64" t="str">
        <f t="shared" si="24"/>
        <v/>
      </c>
      <c r="AL631" s="66" t="str">
        <f t="shared" si="9"/>
        <v/>
      </c>
      <c r="AM631" s="66"/>
      <c r="AN631" s="63" t="str">
        <f>if(AJ631,if(and(hour(AJ631+AN$5)&gt;11,(hour(AJ631+AN$5)&lt;20)),AJ631+AN$5,_xlfn.workday.intl(int(AJ631),1,"1000000",Holidays!A:A)+hour(AJ631+AN$5-$B$1)/24+minute(AJ631)/1440),"")</f>
        <v/>
      </c>
      <c r="AO631" s="64" t="str">
        <f t="shared" si="15"/>
        <v/>
      </c>
      <c r="AQ631" s="66" t="str">
        <f t="shared" si="16"/>
        <v/>
      </c>
      <c r="AR631" s="66"/>
      <c r="AS631" s="63" t="str">
        <f>if(AJ631,if(and(hour(AJ631+AS$5)&gt;11,(hour(AJ631+AS$5)&lt;20)),AJ631+AS$5,_xlfn.workday.intl(int(AJ631),1,"1000000",Holidays!A:A)+hour(AJ631+AS$5-$B$1)/24+minute(AJ631)/1440),"")</f>
        <v/>
      </c>
      <c r="AT631" s="64" t="str">
        <f t="shared" si="21"/>
        <v/>
      </c>
      <c r="AV631" s="66" t="str">
        <f t="shared" si="25"/>
        <v/>
      </c>
      <c r="AW631" s="66"/>
      <c r="AX631" s="56"/>
    </row>
    <row r="632">
      <c r="A632" s="55">
        <v>45630.69673940972</v>
      </c>
      <c r="B632" s="56"/>
      <c r="C632" s="57"/>
      <c r="D632" s="57"/>
      <c r="E632" s="57"/>
      <c r="F632" s="57"/>
      <c r="G632" s="58">
        <f>if(A632,_xlfn.workday.intl(int(A632),1,"1000000",Holidays!A:A)+17/24,"")</f>
        <v>45631.70833</v>
      </c>
      <c r="H632" s="59" t="str">
        <f t="shared" si="23"/>
        <v/>
      </c>
      <c r="I632" s="60"/>
      <c r="J632" s="61">
        <f t="shared" si="2"/>
        <v>502.2755766</v>
      </c>
      <c r="K632" s="58">
        <f>if(G632,_xlfn.workday.intl(int(G632),0,"1000000",Holidays!A:A)+19/24,"")</f>
        <v>45631.79167</v>
      </c>
      <c r="L632" s="59" t="str">
        <f t="shared" si="3"/>
        <v/>
      </c>
      <c r="M632" s="60"/>
      <c r="N632" s="61">
        <f t="shared" si="4"/>
        <v>502.1922432</v>
      </c>
      <c r="O632" s="63">
        <f>if(A632,_xlfn.WORKDAY.INTL(A632,O$5,"1000000",Holidays!A:A)+hour(A632)/24+MINUTE(A632)/1440,"")</f>
        <v>45631.69653</v>
      </c>
      <c r="P632" s="64" t="s">
        <v>2718</v>
      </c>
      <c r="R632" s="66">
        <f t="shared" si="5"/>
        <v>502.2873821</v>
      </c>
      <c r="S632" s="66"/>
      <c r="T632" s="66"/>
      <c r="U632" s="64">
        <f>if(O632,_xlfn.WORKDAY.INTL(O632,U$5,"1000000",Holidays!A:A)+hour(O632)/24+MINUTE(O632)/1440,"")</f>
        <v>45632.69653</v>
      </c>
      <c r="V632" s="64" t="str">
        <f t="shared" si="6"/>
        <v/>
      </c>
      <c r="W632" s="66"/>
      <c r="X632" s="66">
        <f t="shared" si="7"/>
        <v>501.2873821</v>
      </c>
      <c r="Y632" s="66"/>
      <c r="Z632" s="66"/>
      <c r="AA632" s="66"/>
      <c r="AB632" s="63"/>
      <c r="AC632" s="63"/>
      <c r="AD632" s="63"/>
      <c r="AE632" s="63"/>
      <c r="AF632" s="63"/>
      <c r="AG632" s="63"/>
      <c r="AH632" s="63" t="str">
        <f t="shared" si="14"/>
        <v/>
      </c>
      <c r="AI632" s="63" t="str">
        <f>if(AH632,_xlfn.workday.intl(int(AH632),0,"1000000",Holidays!A:A)+18/24,"")</f>
        <v/>
      </c>
      <c r="AJ632" s="64" t="str">
        <f t="shared" si="24"/>
        <v/>
      </c>
      <c r="AL632" s="66" t="str">
        <f t="shared" si="9"/>
        <v/>
      </c>
      <c r="AM632" s="66"/>
      <c r="AN632" s="63" t="str">
        <f>if(AJ632,if(and(hour(AJ632+AN$5)&gt;11,(hour(AJ632+AN$5)&lt;20)),AJ632+AN$5,_xlfn.workday.intl(int(AJ632),1,"1000000",Holidays!A:A)+hour(AJ632+AN$5-$B$1)/24+minute(AJ632)/1440),"")</f>
        <v/>
      </c>
      <c r="AO632" s="64" t="str">
        <f t="shared" si="15"/>
        <v/>
      </c>
      <c r="AQ632" s="66" t="str">
        <f t="shared" si="16"/>
        <v/>
      </c>
      <c r="AR632" s="66"/>
      <c r="AS632" s="63" t="str">
        <f>if(AJ632,if(and(hour(AJ632+AS$5)&gt;11,(hour(AJ632+AS$5)&lt;20)),AJ632+AS$5,_xlfn.workday.intl(int(AJ632),1,"1000000",Holidays!A:A)+hour(AJ632+AS$5-$B$1)/24+minute(AJ632)/1440),"")</f>
        <v/>
      </c>
      <c r="AT632" s="64" t="str">
        <f t="shared" si="21"/>
        <v/>
      </c>
      <c r="AV632" s="66" t="str">
        <f t="shared" si="25"/>
        <v/>
      </c>
      <c r="AW632" s="66"/>
      <c r="AX632" s="56"/>
    </row>
    <row r="633">
      <c r="A633" s="55">
        <v>45634.801441793985</v>
      </c>
      <c r="B633" s="56"/>
      <c r="C633" s="57"/>
      <c r="D633" s="57"/>
      <c r="E633" s="57"/>
      <c r="F633" s="57"/>
      <c r="G633" s="58">
        <f>if(A633,_xlfn.workday.intl(int(A633),1,"1000000",Holidays!A:A)+17/24,"")</f>
        <v>45636.70833</v>
      </c>
      <c r="H633" s="59" t="str">
        <f t="shared" si="23"/>
        <v/>
      </c>
      <c r="I633" s="60"/>
      <c r="J633" s="61">
        <f t="shared" si="2"/>
        <v>497.2755766</v>
      </c>
      <c r="K633" s="58">
        <f>if(G633,_xlfn.workday.intl(int(G633),0,"1000000",Holidays!A:A)+19/24,"")</f>
        <v>45636.79167</v>
      </c>
      <c r="L633" s="59" t="str">
        <f t="shared" si="3"/>
        <v/>
      </c>
      <c r="M633" s="60"/>
      <c r="N633" s="61">
        <f t="shared" si="4"/>
        <v>497.1922432</v>
      </c>
      <c r="O633" s="63">
        <f>if(A633,_xlfn.WORKDAY.INTL(A633,O$5,"1000000",Holidays!A:A)+hour(A633)/24+MINUTE(A633)/1440,"")</f>
        <v>45636.80139</v>
      </c>
      <c r="P633" s="64" t="s">
        <v>2718</v>
      </c>
      <c r="R633" s="66">
        <f t="shared" si="5"/>
        <v>497.182521</v>
      </c>
      <c r="S633" s="66"/>
      <c r="T633" s="66"/>
      <c r="U633" s="64">
        <f>if(O633,_xlfn.WORKDAY.INTL(O633,U$5,"1000000",Holidays!A:A)+hour(O633)/24+MINUTE(O633)/1440,"")</f>
        <v>45637.80139</v>
      </c>
      <c r="V633" s="64" t="str">
        <f t="shared" si="6"/>
        <v/>
      </c>
      <c r="W633" s="66"/>
      <c r="X633" s="66">
        <f t="shared" si="7"/>
        <v>496.182521</v>
      </c>
      <c r="Y633" s="66"/>
      <c r="Z633" s="66"/>
      <c r="AA633" s="66"/>
      <c r="AB633" s="63"/>
      <c r="AC633" s="63"/>
      <c r="AD633" s="63"/>
      <c r="AE633" s="63"/>
      <c r="AF633" s="63"/>
      <c r="AG633" s="63"/>
      <c r="AH633" s="63" t="str">
        <f t="shared" si="14"/>
        <v/>
      </c>
      <c r="AI633" s="63" t="str">
        <f>if(AH633,_xlfn.workday.intl(int(AH633),0,"1000000",Holidays!A:A)+18/24,"")</f>
        <v/>
      </c>
      <c r="AJ633" s="64" t="str">
        <f t="shared" si="24"/>
        <v/>
      </c>
      <c r="AL633" s="66" t="str">
        <f t="shared" si="9"/>
        <v/>
      </c>
      <c r="AM633" s="66"/>
      <c r="AN633" s="63" t="str">
        <f>if(AJ633,if(and(hour(AJ633+AN$5)&gt;11,(hour(AJ633+AN$5)&lt;20)),AJ633+AN$5,_xlfn.workday.intl(int(AJ633),1,"1000000",Holidays!A:A)+hour(AJ633+AN$5-$B$1)/24+minute(AJ633)/1440),"")</f>
        <v/>
      </c>
      <c r="AO633" s="64" t="str">
        <f t="shared" si="15"/>
        <v/>
      </c>
      <c r="AQ633" s="66" t="str">
        <f t="shared" si="16"/>
        <v/>
      </c>
      <c r="AR633" s="66"/>
      <c r="AS633" s="63" t="str">
        <f>if(AJ633,if(and(hour(AJ633+AS$5)&gt;11,(hour(AJ633+AS$5)&lt;20)),AJ633+AS$5,_xlfn.workday.intl(int(AJ633),1,"1000000",Holidays!A:A)+hour(AJ633+AS$5-$B$1)/24+minute(AJ633)/1440),"")</f>
        <v/>
      </c>
      <c r="AT633" s="64" t="str">
        <f t="shared" si="21"/>
        <v/>
      </c>
      <c r="AV633" s="66" t="str">
        <f t="shared" si="25"/>
        <v/>
      </c>
      <c r="AW633" s="66"/>
      <c r="AX633" s="56"/>
    </row>
    <row r="634">
      <c r="A634" s="55">
        <v>45636.66005820602</v>
      </c>
      <c r="B634" s="56"/>
      <c r="C634" s="57"/>
      <c r="D634" s="57"/>
      <c r="E634" s="57"/>
      <c r="F634" s="57"/>
      <c r="G634" s="58">
        <f>if(A634,_xlfn.workday.intl(int(A634),1,"1000000",Holidays!A:A)+17/24,"")</f>
        <v>45637.70833</v>
      </c>
      <c r="H634" s="59" t="str">
        <f t="shared" si="23"/>
        <v/>
      </c>
      <c r="I634" s="60"/>
      <c r="J634" s="61">
        <f t="shared" si="2"/>
        <v>496.2755766</v>
      </c>
      <c r="K634" s="58">
        <f>if(G634,_xlfn.workday.intl(int(G634),0,"1000000",Holidays!A:A)+19/24,"")</f>
        <v>45637.79167</v>
      </c>
      <c r="L634" s="59" t="str">
        <f t="shared" si="3"/>
        <v/>
      </c>
      <c r="M634" s="60"/>
      <c r="N634" s="61">
        <f t="shared" si="4"/>
        <v>496.1922432</v>
      </c>
      <c r="O634" s="63">
        <f>if(A634,_xlfn.WORKDAY.INTL(A634,O$5,"1000000",Holidays!A:A)+hour(A634)/24+MINUTE(A634)/1440,"")</f>
        <v>45637.65972</v>
      </c>
      <c r="P634" s="64" t="s">
        <v>2718</v>
      </c>
      <c r="R634" s="66">
        <f t="shared" si="5"/>
        <v>496.3241877</v>
      </c>
      <c r="S634" s="66"/>
      <c r="T634" s="66"/>
      <c r="U634" s="64">
        <f>if(O634,_xlfn.WORKDAY.INTL(O634,U$5,"1000000",Holidays!A:A)+hour(O634)/24+MINUTE(O634)/1440,"")</f>
        <v>45638.65972</v>
      </c>
      <c r="V634" s="64" t="str">
        <f t="shared" si="6"/>
        <v/>
      </c>
      <c r="W634" s="66"/>
      <c r="X634" s="66">
        <f t="shared" si="7"/>
        <v>495.3241877</v>
      </c>
      <c r="Y634" s="66"/>
      <c r="Z634" s="66"/>
      <c r="AA634" s="66"/>
      <c r="AB634" s="63"/>
      <c r="AC634" s="63"/>
      <c r="AD634" s="63"/>
      <c r="AE634" s="63"/>
      <c r="AF634" s="63"/>
      <c r="AG634" s="63"/>
      <c r="AH634" s="63" t="str">
        <f t="shared" si="14"/>
        <v/>
      </c>
      <c r="AI634" s="63" t="str">
        <f>if(AH634,_xlfn.workday.intl(int(AH634),0,"1000000",Holidays!A:A)+18/24,"")</f>
        <v/>
      </c>
      <c r="AJ634" s="64" t="str">
        <f t="shared" si="24"/>
        <v/>
      </c>
      <c r="AL634" s="66" t="str">
        <f t="shared" si="9"/>
        <v/>
      </c>
      <c r="AM634" s="66"/>
      <c r="AN634" s="63" t="str">
        <f>if(AJ634,if(and(hour(AJ634+AN$5)&gt;11,(hour(AJ634+AN$5)&lt;20)),AJ634+AN$5,_xlfn.workday.intl(int(AJ634),1,"1000000",Holidays!A:A)+hour(AJ634+AN$5-$B$1)/24+minute(AJ634)/1440),"")</f>
        <v/>
      </c>
      <c r="AO634" s="64" t="str">
        <f t="shared" si="15"/>
        <v/>
      </c>
      <c r="AQ634" s="66" t="str">
        <f t="shared" si="16"/>
        <v/>
      </c>
      <c r="AR634" s="66"/>
      <c r="AS634" s="63" t="str">
        <f>if(AJ634,if(and(hour(AJ634+AS$5)&gt;11,(hour(AJ634+AS$5)&lt;20)),AJ634+AS$5,_xlfn.workday.intl(int(AJ634),1,"1000000",Holidays!A:A)+hour(AJ634+AS$5-$B$1)/24+minute(AJ634)/1440),"")</f>
        <v/>
      </c>
      <c r="AT634" s="64" t="str">
        <f t="shared" si="21"/>
        <v/>
      </c>
      <c r="AV634" s="66" t="str">
        <f t="shared" si="25"/>
        <v/>
      </c>
      <c r="AW634" s="66"/>
      <c r="AX634" s="56"/>
    </row>
    <row r="635">
      <c r="A635" s="55">
        <v>45636.66197480324</v>
      </c>
      <c r="B635" s="56"/>
      <c r="C635" s="57"/>
      <c r="D635" s="57"/>
      <c r="E635" s="57"/>
      <c r="F635" s="57"/>
      <c r="G635" s="58">
        <f>if(A635,_xlfn.workday.intl(int(A635),1,"1000000",Holidays!A:A)+17/24,"")</f>
        <v>45637.70833</v>
      </c>
      <c r="H635" s="59" t="str">
        <f t="shared" si="23"/>
        <v/>
      </c>
      <c r="I635" s="60"/>
      <c r="J635" s="61">
        <f t="shared" si="2"/>
        <v>496.2755766</v>
      </c>
      <c r="K635" s="58">
        <f>if(G635,_xlfn.workday.intl(int(G635),0,"1000000",Holidays!A:A)+19/24,"")</f>
        <v>45637.79167</v>
      </c>
      <c r="L635" s="59" t="str">
        <f t="shared" si="3"/>
        <v/>
      </c>
      <c r="M635" s="60"/>
      <c r="N635" s="61">
        <f t="shared" si="4"/>
        <v>496.1922432</v>
      </c>
      <c r="O635" s="63">
        <f>if(A635,_xlfn.WORKDAY.INTL(A635,O$5,"1000000",Holidays!A:A)+hour(A635)/24+MINUTE(A635)/1440,"")</f>
        <v>45637.66181</v>
      </c>
      <c r="P635" s="64" t="s">
        <v>2718</v>
      </c>
      <c r="R635" s="66">
        <f t="shared" si="5"/>
        <v>496.3221043</v>
      </c>
      <c r="S635" s="66"/>
      <c r="T635" s="66"/>
      <c r="U635" s="64">
        <f>if(O635,_xlfn.WORKDAY.INTL(O635,U$5,"1000000",Holidays!A:A)+hour(O635)/24+MINUTE(O635)/1440,"")</f>
        <v>45638.66181</v>
      </c>
      <c r="V635" s="64" t="str">
        <f t="shared" si="6"/>
        <v/>
      </c>
      <c r="W635" s="66"/>
      <c r="X635" s="66">
        <f t="shared" si="7"/>
        <v>495.3221043</v>
      </c>
      <c r="Y635" s="66"/>
      <c r="Z635" s="66"/>
      <c r="AA635" s="66"/>
      <c r="AB635" s="63"/>
      <c r="AC635" s="63"/>
      <c r="AD635" s="63"/>
      <c r="AE635" s="63"/>
      <c r="AF635" s="63"/>
      <c r="AG635" s="63"/>
      <c r="AH635" s="63" t="str">
        <f t="shared" si="14"/>
        <v/>
      </c>
      <c r="AI635" s="63" t="str">
        <f>if(AH635,_xlfn.workday.intl(int(AH635),0,"1000000",Holidays!A:A)+18/24,"")</f>
        <v/>
      </c>
      <c r="AJ635" s="64" t="str">
        <f t="shared" si="24"/>
        <v/>
      </c>
      <c r="AL635" s="66" t="str">
        <f t="shared" si="9"/>
        <v/>
      </c>
      <c r="AM635" s="66"/>
      <c r="AN635" s="63" t="str">
        <f>if(AJ635,if(and(hour(AJ635+AN$5)&gt;11,(hour(AJ635+AN$5)&lt;20)),AJ635+AN$5,_xlfn.workday.intl(int(AJ635),1,"1000000",Holidays!A:A)+hour(AJ635+AN$5-$B$1)/24+minute(AJ635)/1440),"")</f>
        <v/>
      </c>
      <c r="AO635" s="64" t="str">
        <f t="shared" si="15"/>
        <v/>
      </c>
      <c r="AQ635" s="66" t="str">
        <f t="shared" si="16"/>
        <v/>
      </c>
      <c r="AR635" s="66"/>
      <c r="AS635" s="63" t="str">
        <f>if(AJ635,if(and(hour(AJ635+AS$5)&gt;11,(hour(AJ635+AS$5)&lt;20)),AJ635+AS$5,_xlfn.workday.intl(int(AJ635),1,"1000000",Holidays!A:A)+hour(AJ635+AS$5-$B$1)/24+minute(AJ635)/1440),"")</f>
        <v/>
      </c>
      <c r="AT635" s="64" t="str">
        <f t="shared" si="21"/>
        <v/>
      </c>
      <c r="AV635" s="66" t="str">
        <f t="shared" si="25"/>
        <v/>
      </c>
      <c r="AW635" s="66"/>
      <c r="AX635" s="56"/>
    </row>
    <row r="636">
      <c r="A636" s="55">
        <v>45636.663293425925</v>
      </c>
      <c r="B636" s="56"/>
      <c r="C636" s="57"/>
      <c r="D636" s="57"/>
      <c r="E636" s="57"/>
      <c r="F636" s="57"/>
      <c r="G636" s="58">
        <f>if(A636,_xlfn.workday.intl(int(A636),1,"1000000",Holidays!A:A)+17/24,"")</f>
        <v>45637.70833</v>
      </c>
      <c r="H636" s="59" t="str">
        <f t="shared" si="23"/>
        <v/>
      </c>
      <c r="I636" s="60"/>
      <c r="J636" s="61">
        <f t="shared" si="2"/>
        <v>496.2755766</v>
      </c>
      <c r="K636" s="58">
        <f>if(G636,_xlfn.workday.intl(int(G636),0,"1000000",Holidays!A:A)+19/24,"")</f>
        <v>45637.79167</v>
      </c>
      <c r="L636" s="59" t="str">
        <f t="shared" si="3"/>
        <v/>
      </c>
      <c r="M636" s="60"/>
      <c r="N636" s="61">
        <f t="shared" si="4"/>
        <v>496.1922432</v>
      </c>
      <c r="O636" s="63">
        <f>if(A636,_xlfn.WORKDAY.INTL(A636,O$5,"1000000",Holidays!A:A)+hour(A636)/24+MINUTE(A636)/1440,"")</f>
        <v>45637.66319</v>
      </c>
      <c r="P636" s="64" t="s">
        <v>2718</v>
      </c>
      <c r="R636" s="66">
        <f t="shared" si="5"/>
        <v>496.3207155</v>
      </c>
      <c r="S636" s="66"/>
      <c r="T636" s="66"/>
      <c r="U636" s="64">
        <f>if(O636,_xlfn.WORKDAY.INTL(O636,U$5,"1000000",Holidays!A:A)+hour(O636)/24+MINUTE(O636)/1440,"")</f>
        <v>45638.66319</v>
      </c>
      <c r="V636" s="64" t="str">
        <f t="shared" si="6"/>
        <v/>
      </c>
      <c r="W636" s="66"/>
      <c r="X636" s="66">
        <f t="shared" si="7"/>
        <v>495.3207155</v>
      </c>
      <c r="Y636" s="66"/>
      <c r="Z636" s="66"/>
      <c r="AA636" s="66"/>
      <c r="AB636" s="63"/>
      <c r="AC636" s="63"/>
      <c r="AD636" s="63"/>
      <c r="AE636" s="63"/>
      <c r="AF636" s="63"/>
      <c r="AG636" s="63"/>
      <c r="AH636" s="63" t="str">
        <f t="shared" si="14"/>
        <v/>
      </c>
      <c r="AI636" s="63" t="str">
        <f>if(AH636,_xlfn.workday.intl(int(AH636),0,"1000000",Holidays!A:A)+18/24,"")</f>
        <v/>
      </c>
      <c r="AJ636" s="64" t="str">
        <f t="shared" si="24"/>
        <v/>
      </c>
      <c r="AL636" s="66" t="str">
        <f t="shared" si="9"/>
        <v/>
      </c>
      <c r="AM636" s="66"/>
      <c r="AN636" s="63" t="str">
        <f>if(AJ636,if(and(hour(AJ636+AN$5)&gt;11,(hour(AJ636+AN$5)&lt;20)),AJ636+AN$5,_xlfn.workday.intl(int(AJ636),1,"1000000",Holidays!A:A)+hour(AJ636+AN$5-$B$1)/24+minute(AJ636)/1440),"")</f>
        <v/>
      </c>
      <c r="AO636" s="64" t="str">
        <f t="shared" si="15"/>
        <v/>
      </c>
      <c r="AQ636" s="66" t="str">
        <f t="shared" si="16"/>
        <v/>
      </c>
      <c r="AR636" s="66"/>
      <c r="AS636" s="63" t="str">
        <f>if(AJ636,if(and(hour(AJ636+AS$5)&gt;11,(hour(AJ636+AS$5)&lt;20)),AJ636+AS$5,_xlfn.workday.intl(int(AJ636),1,"1000000",Holidays!A:A)+hour(AJ636+AS$5-$B$1)/24+minute(AJ636)/1440),"")</f>
        <v/>
      </c>
      <c r="AT636" s="64" t="str">
        <f t="shared" si="21"/>
        <v/>
      </c>
      <c r="AV636" s="66" t="str">
        <f t="shared" si="25"/>
        <v/>
      </c>
      <c r="AW636" s="66"/>
      <c r="AX636" s="56"/>
    </row>
    <row r="637">
      <c r="A637" s="55">
        <v>45655.709603599535</v>
      </c>
      <c r="B637" s="56"/>
      <c r="C637" s="57"/>
      <c r="D637" s="57"/>
      <c r="E637" s="57"/>
      <c r="F637" s="57"/>
      <c r="G637" s="58">
        <f>if(A637,_xlfn.workday.intl(int(A637),1,"1000000",Holidays!A:A)+17/24,"")</f>
        <v>45657.70833</v>
      </c>
      <c r="H637" s="59" t="str">
        <f t="shared" si="23"/>
        <v/>
      </c>
      <c r="I637" s="60"/>
      <c r="J637" s="61">
        <f t="shared" si="2"/>
        <v>476.2755766</v>
      </c>
      <c r="K637" s="58">
        <f>if(G637,_xlfn.workday.intl(int(G637),0,"1000000",Holidays!A:A)+19/24,"")</f>
        <v>45657.79167</v>
      </c>
      <c r="L637" s="59" t="str">
        <f t="shared" si="3"/>
        <v/>
      </c>
      <c r="M637" s="60"/>
      <c r="N637" s="61">
        <f t="shared" si="4"/>
        <v>476.1922432</v>
      </c>
      <c r="O637" s="63">
        <f>if(A637,_xlfn.WORKDAY.INTL(A637,O$5,"1000000",Holidays!A:A)+hour(A637)/24+MINUTE(A637)/1440,"")</f>
        <v>45657.70903</v>
      </c>
      <c r="P637" s="64" t="s">
        <v>2718</v>
      </c>
      <c r="R637" s="66">
        <f t="shared" si="5"/>
        <v>476.2748821</v>
      </c>
      <c r="S637" s="66"/>
      <c r="T637" s="66"/>
      <c r="U637" s="64">
        <f>if(O637,_xlfn.WORKDAY.INTL(O637,U$5,"1000000",Holidays!A:A)+hour(O637)/24+MINUTE(O637)/1440,"")</f>
        <v>45658.70903</v>
      </c>
      <c r="V637" s="64" t="str">
        <f t="shared" si="6"/>
        <v/>
      </c>
      <c r="W637" s="66"/>
      <c r="X637" s="66">
        <f t="shared" si="7"/>
        <v>475.2748821</v>
      </c>
      <c r="Y637" s="66"/>
      <c r="Z637" s="66"/>
      <c r="AA637" s="66"/>
      <c r="AB637" s="63"/>
      <c r="AC637" s="63"/>
      <c r="AD637" s="63"/>
      <c r="AE637" s="63"/>
      <c r="AF637" s="63"/>
      <c r="AG637" s="63"/>
      <c r="AH637" s="63" t="str">
        <f t="shared" si="14"/>
        <v/>
      </c>
      <c r="AI637" s="63" t="str">
        <f>if(AH637,_xlfn.workday.intl(int(AH637),0,"1000000",Holidays!A:A)+18/24,"")</f>
        <v/>
      </c>
      <c r="AJ637" s="64" t="str">
        <f t="shared" si="24"/>
        <v/>
      </c>
      <c r="AL637" s="66" t="str">
        <f t="shared" si="9"/>
        <v/>
      </c>
      <c r="AM637" s="66"/>
      <c r="AN637" s="63" t="str">
        <f>if(AJ637,if(and(hour(AJ637+AN$5)&gt;11,(hour(AJ637+AN$5)&lt;20)),AJ637+AN$5,_xlfn.workday.intl(int(AJ637),1,"1000000",Holidays!A:A)+hour(AJ637+AN$5-$B$1)/24+minute(AJ637)/1440),"")</f>
        <v/>
      </c>
      <c r="AO637" s="64" t="str">
        <f t="shared" si="15"/>
        <v/>
      </c>
      <c r="AQ637" s="66" t="str">
        <f t="shared" si="16"/>
        <v/>
      </c>
      <c r="AR637" s="66"/>
      <c r="AS637" s="63" t="str">
        <f>if(AJ637,if(and(hour(AJ637+AS$5)&gt;11,(hour(AJ637+AS$5)&lt;20)),AJ637+AS$5,_xlfn.workday.intl(int(AJ637),1,"1000000",Holidays!A:A)+hour(AJ637+AS$5-$B$1)/24+minute(AJ637)/1440),"")</f>
        <v/>
      </c>
      <c r="AT637" s="64" t="str">
        <f t="shared" si="21"/>
        <v/>
      </c>
      <c r="AV637" s="66" t="str">
        <f t="shared" si="25"/>
        <v/>
      </c>
      <c r="AW637" s="66"/>
      <c r="AX637" s="56"/>
    </row>
    <row r="638">
      <c r="A638" s="55">
        <v>45655.710649479166</v>
      </c>
      <c r="B638" s="56"/>
      <c r="C638" s="57"/>
      <c r="D638" s="57"/>
      <c r="E638" s="57"/>
      <c r="F638" s="57"/>
      <c r="G638" s="58">
        <f>if(A638,_xlfn.workday.intl(int(A638),1,"1000000",Holidays!A:A)+17/24,"")</f>
        <v>45657.70833</v>
      </c>
      <c r="H638" s="59" t="str">
        <f t="shared" si="23"/>
        <v/>
      </c>
      <c r="I638" s="60"/>
      <c r="J638" s="61">
        <f t="shared" si="2"/>
        <v>476.2755766</v>
      </c>
      <c r="K638" s="58">
        <f>if(G638,_xlfn.workday.intl(int(G638),0,"1000000",Holidays!A:A)+19/24,"")</f>
        <v>45657.79167</v>
      </c>
      <c r="L638" s="59" t="str">
        <f t="shared" si="3"/>
        <v/>
      </c>
      <c r="M638" s="60"/>
      <c r="N638" s="61">
        <f t="shared" si="4"/>
        <v>476.1922432</v>
      </c>
      <c r="O638" s="63">
        <f>if(A638,_xlfn.WORKDAY.INTL(A638,O$5,"1000000",Holidays!A:A)+hour(A638)/24+MINUTE(A638)/1440,"")</f>
        <v>45657.71042</v>
      </c>
      <c r="P638" s="64" t="s">
        <v>2718</v>
      </c>
      <c r="R638" s="66">
        <f t="shared" si="5"/>
        <v>476.2734932</v>
      </c>
      <c r="S638" s="66"/>
      <c r="T638" s="66"/>
      <c r="U638" s="64">
        <f>if(O638,_xlfn.WORKDAY.INTL(O638,U$5,"1000000",Holidays!A:A)+hour(O638)/24+MINUTE(O638)/1440,"")</f>
        <v>45658.71042</v>
      </c>
      <c r="V638" s="64" t="str">
        <f t="shared" si="6"/>
        <v/>
      </c>
      <c r="W638" s="66"/>
      <c r="X638" s="66">
        <f t="shared" si="7"/>
        <v>475.2734932</v>
      </c>
      <c r="Y638" s="66"/>
      <c r="Z638" s="66"/>
      <c r="AA638" s="66"/>
      <c r="AB638" s="63"/>
      <c r="AC638" s="63"/>
      <c r="AD638" s="63"/>
      <c r="AE638" s="63"/>
      <c r="AF638" s="63"/>
      <c r="AG638" s="63"/>
      <c r="AH638" s="63" t="str">
        <f t="shared" si="14"/>
        <v/>
      </c>
      <c r="AI638" s="63" t="str">
        <f>if(AH638,_xlfn.workday.intl(int(AH638),0,"1000000",Holidays!A:A)+18/24,"")</f>
        <v/>
      </c>
      <c r="AJ638" s="64" t="str">
        <f t="shared" si="24"/>
        <v/>
      </c>
      <c r="AL638" s="66" t="str">
        <f t="shared" si="9"/>
        <v/>
      </c>
      <c r="AM638" s="66"/>
      <c r="AN638" s="63" t="str">
        <f>if(AJ638,if(and(hour(AJ638+AN$5)&gt;11,(hour(AJ638+AN$5)&lt;20)),AJ638+AN$5,_xlfn.workday.intl(int(AJ638),1,"1000000",Holidays!A:A)+hour(AJ638+AN$5-$B$1)/24+minute(AJ638)/1440),"")</f>
        <v/>
      </c>
      <c r="AO638" s="64" t="str">
        <f t="shared" si="15"/>
        <v/>
      </c>
      <c r="AQ638" s="66" t="str">
        <f t="shared" si="16"/>
        <v/>
      </c>
      <c r="AR638" s="66"/>
      <c r="AS638" s="63" t="str">
        <f>if(AJ638,if(and(hour(AJ638+AS$5)&gt;11,(hour(AJ638+AS$5)&lt;20)),AJ638+AS$5,_xlfn.workday.intl(int(AJ638),1,"1000000",Holidays!A:A)+hour(AJ638+AS$5-$B$1)/24+minute(AJ638)/1440),"")</f>
        <v/>
      </c>
      <c r="AT638" s="64" t="str">
        <f t="shared" si="21"/>
        <v/>
      </c>
      <c r="AV638" s="66" t="str">
        <f t="shared" si="25"/>
        <v/>
      </c>
      <c r="AW638" s="66"/>
      <c r="AX638" s="56"/>
    </row>
    <row r="639">
      <c r="A639" s="55">
        <v>45704.599190567125</v>
      </c>
      <c r="B639" s="56"/>
      <c r="C639" s="57"/>
      <c r="D639" s="57"/>
      <c r="E639" s="57"/>
      <c r="F639" s="57"/>
      <c r="G639" s="58">
        <f>if(A639,_xlfn.workday.intl(int(A639),1,"1000000",Holidays!A:A)+17/24,"")</f>
        <v>45706.70833</v>
      </c>
      <c r="H639" s="59" t="str">
        <f t="shared" si="23"/>
        <v/>
      </c>
      <c r="I639" s="60"/>
      <c r="J639" s="61">
        <f t="shared" si="2"/>
        <v>427.2755766</v>
      </c>
      <c r="K639" s="58">
        <f>if(G639,_xlfn.workday.intl(int(G639),0,"1000000",Holidays!A:A)+19/24,"")</f>
        <v>45706.79167</v>
      </c>
      <c r="L639" s="59" t="str">
        <f t="shared" si="3"/>
        <v/>
      </c>
      <c r="M639" s="60"/>
      <c r="N639" s="61">
        <f t="shared" si="4"/>
        <v>427.1922432</v>
      </c>
      <c r="O639" s="63">
        <f>if(A639,_xlfn.WORKDAY.INTL(A639,O$5,"1000000",Holidays!A:A)+hour(A639)/24+MINUTE(A639)/1440,"")</f>
        <v>45706.59861</v>
      </c>
      <c r="P639" s="64" t="s">
        <v>2718</v>
      </c>
      <c r="R639" s="66">
        <f t="shared" si="5"/>
        <v>427.3852988</v>
      </c>
      <c r="S639" s="66"/>
      <c r="T639" s="66"/>
      <c r="U639" s="64">
        <f>if(O639,_xlfn.WORKDAY.INTL(O639,U$5,"1000000",Holidays!A:A)+hour(O639)/24+MINUTE(O639)/1440,"")</f>
        <v>45707.59861</v>
      </c>
      <c r="V639" s="64" t="str">
        <f t="shared" si="6"/>
        <v/>
      </c>
      <c r="W639" s="66"/>
      <c r="X639" s="66">
        <f t="shared" si="7"/>
        <v>426.3852988</v>
      </c>
      <c r="Y639" s="66"/>
      <c r="Z639" s="66"/>
      <c r="AA639" s="66"/>
      <c r="AB639" s="63"/>
      <c r="AC639" s="63"/>
      <c r="AD639" s="63"/>
      <c r="AE639" s="63"/>
      <c r="AF639" s="63"/>
      <c r="AG639" s="63"/>
      <c r="AH639" s="63" t="str">
        <f t="shared" si="14"/>
        <v/>
      </c>
      <c r="AI639" s="63" t="str">
        <f>if(AH639,_xlfn.workday.intl(int(AH639),0,"1000000",Holidays!A:A)+18/24,"")</f>
        <v/>
      </c>
      <c r="AJ639" s="64" t="str">
        <f t="shared" si="24"/>
        <v/>
      </c>
      <c r="AL639" s="66" t="str">
        <f t="shared" si="9"/>
        <v/>
      </c>
      <c r="AM639" s="66"/>
      <c r="AN639" s="63" t="str">
        <f>if(AJ639,if(and(hour(AJ639+AN$5)&gt;11,(hour(AJ639+AN$5)&lt;20)),AJ639+AN$5,_xlfn.workday.intl(int(AJ639),1,"1000000",Holidays!A:A)+hour(AJ639+AN$5-$B$1)/24+minute(AJ639)/1440),"")</f>
        <v/>
      </c>
      <c r="AO639" s="64" t="str">
        <f t="shared" si="15"/>
        <v/>
      </c>
      <c r="AQ639" s="66" t="str">
        <f t="shared" si="16"/>
        <v/>
      </c>
      <c r="AR639" s="66"/>
      <c r="AS639" s="63" t="str">
        <f>if(AJ639,if(and(hour(AJ639+AS$5)&gt;11,(hour(AJ639+AS$5)&lt;20)),AJ639+AS$5,_xlfn.workday.intl(int(AJ639),1,"1000000",Holidays!A:A)+hour(AJ639+AS$5-$B$1)/24+minute(AJ639)/1440),"")</f>
        <v/>
      </c>
      <c r="AT639" s="64" t="str">
        <f t="shared" si="21"/>
        <v/>
      </c>
      <c r="AV639" s="66" t="str">
        <f t="shared" si="25"/>
        <v/>
      </c>
      <c r="AW639" s="66"/>
      <c r="AX639" s="56"/>
    </row>
    <row r="640">
      <c r="A640" s="55">
        <v>45711.77508305556</v>
      </c>
      <c r="B640" s="56"/>
      <c r="C640" s="57"/>
      <c r="D640" s="57"/>
      <c r="E640" s="57"/>
      <c r="F640" s="57"/>
      <c r="G640" s="58">
        <f>if(A640,_xlfn.workday.intl(int(A640),1,"1000000",Holidays!A:A)+17/24,"")</f>
        <v>45713.70833</v>
      </c>
      <c r="H640" s="59" t="str">
        <f t="shared" si="23"/>
        <v/>
      </c>
      <c r="I640" s="60"/>
      <c r="J640" s="61">
        <f t="shared" si="2"/>
        <v>420.2755766</v>
      </c>
      <c r="K640" s="58">
        <f>if(G640,_xlfn.workday.intl(int(G640),0,"1000000",Holidays!A:A)+19/24,"")</f>
        <v>45713.79167</v>
      </c>
      <c r="L640" s="59" t="str">
        <f t="shared" si="3"/>
        <v/>
      </c>
      <c r="M640" s="60"/>
      <c r="N640" s="61">
        <f t="shared" si="4"/>
        <v>420.1922432</v>
      </c>
      <c r="O640" s="63">
        <f>if(A640,_xlfn.WORKDAY.INTL(A640,O$5,"1000000",Holidays!A:A)+hour(A640)/24+MINUTE(A640)/1440,"")</f>
        <v>45713.775</v>
      </c>
      <c r="P640" s="64" t="s">
        <v>2718</v>
      </c>
      <c r="R640" s="66">
        <f t="shared" si="5"/>
        <v>420.2089099</v>
      </c>
      <c r="S640" s="66"/>
      <c r="T640" s="66"/>
      <c r="U640" s="64">
        <f>if(O640,_xlfn.WORKDAY.INTL(O640,U$5,"1000000",Holidays!A:A)+hour(O640)/24+MINUTE(O640)/1440,"")</f>
        <v>45714.775</v>
      </c>
      <c r="V640" s="64" t="str">
        <f t="shared" si="6"/>
        <v/>
      </c>
      <c r="W640" s="66"/>
      <c r="X640" s="66">
        <f t="shared" si="7"/>
        <v>419.2089099</v>
      </c>
      <c r="Y640" s="66"/>
      <c r="Z640" s="66"/>
      <c r="AA640" s="66"/>
      <c r="AB640" s="63"/>
      <c r="AC640" s="63"/>
      <c r="AD640" s="63"/>
      <c r="AE640" s="63"/>
      <c r="AF640" s="63"/>
      <c r="AG640" s="63"/>
      <c r="AH640" s="63" t="str">
        <f t="shared" si="14"/>
        <v/>
      </c>
      <c r="AI640" s="63" t="str">
        <f>if(AH640,_xlfn.workday.intl(int(AH640),0,"1000000",Holidays!A:A)+18/24,"")</f>
        <v/>
      </c>
      <c r="AJ640" s="64" t="str">
        <f t="shared" si="24"/>
        <v/>
      </c>
      <c r="AL640" s="66" t="str">
        <f t="shared" si="9"/>
        <v/>
      </c>
      <c r="AM640" s="66"/>
      <c r="AN640" s="63" t="str">
        <f>if(AJ640,if(and(hour(AJ640+AN$5)&gt;11,(hour(AJ640+AN$5)&lt;20)),AJ640+AN$5,_xlfn.workday.intl(int(AJ640),1,"1000000",Holidays!A:A)+hour(AJ640+AN$5-$B$1)/24+minute(AJ640)/1440),"")</f>
        <v/>
      </c>
      <c r="AO640" s="64" t="str">
        <f t="shared" si="15"/>
        <v/>
      </c>
      <c r="AQ640" s="66" t="str">
        <f t="shared" si="16"/>
        <v/>
      </c>
      <c r="AR640" s="66"/>
      <c r="AS640" s="63" t="str">
        <f>if(AJ640,if(and(hour(AJ640+AS$5)&gt;11,(hour(AJ640+AS$5)&lt;20)),AJ640+AS$5,_xlfn.workday.intl(int(AJ640),1,"1000000",Holidays!A:A)+hour(AJ640+AS$5-$B$1)/24+minute(AJ640)/1440),"")</f>
        <v/>
      </c>
      <c r="AT640" s="64" t="str">
        <f t="shared" si="21"/>
        <v/>
      </c>
      <c r="AV640" s="66" t="str">
        <f t="shared" si="25"/>
        <v/>
      </c>
      <c r="AW640" s="66"/>
      <c r="AX640" s="56"/>
    </row>
    <row r="641">
      <c r="A641" s="55">
        <v>45711.77634748843</v>
      </c>
      <c r="B641" s="56"/>
      <c r="C641" s="57"/>
      <c r="D641" s="57"/>
      <c r="E641" s="57"/>
      <c r="F641" s="57"/>
      <c r="G641" s="58">
        <f>if(A641,_xlfn.workday.intl(int(A641),1,"1000000",Holidays!A:A)+17/24,"")</f>
        <v>45713.70833</v>
      </c>
      <c r="H641" s="59" t="str">
        <f t="shared" si="23"/>
        <v/>
      </c>
      <c r="I641" s="60"/>
      <c r="J641" s="61">
        <f t="shared" si="2"/>
        <v>420.2755766</v>
      </c>
      <c r="K641" s="58">
        <f>if(G641,_xlfn.workday.intl(int(G641),0,"1000000",Holidays!A:A)+19/24,"")</f>
        <v>45713.79167</v>
      </c>
      <c r="L641" s="59" t="str">
        <f t="shared" si="3"/>
        <v/>
      </c>
      <c r="M641" s="60"/>
      <c r="N641" s="61">
        <f t="shared" si="4"/>
        <v>420.1922432</v>
      </c>
      <c r="O641" s="63">
        <f>if(A641,_xlfn.WORKDAY.INTL(A641,O$5,"1000000",Holidays!A:A)+hour(A641)/24+MINUTE(A641)/1440,"")</f>
        <v>45713.77569</v>
      </c>
      <c r="P641" s="64" t="s">
        <v>2718</v>
      </c>
      <c r="R641" s="66">
        <f t="shared" si="5"/>
        <v>420.2082155</v>
      </c>
      <c r="S641" s="66"/>
      <c r="T641" s="66"/>
      <c r="U641" s="64">
        <f>if(O641,_xlfn.WORKDAY.INTL(O641,U$5,"1000000",Holidays!A:A)+hour(O641)/24+MINUTE(O641)/1440,"")</f>
        <v>45714.77569</v>
      </c>
      <c r="V641" s="64" t="str">
        <f t="shared" si="6"/>
        <v/>
      </c>
      <c r="W641" s="66"/>
      <c r="X641" s="66">
        <f t="shared" si="7"/>
        <v>419.2082155</v>
      </c>
      <c r="Y641" s="66"/>
      <c r="Z641" s="66"/>
      <c r="AA641" s="66"/>
      <c r="AB641" s="63"/>
      <c r="AC641" s="63"/>
      <c r="AD641" s="63"/>
      <c r="AE641" s="63"/>
      <c r="AF641" s="63"/>
      <c r="AG641" s="63"/>
      <c r="AH641" s="63" t="str">
        <f t="shared" si="14"/>
        <v/>
      </c>
      <c r="AI641" s="63" t="str">
        <f>if(AH641,_xlfn.workday.intl(int(AH641),0,"1000000",Holidays!A:A)+18/24,"")</f>
        <v/>
      </c>
      <c r="AJ641" s="64" t="str">
        <f t="shared" si="24"/>
        <v/>
      </c>
      <c r="AL641" s="66" t="str">
        <f t="shared" si="9"/>
        <v/>
      </c>
      <c r="AM641" s="66"/>
      <c r="AN641" s="63" t="str">
        <f>if(AJ641,if(and(hour(AJ641+AN$5)&gt;11,(hour(AJ641+AN$5)&lt;20)),AJ641+AN$5,_xlfn.workday.intl(int(AJ641),1,"1000000",Holidays!A:A)+hour(AJ641+AN$5-$B$1)/24+minute(AJ641)/1440),"")</f>
        <v/>
      </c>
      <c r="AO641" s="64" t="str">
        <f t="shared" si="15"/>
        <v/>
      </c>
      <c r="AQ641" s="66" t="str">
        <f t="shared" si="16"/>
        <v/>
      </c>
      <c r="AR641" s="66"/>
      <c r="AS641" s="63" t="str">
        <f>if(AJ641,if(and(hour(AJ641+AS$5)&gt;11,(hour(AJ641+AS$5)&lt;20)),AJ641+AS$5,_xlfn.workday.intl(int(AJ641),1,"1000000",Holidays!A:A)+hour(AJ641+AS$5-$B$1)/24+minute(AJ641)/1440),"")</f>
        <v/>
      </c>
      <c r="AT641" s="64" t="str">
        <f t="shared" si="21"/>
        <v/>
      </c>
      <c r="AV641" s="66" t="str">
        <f t="shared" si="25"/>
        <v/>
      </c>
      <c r="AW641" s="66"/>
      <c r="AX641" s="56"/>
    </row>
    <row r="642">
      <c r="A642" s="55">
        <v>45711.77793788194</v>
      </c>
      <c r="B642" s="56"/>
      <c r="C642" s="57"/>
      <c r="D642" s="57"/>
      <c r="E642" s="57"/>
      <c r="F642" s="57"/>
      <c r="G642" s="58">
        <f>if(A642,_xlfn.workday.intl(int(A642),1,"1000000",Holidays!A:A)+17/24,"")</f>
        <v>45713.70833</v>
      </c>
      <c r="H642" s="59" t="str">
        <f t="shared" si="23"/>
        <v/>
      </c>
      <c r="I642" s="60"/>
      <c r="J642" s="61">
        <f t="shared" si="2"/>
        <v>420.2755766</v>
      </c>
      <c r="K642" s="58">
        <f>if(G642,_xlfn.workday.intl(int(G642),0,"1000000",Holidays!A:A)+19/24,"")</f>
        <v>45713.79167</v>
      </c>
      <c r="L642" s="59" t="str">
        <f t="shared" si="3"/>
        <v/>
      </c>
      <c r="M642" s="60"/>
      <c r="N642" s="61">
        <f t="shared" si="4"/>
        <v>420.1922432</v>
      </c>
      <c r="O642" s="63">
        <f>if(A642,_xlfn.WORKDAY.INTL(A642,O$5,"1000000",Holidays!A:A)+hour(A642)/24+MINUTE(A642)/1440,"")</f>
        <v>45713.77778</v>
      </c>
      <c r="P642" s="64" t="s">
        <v>2718</v>
      </c>
      <c r="R642" s="66">
        <f t="shared" si="5"/>
        <v>420.2061321</v>
      </c>
      <c r="S642" s="66"/>
      <c r="T642" s="66"/>
      <c r="U642" s="64">
        <f>if(O642,_xlfn.WORKDAY.INTL(O642,U$5,"1000000",Holidays!A:A)+hour(O642)/24+MINUTE(O642)/1440,"")</f>
        <v>45714.77778</v>
      </c>
      <c r="V642" s="64" t="str">
        <f t="shared" si="6"/>
        <v/>
      </c>
      <c r="W642" s="66"/>
      <c r="X642" s="66">
        <f t="shared" si="7"/>
        <v>419.2061321</v>
      </c>
      <c r="Y642" s="66"/>
      <c r="Z642" s="66"/>
      <c r="AA642" s="66"/>
      <c r="AB642" s="63"/>
      <c r="AC642" s="63"/>
      <c r="AD642" s="63"/>
      <c r="AE642" s="63"/>
      <c r="AF642" s="63"/>
      <c r="AG642" s="63"/>
      <c r="AH642" s="63" t="str">
        <f t="shared" si="14"/>
        <v/>
      </c>
      <c r="AI642" s="63" t="str">
        <f>if(AH642,_xlfn.workday.intl(int(AH642),0,"1000000",Holidays!A:A)+18/24,"")</f>
        <v/>
      </c>
      <c r="AJ642" s="64" t="str">
        <f t="shared" si="24"/>
        <v/>
      </c>
      <c r="AL642" s="66" t="str">
        <f t="shared" si="9"/>
        <v/>
      </c>
      <c r="AM642" s="66"/>
      <c r="AN642" s="63" t="str">
        <f>if(AJ642,if(and(hour(AJ642+AN$5)&gt;11,(hour(AJ642+AN$5)&lt;20)),AJ642+AN$5,_xlfn.workday.intl(int(AJ642),1,"1000000",Holidays!A:A)+hour(AJ642+AN$5-$B$1)/24+minute(AJ642)/1440),"")</f>
        <v/>
      </c>
      <c r="AO642" s="64" t="str">
        <f t="shared" si="15"/>
        <v/>
      </c>
      <c r="AQ642" s="66" t="str">
        <f t="shared" si="16"/>
        <v/>
      </c>
      <c r="AR642" s="66"/>
      <c r="AS642" s="63" t="str">
        <f>if(AJ642,if(and(hour(AJ642+AS$5)&gt;11,(hour(AJ642+AS$5)&lt;20)),AJ642+AS$5,_xlfn.workday.intl(int(AJ642),1,"1000000",Holidays!A:A)+hour(AJ642+AS$5-$B$1)/24+minute(AJ642)/1440),"")</f>
        <v/>
      </c>
      <c r="AT642" s="64" t="str">
        <f t="shared" si="21"/>
        <v/>
      </c>
      <c r="AV642" s="66" t="str">
        <f t="shared" si="25"/>
        <v/>
      </c>
      <c r="AW642" s="66"/>
      <c r="AX642" s="56"/>
    </row>
    <row r="643">
      <c r="A643" s="55">
        <v>45711.7798912963</v>
      </c>
      <c r="B643" s="56"/>
      <c r="C643" s="57"/>
      <c r="D643" s="57"/>
      <c r="E643" s="57"/>
      <c r="F643" s="57"/>
      <c r="G643" s="58">
        <f>if(A643,_xlfn.workday.intl(int(A643),1,"1000000",Holidays!A:A)+17/24,"")</f>
        <v>45713.70833</v>
      </c>
      <c r="H643" s="59" t="str">
        <f t="shared" si="23"/>
        <v/>
      </c>
      <c r="I643" s="60"/>
      <c r="J643" s="61">
        <f t="shared" si="2"/>
        <v>420.2755766</v>
      </c>
      <c r="K643" s="58">
        <f>if(G643,_xlfn.workday.intl(int(G643),0,"1000000",Holidays!A:A)+19/24,"")</f>
        <v>45713.79167</v>
      </c>
      <c r="L643" s="59" t="str">
        <f t="shared" si="3"/>
        <v/>
      </c>
      <c r="M643" s="60"/>
      <c r="N643" s="61">
        <f t="shared" si="4"/>
        <v>420.1922432</v>
      </c>
      <c r="O643" s="63">
        <f>if(A643,_xlfn.WORKDAY.INTL(A643,O$5,"1000000",Holidays!A:A)+hour(A643)/24+MINUTE(A643)/1440,"")</f>
        <v>45713.77986</v>
      </c>
      <c r="P643" s="64" t="s">
        <v>2718</v>
      </c>
      <c r="R643" s="66">
        <f t="shared" si="5"/>
        <v>420.2040488</v>
      </c>
      <c r="S643" s="66"/>
      <c r="T643" s="66"/>
      <c r="U643" s="64">
        <f>if(O643,_xlfn.WORKDAY.INTL(O643,U$5,"1000000",Holidays!A:A)+hour(O643)/24+MINUTE(O643)/1440,"")</f>
        <v>45714.77986</v>
      </c>
      <c r="V643" s="64" t="str">
        <f t="shared" si="6"/>
        <v/>
      </c>
      <c r="W643" s="66"/>
      <c r="X643" s="66">
        <f t="shared" si="7"/>
        <v>419.2040488</v>
      </c>
      <c r="Y643" s="66"/>
      <c r="Z643" s="66"/>
      <c r="AA643" s="66"/>
      <c r="AB643" s="63"/>
      <c r="AC643" s="63"/>
      <c r="AD643" s="63"/>
      <c r="AE643" s="63"/>
      <c r="AF643" s="63"/>
      <c r="AG643" s="63"/>
      <c r="AH643" s="63" t="str">
        <f t="shared" si="14"/>
        <v/>
      </c>
      <c r="AI643" s="63" t="str">
        <f>if(AH643,_xlfn.workday.intl(int(AH643),0,"1000000",Holidays!A:A)+18/24,"")</f>
        <v/>
      </c>
      <c r="AJ643" s="64" t="str">
        <f t="shared" si="24"/>
        <v/>
      </c>
      <c r="AL643" s="66" t="str">
        <f t="shared" si="9"/>
        <v/>
      </c>
      <c r="AM643" s="66"/>
      <c r="AN643" s="63" t="str">
        <f>if(AJ643,if(and(hour(AJ643+AN$5)&gt;11,(hour(AJ643+AN$5)&lt;20)),AJ643+AN$5,_xlfn.workday.intl(int(AJ643),1,"1000000",Holidays!A:A)+hour(AJ643+AN$5-$B$1)/24+minute(AJ643)/1440),"")</f>
        <v/>
      </c>
      <c r="AO643" s="64" t="str">
        <f t="shared" si="15"/>
        <v/>
      </c>
      <c r="AQ643" s="66" t="str">
        <f t="shared" si="16"/>
        <v/>
      </c>
      <c r="AR643" s="66"/>
      <c r="AS643" s="63" t="str">
        <f>if(AJ643,if(and(hour(AJ643+AS$5)&gt;11,(hour(AJ643+AS$5)&lt;20)),AJ643+AS$5,_xlfn.workday.intl(int(AJ643),1,"1000000",Holidays!A:A)+hour(AJ643+AS$5-$B$1)/24+minute(AJ643)/1440),"")</f>
        <v/>
      </c>
      <c r="AT643" s="64" t="str">
        <f t="shared" si="21"/>
        <v/>
      </c>
      <c r="AV643" s="66" t="str">
        <f t="shared" si="25"/>
        <v/>
      </c>
      <c r="AW643" s="66"/>
      <c r="AX643" s="56"/>
    </row>
    <row r="644">
      <c r="A644" s="55">
        <v>45711.78377572917</v>
      </c>
      <c r="B644" s="56"/>
      <c r="C644" s="57"/>
      <c r="D644" s="57"/>
      <c r="E644" s="57"/>
      <c r="F644" s="57"/>
      <c r="G644" s="58">
        <f>if(A644,_xlfn.workday.intl(int(A644),1,"1000000",Holidays!A:A)+17/24,"")</f>
        <v>45713.70833</v>
      </c>
      <c r="H644" s="59" t="str">
        <f t="shared" si="23"/>
        <v/>
      </c>
      <c r="I644" s="60"/>
      <c r="J644" s="61">
        <f t="shared" si="2"/>
        <v>420.2755766</v>
      </c>
      <c r="K644" s="58">
        <f>if(G644,_xlfn.workday.intl(int(G644),0,"1000000",Holidays!A:A)+19/24,"")</f>
        <v>45713.79167</v>
      </c>
      <c r="L644" s="59" t="str">
        <f t="shared" si="3"/>
        <v/>
      </c>
      <c r="M644" s="60"/>
      <c r="N644" s="61">
        <f t="shared" si="4"/>
        <v>420.1922432</v>
      </c>
      <c r="O644" s="63">
        <f>if(A644,_xlfn.WORKDAY.INTL(A644,O$5,"1000000",Holidays!A:A)+hour(A644)/24+MINUTE(A644)/1440,"")</f>
        <v>45713.78333</v>
      </c>
      <c r="P644" s="64" t="s">
        <v>2718</v>
      </c>
      <c r="R644" s="66">
        <f t="shared" si="5"/>
        <v>420.2005766</v>
      </c>
      <c r="S644" s="66"/>
      <c r="T644" s="66"/>
      <c r="U644" s="64">
        <f>if(O644,_xlfn.WORKDAY.INTL(O644,U$5,"1000000",Holidays!A:A)+hour(O644)/24+MINUTE(O644)/1440,"")</f>
        <v>45714.78333</v>
      </c>
      <c r="V644" s="64" t="str">
        <f t="shared" si="6"/>
        <v/>
      </c>
      <c r="W644" s="66"/>
      <c r="X644" s="66">
        <f t="shared" si="7"/>
        <v>419.2005766</v>
      </c>
      <c r="Y644" s="66"/>
      <c r="Z644" s="66"/>
      <c r="AA644" s="66"/>
      <c r="AB644" s="63"/>
      <c r="AC644" s="63"/>
      <c r="AD644" s="63"/>
      <c r="AE644" s="63"/>
      <c r="AF644" s="63"/>
      <c r="AG644" s="63"/>
      <c r="AH644" s="63" t="str">
        <f t="shared" si="14"/>
        <v/>
      </c>
      <c r="AI644" s="63" t="str">
        <f>if(AH644,_xlfn.workday.intl(int(AH644),0,"1000000",Holidays!A:A)+18/24,"")</f>
        <v/>
      </c>
      <c r="AJ644" s="64" t="str">
        <f t="shared" si="24"/>
        <v/>
      </c>
      <c r="AL644" s="66" t="str">
        <f t="shared" si="9"/>
        <v/>
      </c>
      <c r="AM644" s="66"/>
      <c r="AN644" s="63" t="str">
        <f>if(AJ644,if(and(hour(AJ644+AN$5)&gt;11,(hour(AJ644+AN$5)&lt;20)),AJ644+AN$5,_xlfn.workday.intl(int(AJ644),1,"1000000",Holidays!A:A)+hour(AJ644+AN$5-$B$1)/24+minute(AJ644)/1440),"")</f>
        <v/>
      </c>
      <c r="AO644" s="64" t="str">
        <f t="shared" si="15"/>
        <v/>
      </c>
      <c r="AQ644" s="66" t="str">
        <f t="shared" si="16"/>
        <v/>
      </c>
      <c r="AR644" s="66"/>
      <c r="AS644" s="63" t="str">
        <f>if(AJ644,if(and(hour(AJ644+AS$5)&gt;11,(hour(AJ644+AS$5)&lt;20)),AJ644+AS$5,_xlfn.workday.intl(int(AJ644),1,"1000000",Holidays!A:A)+hour(AJ644+AS$5-$B$1)/24+minute(AJ644)/1440),"")</f>
        <v/>
      </c>
      <c r="AT644" s="64" t="str">
        <f t="shared" si="21"/>
        <v/>
      </c>
      <c r="AV644" s="66" t="str">
        <f t="shared" si="25"/>
        <v/>
      </c>
      <c r="AW644" s="66"/>
      <c r="AX644" s="56"/>
    </row>
    <row r="645">
      <c r="A645" s="55">
        <v>45715.671858194444</v>
      </c>
      <c r="B645" s="56"/>
      <c r="C645" s="57"/>
      <c r="D645" s="57"/>
      <c r="E645" s="57"/>
      <c r="F645" s="57"/>
      <c r="G645" s="58">
        <f>if(A645,_xlfn.workday.intl(int(A645),1,"1000000",Holidays!A:A)+17/24,"")</f>
        <v>45716.70833</v>
      </c>
      <c r="H645" s="59" t="str">
        <f t="shared" si="23"/>
        <v/>
      </c>
      <c r="I645" s="60"/>
      <c r="J645" s="61">
        <f t="shared" si="2"/>
        <v>417.2755766</v>
      </c>
      <c r="K645" s="58">
        <f>if(G645,_xlfn.workday.intl(int(G645),0,"1000000",Holidays!A:A)+19/24,"")</f>
        <v>45716.79167</v>
      </c>
      <c r="L645" s="59" t="str">
        <f t="shared" si="3"/>
        <v/>
      </c>
      <c r="M645" s="60"/>
      <c r="N645" s="61">
        <f t="shared" si="4"/>
        <v>417.1922432</v>
      </c>
      <c r="O645" s="63">
        <f>if(A645,_xlfn.WORKDAY.INTL(A645,O$5,"1000000",Holidays!A:A)+hour(A645)/24+MINUTE(A645)/1440,"")</f>
        <v>45716.67153</v>
      </c>
      <c r="P645" s="64" t="s">
        <v>2718</v>
      </c>
      <c r="R645" s="66">
        <f t="shared" si="5"/>
        <v>417.3123821</v>
      </c>
      <c r="S645" s="66"/>
      <c r="T645" s="66"/>
      <c r="U645" s="64">
        <f>if(O645,_xlfn.WORKDAY.INTL(O645,U$5,"1000000",Holidays!A:A)+hour(O645)/24+MINUTE(O645)/1440,"")</f>
        <v>45717.67153</v>
      </c>
      <c r="V645" s="64" t="str">
        <f t="shared" si="6"/>
        <v/>
      </c>
      <c r="W645" s="66"/>
      <c r="X645" s="66">
        <f t="shared" si="7"/>
        <v>416.3123821</v>
      </c>
      <c r="Y645" s="66"/>
      <c r="Z645" s="66"/>
      <c r="AA645" s="66"/>
      <c r="AB645" s="63"/>
      <c r="AC645" s="63"/>
      <c r="AD645" s="63"/>
      <c r="AE645" s="63"/>
      <c r="AF645" s="63"/>
      <c r="AG645" s="63"/>
      <c r="AH645" s="63" t="str">
        <f t="shared" si="14"/>
        <v/>
      </c>
      <c r="AI645" s="63" t="str">
        <f>if(AH645,_xlfn.workday.intl(int(AH645),0,"1000000",Holidays!A:A)+18/24,"")</f>
        <v/>
      </c>
      <c r="AJ645" s="64" t="str">
        <f t="shared" si="24"/>
        <v/>
      </c>
      <c r="AL645" s="66" t="str">
        <f t="shared" si="9"/>
        <v/>
      </c>
      <c r="AM645" s="66"/>
      <c r="AN645" s="63" t="str">
        <f>if(AJ645,if(and(hour(AJ645+AN$5)&gt;11,(hour(AJ645+AN$5)&lt;20)),AJ645+AN$5,_xlfn.workday.intl(int(AJ645),1,"1000000",Holidays!A:A)+hour(AJ645+AN$5-$B$1)/24+minute(AJ645)/1440),"")</f>
        <v/>
      </c>
      <c r="AO645" s="64" t="str">
        <f t="shared" si="15"/>
        <v/>
      </c>
      <c r="AQ645" s="66" t="str">
        <f t="shared" si="16"/>
        <v/>
      </c>
      <c r="AR645" s="66"/>
      <c r="AS645" s="63" t="str">
        <f>if(AJ645,if(and(hour(AJ645+AS$5)&gt;11,(hour(AJ645+AS$5)&lt;20)),AJ645+AS$5,_xlfn.workday.intl(int(AJ645),1,"1000000",Holidays!A:A)+hour(AJ645+AS$5-$B$1)/24+minute(AJ645)/1440),"")</f>
        <v/>
      </c>
      <c r="AT645" s="64" t="str">
        <f t="shared" si="21"/>
        <v/>
      </c>
      <c r="AV645" s="66" t="str">
        <f t="shared" si="25"/>
        <v/>
      </c>
      <c r="AW645" s="66"/>
      <c r="AX645" s="56"/>
    </row>
    <row r="646">
      <c r="A646" s="55">
        <v>45715.67656490741</v>
      </c>
      <c r="B646" s="56"/>
      <c r="C646" s="57"/>
      <c r="D646" s="57"/>
      <c r="E646" s="57"/>
      <c r="F646" s="57"/>
      <c r="G646" s="58">
        <f>if(A646,_xlfn.workday.intl(int(A646),1,"1000000",Holidays!A:A)+17/24,"")</f>
        <v>45716.70833</v>
      </c>
      <c r="H646" s="59" t="str">
        <f t="shared" si="23"/>
        <v/>
      </c>
      <c r="I646" s="60"/>
      <c r="J646" s="61">
        <f t="shared" si="2"/>
        <v>417.2755766</v>
      </c>
      <c r="K646" s="58">
        <f>if(G646,_xlfn.workday.intl(int(G646),0,"1000000",Holidays!A:A)+19/24,"")</f>
        <v>45716.79167</v>
      </c>
      <c r="L646" s="59" t="str">
        <f t="shared" si="3"/>
        <v/>
      </c>
      <c r="M646" s="60"/>
      <c r="N646" s="61">
        <f t="shared" si="4"/>
        <v>417.1922432</v>
      </c>
      <c r="O646" s="63">
        <f>if(A646,_xlfn.WORKDAY.INTL(A646,O$5,"1000000",Holidays!A:A)+hour(A646)/24+MINUTE(A646)/1440,"")</f>
        <v>45716.67639</v>
      </c>
      <c r="P646" s="64" t="s">
        <v>2718</v>
      </c>
      <c r="R646" s="66">
        <f t="shared" si="5"/>
        <v>417.307521</v>
      </c>
      <c r="S646" s="66"/>
      <c r="T646" s="66"/>
      <c r="U646" s="64">
        <f>if(O646,_xlfn.WORKDAY.INTL(O646,U$5,"1000000",Holidays!A:A)+hour(O646)/24+MINUTE(O646)/1440,"")</f>
        <v>45717.67639</v>
      </c>
      <c r="V646" s="64" t="str">
        <f t="shared" si="6"/>
        <v/>
      </c>
      <c r="W646" s="66"/>
      <c r="X646" s="66">
        <f t="shared" si="7"/>
        <v>416.307521</v>
      </c>
      <c r="Y646" s="66"/>
      <c r="Z646" s="66"/>
      <c r="AA646" s="66"/>
      <c r="AB646" s="63"/>
      <c r="AC646" s="63"/>
      <c r="AD646" s="63"/>
      <c r="AE646" s="63"/>
      <c r="AF646" s="63"/>
      <c r="AG646" s="63"/>
      <c r="AH646" s="63" t="str">
        <f t="shared" si="14"/>
        <v/>
      </c>
      <c r="AI646" s="63" t="str">
        <f>if(AH646,_xlfn.workday.intl(int(AH646),0,"1000000",Holidays!A:A)+18/24,"")</f>
        <v/>
      </c>
      <c r="AJ646" s="64" t="str">
        <f t="shared" si="24"/>
        <v/>
      </c>
      <c r="AL646" s="66" t="str">
        <f t="shared" si="9"/>
        <v/>
      </c>
      <c r="AM646" s="66"/>
      <c r="AN646" s="63" t="str">
        <f>if(AJ646,if(and(hour(AJ646+AN$5)&gt;11,(hour(AJ646+AN$5)&lt;20)),AJ646+AN$5,_xlfn.workday.intl(int(AJ646),1,"1000000",Holidays!A:A)+hour(AJ646+AN$5-$B$1)/24+minute(AJ646)/1440),"")</f>
        <v/>
      </c>
      <c r="AO646" s="64" t="str">
        <f t="shared" si="15"/>
        <v/>
      </c>
      <c r="AQ646" s="66" t="str">
        <f t="shared" si="16"/>
        <v/>
      </c>
      <c r="AR646" s="66"/>
      <c r="AS646" s="63" t="str">
        <f>if(AJ646,if(and(hour(AJ646+AS$5)&gt;11,(hour(AJ646+AS$5)&lt;20)),AJ646+AS$5,_xlfn.workday.intl(int(AJ646),1,"1000000",Holidays!A:A)+hour(AJ646+AS$5-$B$1)/24+minute(AJ646)/1440),"")</f>
        <v/>
      </c>
      <c r="AT646" s="64" t="str">
        <f t="shared" si="21"/>
        <v/>
      </c>
      <c r="AV646" s="66" t="str">
        <f t="shared" si="25"/>
        <v/>
      </c>
      <c r="AW646" s="66"/>
      <c r="AX646" s="56"/>
    </row>
    <row r="647">
      <c r="A647" s="55">
        <v>45721.70481887732</v>
      </c>
      <c r="B647" s="56"/>
      <c r="C647" s="57"/>
      <c r="D647" s="57"/>
      <c r="E647" s="57"/>
      <c r="F647" s="57"/>
      <c r="G647" s="58">
        <f>if(A647,_xlfn.workday.intl(int(A647),1,"1000000",Holidays!A:A)+17/24,"")</f>
        <v>45722.70833</v>
      </c>
      <c r="H647" s="59" t="str">
        <f t="shared" si="23"/>
        <v/>
      </c>
      <c r="I647" s="60"/>
      <c r="J647" s="61">
        <f t="shared" si="2"/>
        <v>411.2755766</v>
      </c>
      <c r="K647" s="58">
        <f>if(G647,_xlfn.workday.intl(int(G647),0,"1000000",Holidays!A:A)+19/24,"")</f>
        <v>45722.79167</v>
      </c>
      <c r="L647" s="59" t="str">
        <f t="shared" si="3"/>
        <v/>
      </c>
      <c r="M647" s="60"/>
      <c r="N647" s="61">
        <f t="shared" si="4"/>
        <v>411.1922432</v>
      </c>
      <c r="O647" s="63">
        <f>if(A647,_xlfn.WORKDAY.INTL(A647,O$5,"1000000",Holidays!A:A)+hour(A647)/24+MINUTE(A647)/1440,"")</f>
        <v>45722.70417</v>
      </c>
      <c r="P647" s="64" t="s">
        <v>2718</v>
      </c>
      <c r="R647" s="66">
        <f t="shared" si="5"/>
        <v>411.2797432</v>
      </c>
      <c r="S647" s="66"/>
      <c r="T647" s="66"/>
      <c r="U647" s="64">
        <f>if(O647,_xlfn.WORKDAY.INTL(O647,U$5,"1000000",Holidays!A:A)+hour(O647)/24+MINUTE(O647)/1440,"")</f>
        <v>45723.70417</v>
      </c>
      <c r="V647" s="64" t="str">
        <f t="shared" si="6"/>
        <v/>
      </c>
      <c r="W647" s="66"/>
      <c r="X647" s="66">
        <f t="shared" si="7"/>
        <v>410.2797432</v>
      </c>
      <c r="Y647" s="66"/>
      <c r="Z647" s="66"/>
      <c r="AA647" s="66"/>
      <c r="AB647" s="63"/>
      <c r="AC647" s="63"/>
      <c r="AD647" s="63"/>
      <c r="AE647" s="63"/>
      <c r="AF647" s="63"/>
      <c r="AG647" s="63"/>
      <c r="AH647" s="63" t="str">
        <f t="shared" si="14"/>
        <v/>
      </c>
      <c r="AI647" s="63" t="str">
        <f>if(AH647,_xlfn.workday.intl(int(AH647),0,"1000000",Holidays!A:A)+18/24,"")</f>
        <v/>
      </c>
      <c r="AJ647" s="64" t="str">
        <f t="shared" si="24"/>
        <v/>
      </c>
      <c r="AL647" s="66" t="str">
        <f t="shared" si="9"/>
        <v/>
      </c>
      <c r="AM647" s="66"/>
      <c r="AN647" s="63" t="str">
        <f>if(AJ647,if(and(hour(AJ647+AN$5)&gt;11,(hour(AJ647+AN$5)&lt;20)),AJ647+AN$5,_xlfn.workday.intl(int(AJ647),1,"1000000",Holidays!A:A)+hour(AJ647+AN$5-$B$1)/24+minute(AJ647)/1440),"")</f>
        <v/>
      </c>
      <c r="AO647" s="64" t="str">
        <f t="shared" si="15"/>
        <v/>
      </c>
      <c r="AQ647" s="66" t="str">
        <f t="shared" si="16"/>
        <v/>
      </c>
      <c r="AR647" s="66"/>
      <c r="AS647" s="63" t="str">
        <f>if(AJ647,if(and(hour(AJ647+AS$5)&gt;11,(hour(AJ647+AS$5)&lt;20)),AJ647+AS$5,_xlfn.workday.intl(int(AJ647),1,"1000000",Holidays!A:A)+hour(AJ647+AS$5-$B$1)/24+minute(AJ647)/1440),"")</f>
        <v/>
      </c>
      <c r="AT647" s="64" t="str">
        <f t="shared" si="21"/>
        <v/>
      </c>
      <c r="AV647" s="66" t="str">
        <f t="shared" si="25"/>
        <v/>
      </c>
      <c r="AW647" s="66"/>
      <c r="AX647" s="56"/>
    </row>
    <row r="648">
      <c r="A648" s="55">
        <v>45723.697857210645</v>
      </c>
      <c r="B648" s="56"/>
      <c r="C648" s="57"/>
      <c r="D648" s="57"/>
      <c r="E648" s="57"/>
      <c r="F648" s="57"/>
      <c r="G648" s="58">
        <f>if(A648,_xlfn.workday.intl(int(A648),1,"1000000",Holidays!A:A)+17/24,"")</f>
        <v>45724.70833</v>
      </c>
      <c r="H648" s="59" t="str">
        <f t="shared" si="23"/>
        <v/>
      </c>
      <c r="I648" s="60"/>
      <c r="J648" s="61">
        <f t="shared" si="2"/>
        <v>409.2755766</v>
      </c>
      <c r="K648" s="58">
        <f>if(G648,_xlfn.workday.intl(int(G648),0,"1000000",Holidays!A:A)+19/24,"")</f>
        <v>45724.79167</v>
      </c>
      <c r="L648" s="59" t="str">
        <f t="shared" si="3"/>
        <v/>
      </c>
      <c r="M648" s="60"/>
      <c r="N648" s="61">
        <f t="shared" si="4"/>
        <v>409.1922432</v>
      </c>
      <c r="O648" s="63">
        <f>if(A648,_xlfn.WORKDAY.INTL(A648,O$5,"1000000",Holidays!A:A)+hour(A648)/24+MINUTE(A648)/1440,"")</f>
        <v>45724.69722</v>
      </c>
      <c r="P648" s="64" t="s">
        <v>2718</v>
      </c>
      <c r="R648" s="66">
        <f t="shared" si="5"/>
        <v>409.2866877</v>
      </c>
      <c r="S648" s="66"/>
      <c r="T648" s="66"/>
      <c r="U648" s="64">
        <f>if(O648,_xlfn.WORKDAY.INTL(O648,U$5,"1000000",Holidays!A:A)+hour(O648)/24+MINUTE(O648)/1440,"")</f>
        <v>45725.69722</v>
      </c>
      <c r="V648" s="64" t="str">
        <f t="shared" si="6"/>
        <v/>
      </c>
      <c r="W648" s="66"/>
      <c r="X648" s="66">
        <f t="shared" si="7"/>
        <v>408.2866877</v>
      </c>
      <c r="Y648" s="66"/>
      <c r="Z648" s="66"/>
      <c r="AA648" s="66"/>
      <c r="AB648" s="63"/>
      <c r="AC648" s="63"/>
      <c r="AD648" s="63"/>
      <c r="AE648" s="63"/>
      <c r="AF648" s="63"/>
      <c r="AG648" s="63"/>
      <c r="AH648" s="63" t="str">
        <f t="shared" si="14"/>
        <v/>
      </c>
      <c r="AI648" s="63" t="str">
        <f>if(AH648,_xlfn.workday.intl(int(AH648),0,"1000000",Holidays!A:A)+18/24,"")</f>
        <v/>
      </c>
      <c r="AJ648" s="64" t="str">
        <f t="shared" si="24"/>
        <v/>
      </c>
      <c r="AL648" s="66" t="str">
        <f t="shared" si="9"/>
        <v/>
      </c>
      <c r="AM648" s="66"/>
      <c r="AN648" s="63" t="str">
        <f>if(AJ648,if(and(hour(AJ648+AN$5)&gt;11,(hour(AJ648+AN$5)&lt;20)),AJ648+AN$5,_xlfn.workday.intl(int(AJ648),1,"1000000",Holidays!A:A)+hour(AJ648+AN$5-$B$1)/24+minute(AJ648)/1440),"")</f>
        <v/>
      </c>
      <c r="AO648" s="64" t="str">
        <f t="shared" si="15"/>
        <v/>
      </c>
      <c r="AQ648" s="66" t="str">
        <f t="shared" si="16"/>
        <v/>
      </c>
      <c r="AR648" s="66"/>
      <c r="AS648" s="63" t="str">
        <f>if(AJ648,if(and(hour(AJ648+AS$5)&gt;11,(hour(AJ648+AS$5)&lt;20)),AJ648+AS$5,_xlfn.workday.intl(int(AJ648),1,"1000000",Holidays!A:A)+hour(AJ648+AS$5-$B$1)/24+minute(AJ648)/1440),"")</f>
        <v/>
      </c>
      <c r="AT648" s="64" t="str">
        <f t="shared" si="21"/>
        <v/>
      </c>
      <c r="AV648" s="66" t="str">
        <f t="shared" si="25"/>
        <v/>
      </c>
      <c r="AW648" s="66"/>
      <c r="AX648" s="56"/>
    </row>
    <row r="649">
      <c r="A649" s="55">
        <v>45723.70490146991</v>
      </c>
      <c r="B649" s="56"/>
      <c r="C649" s="57"/>
      <c r="D649" s="57"/>
      <c r="E649" s="57"/>
      <c r="F649" s="57"/>
      <c r="G649" s="58">
        <f>if(A649,_xlfn.workday.intl(int(A649),1,"1000000",Holidays!A:A)+17/24,"")</f>
        <v>45724.70833</v>
      </c>
      <c r="H649" s="59" t="str">
        <f t="shared" si="23"/>
        <v/>
      </c>
      <c r="I649" s="60"/>
      <c r="J649" s="61">
        <f t="shared" si="2"/>
        <v>409.2755766</v>
      </c>
      <c r="K649" s="58">
        <f>if(G649,_xlfn.workday.intl(int(G649),0,"1000000",Holidays!A:A)+19/24,"")</f>
        <v>45724.79167</v>
      </c>
      <c r="L649" s="59" t="str">
        <f t="shared" si="3"/>
        <v/>
      </c>
      <c r="M649" s="60"/>
      <c r="N649" s="61">
        <f t="shared" si="4"/>
        <v>409.1922432</v>
      </c>
      <c r="O649" s="63">
        <f>if(A649,_xlfn.WORKDAY.INTL(A649,O$5,"1000000",Holidays!A:A)+hour(A649)/24+MINUTE(A649)/1440,"")</f>
        <v>45724.70486</v>
      </c>
      <c r="P649" s="64" t="s">
        <v>2718</v>
      </c>
      <c r="R649" s="66">
        <f t="shared" si="5"/>
        <v>409.2790488</v>
      </c>
      <c r="S649" s="66"/>
      <c r="T649" s="66"/>
      <c r="U649" s="64">
        <f>if(O649,_xlfn.WORKDAY.INTL(O649,U$5,"1000000",Holidays!A:A)+hour(O649)/24+MINUTE(O649)/1440,"")</f>
        <v>45725.70486</v>
      </c>
      <c r="V649" s="64" t="str">
        <f t="shared" si="6"/>
        <v/>
      </c>
      <c r="W649" s="66"/>
      <c r="X649" s="66">
        <f t="shared" si="7"/>
        <v>408.2790488</v>
      </c>
      <c r="Y649" s="66"/>
      <c r="Z649" s="66"/>
      <c r="AA649" s="66"/>
      <c r="AB649" s="63"/>
      <c r="AC649" s="63"/>
      <c r="AD649" s="63"/>
      <c r="AE649" s="63"/>
      <c r="AF649" s="63"/>
      <c r="AG649" s="63"/>
      <c r="AH649" s="63" t="str">
        <f t="shared" si="14"/>
        <v/>
      </c>
      <c r="AI649" s="63" t="str">
        <f>if(AH649,_xlfn.workday.intl(int(AH649),0,"1000000",Holidays!A:A)+18/24,"")</f>
        <v/>
      </c>
      <c r="AJ649" s="64" t="str">
        <f t="shared" si="24"/>
        <v/>
      </c>
      <c r="AL649" s="66" t="str">
        <f t="shared" si="9"/>
        <v/>
      </c>
      <c r="AM649" s="66"/>
      <c r="AN649" s="63" t="str">
        <f>if(AJ649,if(and(hour(AJ649+AN$5)&gt;11,(hour(AJ649+AN$5)&lt;20)),AJ649+AN$5,_xlfn.workday.intl(int(AJ649),1,"1000000",Holidays!A:A)+hour(AJ649+AN$5-$B$1)/24+minute(AJ649)/1440),"")</f>
        <v/>
      </c>
      <c r="AO649" s="64" t="str">
        <f t="shared" si="15"/>
        <v/>
      </c>
      <c r="AQ649" s="66" t="str">
        <f t="shared" si="16"/>
        <v/>
      </c>
      <c r="AR649" s="66"/>
      <c r="AS649" s="63" t="str">
        <f>if(AJ649,if(and(hour(AJ649+AS$5)&gt;11,(hour(AJ649+AS$5)&lt;20)),AJ649+AS$5,_xlfn.workday.intl(int(AJ649),1,"1000000",Holidays!A:A)+hour(AJ649+AS$5-$B$1)/24+minute(AJ649)/1440),"")</f>
        <v/>
      </c>
      <c r="AT649" s="64" t="str">
        <f t="shared" si="21"/>
        <v/>
      </c>
      <c r="AV649" s="66" t="str">
        <f t="shared" si="25"/>
        <v/>
      </c>
      <c r="AW649" s="66"/>
      <c r="AX649" s="56"/>
    </row>
    <row r="650">
      <c r="A650" s="55">
        <v>45727.7316980787</v>
      </c>
      <c r="B650" s="56"/>
      <c r="C650" s="57"/>
      <c r="D650" s="57"/>
      <c r="E650" s="57"/>
      <c r="F650" s="57"/>
      <c r="G650" s="58">
        <f>if(A650,_xlfn.workday.intl(int(A650),1,"1000000",Holidays!A:A)+17/24,"")</f>
        <v>45728.70833</v>
      </c>
      <c r="H650" s="59" t="str">
        <f t="shared" si="23"/>
        <v/>
      </c>
      <c r="I650" s="60"/>
      <c r="J650" s="61">
        <f t="shared" si="2"/>
        <v>405.2755766</v>
      </c>
      <c r="K650" s="58">
        <f>if(G650,_xlfn.workday.intl(int(G650),0,"1000000",Holidays!A:A)+19/24,"")</f>
        <v>45728.79167</v>
      </c>
      <c r="L650" s="59" t="str">
        <f t="shared" si="3"/>
        <v/>
      </c>
      <c r="M650" s="60"/>
      <c r="N650" s="61">
        <f t="shared" si="4"/>
        <v>405.1922432</v>
      </c>
      <c r="O650" s="63">
        <f>if(A650,_xlfn.WORKDAY.INTL(A650,O$5,"1000000",Holidays!A:A)+hour(A650)/24+MINUTE(A650)/1440,"")</f>
        <v>45728.73125</v>
      </c>
      <c r="P650" s="64" t="s">
        <v>2718</v>
      </c>
      <c r="R650" s="66">
        <f t="shared" si="5"/>
        <v>405.2526599</v>
      </c>
      <c r="S650" s="66"/>
      <c r="T650" s="66"/>
      <c r="U650" s="64">
        <f>if(O650,_xlfn.WORKDAY.INTL(O650,U$5,"1000000",Holidays!A:A)+hour(O650)/24+MINUTE(O650)/1440,"")</f>
        <v>45729.73125</v>
      </c>
      <c r="V650" s="64" t="str">
        <f t="shared" si="6"/>
        <v/>
      </c>
      <c r="W650" s="66"/>
      <c r="X650" s="66">
        <f t="shared" si="7"/>
        <v>404.2526599</v>
      </c>
      <c r="Y650" s="66"/>
      <c r="Z650" s="66"/>
      <c r="AA650" s="66"/>
      <c r="AB650" s="63"/>
      <c r="AC650" s="63"/>
      <c r="AD650" s="63"/>
      <c r="AE650" s="63"/>
      <c r="AF650" s="63"/>
      <c r="AG650" s="63"/>
      <c r="AH650" s="63" t="str">
        <f t="shared" si="14"/>
        <v/>
      </c>
      <c r="AI650" s="63" t="str">
        <f>if(AH650,_xlfn.workday.intl(int(AH650),0,"1000000",Holidays!A:A)+18/24,"")</f>
        <v/>
      </c>
      <c r="AJ650" s="64" t="str">
        <f t="shared" si="24"/>
        <v/>
      </c>
      <c r="AL650" s="66" t="str">
        <f t="shared" si="9"/>
        <v/>
      </c>
      <c r="AM650" s="66"/>
      <c r="AN650" s="63" t="str">
        <f>if(AJ650,if(and(hour(AJ650+AN$5)&gt;11,(hour(AJ650+AN$5)&lt;20)),AJ650+AN$5,_xlfn.workday.intl(int(AJ650),1,"1000000",Holidays!A:A)+hour(AJ650+AN$5-$B$1)/24+minute(AJ650)/1440),"")</f>
        <v/>
      </c>
      <c r="AO650" s="64" t="str">
        <f t="shared" si="15"/>
        <v/>
      </c>
      <c r="AQ650" s="66" t="str">
        <f t="shared" si="16"/>
        <v/>
      </c>
      <c r="AR650" s="66"/>
      <c r="AS650" s="63" t="str">
        <f>if(AJ650,if(and(hour(AJ650+AS$5)&gt;11,(hour(AJ650+AS$5)&lt;20)),AJ650+AS$5,_xlfn.workday.intl(int(AJ650),1,"1000000",Holidays!A:A)+hour(AJ650+AS$5-$B$1)/24+minute(AJ650)/1440),"")</f>
        <v/>
      </c>
      <c r="AT650" s="64" t="str">
        <f t="shared" si="21"/>
        <v/>
      </c>
      <c r="AV650" s="66" t="str">
        <f t="shared" si="25"/>
        <v/>
      </c>
      <c r="AW650" s="66"/>
      <c r="AX650" s="56"/>
    </row>
    <row r="651">
      <c r="A651" s="55">
        <v>45727.74250353009</v>
      </c>
      <c r="B651" s="56"/>
      <c r="C651" s="57"/>
      <c r="D651" s="57"/>
      <c r="E651" s="57"/>
      <c r="F651" s="57"/>
      <c r="G651" s="58">
        <f>if(A651,_xlfn.workday.intl(int(A651),1,"1000000",Holidays!A:A)+17/24,"")</f>
        <v>45728.70833</v>
      </c>
      <c r="H651" s="59" t="str">
        <f t="shared" si="23"/>
        <v/>
      </c>
      <c r="I651" s="60"/>
      <c r="J651" s="61">
        <f t="shared" si="2"/>
        <v>405.2755766</v>
      </c>
      <c r="K651" s="58">
        <f>if(G651,_xlfn.workday.intl(int(G651),0,"1000000",Holidays!A:A)+19/24,"")</f>
        <v>45728.79167</v>
      </c>
      <c r="L651" s="59" t="str">
        <f t="shared" si="3"/>
        <v/>
      </c>
      <c r="M651" s="60"/>
      <c r="N651" s="61">
        <f t="shared" si="4"/>
        <v>405.1922432</v>
      </c>
      <c r="O651" s="63">
        <f>if(A651,_xlfn.WORKDAY.INTL(A651,O$5,"1000000",Holidays!A:A)+hour(A651)/24+MINUTE(A651)/1440,"")</f>
        <v>45728.74236</v>
      </c>
      <c r="P651" s="64" t="s">
        <v>2718</v>
      </c>
      <c r="R651" s="66">
        <f t="shared" si="5"/>
        <v>405.2415488</v>
      </c>
      <c r="S651" s="66"/>
      <c r="T651" s="66"/>
      <c r="U651" s="64">
        <f>if(O651,_xlfn.WORKDAY.INTL(O651,U$5,"1000000",Holidays!A:A)+hour(O651)/24+MINUTE(O651)/1440,"")</f>
        <v>45729.74236</v>
      </c>
      <c r="V651" s="64" t="str">
        <f t="shared" si="6"/>
        <v/>
      </c>
      <c r="W651" s="66"/>
      <c r="X651" s="66">
        <f t="shared" si="7"/>
        <v>404.2415488</v>
      </c>
      <c r="Y651" s="66"/>
      <c r="Z651" s="66"/>
      <c r="AA651" s="66"/>
      <c r="AB651" s="63"/>
      <c r="AC651" s="63"/>
      <c r="AD651" s="63"/>
      <c r="AE651" s="63"/>
      <c r="AF651" s="63"/>
      <c r="AG651" s="63"/>
      <c r="AH651" s="63" t="str">
        <f t="shared" si="14"/>
        <v/>
      </c>
      <c r="AI651" s="63" t="str">
        <f>if(AH651,_xlfn.workday.intl(int(AH651),0,"1000000",Holidays!A:A)+18/24,"")</f>
        <v/>
      </c>
      <c r="AJ651" s="64" t="str">
        <f t="shared" si="24"/>
        <v/>
      </c>
      <c r="AL651" s="66" t="str">
        <f t="shared" si="9"/>
        <v/>
      </c>
      <c r="AM651" s="66"/>
      <c r="AN651" s="63" t="str">
        <f>if(AJ651,if(and(hour(AJ651+AN$5)&gt;11,(hour(AJ651+AN$5)&lt;20)),AJ651+AN$5,_xlfn.workday.intl(int(AJ651),1,"1000000",Holidays!A:A)+hour(AJ651+AN$5-$B$1)/24+minute(AJ651)/1440),"")</f>
        <v/>
      </c>
      <c r="AO651" s="64" t="str">
        <f t="shared" si="15"/>
        <v/>
      </c>
      <c r="AQ651" s="66" t="str">
        <f t="shared" si="16"/>
        <v/>
      </c>
      <c r="AR651" s="66"/>
      <c r="AS651" s="63" t="str">
        <f>if(AJ651,if(and(hour(AJ651+AS$5)&gt;11,(hour(AJ651+AS$5)&lt;20)),AJ651+AS$5,_xlfn.workday.intl(int(AJ651),1,"1000000",Holidays!A:A)+hour(AJ651+AS$5-$B$1)/24+minute(AJ651)/1440),"")</f>
        <v/>
      </c>
      <c r="AT651" s="64" t="str">
        <f t="shared" si="21"/>
        <v/>
      </c>
      <c r="AV651" s="66" t="str">
        <f t="shared" si="25"/>
        <v/>
      </c>
      <c r="AW651" s="66"/>
      <c r="AX651" s="56"/>
    </row>
    <row r="652">
      <c r="A652" s="55">
        <v>45729.535630694445</v>
      </c>
      <c r="B652" s="56"/>
      <c r="C652" s="57"/>
      <c r="D652" s="57"/>
      <c r="E652" s="57"/>
      <c r="F652" s="57"/>
      <c r="G652" s="58">
        <f>if(A652,_xlfn.workday.intl(int(A652),1,"1000000",Holidays!A:A)+17/24,"")</f>
        <v>45730.70833</v>
      </c>
      <c r="H652" s="59" t="str">
        <f t="shared" si="23"/>
        <v/>
      </c>
      <c r="I652" s="60"/>
      <c r="J652" s="61">
        <f t="shared" si="2"/>
        <v>403.2755766</v>
      </c>
      <c r="K652" s="58">
        <f>if(G652,_xlfn.workday.intl(int(G652),0,"1000000",Holidays!A:A)+19/24,"")</f>
        <v>45730.79167</v>
      </c>
      <c r="L652" s="59" t="str">
        <f t="shared" si="3"/>
        <v/>
      </c>
      <c r="M652" s="60"/>
      <c r="N652" s="61">
        <f t="shared" si="4"/>
        <v>403.1922432</v>
      </c>
      <c r="O652" s="63">
        <f>if(A652,_xlfn.WORKDAY.INTL(A652,O$5,"1000000",Holidays!A:A)+hour(A652)/24+MINUTE(A652)/1440,"")</f>
        <v>45730.53542</v>
      </c>
      <c r="P652" s="64" t="s">
        <v>2718</v>
      </c>
      <c r="R652" s="66">
        <f t="shared" si="5"/>
        <v>403.4484932</v>
      </c>
      <c r="S652" s="66"/>
      <c r="T652" s="66"/>
      <c r="U652" s="64">
        <f>if(O652,_xlfn.WORKDAY.INTL(O652,U$5,"1000000",Holidays!A:A)+hour(O652)/24+MINUTE(O652)/1440,"")</f>
        <v>45731.53542</v>
      </c>
      <c r="V652" s="64" t="str">
        <f t="shared" si="6"/>
        <v/>
      </c>
      <c r="W652" s="66"/>
      <c r="X652" s="66">
        <f t="shared" si="7"/>
        <v>402.4484932</v>
      </c>
      <c r="Y652" s="66"/>
      <c r="Z652" s="66"/>
      <c r="AA652" s="66"/>
      <c r="AB652" s="63"/>
      <c r="AC652" s="63"/>
      <c r="AD652" s="63"/>
      <c r="AE652" s="63"/>
      <c r="AF652" s="63"/>
      <c r="AG652" s="63"/>
      <c r="AH652" s="63" t="str">
        <f t="shared" si="14"/>
        <v/>
      </c>
      <c r="AI652" s="63" t="str">
        <f>if(AH652,_xlfn.workday.intl(int(AH652),0,"1000000",Holidays!A:A)+18/24,"")</f>
        <v/>
      </c>
      <c r="AJ652" s="64" t="str">
        <f t="shared" si="24"/>
        <v/>
      </c>
      <c r="AL652" s="66" t="str">
        <f t="shared" si="9"/>
        <v/>
      </c>
      <c r="AM652" s="66"/>
      <c r="AN652" s="63" t="str">
        <f>if(AJ652,if(and(hour(AJ652+AN$5)&gt;11,(hour(AJ652+AN$5)&lt;20)),AJ652+AN$5,_xlfn.workday.intl(int(AJ652),1,"1000000",Holidays!A:A)+hour(AJ652+AN$5-$B$1)/24+minute(AJ652)/1440),"")</f>
        <v/>
      </c>
      <c r="AO652" s="64" t="str">
        <f t="shared" si="15"/>
        <v/>
      </c>
      <c r="AQ652" s="66" t="str">
        <f t="shared" si="16"/>
        <v/>
      </c>
      <c r="AR652" s="66"/>
      <c r="AS652" s="63" t="str">
        <f>if(AJ652,if(and(hour(AJ652+AS$5)&gt;11,(hour(AJ652+AS$5)&lt;20)),AJ652+AS$5,_xlfn.workday.intl(int(AJ652),1,"1000000",Holidays!A:A)+hour(AJ652+AS$5-$B$1)/24+minute(AJ652)/1440),"")</f>
        <v/>
      </c>
      <c r="AT652" s="64" t="str">
        <f t="shared" si="21"/>
        <v/>
      </c>
      <c r="AV652" s="66" t="str">
        <f t="shared" si="25"/>
        <v/>
      </c>
      <c r="AW652" s="66"/>
      <c r="AX652" s="56"/>
    </row>
    <row r="653">
      <c r="A653" s="55">
        <v>45737.507457291664</v>
      </c>
      <c r="B653" s="56"/>
      <c r="C653" s="57"/>
      <c r="D653" s="57"/>
      <c r="E653" s="57"/>
      <c r="F653" s="57"/>
      <c r="G653" s="58">
        <f>if(A653,_xlfn.workday.intl(int(A653),1,"1000000",Holidays!A:A)+17/24,"")</f>
        <v>45738.70833</v>
      </c>
      <c r="H653" s="59" t="str">
        <f t="shared" si="23"/>
        <v/>
      </c>
      <c r="I653" s="60"/>
      <c r="J653" s="61">
        <f t="shared" si="2"/>
        <v>395.2755766</v>
      </c>
      <c r="K653" s="58">
        <f>if(G653,_xlfn.workday.intl(int(G653),0,"1000000",Holidays!A:A)+19/24,"")</f>
        <v>45738.79167</v>
      </c>
      <c r="L653" s="59" t="str">
        <f t="shared" si="3"/>
        <v/>
      </c>
      <c r="M653" s="60"/>
      <c r="N653" s="61">
        <f t="shared" si="4"/>
        <v>395.1922432</v>
      </c>
      <c r="O653" s="63">
        <f>if(A653,_xlfn.WORKDAY.INTL(A653,O$5,"1000000",Holidays!A:A)+hour(A653)/24+MINUTE(A653)/1440,"")</f>
        <v>45738.50694</v>
      </c>
      <c r="P653" s="64" t="s">
        <v>2718</v>
      </c>
      <c r="R653" s="66">
        <f t="shared" si="5"/>
        <v>395.4769655</v>
      </c>
      <c r="S653" s="66"/>
      <c r="T653" s="66"/>
      <c r="U653" s="64">
        <f>if(O653,_xlfn.WORKDAY.INTL(O653,U$5,"1000000",Holidays!A:A)+hour(O653)/24+MINUTE(O653)/1440,"")</f>
        <v>45739.50694</v>
      </c>
      <c r="V653" s="64" t="str">
        <f t="shared" si="6"/>
        <v/>
      </c>
      <c r="W653" s="66"/>
      <c r="X653" s="66">
        <f t="shared" si="7"/>
        <v>394.4769655</v>
      </c>
      <c r="Y653" s="66"/>
      <c r="Z653" s="66"/>
      <c r="AA653" s="66"/>
      <c r="AB653" s="63"/>
      <c r="AC653" s="63"/>
      <c r="AD653" s="63"/>
      <c r="AE653" s="63"/>
      <c r="AF653" s="63"/>
      <c r="AG653" s="63"/>
      <c r="AH653" s="63" t="str">
        <f t="shared" si="14"/>
        <v/>
      </c>
      <c r="AI653" s="63" t="str">
        <f>if(AH653,_xlfn.workday.intl(int(AH653),0,"1000000",Holidays!A:A)+18/24,"")</f>
        <v/>
      </c>
      <c r="AJ653" s="64" t="str">
        <f t="shared" si="24"/>
        <v/>
      </c>
      <c r="AL653" s="66" t="str">
        <f t="shared" si="9"/>
        <v/>
      </c>
      <c r="AM653" s="66"/>
      <c r="AN653" s="63" t="str">
        <f>if(AJ653,if(and(hour(AJ653+AN$5)&gt;11,(hour(AJ653+AN$5)&lt;20)),AJ653+AN$5,_xlfn.workday.intl(int(AJ653),1,"1000000",Holidays!A:A)+hour(AJ653+AN$5-$B$1)/24+minute(AJ653)/1440),"")</f>
        <v/>
      </c>
      <c r="AO653" s="64" t="str">
        <f t="shared" si="15"/>
        <v/>
      </c>
      <c r="AQ653" s="66" t="str">
        <f t="shared" si="16"/>
        <v/>
      </c>
      <c r="AR653" s="66"/>
      <c r="AS653" s="63" t="str">
        <f>if(AJ653,if(and(hour(AJ653+AS$5)&gt;11,(hour(AJ653+AS$5)&lt;20)),AJ653+AS$5,_xlfn.workday.intl(int(AJ653),1,"1000000",Holidays!A:A)+hour(AJ653+AS$5-$B$1)/24+minute(AJ653)/1440),"")</f>
        <v/>
      </c>
      <c r="AT653" s="64" t="str">
        <f t="shared" si="21"/>
        <v/>
      </c>
      <c r="AV653" s="66" t="str">
        <f t="shared" si="25"/>
        <v/>
      </c>
      <c r="AW653" s="66"/>
      <c r="AX653" s="56"/>
    </row>
    <row r="654">
      <c r="A654" s="55">
        <v>45737.63729546296</v>
      </c>
      <c r="B654" s="56"/>
      <c r="C654" s="57"/>
      <c r="D654" s="57"/>
      <c r="E654" s="57"/>
      <c r="F654" s="57"/>
      <c r="G654" s="58">
        <f>if(A654,_xlfn.workday.intl(int(A654),1,"1000000",Holidays!A:A)+17/24,"")</f>
        <v>45738.70833</v>
      </c>
      <c r="H654" s="59" t="str">
        <f t="shared" si="23"/>
        <v/>
      </c>
      <c r="I654" s="60"/>
      <c r="J654" s="61">
        <f t="shared" si="2"/>
        <v>395.2755766</v>
      </c>
      <c r="K654" s="58">
        <f>if(G654,_xlfn.workday.intl(int(G654),0,"1000000",Holidays!A:A)+19/24,"")</f>
        <v>45738.79167</v>
      </c>
      <c r="L654" s="59" t="str">
        <f t="shared" si="3"/>
        <v/>
      </c>
      <c r="M654" s="60"/>
      <c r="N654" s="61">
        <f t="shared" si="4"/>
        <v>395.1922432</v>
      </c>
      <c r="O654" s="63">
        <f>if(A654,_xlfn.WORKDAY.INTL(A654,O$5,"1000000",Holidays!A:A)+hour(A654)/24+MINUTE(A654)/1440,"")</f>
        <v>45738.63681</v>
      </c>
      <c r="P654" s="64" t="s">
        <v>2718</v>
      </c>
      <c r="R654" s="66">
        <f t="shared" si="5"/>
        <v>395.3471043</v>
      </c>
      <c r="S654" s="66"/>
      <c r="T654" s="66"/>
      <c r="U654" s="64">
        <f>if(O654,_xlfn.WORKDAY.INTL(O654,U$5,"1000000",Holidays!A:A)+hour(O654)/24+MINUTE(O654)/1440,"")</f>
        <v>45739.63681</v>
      </c>
      <c r="V654" s="64" t="str">
        <f t="shared" si="6"/>
        <v/>
      </c>
      <c r="W654" s="66"/>
      <c r="X654" s="66">
        <f t="shared" si="7"/>
        <v>394.3471043</v>
      </c>
      <c r="Y654" s="66"/>
      <c r="Z654" s="66"/>
      <c r="AA654" s="66"/>
      <c r="AB654" s="63"/>
      <c r="AC654" s="63"/>
      <c r="AD654" s="63"/>
      <c r="AE654" s="63"/>
      <c r="AF654" s="63"/>
      <c r="AG654" s="63"/>
      <c r="AH654" s="63" t="str">
        <f t="shared" si="14"/>
        <v/>
      </c>
      <c r="AI654" s="63" t="str">
        <f>if(AH654,_xlfn.workday.intl(int(AH654),0,"1000000",Holidays!A:A)+18/24,"")</f>
        <v/>
      </c>
      <c r="AJ654" s="64" t="str">
        <f t="shared" si="24"/>
        <v/>
      </c>
      <c r="AL654" s="66" t="str">
        <f t="shared" si="9"/>
        <v/>
      </c>
      <c r="AM654" s="66"/>
      <c r="AN654" s="63" t="str">
        <f>if(AJ654,if(and(hour(AJ654+AN$5)&gt;11,(hour(AJ654+AN$5)&lt;20)),AJ654+AN$5,_xlfn.workday.intl(int(AJ654),1,"1000000",Holidays!A:A)+hour(AJ654+AN$5-$B$1)/24+minute(AJ654)/1440),"")</f>
        <v/>
      </c>
      <c r="AO654" s="64" t="str">
        <f t="shared" si="15"/>
        <v/>
      </c>
      <c r="AQ654" s="66" t="str">
        <f t="shared" si="16"/>
        <v/>
      </c>
      <c r="AR654" s="66"/>
      <c r="AS654" s="63" t="str">
        <f>if(AJ654,if(and(hour(AJ654+AS$5)&gt;11,(hour(AJ654+AS$5)&lt;20)),AJ654+AS$5,_xlfn.workday.intl(int(AJ654),1,"1000000",Holidays!A:A)+hour(AJ654+AS$5-$B$1)/24+minute(AJ654)/1440),"")</f>
        <v/>
      </c>
      <c r="AT654" s="64" t="str">
        <f t="shared" si="21"/>
        <v/>
      </c>
      <c r="AV654" s="66" t="str">
        <f t="shared" si="25"/>
        <v/>
      </c>
      <c r="AW654" s="66"/>
      <c r="AX654" s="56"/>
    </row>
    <row r="655">
      <c r="A655" s="55">
        <v>45742.60968710648</v>
      </c>
      <c r="B655" s="56"/>
      <c r="C655" s="57"/>
      <c r="D655" s="57"/>
      <c r="E655" s="57"/>
      <c r="F655" s="57"/>
      <c r="G655" s="58">
        <f>if(A655,_xlfn.workday.intl(int(A655),1,"1000000",Holidays!A:A)+17/24,"")</f>
        <v>45743.70833</v>
      </c>
      <c r="H655" s="59" t="str">
        <f t="shared" si="23"/>
        <v/>
      </c>
      <c r="I655" s="60"/>
      <c r="J655" s="61">
        <f t="shared" si="2"/>
        <v>390.2755766</v>
      </c>
      <c r="K655" s="58">
        <f>if(G655,_xlfn.workday.intl(int(G655),0,"1000000",Holidays!A:A)+19/24,"")</f>
        <v>45743.79167</v>
      </c>
      <c r="L655" s="59" t="str">
        <f t="shared" si="3"/>
        <v/>
      </c>
      <c r="M655" s="60"/>
      <c r="N655" s="61">
        <f t="shared" si="4"/>
        <v>390.1922432</v>
      </c>
      <c r="O655" s="63">
        <f>if(A655,_xlfn.WORKDAY.INTL(A655,O$5,"1000000",Holidays!A:A)+hour(A655)/24+MINUTE(A655)/1440,"")</f>
        <v>45743.60903</v>
      </c>
      <c r="P655" s="64" t="s">
        <v>2718</v>
      </c>
      <c r="R655" s="66">
        <f t="shared" si="5"/>
        <v>390.3748821</v>
      </c>
      <c r="S655" s="66"/>
      <c r="T655" s="66"/>
      <c r="U655" s="64">
        <f>if(O655,_xlfn.WORKDAY.INTL(O655,U$5,"1000000",Holidays!A:A)+hour(O655)/24+MINUTE(O655)/1440,"")</f>
        <v>45744.60903</v>
      </c>
      <c r="V655" s="64" t="str">
        <f t="shared" si="6"/>
        <v/>
      </c>
      <c r="W655" s="66"/>
      <c r="X655" s="66">
        <f t="shared" si="7"/>
        <v>389.3748821</v>
      </c>
      <c r="Y655" s="66"/>
      <c r="Z655" s="66"/>
      <c r="AA655" s="66"/>
      <c r="AB655" s="63"/>
      <c r="AC655" s="63"/>
      <c r="AD655" s="63"/>
      <c r="AE655" s="63"/>
      <c r="AF655" s="63"/>
      <c r="AG655" s="63"/>
      <c r="AH655" s="63" t="str">
        <f t="shared" si="14"/>
        <v/>
      </c>
      <c r="AI655" s="63" t="str">
        <f>if(AH655,_xlfn.workday.intl(int(AH655),0,"1000000",Holidays!A:A)+18/24,"")</f>
        <v/>
      </c>
      <c r="AJ655" s="64" t="str">
        <f t="shared" si="24"/>
        <v/>
      </c>
      <c r="AL655" s="66" t="str">
        <f t="shared" si="9"/>
        <v/>
      </c>
      <c r="AM655" s="66"/>
      <c r="AN655" s="63" t="str">
        <f>if(AJ655,if(and(hour(AJ655+AN$5)&gt;11,(hour(AJ655+AN$5)&lt;20)),AJ655+AN$5,_xlfn.workday.intl(int(AJ655),1,"1000000",Holidays!A:A)+hour(AJ655+AN$5-$B$1)/24+minute(AJ655)/1440),"")</f>
        <v/>
      </c>
      <c r="AO655" s="64" t="str">
        <f t="shared" si="15"/>
        <v/>
      </c>
      <c r="AQ655" s="66" t="str">
        <f t="shared" si="16"/>
        <v/>
      </c>
      <c r="AR655" s="66"/>
      <c r="AS655" s="63" t="str">
        <f>if(AJ655,if(and(hour(AJ655+AS$5)&gt;11,(hour(AJ655+AS$5)&lt;20)),AJ655+AS$5,_xlfn.workday.intl(int(AJ655),1,"1000000",Holidays!A:A)+hour(AJ655+AS$5-$B$1)/24+minute(AJ655)/1440),"")</f>
        <v/>
      </c>
      <c r="AT655" s="64" t="str">
        <f t="shared" si="21"/>
        <v/>
      </c>
      <c r="AV655" s="66" t="str">
        <f t="shared" si="25"/>
        <v/>
      </c>
      <c r="AW655" s="66"/>
      <c r="AX655" s="56"/>
    </row>
    <row r="656">
      <c r="A656" s="55">
        <v>45742.62317315972</v>
      </c>
      <c r="B656" s="56"/>
      <c r="C656" s="57"/>
      <c r="D656" s="57"/>
      <c r="E656" s="57"/>
      <c r="F656" s="57"/>
      <c r="G656" s="58">
        <f>if(A656,_xlfn.workday.intl(int(A656),1,"1000000",Holidays!A:A)+17/24,"")</f>
        <v>45743.70833</v>
      </c>
      <c r="H656" s="59" t="str">
        <f t="shared" si="23"/>
        <v/>
      </c>
      <c r="I656" s="60"/>
      <c r="J656" s="61">
        <f t="shared" si="2"/>
        <v>390.2755766</v>
      </c>
      <c r="K656" s="58">
        <f>if(G656,_xlfn.workday.intl(int(G656),0,"1000000",Holidays!A:A)+19/24,"")</f>
        <v>45743.79167</v>
      </c>
      <c r="L656" s="59" t="str">
        <f t="shared" si="3"/>
        <v/>
      </c>
      <c r="M656" s="60"/>
      <c r="N656" s="61">
        <f t="shared" si="4"/>
        <v>390.1922432</v>
      </c>
      <c r="O656" s="63">
        <f>if(A656,_xlfn.WORKDAY.INTL(A656,O$5,"1000000",Holidays!A:A)+hour(A656)/24+MINUTE(A656)/1440,"")</f>
        <v>45743.62292</v>
      </c>
      <c r="P656" s="64" t="s">
        <v>2718</v>
      </c>
      <c r="R656" s="66">
        <f t="shared" si="5"/>
        <v>390.3609932</v>
      </c>
      <c r="S656" s="66"/>
      <c r="T656" s="66"/>
      <c r="U656" s="64">
        <f>if(O656,_xlfn.WORKDAY.INTL(O656,U$5,"1000000",Holidays!A:A)+hour(O656)/24+MINUTE(O656)/1440,"")</f>
        <v>45744.62292</v>
      </c>
      <c r="V656" s="64" t="str">
        <f t="shared" si="6"/>
        <v/>
      </c>
      <c r="W656" s="66"/>
      <c r="X656" s="66">
        <f t="shared" si="7"/>
        <v>389.3609932</v>
      </c>
      <c r="Y656" s="66"/>
      <c r="Z656" s="66"/>
      <c r="AA656" s="66"/>
      <c r="AB656" s="63"/>
      <c r="AC656" s="63"/>
      <c r="AD656" s="63"/>
      <c r="AE656" s="63"/>
      <c r="AF656" s="63"/>
      <c r="AG656" s="63"/>
      <c r="AH656" s="63" t="str">
        <f t="shared" si="14"/>
        <v/>
      </c>
      <c r="AI656" s="63" t="str">
        <f>if(AH656,_xlfn.workday.intl(int(AH656),0,"1000000",Holidays!A:A)+18/24,"")</f>
        <v/>
      </c>
      <c r="AJ656" s="64" t="str">
        <f t="shared" si="24"/>
        <v/>
      </c>
      <c r="AL656" s="66" t="str">
        <f t="shared" si="9"/>
        <v/>
      </c>
      <c r="AM656" s="66"/>
      <c r="AN656" s="63" t="str">
        <f>if(AJ656,if(and(hour(AJ656+AN$5)&gt;11,(hour(AJ656+AN$5)&lt;20)),AJ656+AN$5,_xlfn.workday.intl(int(AJ656),1,"1000000",Holidays!A:A)+hour(AJ656+AN$5-$B$1)/24+minute(AJ656)/1440),"")</f>
        <v/>
      </c>
      <c r="AO656" s="64" t="str">
        <f t="shared" si="15"/>
        <v/>
      </c>
      <c r="AQ656" s="66" t="str">
        <f t="shared" si="16"/>
        <v/>
      </c>
      <c r="AR656" s="66"/>
      <c r="AS656" s="63" t="str">
        <f>if(AJ656,if(and(hour(AJ656+AS$5)&gt;11,(hour(AJ656+AS$5)&lt;20)),AJ656+AS$5,_xlfn.workday.intl(int(AJ656),1,"1000000",Holidays!A:A)+hour(AJ656+AS$5-$B$1)/24+minute(AJ656)/1440),"")</f>
        <v/>
      </c>
      <c r="AT656" s="64" t="str">
        <f t="shared" si="21"/>
        <v/>
      </c>
      <c r="AV656" s="66" t="str">
        <f t="shared" si="25"/>
        <v/>
      </c>
      <c r="AW656" s="66"/>
      <c r="AX656" s="56"/>
    </row>
    <row r="657">
      <c r="A657" s="55">
        <v>45742.627344884255</v>
      </c>
      <c r="B657" s="56"/>
      <c r="C657" s="57"/>
      <c r="D657" s="57"/>
      <c r="E657" s="57"/>
      <c r="F657" s="57"/>
      <c r="G657" s="58">
        <f>if(A657,_xlfn.workday.intl(int(A657),1,"1000000",Holidays!A:A)+17/24,"")</f>
        <v>45743.70833</v>
      </c>
      <c r="H657" s="59" t="str">
        <f t="shared" si="23"/>
        <v/>
      </c>
      <c r="I657" s="60"/>
      <c r="J657" s="61">
        <f t="shared" si="2"/>
        <v>390.2755766</v>
      </c>
      <c r="K657" s="58">
        <f>if(G657,_xlfn.workday.intl(int(G657),0,"1000000",Holidays!A:A)+19/24,"")</f>
        <v>45743.79167</v>
      </c>
      <c r="L657" s="59" t="str">
        <f t="shared" si="3"/>
        <v/>
      </c>
      <c r="M657" s="60"/>
      <c r="N657" s="61">
        <f t="shared" si="4"/>
        <v>390.1922432</v>
      </c>
      <c r="O657" s="63">
        <f>if(A657,_xlfn.WORKDAY.INTL(A657,O$5,"1000000",Holidays!A:A)+hour(A657)/24+MINUTE(A657)/1440,"")</f>
        <v>45743.62708</v>
      </c>
      <c r="P657" s="64" t="s">
        <v>2718</v>
      </c>
      <c r="R657" s="66">
        <f t="shared" si="5"/>
        <v>390.3568266</v>
      </c>
      <c r="S657" s="66"/>
      <c r="T657" s="66"/>
      <c r="U657" s="64">
        <f>if(O657,_xlfn.WORKDAY.INTL(O657,U$5,"1000000",Holidays!A:A)+hour(O657)/24+MINUTE(O657)/1440,"")</f>
        <v>45744.62708</v>
      </c>
      <c r="V657" s="64" t="str">
        <f t="shared" si="6"/>
        <v/>
      </c>
      <c r="W657" s="66"/>
      <c r="X657" s="66">
        <f t="shared" si="7"/>
        <v>389.3568266</v>
      </c>
      <c r="Y657" s="66"/>
      <c r="Z657" s="66"/>
      <c r="AA657" s="66"/>
      <c r="AB657" s="63"/>
      <c r="AC657" s="63"/>
      <c r="AD657" s="63"/>
      <c r="AE657" s="63"/>
      <c r="AF657" s="63"/>
      <c r="AG657" s="63"/>
      <c r="AH657" s="63" t="str">
        <f t="shared" si="14"/>
        <v/>
      </c>
      <c r="AI657" s="63" t="str">
        <f>if(AH657,_xlfn.workday.intl(int(AH657),0,"1000000",Holidays!A:A)+18/24,"")</f>
        <v/>
      </c>
      <c r="AJ657" s="64" t="str">
        <f t="shared" si="24"/>
        <v/>
      </c>
      <c r="AL657" s="66" t="str">
        <f t="shared" si="9"/>
        <v/>
      </c>
      <c r="AM657" s="66"/>
      <c r="AN657" s="63" t="str">
        <f>if(AJ657,if(and(hour(AJ657+AN$5)&gt;11,(hour(AJ657+AN$5)&lt;20)),AJ657+AN$5,_xlfn.workday.intl(int(AJ657),1,"1000000",Holidays!A:A)+hour(AJ657+AN$5-$B$1)/24+minute(AJ657)/1440),"")</f>
        <v/>
      </c>
      <c r="AO657" s="64" t="str">
        <f t="shared" si="15"/>
        <v/>
      </c>
      <c r="AQ657" s="66" t="str">
        <f t="shared" si="16"/>
        <v/>
      </c>
      <c r="AR657" s="66"/>
      <c r="AS657" s="63" t="str">
        <f>if(AJ657,if(and(hour(AJ657+AS$5)&gt;11,(hour(AJ657+AS$5)&lt;20)),AJ657+AS$5,_xlfn.workday.intl(int(AJ657),1,"1000000",Holidays!A:A)+hour(AJ657+AS$5-$B$1)/24+minute(AJ657)/1440),"")</f>
        <v/>
      </c>
      <c r="AT657" s="64" t="str">
        <f t="shared" si="21"/>
        <v/>
      </c>
      <c r="AV657" s="66" t="str">
        <f t="shared" si="25"/>
        <v/>
      </c>
      <c r="AW657" s="66"/>
      <c r="AX657" s="56"/>
    </row>
    <row r="658">
      <c r="A658" s="55">
        <v>45745.80031135416</v>
      </c>
      <c r="B658" s="56"/>
      <c r="C658" s="57"/>
      <c r="D658" s="57"/>
      <c r="E658" s="57"/>
      <c r="F658" s="57"/>
      <c r="G658" s="58">
        <f>if(A658,_xlfn.workday.intl(int(A658),1,"1000000",Holidays!A:A)+17/24,"")</f>
        <v>45746.70833</v>
      </c>
      <c r="H658" s="59" t="str">
        <f t="shared" si="23"/>
        <v/>
      </c>
      <c r="I658" s="60"/>
      <c r="J658" s="61">
        <f t="shared" si="2"/>
        <v>387.2755766</v>
      </c>
      <c r="K658" s="58">
        <f>if(G658,_xlfn.workday.intl(int(G658),0,"1000000",Holidays!A:A)+19/24,"")</f>
        <v>45746.79167</v>
      </c>
      <c r="L658" s="59" t="str">
        <f t="shared" si="3"/>
        <v/>
      </c>
      <c r="M658" s="60"/>
      <c r="N658" s="61">
        <f t="shared" si="4"/>
        <v>387.1922432</v>
      </c>
      <c r="O658" s="63">
        <f>if(A658,_xlfn.WORKDAY.INTL(A658,O$5,"1000000",Holidays!A:A)+hour(A658)/24+MINUTE(A658)/1440,"")</f>
        <v>45746.8</v>
      </c>
      <c r="P658" s="64" t="s">
        <v>2718</v>
      </c>
      <c r="R658" s="66">
        <f t="shared" si="5"/>
        <v>387.1839099</v>
      </c>
      <c r="S658" s="66"/>
      <c r="T658" s="66"/>
      <c r="U658" s="64">
        <f>if(O658,_xlfn.WORKDAY.INTL(O658,U$5,"1000000",Holidays!A:A)+hour(O658)/24+MINUTE(O658)/1440,"")</f>
        <v>45748.8</v>
      </c>
      <c r="V658" s="64" t="str">
        <f t="shared" si="6"/>
        <v/>
      </c>
      <c r="W658" s="66"/>
      <c r="X658" s="66">
        <f t="shared" si="7"/>
        <v>385.1839099</v>
      </c>
      <c r="Y658" s="66"/>
      <c r="Z658" s="66"/>
      <c r="AA658" s="66"/>
      <c r="AB658" s="63"/>
      <c r="AC658" s="63"/>
      <c r="AD658" s="63"/>
      <c r="AE658" s="63"/>
      <c r="AF658" s="63"/>
      <c r="AG658" s="63"/>
      <c r="AH658" s="63" t="str">
        <f t="shared" si="14"/>
        <v/>
      </c>
      <c r="AI658" s="63" t="str">
        <f>if(AH658,_xlfn.workday.intl(int(AH658),0,"1000000",Holidays!A:A)+18/24,"")</f>
        <v/>
      </c>
      <c r="AJ658" s="64" t="str">
        <f t="shared" si="24"/>
        <v/>
      </c>
      <c r="AL658" s="66" t="str">
        <f t="shared" si="9"/>
        <v/>
      </c>
      <c r="AM658" s="66"/>
      <c r="AN658" s="63" t="str">
        <f>if(AJ658,if(and(hour(AJ658+AN$5)&gt;11,(hour(AJ658+AN$5)&lt;20)),AJ658+AN$5,_xlfn.workday.intl(int(AJ658),1,"1000000",Holidays!A:A)+hour(AJ658+AN$5-$B$1)/24+minute(AJ658)/1440),"")</f>
        <v/>
      </c>
      <c r="AO658" s="64" t="str">
        <f t="shared" si="15"/>
        <v/>
      </c>
      <c r="AQ658" s="66" t="str">
        <f t="shared" si="16"/>
        <v/>
      </c>
      <c r="AR658" s="66"/>
      <c r="AS658" s="63" t="str">
        <f>if(AJ658,if(and(hour(AJ658+AS$5)&gt;11,(hour(AJ658+AS$5)&lt;20)),AJ658+AS$5,_xlfn.workday.intl(int(AJ658),1,"1000000",Holidays!A:A)+hour(AJ658+AS$5-$B$1)/24+minute(AJ658)/1440),"")</f>
        <v/>
      </c>
      <c r="AT658" s="64" t="str">
        <f t="shared" si="21"/>
        <v/>
      </c>
      <c r="AV658" s="66" t="str">
        <f t="shared" si="25"/>
        <v/>
      </c>
      <c r="AW658" s="66"/>
      <c r="AX658" s="56"/>
    </row>
    <row r="659">
      <c r="A659" s="55">
        <v>45746.786444259254</v>
      </c>
      <c r="B659" s="56"/>
      <c r="C659" s="57"/>
      <c r="D659" s="57"/>
      <c r="E659" s="57"/>
      <c r="F659" s="57"/>
      <c r="G659" s="58">
        <f>if(A659,_xlfn.workday.intl(int(A659),1,"1000000",Holidays!A:A)+17/24,"")</f>
        <v>45748.70833</v>
      </c>
      <c r="H659" s="59" t="str">
        <f t="shared" si="23"/>
        <v/>
      </c>
      <c r="I659" s="60"/>
      <c r="J659" s="61">
        <f t="shared" si="2"/>
        <v>385.2755766</v>
      </c>
      <c r="K659" s="58">
        <f>if(G659,_xlfn.workday.intl(int(G659),0,"1000000",Holidays!A:A)+19/24,"")</f>
        <v>45748.79167</v>
      </c>
      <c r="L659" s="59" t="str">
        <f t="shared" si="3"/>
        <v/>
      </c>
      <c r="M659" s="60"/>
      <c r="N659" s="61">
        <f t="shared" si="4"/>
        <v>385.1922432</v>
      </c>
      <c r="O659" s="63">
        <f>if(A659,_xlfn.WORKDAY.INTL(A659,O$5,"1000000",Holidays!A:A)+hour(A659)/24+MINUTE(A659)/1440,"")</f>
        <v>45748.78611</v>
      </c>
      <c r="P659" s="64" t="s">
        <v>2718</v>
      </c>
      <c r="R659" s="66">
        <f t="shared" si="5"/>
        <v>385.1977988</v>
      </c>
      <c r="S659" s="66"/>
      <c r="T659" s="66"/>
      <c r="U659" s="64">
        <f>if(O659,_xlfn.WORKDAY.INTL(O659,U$5,"1000000",Holidays!A:A)+hour(O659)/24+MINUTE(O659)/1440,"")</f>
        <v>45749.78611</v>
      </c>
      <c r="V659" s="64" t="str">
        <f t="shared" si="6"/>
        <v/>
      </c>
      <c r="W659" s="66"/>
      <c r="X659" s="66">
        <f t="shared" si="7"/>
        <v>384.1977988</v>
      </c>
      <c r="Y659" s="66"/>
      <c r="Z659" s="66"/>
      <c r="AA659" s="66"/>
      <c r="AB659" s="63"/>
      <c r="AC659" s="63"/>
      <c r="AD659" s="63"/>
      <c r="AE659" s="63"/>
      <c r="AF659" s="63"/>
      <c r="AG659" s="63"/>
      <c r="AH659" s="63" t="str">
        <f t="shared" si="14"/>
        <v/>
      </c>
      <c r="AI659" s="63" t="str">
        <f>if(AH659,_xlfn.workday.intl(int(AH659),0,"1000000",Holidays!A:A)+18/24,"")</f>
        <v/>
      </c>
      <c r="AJ659" s="64" t="str">
        <f t="shared" si="24"/>
        <v/>
      </c>
      <c r="AL659" s="66" t="str">
        <f t="shared" si="9"/>
        <v/>
      </c>
      <c r="AM659" s="66"/>
      <c r="AN659" s="63" t="str">
        <f>if(AJ659,if(and(hour(AJ659+AN$5)&gt;11,(hour(AJ659+AN$5)&lt;20)),AJ659+AN$5,_xlfn.workday.intl(int(AJ659),1,"1000000",Holidays!A:A)+hour(AJ659+AN$5-$B$1)/24+minute(AJ659)/1440),"")</f>
        <v/>
      </c>
      <c r="AO659" s="64" t="str">
        <f t="shared" si="15"/>
        <v/>
      </c>
      <c r="AQ659" s="66" t="str">
        <f t="shared" si="16"/>
        <v/>
      </c>
      <c r="AR659" s="66"/>
      <c r="AS659" s="63" t="str">
        <f>if(AJ659,if(and(hour(AJ659+AS$5)&gt;11,(hour(AJ659+AS$5)&lt;20)),AJ659+AS$5,_xlfn.workday.intl(int(AJ659),1,"1000000",Holidays!A:A)+hour(AJ659+AS$5-$B$1)/24+minute(AJ659)/1440),"")</f>
        <v/>
      </c>
      <c r="AT659" s="64" t="str">
        <f t="shared" si="21"/>
        <v/>
      </c>
      <c r="AV659" s="66" t="str">
        <f t="shared" si="25"/>
        <v/>
      </c>
      <c r="AW659" s="66"/>
      <c r="AX659" s="56"/>
    </row>
    <row r="660">
      <c r="A660" s="55">
        <v>45756.56836965278</v>
      </c>
      <c r="B660" s="56"/>
      <c r="C660" s="57"/>
      <c r="D660" s="57"/>
      <c r="E660" s="57"/>
      <c r="F660" s="57"/>
      <c r="G660" s="58">
        <f>if(A660,_xlfn.workday.intl(int(A660),1,"1000000",Holidays!A:A)+17/24,"")</f>
        <v>45757.70833</v>
      </c>
      <c r="H660" s="59" t="str">
        <f t="shared" si="23"/>
        <v/>
      </c>
      <c r="I660" s="60"/>
      <c r="J660" s="61">
        <f t="shared" si="2"/>
        <v>376.2755766</v>
      </c>
      <c r="K660" s="58">
        <f>if(G660,_xlfn.workday.intl(int(G660),0,"1000000",Holidays!A:A)+19/24,"")</f>
        <v>45757.79167</v>
      </c>
      <c r="L660" s="59" t="str">
        <f t="shared" si="3"/>
        <v/>
      </c>
      <c r="M660" s="60"/>
      <c r="N660" s="61">
        <f t="shared" si="4"/>
        <v>376.1922432</v>
      </c>
      <c r="O660" s="63">
        <f>if(A660,_xlfn.WORKDAY.INTL(A660,O$5,"1000000",Holidays!A:A)+hour(A660)/24+MINUTE(A660)/1440,"")</f>
        <v>45757.56806</v>
      </c>
      <c r="P660" s="64" t="s">
        <v>2718</v>
      </c>
      <c r="R660" s="66">
        <f t="shared" si="5"/>
        <v>376.4158543</v>
      </c>
      <c r="S660" s="66"/>
      <c r="T660" s="66"/>
      <c r="U660" s="64">
        <f>if(O660,_xlfn.WORKDAY.INTL(O660,U$5,"1000000",Holidays!A:A)+hour(O660)/24+MINUTE(O660)/1440,"")</f>
        <v>45758.56806</v>
      </c>
      <c r="V660" s="64" t="str">
        <f t="shared" si="6"/>
        <v/>
      </c>
      <c r="W660" s="66"/>
      <c r="X660" s="66">
        <f t="shared" si="7"/>
        <v>375.4158543</v>
      </c>
      <c r="Y660" s="66"/>
      <c r="Z660" s="66"/>
      <c r="AA660" s="66"/>
      <c r="AB660" s="63"/>
      <c r="AC660" s="63"/>
      <c r="AD660" s="63"/>
      <c r="AE660" s="63"/>
      <c r="AF660" s="63"/>
      <c r="AG660" s="63"/>
      <c r="AH660" s="63" t="str">
        <f t="shared" si="14"/>
        <v/>
      </c>
      <c r="AI660" s="63" t="str">
        <f>if(AH660,_xlfn.workday.intl(int(AH660),0,"1000000",Holidays!A:A)+18/24,"")</f>
        <v/>
      </c>
      <c r="AJ660" s="64" t="str">
        <f t="shared" si="24"/>
        <v/>
      </c>
      <c r="AL660" s="66" t="str">
        <f t="shared" si="9"/>
        <v/>
      </c>
      <c r="AM660" s="66"/>
      <c r="AN660" s="63" t="str">
        <f>if(AJ660,if(and(hour(AJ660+AN$5)&gt;11,(hour(AJ660+AN$5)&lt;20)),AJ660+AN$5,_xlfn.workday.intl(int(AJ660),1,"1000000",Holidays!A:A)+hour(AJ660+AN$5-$B$1)/24+minute(AJ660)/1440),"")</f>
        <v/>
      </c>
      <c r="AO660" s="64" t="str">
        <f t="shared" si="15"/>
        <v/>
      </c>
      <c r="AQ660" s="66" t="str">
        <f t="shared" si="16"/>
        <v/>
      </c>
      <c r="AR660" s="66"/>
      <c r="AS660" s="63" t="str">
        <f>if(AJ660,if(and(hour(AJ660+AS$5)&gt;11,(hour(AJ660+AS$5)&lt;20)),AJ660+AS$5,_xlfn.workday.intl(int(AJ660),1,"1000000",Holidays!A:A)+hour(AJ660+AS$5-$B$1)/24+minute(AJ660)/1440),"")</f>
        <v/>
      </c>
      <c r="AT660" s="64" t="str">
        <f t="shared" si="21"/>
        <v/>
      </c>
      <c r="AV660" s="66" t="str">
        <f t="shared" si="25"/>
        <v/>
      </c>
      <c r="AW660" s="66"/>
      <c r="AX660" s="56"/>
    </row>
    <row r="661">
      <c r="A661" s="55">
        <v>45756.67019167824</v>
      </c>
      <c r="B661" s="56"/>
      <c r="C661" s="57"/>
      <c r="D661" s="57"/>
      <c r="E661" s="57"/>
      <c r="F661" s="57"/>
      <c r="G661" s="58">
        <f>if(A661,_xlfn.workday.intl(int(A661),1,"1000000",Holidays!A:A)+17/24,"")</f>
        <v>45757.70833</v>
      </c>
      <c r="H661" s="59" t="str">
        <f t="shared" si="23"/>
        <v/>
      </c>
      <c r="I661" s="60"/>
      <c r="J661" s="61">
        <f t="shared" si="2"/>
        <v>376.2755766</v>
      </c>
      <c r="K661" s="58">
        <f>if(G661,_xlfn.workday.intl(int(G661),0,"1000000",Holidays!A:A)+19/24,"")</f>
        <v>45757.79167</v>
      </c>
      <c r="L661" s="59" t="str">
        <f t="shared" si="3"/>
        <v/>
      </c>
      <c r="M661" s="60"/>
      <c r="N661" s="61">
        <f t="shared" si="4"/>
        <v>376.1922432</v>
      </c>
      <c r="O661" s="63">
        <f>if(A661,_xlfn.WORKDAY.INTL(A661,O$5,"1000000",Holidays!A:A)+hour(A661)/24+MINUTE(A661)/1440,"")</f>
        <v>45757.67014</v>
      </c>
      <c r="P661" s="64" t="s">
        <v>2718</v>
      </c>
      <c r="R661" s="66">
        <f t="shared" si="5"/>
        <v>376.313771</v>
      </c>
      <c r="S661" s="66"/>
      <c r="T661" s="66"/>
      <c r="U661" s="64">
        <f>if(O661,_xlfn.WORKDAY.INTL(O661,U$5,"1000000",Holidays!A:A)+hour(O661)/24+MINUTE(O661)/1440,"")</f>
        <v>45758.67014</v>
      </c>
      <c r="V661" s="64" t="str">
        <f t="shared" si="6"/>
        <v/>
      </c>
      <c r="W661" s="66"/>
      <c r="X661" s="66">
        <f t="shared" si="7"/>
        <v>375.313771</v>
      </c>
      <c r="Y661" s="66"/>
      <c r="Z661" s="66"/>
      <c r="AA661" s="66"/>
      <c r="AB661" s="63"/>
      <c r="AC661" s="63"/>
      <c r="AD661" s="63"/>
      <c r="AE661" s="63"/>
      <c r="AF661" s="63"/>
      <c r="AG661" s="63"/>
      <c r="AH661" s="63" t="str">
        <f t="shared" si="14"/>
        <v/>
      </c>
      <c r="AI661" s="63" t="str">
        <f>if(AH661,_xlfn.workday.intl(int(AH661),0,"1000000",Holidays!A:A)+18/24,"")</f>
        <v/>
      </c>
      <c r="AJ661" s="64" t="str">
        <f t="shared" si="24"/>
        <v/>
      </c>
      <c r="AL661" s="66" t="str">
        <f t="shared" si="9"/>
        <v/>
      </c>
      <c r="AM661" s="66"/>
      <c r="AN661" s="63" t="str">
        <f>if(AJ661,if(and(hour(AJ661+AN$5)&gt;11,(hour(AJ661+AN$5)&lt;20)),AJ661+AN$5,_xlfn.workday.intl(int(AJ661),1,"1000000",Holidays!A:A)+hour(AJ661+AN$5-$B$1)/24+minute(AJ661)/1440),"")</f>
        <v/>
      </c>
      <c r="AO661" s="64" t="str">
        <f t="shared" si="15"/>
        <v/>
      </c>
      <c r="AQ661" s="66" t="str">
        <f t="shared" si="16"/>
        <v/>
      </c>
      <c r="AR661" s="66"/>
      <c r="AS661" s="63" t="str">
        <f>if(AJ661,if(and(hour(AJ661+AS$5)&gt;11,(hour(AJ661+AS$5)&lt;20)),AJ661+AS$5,_xlfn.workday.intl(int(AJ661),1,"1000000",Holidays!A:A)+hour(AJ661+AS$5-$B$1)/24+minute(AJ661)/1440),"")</f>
        <v/>
      </c>
      <c r="AT661" s="64" t="str">
        <f t="shared" si="21"/>
        <v/>
      </c>
      <c r="AV661" s="66" t="str">
        <f t="shared" si="25"/>
        <v/>
      </c>
      <c r="AW661" s="66"/>
      <c r="AX661" s="56"/>
    </row>
    <row r="662">
      <c r="A662" s="55">
        <v>45756.673297650465</v>
      </c>
      <c r="B662" s="56"/>
      <c r="C662" s="57"/>
      <c r="D662" s="57"/>
      <c r="E662" s="57"/>
      <c r="F662" s="57"/>
      <c r="G662" s="58">
        <f>if(A662,_xlfn.workday.intl(int(A662),1,"1000000",Holidays!A:A)+17/24,"")</f>
        <v>45757.70833</v>
      </c>
      <c r="H662" s="59" t="str">
        <f t="shared" si="23"/>
        <v/>
      </c>
      <c r="I662" s="60"/>
      <c r="J662" s="61">
        <f t="shared" si="2"/>
        <v>376.2755766</v>
      </c>
      <c r="K662" s="58">
        <f>if(G662,_xlfn.workday.intl(int(G662),0,"1000000",Holidays!A:A)+19/24,"")</f>
        <v>45757.79167</v>
      </c>
      <c r="L662" s="59" t="str">
        <f t="shared" si="3"/>
        <v/>
      </c>
      <c r="M662" s="60"/>
      <c r="N662" s="61">
        <f t="shared" si="4"/>
        <v>376.1922432</v>
      </c>
      <c r="O662" s="63">
        <f>if(A662,_xlfn.WORKDAY.INTL(A662,O$5,"1000000",Holidays!A:A)+hour(A662)/24+MINUTE(A662)/1440,"")</f>
        <v>45757.67292</v>
      </c>
      <c r="P662" s="64" t="s">
        <v>2718</v>
      </c>
      <c r="R662" s="66">
        <f t="shared" si="5"/>
        <v>376.3109932</v>
      </c>
      <c r="S662" s="66"/>
      <c r="T662" s="66"/>
      <c r="U662" s="64">
        <f>if(O662,_xlfn.WORKDAY.INTL(O662,U$5,"1000000",Holidays!A:A)+hour(O662)/24+MINUTE(O662)/1440,"")</f>
        <v>45758.67292</v>
      </c>
      <c r="V662" s="64" t="str">
        <f t="shared" si="6"/>
        <v/>
      </c>
      <c r="W662" s="66"/>
      <c r="X662" s="66">
        <f t="shared" si="7"/>
        <v>375.3109932</v>
      </c>
      <c r="Y662" s="66"/>
      <c r="Z662" s="66"/>
      <c r="AA662" s="66"/>
      <c r="AB662" s="63"/>
      <c r="AC662" s="63"/>
      <c r="AD662" s="63"/>
      <c r="AE662" s="63"/>
      <c r="AF662" s="63"/>
      <c r="AG662" s="63"/>
      <c r="AH662" s="63" t="str">
        <f t="shared" si="14"/>
        <v/>
      </c>
      <c r="AI662" s="63" t="str">
        <f>if(AH662,_xlfn.workday.intl(int(AH662),0,"1000000",Holidays!A:A)+18/24,"")</f>
        <v/>
      </c>
      <c r="AJ662" s="64" t="str">
        <f t="shared" si="24"/>
        <v/>
      </c>
      <c r="AL662" s="66" t="str">
        <f t="shared" si="9"/>
        <v/>
      </c>
      <c r="AM662" s="66"/>
      <c r="AN662" s="63" t="str">
        <f>if(AJ662,if(and(hour(AJ662+AN$5)&gt;11,(hour(AJ662+AN$5)&lt;20)),AJ662+AN$5,_xlfn.workday.intl(int(AJ662),1,"1000000",Holidays!A:A)+hour(AJ662+AN$5-$B$1)/24+minute(AJ662)/1440),"")</f>
        <v/>
      </c>
      <c r="AO662" s="64" t="str">
        <f t="shared" si="15"/>
        <v/>
      </c>
      <c r="AQ662" s="66" t="str">
        <f t="shared" si="16"/>
        <v/>
      </c>
      <c r="AR662" s="66"/>
      <c r="AS662" s="63" t="str">
        <f>if(AJ662,if(and(hour(AJ662+AS$5)&gt;11,(hour(AJ662+AS$5)&lt;20)),AJ662+AS$5,_xlfn.workday.intl(int(AJ662),1,"1000000",Holidays!A:A)+hour(AJ662+AS$5-$B$1)/24+minute(AJ662)/1440),"")</f>
        <v/>
      </c>
      <c r="AT662" s="64" t="str">
        <f t="shared" si="21"/>
        <v/>
      </c>
      <c r="AV662" s="66" t="str">
        <f t="shared" si="25"/>
        <v/>
      </c>
      <c r="AW662" s="66"/>
      <c r="AX662" s="56"/>
    </row>
    <row r="663">
      <c r="A663" s="55">
        <v>45756.67577902778</v>
      </c>
      <c r="B663" s="56"/>
      <c r="C663" s="57"/>
      <c r="D663" s="57"/>
      <c r="E663" s="57"/>
      <c r="F663" s="57"/>
      <c r="G663" s="58">
        <f>if(A663,_xlfn.workday.intl(int(A663),1,"1000000",Holidays!A:A)+17/24,"")</f>
        <v>45757.70833</v>
      </c>
      <c r="H663" s="59" t="str">
        <f t="shared" si="23"/>
        <v/>
      </c>
      <c r="I663" s="60"/>
      <c r="J663" s="61">
        <f t="shared" si="2"/>
        <v>376.2755766</v>
      </c>
      <c r="K663" s="58">
        <f>if(G663,_xlfn.workday.intl(int(G663),0,"1000000",Holidays!A:A)+19/24,"")</f>
        <v>45757.79167</v>
      </c>
      <c r="L663" s="59" t="str">
        <f t="shared" si="3"/>
        <v/>
      </c>
      <c r="M663" s="60"/>
      <c r="N663" s="61">
        <f t="shared" si="4"/>
        <v>376.1922432</v>
      </c>
      <c r="O663" s="63">
        <f>if(A663,_xlfn.WORKDAY.INTL(A663,O$5,"1000000",Holidays!A:A)+hour(A663)/24+MINUTE(A663)/1440,"")</f>
        <v>45757.67569</v>
      </c>
      <c r="P663" s="64" t="s">
        <v>2718</v>
      </c>
      <c r="R663" s="66">
        <f t="shared" si="5"/>
        <v>376.3082155</v>
      </c>
      <c r="S663" s="66"/>
      <c r="T663" s="66"/>
      <c r="U663" s="64">
        <f>if(O663,_xlfn.WORKDAY.INTL(O663,U$5,"1000000",Holidays!A:A)+hour(O663)/24+MINUTE(O663)/1440,"")</f>
        <v>45758.67569</v>
      </c>
      <c r="V663" s="64" t="str">
        <f t="shared" si="6"/>
        <v/>
      </c>
      <c r="W663" s="66"/>
      <c r="X663" s="66">
        <f t="shared" si="7"/>
        <v>375.3082155</v>
      </c>
      <c r="Y663" s="66"/>
      <c r="Z663" s="66"/>
      <c r="AA663" s="66"/>
      <c r="AB663" s="63"/>
      <c r="AC663" s="63"/>
      <c r="AD663" s="63"/>
      <c r="AE663" s="63"/>
      <c r="AF663" s="63"/>
      <c r="AG663" s="63"/>
      <c r="AH663" s="63" t="str">
        <f t="shared" si="14"/>
        <v/>
      </c>
      <c r="AI663" s="63" t="str">
        <f>if(AH663,_xlfn.workday.intl(int(AH663),0,"1000000",Holidays!A:A)+18/24,"")</f>
        <v/>
      </c>
      <c r="AJ663" s="64" t="str">
        <f t="shared" si="24"/>
        <v/>
      </c>
      <c r="AL663" s="66" t="str">
        <f t="shared" si="9"/>
        <v/>
      </c>
      <c r="AM663" s="66"/>
      <c r="AN663" s="63" t="str">
        <f>if(AJ663,if(and(hour(AJ663+AN$5)&gt;11,(hour(AJ663+AN$5)&lt;20)),AJ663+AN$5,_xlfn.workday.intl(int(AJ663),1,"1000000",Holidays!A:A)+hour(AJ663+AN$5-$B$1)/24+minute(AJ663)/1440),"")</f>
        <v/>
      </c>
      <c r="AO663" s="64" t="str">
        <f t="shared" si="15"/>
        <v/>
      </c>
      <c r="AQ663" s="66" t="str">
        <f t="shared" si="16"/>
        <v/>
      </c>
      <c r="AR663" s="66"/>
      <c r="AS663" s="63" t="str">
        <f>if(AJ663,if(and(hour(AJ663+AS$5)&gt;11,(hour(AJ663+AS$5)&lt;20)),AJ663+AS$5,_xlfn.workday.intl(int(AJ663),1,"1000000",Holidays!A:A)+hour(AJ663+AS$5-$B$1)/24+minute(AJ663)/1440),"")</f>
        <v/>
      </c>
      <c r="AT663" s="64" t="str">
        <f t="shared" si="21"/>
        <v/>
      </c>
      <c r="AV663" s="66" t="str">
        <f t="shared" si="25"/>
        <v/>
      </c>
      <c r="AW663" s="66"/>
      <c r="AX663" s="56"/>
    </row>
    <row r="664">
      <c r="A664" s="55">
        <v>45756.67919015046</v>
      </c>
      <c r="B664" s="56"/>
      <c r="C664" s="57"/>
      <c r="D664" s="57"/>
      <c r="E664" s="57"/>
      <c r="F664" s="57"/>
      <c r="G664" s="58">
        <f>if(A664,_xlfn.workday.intl(int(A664),1,"1000000",Holidays!A:A)+17/24,"")</f>
        <v>45757.70833</v>
      </c>
      <c r="H664" s="59" t="str">
        <f t="shared" si="23"/>
        <v/>
      </c>
      <c r="I664" s="60"/>
      <c r="J664" s="61">
        <f t="shared" si="2"/>
        <v>376.2755766</v>
      </c>
      <c r="K664" s="58">
        <f>if(G664,_xlfn.workday.intl(int(G664),0,"1000000",Holidays!A:A)+19/24,"")</f>
        <v>45757.79167</v>
      </c>
      <c r="L664" s="59" t="str">
        <f t="shared" si="3"/>
        <v/>
      </c>
      <c r="M664" s="60"/>
      <c r="N664" s="61">
        <f t="shared" si="4"/>
        <v>376.1922432</v>
      </c>
      <c r="O664" s="63">
        <f>if(A664,_xlfn.WORKDAY.INTL(A664,O$5,"1000000",Holidays!A:A)+hour(A664)/24+MINUTE(A664)/1440,"")</f>
        <v>45757.67917</v>
      </c>
      <c r="P664" s="64" t="s">
        <v>2718</v>
      </c>
      <c r="R664" s="66">
        <f t="shared" si="5"/>
        <v>376.3047432</v>
      </c>
      <c r="S664" s="66"/>
      <c r="T664" s="66"/>
      <c r="U664" s="64">
        <f>if(O664,_xlfn.WORKDAY.INTL(O664,U$5,"1000000",Holidays!A:A)+hour(O664)/24+MINUTE(O664)/1440,"")</f>
        <v>45758.67917</v>
      </c>
      <c r="V664" s="64" t="str">
        <f t="shared" si="6"/>
        <v/>
      </c>
      <c r="W664" s="66"/>
      <c r="X664" s="66">
        <f t="shared" si="7"/>
        <v>375.3047432</v>
      </c>
      <c r="Y664" s="66"/>
      <c r="Z664" s="66"/>
      <c r="AA664" s="66"/>
      <c r="AB664" s="63"/>
      <c r="AC664" s="63"/>
      <c r="AD664" s="63"/>
      <c r="AE664" s="63"/>
      <c r="AF664" s="63"/>
      <c r="AG664" s="63"/>
      <c r="AH664" s="63" t="str">
        <f t="shared" si="14"/>
        <v/>
      </c>
      <c r="AI664" s="63" t="str">
        <f>if(AH664,_xlfn.workday.intl(int(AH664),0,"1000000",Holidays!A:A)+18/24,"")</f>
        <v/>
      </c>
      <c r="AJ664" s="64" t="str">
        <f t="shared" si="24"/>
        <v/>
      </c>
      <c r="AL664" s="66" t="str">
        <f t="shared" si="9"/>
        <v/>
      </c>
      <c r="AM664" s="66"/>
      <c r="AN664" s="63" t="str">
        <f>if(AJ664,if(and(hour(AJ664+AN$5)&gt;11,(hour(AJ664+AN$5)&lt;20)),AJ664+AN$5,_xlfn.workday.intl(int(AJ664),1,"1000000",Holidays!A:A)+hour(AJ664+AN$5-$B$1)/24+minute(AJ664)/1440),"")</f>
        <v/>
      </c>
      <c r="AO664" s="64" t="str">
        <f t="shared" si="15"/>
        <v/>
      </c>
      <c r="AQ664" s="66" t="str">
        <f t="shared" si="16"/>
        <v/>
      </c>
      <c r="AR664" s="66"/>
      <c r="AS664" s="63" t="str">
        <f>if(AJ664,if(and(hour(AJ664+AS$5)&gt;11,(hour(AJ664+AS$5)&lt;20)),AJ664+AS$5,_xlfn.workday.intl(int(AJ664),1,"1000000",Holidays!A:A)+hour(AJ664+AS$5-$B$1)/24+minute(AJ664)/1440),"")</f>
        <v/>
      </c>
      <c r="AT664" s="64" t="str">
        <f t="shared" si="21"/>
        <v/>
      </c>
      <c r="AV664" s="66" t="str">
        <f t="shared" si="25"/>
        <v/>
      </c>
      <c r="AW664" s="66"/>
      <c r="AX664" s="56"/>
    </row>
    <row r="665">
      <c r="A665" s="55">
        <v>45756.68123456019</v>
      </c>
      <c r="B665" s="56"/>
      <c r="C665" s="57"/>
      <c r="D665" s="57"/>
      <c r="E665" s="57"/>
      <c r="F665" s="57"/>
      <c r="G665" s="58">
        <f>if(A665,_xlfn.workday.intl(int(A665),1,"1000000",Holidays!A:A)+17/24,"")</f>
        <v>45757.70833</v>
      </c>
      <c r="H665" s="59" t="str">
        <f t="shared" si="23"/>
        <v/>
      </c>
      <c r="I665" s="60"/>
      <c r="J665" s="61">
        <f t="shared" si="2"/>
        <v>376.2755766</v>
      </c>
      <c r="K665" s="58">
        <f>if(G665,_xlfn.workday.intl(int(G665),0,"1000000",Holidays!A:A)+19/24,"")</f>
        <v>45757.79167</v>
      </c>
      <c r="L665" s="59" t="str">
        <f t="shared" si="3"/>
        <v/>
      </c>
      <c r="M665" s="60"/>
      <c r="N665" s="61">
        <f t="shared" si="4"/>
        <v>376.1922432</v>
      </c>
      <c r="O665" s="63">
        <f>if(A665,_xlfn.WORKDAY.INTL(A665,O$5,"1000000",Holidays!A:A)+hour(A665)/24+MINUTE(A665)/1440,"")</f>
        <v>45757.68056</v>
      </c>
      <c r="P665" s="64" t="s">
        <v>2718</v>
      </c>
      <c r="R665" s="66">
        <f t="shared" si="5"/>
        <v>376.3033543</v>
      </c>
      <c r="S665" s="66"/>
      <c r="T665" s="66"/>
      <c r="U665" s="64">
        <f>if(O665,_xlfn.WORKDAY.INTL(O665,U$5,"1000000",Holidays!A:A)+hour(O665)/24+MINUTE(O665)/1440,"")</f>
        <v>45758.68056</v>
      </c>
      <c r="V665" s="64" t="str">
        <f t="shared" si="6"/>
        <v/>
      </c>
      <c r="W665" s="66"/>
      <c r="X665" s="66">
        <f t="shared" si="7"/>
        <v>375.3033543</v>
      </c>
      <c r="Y665" s="66"/>
      <c r="Z665" s="66"/>
      <c r="AA665" s="66"/>
      <c r="AB665" s="63"/>
      <c r="AC665" s="63"/>
      <c r="AD665" s="63"/>
      <c r="AE665" s="63"/>
      <c r="AF665" s="63"/>
      <c r="AG665" s="63"/>
      <c r="AH665" s="63" t="str">
        <f t="shared" si="14"/>
        <v/>
      </c>
      <c r="AI665" s="63" t="str">
        <f>if(AH665,_xlfn.workday.intl(int(AH665),0,"1000000",Holidays!A:A)+18/24,"")</f>
        <v/>
      </c>
      <c r="AJ665" s="64" t="str">
        <f t="shared" si="24"/>
        <v/>
      </c>
      <c r="AL665" s="66" t="str">
        <f t="shared" si="9"/>
        <v/>
      </c>
      <c r="AM665" s="66"/>
      <c r="AN665" s="63" t="str">
        <f>if(AJ665,if(and(hour(AJ665+AN$5)&gt;11,(hour(AJ665+AN$5)&lt;20)),AJ665+AN$5,_xlfn.workday.intl(int(AJ665),1,"1000000",Holidays!A:A)+hour(AJ665+AN$5-$B$1)/24+minute(AJ665)/1440),"")</f>
        <v/>
      </c>
      <c r="AO665" s="64" t="str">
        <f t="shared" si="15"/>
        <v/>
      </c>
      <c r="AQ665" s="66" t="str">
        <f t="shared" si="16"/>
        <v/>
      </c>
      <c r="AR665" s="66"/>
      <c r="AS665" s="63" t="str">
        <f>if(AJ665,if(and(hour(AJ665+AS$5)&gt;11,(hour(AJ665+AS$5)&lt;20)),AJ665+AS$5,_xlfn.workday.intl(int(AJ665),1,"1000000",Holidays!A:A)+hour(AJ665+AS$5-$B$1)/24+minute(AJ665)/1440),"")</f>
        <v/>
      </c>
      <c r="AT665" s="64" t="str">
        <f t="shared" si="21"/>
        <v/>
      </c>
      <c r="AV665" s="66" t="str">
        <f t="shared" si="25"/>
        <v/>
      </c>
      <c r="AW665" s="66"/>
      <c r="AX665" s="56"/>
    </row>
    <row r="666">
      <c r="A666" s="55">
        <v>45758.77180792824</v>
      </c>
      <c r="B666" s="56"/>
      <c r="C666" s="57"/>
      <c r="D666" s="57"/>
      <c r="E666" s="57"/>
      <c r="F666" s="57"/>
      <c r="G666" s="58">
        <f>if(A666,_xlfn.workday.intl(int(A666),1,"1000000",Holidays!A:A)+17/24,"")</f>
        <v>45759.70833</v>
      </c>
      <c r="H666" s="59" t="str">
        <f t="shared" si="23"/>
        <v/>
      </c>
      <c r="I666" s="60"/>
      <c r="J666" s="61">
        <f t="shared" si="2"/>
        <v>374.2755766</v>
      </c>
      <c r="K666" s="58">
        <f>if(G666,_xlfn.workday.intl(int(G666),0,"1000000",Holidays!A:A)+19/24,"")</f>
        <v>45759.79167</v>
      </c>
      <c r="L666" s="59" t="str">
        <f t="shared" si="3"/>
        <v/>
      </c>
      <c r="M666" s="60"/>
      <c r="N666" s="61">
        <f t="shared" si="4"/>
        <v>374.1922432</v>
      </c>
      <c r="O666" s="63">
        <f>if(A666,_xlfn.WORKDAY.INTL(A666,O$5,"1000000",Holidays!A:A)+hour(A666)/24+MINUTE(A666)/1440,"")</f>
        <v>45759.77153</v>
      </c>
      <c r="P666" s="64" t="s">
        <v>2718</v>
      </c>
      <c r="R666" s="66">
        <f t="shared" si="5"/>
        <v>374.2123821</v>
      </c>
      <c r="S666" s="66"/>
      <c r="T666" s="66"/>
      <c r="U666" s="64">
        <f>if(O666,_xlfn.WORKDAY.INTL(O666,U$5,"1000000",Holidays!A:A)+hour(O666)/24+MINUTE(O666)/1440,"")</f>
        <v>45760.77153</v>
      </c>
      <c r="V666" s="64" t="str">
        <f t="shared" si="6"/>
        <v/>
      </c>
      <c r="W666" s="66"/>
      <c r="X666" s="66">
        <f t="shared" si="7"/>
        <v>373.2123821</v>
      </c>
      <c r="Y666" s="66"/>
      <c r="Z666" s="66"/>
      <c r="AA666" s="66"/>
      <c r="AB666" s="63"/>
      <c r="AC666" s="63"/>
      <c r="AD666" s="63"/>
      <c r="AE666" s="63"/>
      <c r="AF666" s="63"/>
      <c r="AG666" s="63"/>
      <c r="AH666" s="63" t="str">
        <f t="shared" si="14"/>
        <v/>
      </c>
      <c r="AI666" s="63" t="str">
        <f>if(AH666,_xlfn.workday.intl(int(AH666),0,"1000000",Holidays!A:A)+18/24,"")</f>
        <v/>
      </c>
      <c r="AJ666" s="64" t="str">
        <f t="shared" si="24"/>
        <v/>
      </c>
      <c r="AL666" s="66" t="str">
        <f t="shared" si="9"/>
        <v/>
      </c>
      <c r="AM666" s="66"/>
      <c r="AN666" s="63" t="str">
        <f>if(AJ666,if(and(hour(AJ666+AN$5)&gt;11,(hour(AJ666+AN$5)&lt;20)),AJ666+AN$5,_xlfn.workday.intl(int(AJ666),1,"1000000",Holidays!A:A)+hour(AJ666+AN$5-$B$1)/24+minute(AJ666)/1440),"")</f>
        <v/>
      </c>
      <c r="AO666" s="64" t="str">
        <f t="shared" si="15"/>
        <v/>
      </c>
      <c r="AQ666" s="66" t="str">
        <f t="shared" si="16"/>
        <v/>
      </c>
      <c r="AR666" s="66"/>
      <c r="AS666" s="63" t="str">
        <f>if(AJ666,if(and(hour(AJ666+AS$5)&gt;11,(hour(AJ666+AS$5)&lt;20)),AJ666+AS$5,_xlfn.workday.intl(int(AJ666),1,"1000000",Holidays!A:A)+hour(AJ666+AS$5-$B$1)/24+minute(AJ666)/1440),"")</f>
        <v/>
      </c>
      <c r="AT666" s="64" t="str">
        <f t="shared" si="21"/>
        <v/>
      </c>
      <c r="AV666" s="66" t="str">
        <f t="shared" si="25"/>
        <v/>
      </c>
      <c r="AW666" s="66"/>
      <c r="AX666" s="56"/>
    </row>
    <row r="667">
      <c r="A667" s="55">
        <v>45758.77701493056</v>
      </c>
      <c r="B667" s="56"/>
      <c r="C667" s="57"/>
      <c r="D667" s="57"/>
      <c r="E667" s="57"/>
      <c r="F667" s="57"/>
      <c r="G667" s="58">
        <f>if(A667,_xlfn.workday.intl(int(A667),1,"1000000",Holidays!A:A)+17/24,"")</f>
        <v>45759.70833</v>
      </c>
      <c r="H667" s="59" t="str">
        <f t="shared" si="23"/>
        <v/>
      </c>
      <c r="I667" s="60"/>
      <c r="J667" s="61">
        <f t="shared" si="2"/>
        <v>374.2755766</v>
      </c>
      <c r="K667" s="58">
        <f>if(G667,_xlfn.workday.intl(int(G667),0,"1000000",Holidays!A:A)+19/24,"")</f>
        <v>45759.79167</v>
      </c>
      <c r="L667" s="59" t="str">
        <f t="shared" si="3"/>
        <v/>
      </c>
      <c r="M667" s="60"/>
      <c r="N667" s="61">
        <f t="shared" si="4"/>
        <v>374.1922432</v>
      </c>
      <c r="O667" s="63">
        <f>if(A667,_xlfn.WORKDAY.INTL(A667,O$5,"1000000",Holidays!A:A)+hour(A667)/24+MINUTE(A667)/1440,"")</f>
        <v>45759.77639</v>
      </c>
      <c r="P667" s="64" t="s">
        <v>2718</v>
      </c>
      <c r="R667" s="66">
        <f t="shared" si="5"/>
        <v>374.207521</v>
      </c>
      <c r="S667" s="66"/>
      <c r="T667" s="66"/>
      <c r="U667" s="64">
        <f>if(O667,_xlfn.WORKDAY.INTL(O667,U$5,"1000000",Holidays!A:A)+hour(O667)/24+MINUTE(O667)/1440,"")</f>
        <v>45760.77639</v>
      </c>
      <c r="V667" s="64" t="str">
        <f t="shared" si="6"/>
        <v/>
      </c>
      <c r="W667" s="66"/>
      <c r="X667" s="66">
        <f t="shared" si="7"/>
        <v>373.207521</v>
      </c>
      <c r="Y667" s="66"/>
      <c r="Z667" s="66"/>
      <c r="AA667" s="66"/>
      <c r="AB667" s="63"/>
      <c r="AC667" s="63"/>
      <c r="AD667" s="63"/>
      <c r="AE667" s="63"/>
      <c r="AF667" s="63"/>
      <c r="AG667" s="63"/>
      <c r="AH667" s="63" t="str">
        <f t="shared" si="14"/>
        <v/>
      </c>
      <c r="AI667" s="63" t="str">
        <f>if(AH667,_xlfn.workday.intl(int(AH667),0,"1000000",Holidays!A:A)+18/24,"")</f>
        <v/>
      </c>
      <c r="AJ667" s="64" t="str">
        <f t="shared" si="24"/>
        <v/>
      </c>
      <c r="AL667" s="66" t="str">
        <f t="shared" si="9"/>
        <v/>
      </c>
      <c r="AM667" s="66"/>
      <c r="AN667" s="63" t="str">
        <f>if(AJ667,if(and(hour(AJ667+AN$5)&gt;11,(hour(AJ667+AN$5)&lt;20)),AJ667+AN$5,_xlfn.workday.intl(int(AJ667),1,"1000000",Holidays!A:A)+hour(AJ667+AN$5-$B$1)/24+minute(AJ667)/1440),"")</f>
        <v/>
      </c>
      <c r="AO667" s="64" t="str">
        <f t="shared" si="15"/>
        <v/>
      </c>
      <c r="AQ667" s="66" t="str">
        <f t="shared" si="16"/>
        <v/>
      </c>
      <c r="AR667" s="66"/>
      <c r="AS667" s="63" t="str">
        <f>if(AJ667,if(and(hour(AJ667+AS$5)&gt;11,(hour(AJ667+AS$5)&lt;20)),AJ667+AS$5,_xlfn.workday.intl(int(AJ667),1,"1000000",Holidays!A:A)+hour(AJ667+AS$5-$B$1)/24+minute(AJ667)/1440),"")</f>
        <v/>
      </c>
      <c r="AT667" s="64" t="str">
        <f t="shared" si="21"/>
        <v/>
      </c>
      <c r="AV667" s="66" t="str">
        <f t="shared" si="25"/>
        <v/>
      </c>
      <c r="AW667" s="66"/>
      <c r="AX667" s="56"/>
    </row>
    <row r="668">
      <c r="A668" s="55">
        <v>45760.74481826389</v>
      </c>
      <c r="B668" s="56"/>
      <c r="C668" s="57"/>
      <c r="D668" s="57"/>
      <c r="E668" s="57"/>
      <c r="F668" s="57"/>
      <c r="G668" s="58">
        <f>if(A668,_xlfn.workday.intl(int(A668),1,"1000000",Holidays!A:A)+17/24,"")</f>
        <v>45762.70833</v>
      </c>
      <c r="H668" s="59" t="str">
        <f t="shared" si="23"/>
        <v/>
      </c>
      <c r="I668" s="60"/>
      <c r="J668" s="61">
        <f t="shared" si="2"/>
        <v>371.2755766</v>
      </c>
      <c r="K668" s="58">
        <f>if(G668,_xlfn.workday.intl(int(G668),0,"1000000",Holidays!A:A)+19/24,"")</f>
        <v>45762.79167</v>
      </c>
      <c r="L668" s="59" t="str">
        <f t="shared" si="3"/>
        <v/>
      </c>
      <c r="M668" s="60"/>
      <c r="N668" s="61">
        <f t="shared" si="4"/>
        <v>371.1922432</v>
      </c>
      <c r="O668" s="63">
        <f>if(A668,_xlfn.WORKDAY.INTL(A668,O$5,"1000000",Holidays!A:A)+hour(A668)/24+MINUTE(A668)/1440,"")</f>
        <v>45762.74444</v>
      </c>
      <c r="P668" s="64" t="s">
        <v>2718</v>
      </c>
      <c r="R668" s="66">
        <f t="shared" si="5"/>
        <v>371.2394655</v>
      </c>
      <c r="S668" s="66"/>
      <c r="T668" s="66"/>
      <c r="U668" s="64">
        <f>if(O668,_xlfn.WORKDAY.INTL(O668,U$5,"1000000",Holidays!A:A)+hour(O668)/24+MINUTE(O668)/1440,"")</f>
        <v>45763.74444</v>
      </c>
      <c r="V668" s="64" t="str">
        <f t="shared" si="6"/>
        <v/>
      </c>
      <c r="W668" s="66"/>
      <c r="X668" s="66">
        <f t="shared" si="7"/>
        <v>370.2394655</v>
      </c>
      <c r="Y668" s="66"/>
      <c r="Z668" s="66"/>
      <c r="AA668" s="66"/>
      <c r="AB668" s="63"/>
      <c r="AC668" s="63"/>
      <c r="AD668" s="63"/>
      <c r="AE668" s="63"/>
      <c r="AF668" s="63"/>
      <c r="AG668" s="63"/>
      <c r="AH668" s="63" t="str">
        <f t="shared" si="14"/>
        <v/>
      </c>
      <c r="AI668" s="63" t="str">
        <f>if(AH668,_xlfn.workday.intl(int(AH668),0,"1000000",Holidays!A:A)+18/24,"")</f>
        <v/>
      </c>
      <c r="AJ668" s="64" t="str">
        <f t="shared" si="24"/>
        <v/>
      </c>
      <c r="AL668" s="66" t="str">
        <f t="shared" si="9"/>
        <v/>
      </c>
      <c r="AM668" s="66"/>
      <c r="AN668" s="63" t="str">
        <f>if(AJ668,if(and(hour(AJ668+AN$5)&gt;11,(hour(AJ668+AN$5)&lt;20)),AJ668+AN$5,_xlfn.workday.intl(int(AJ668),1,"1000000",Holidays!A:A)+hour(AJ668+AN$5-$B$1)/24+minute(AJ668)/1440),"")</f>
        <v/>
      </c>
      <c r="AO668" s="64" t="str">
        <f t="shared" si="15"/>
        <v/>
      </c>
      <c r="AQ668" s="66" t="str">
        <f t="shared" si="16"/>
        <v/>
      </c>
      <c r="AR668" s="66"/>
      <c r="AS668" s="63" t="str">
        <f>if(AJ668,if(and(hour(AJ668+AS$5)&gt;11,(hour(AJ668+AS$5)&lt;20)),AJ668+AS$5,_xlfn.workday.intl(int(AJ668),1,"1000000",Holidays!A:A)+hour(AJ668+AS$5-$B$1)/24+minute(AJ668)/1440),"")</f>
        <v/>
      </c>
      <c r="AT668" s="64" t="str">
        <f t="shared" si="21"/>
        <v/>
      </c>
      <c r="AV668" s="66" t="str">
        <f t="shared" si="25"/>
        <v/>
      </c>
      <c r="AW668" s="66"/>
      <c r="AX668" s="56"/>
    </row>
    <row r="669">
      <c r="A669" s="55">
        <v>45774.66046709491</v>
      </c>
      <c r="B669" s="56"/>
      <c r="C669" s="57"/>
      <c r="D669" s="57"/>
      <c r="E669" s="57"/>
      <c r="F669" s="57"/>
      <c r="G669" s="58">
        <f>if(A669,_xlfn.workday.intl(int(A669),1,"1000000",Holidays!A:A)+17/24,"")</f>
        <v>45776.70833</v>
      </c>
      <c r="H669" s="59" t="str">
        <f t="shared" si="23"/>
        <v/>
      </c>
      <c r="I669" s="60"/>
      <c r="J669" s="61">
        <f t="shared" si="2"/>
        <v>357.2755766</v>
      </c>
      <c r="K669" s="58">
        <f>if(G669,_xlfn.workday.intl(int(G669),0,"1000000",Holidays!A:A)+19/24,"")</f>
        <v>45776.79167</v>
      </c>
      <c r="L669" s="59" t="str">
        <f t="shared" si="3"/>
        <v/>
      </c>
      <c r="M669" s="60"/>
      <c r="N669" s="61">
        <f t="shared" si="4"/>
        <v>357.1922432</v>
      </c>
      <c r="O669" s="63">
        <f>if(A669,_xlfn.WORKDAY.INTL(A669,O$5,"1000000",Holidays!A:A)+hour(A669)/24+MINUTE(A669)/1440,"")</f>
        <v>45776.66042</v>
      </c>
      <c r="P669" s="64" t="s">
        <v>2718</v>
      </c>
      <c r="R669" s="66">
        <f t="shared" si="5"/>
        <v>357.3234932</v>
      </c>
      <c r="S669" s="66"/>
      <c r="T669" s="66"/>
      <c r="U669" s="64">
        <f>if(O669,_xlfn.WORKDAY.INTL(O669,U$5,"1000000",Holidays!A:A)+hour(O669)/24+MINUTE(O669)/1440,"")</f>
        <v>45777.66042</v>
      </c>
      <c r="V669" s="64" t="str">
        <f t="shared" si="6"/>
        <v/>
      </c>
      <c r="W669" s="66"/>
      <c r="X669" s="66">
        <f t="shared" si="7"/>
        <v>356.3234932</v>
      </c>
      <c r="Y669" s="66"/>
      <c r="Z669" s="66"/>
      <c r="AA669" s="66"/>
      <c r="AB669" s="63"/>
      <c r="AC669" s="63"/>
      <c r="AD669" s="63"/>
      <c r="AE669" s="63"/>
      <c r="AF669" s="63"/>
      <c r="AG669" s="63"/>
      <c r="AH669" s="63" t="str">
        <f t="shared" si="14"/>
        <v/>
      </c>
      <c r="AI669" s="63" t="str">
        <f>if(AH669,_xlfn.workday.intl(int(AH669),0,"1000000",Holidays!A:A)+18/24,"")</f>
        <v/>
      </c>
      <c r="AJ669" s="64" t="str">
        <f t="shared" si="24"/>
        <v/>
      </c>
      <c r="AL669" s="66" t="str">
        <f t="shared" si="9"/>
        <v/>
      </c>
      <c r="AM669" s="66"/>
      <c r="AN669" s="63" t="str">
        <f>if(AJ669,if(and(hour(AJ669+AN$5)&gt;11,(hour(AJ669+AN$5)&lt;20)),AJ669+AN$5,_xlfn.workday.intl(int(AJ669),1,"1000000",Holidays!A:A)+hour(AJ669+AN$5-$B$1)/24+minute(AJ669)/1440),"")</f>
        <v/>
      </c>
      <c r="AO669" s="64" t="str">
        <f t="shared" si="15"/>
        <v/>
      </c>
      <c r="AQ669" s="66" t="str">
        <f t="shared" si="16"/>
        <v/>
      </c>
      <c r="AR669" s="66"/>
      <c r="AS669" s="63" t="str">
        <f>if(AJ669,if(and(hour(AJ669+AS$5)&gt;11,(hour(AJ669+AS$5)&lt;20)),AJ669+AS$5,_xlfn.workday.intl(int(AJ669),1,"1000000",Holidays!A:A)+hour(AJ669+AS$5-$B$1)/24+minute(AJ669)/1440),"")</f>
        <v/>
      </c>
      <c r="AT669" s="64" t="str">
        <f t="shared" si="21"/>
        <v/>
      </c>
      <c r="AV669" s="66" t="str">
        <f t="shared" si="25"/>
        <v/>
      </c>
      <c r="AW669" s="66"/>
      <c r="AX669" s="56"/>
    </row>
    <row r="670">
      <c r="A670" s="55">
        <v>45774.662177673614</v>
      </c>
      <c r="B670" s="56"/>
      <c r="C670" s="57"/>
      <c r="D670" s="57"/>
      <c r="E670" s="57"/>
      <c r="F670" s="57"/>
      <c r="G670" s="58">
        <f>if(A670,_xlfn.workday.intl(int(A670),1,"1000000",Holidays!A:A)+17/24,"")</f>
        <v>45776.70833</v>
      </c>
      <c r="H670" s="59" t="str">
        <f t="shared" si="23"/>
        <v/>
      </c>
      <c r="I670" s="60"/>
      <c r="J670" s="61">
        <f t="shared" si="2"/>
        <v>357.2755766</v>
      </c>
      <c r="K670" s="58">
        <f>if(G670,_xlfn.workday.intl(int(G670),0,"1000000",Holidays!A:A)+19/24,"")</f>
        <v>45776.79167</v>
      </c>
      <c r="L670" s="59" t="str">
        <f t="shared" si="3"/>
        <v/>
      </c>
      <c r="M670" s="60"/>
      <c r="N670" s="61">
        <f t="shared" si="4"/>
        <v>357.1922432</v>
      </c>
      <c r="O670" s="63">
        <f>if(A670,_xlfn.WORKDAY.INTL(A670,O$5,"1000000",Holidays!A:A)+hour(A670)/24+MINUTE(A670)/1440,"")</f>
        <v>45776.66181</v>
      </c>
      <c r="P670" s="64" t="s">
        <v>2718</v>
      </c>
      <c r="R670" s="66">
        <f t="shared" si="5"/>
        <v>357.3221043</v>
      </c>
      <c r="S670" s="66"/>
      <c r="T670" s="66"/>
      <c r="U670" s="64">
        <f>if(O670,_xlfn.WORKDAY.INTL(O670,U$5,"1000000",Holidays!A:A)+hour(O670)/24+MINUTE(O670)/1440,"")</f>
        <v>45777.66181</v>
      </c>
      <c r="V670" s="64" t="str">
        <f t="shared" si="6"/>
        <v/>
      </c>
      <c r="W670" s="66"/>
      <c r="X670" s="66">
        <f t="shared" si="7"/>
        <v>356.3221043</v>
      </c>
      <c r="Y670" s="66"/>
      <c r="Z670" s="66"/>
      <c r="AA670" s="66"/>
      <c r="AB670" s="63"/>
      <c r="AC670" s="63"/>
      <c r="AD670" s="63"/>
      <c r="AE670" s="63"/>
      <c r="AF670" s="63"/>
      <c r="AG670" s="63"/>
      <c r="AH670" s="63" t="str">
        <f t="shared" si="14"/>
        <v/>
      </c>
      <c r="AI670" s="63" t="str">
        <f>if(AH670,_xlfn.workday.intl(int(AH670),0,"1000000",Holidays!A:A)+18/24,"")</f>
        <v/>
      </c>
      <c r="AJ670" s="64" t="str">
        <f t="shared" si="24"/>
        <v/>
      </c>
      <c r="AL670" s="66" t="str">
        <f t="shared" si="9"/>
        <v/>
      </c>
      <c r="AM670" s="66"/>
      <c r="AN670" s="63" t="str">
        <f>if(AJ670,if(and(hour(AJ670+AN$5)&gt;11,(hour(AJ670+AN$5)&lt;20)),AJ670+AN$5,_xlfn.workday.intl(int(AJ670),1,"1000000",Holidays!A:A)+hour(AJ670+AN$5-$B$1)/24+minute(AJ670)/1440),"")</f>
        <v/>
      </c>
      <c r="AO670" s="64" t="str">
        <f t="shared" si="15"/>
        <v/>
      </c>
      <c r="AQ670" s="66" t="str">
        <f t="shared" si="16"/>
        <v/>
      </c>
      <c r="AR670" s="66"/>
      <c r="AS670" s="63" t="str">
        <f>if(AJ670,if(and(hour(AJ670+AS$5)&gt;11,(hour(AJ670+AS$5)&lt;20)),AJ670+AS$5,_xlfn.workday.intl(int(AJ670),1,"1000000",Holidays!A:A)+hour(AJ670+AS$5-$B$1)/24+minute(AJ670)/1440),"")</f>
        <v/>
      </c>
      <c r="AT670" s="64" t="str">
        <f t="shared" si="21"/>
        <v/>
      </c>
      <c r="AV670" s="66" t="str">
        <f t="shared" si="25"/>
        <v/>
      </c>
      <c r="AW670" s="66"/>
      <c r="AX670" s="56"/>
    </row>
    <row r="671">
      <c r="A671" s="55">
        <v>45777.62821949074</v>
      </c>
      <c r="B671" s="56"/>
      <c r="C671" s="57"/>
      <c r="D671" s="57"/>
      <c r="E671" s="57"/>
      <c r="F671" s="57"/>
      <c r="G671" s="58">
        <f>if(A671,_xlfn.workday.intl(int(A671),1,"1000000",Holidays!A:A)+17/24,"")</f>
        <v>45778.70833</v>
      </c>
      <c r="H671" s="59" t="str">
        <f t="shared" si="23"/>
        <v/>
      </c>
      <c r="I671" s="60"/>
      <c r="J671" s="61">
        <f t="shared" si="2"/>
        <v>355.2755766</v>
      </c>
      <c r="K671" s="58">
        <f>if(G671,_xlfn.workday.intl(int(G671),0,"1000000",Holidays!A:A)+19/24,"")</f>
        <v>45778.79167</v>
      </c>
      <c r="L671" s="59" t="str">
        <f t="shared" si="3"/>
        <v/>
      </c>
      <c r="M671" s="60"/>
      <c r="N671" s="61">
        <f t="shared" si="4"/>
        <v>355.1922432</v>
      </c>
      <c r="O671" s="63">
        <f>if(A671,_xlfn.WORKDAY.INTL(A671,O$5,"1000000",Holidays!A:A)+hour(A671)/24+MINUTE(A671)/1440,"")</f>
        <v>45778.62778</v>
      </c>
      <c r="P671" s="64" t="s">
        <v>2718</v>
      </c>
      <c r="R671" s="66">
        <f t="shared" si="5"/>
        <v>355.3561321</v>
      </c>
      <c r="S671" s="66"/>
      <c r="T671" s="66"/>
      <c r="U671" s="64">
        <f>if(O671,_xlfn.WORKDAY.INTL(O671,U$5,"1000000",Holidays!A:A)+hour(O671)/24+MINUTE(O671)/1440,"")</f>
        <v>45779.62778</v>
      </c>
      <c r="V671" s="64" t="str">
        <f t="shared" si="6"/>
        <v/>
      </c>
      <c r="W671" s="66"/>
      <c r="X671" s="66">
        <f t="shared" si="7"/>
        <v>354.3561321</v>
      </c>
      <c r="Y671" s="66"/>
      <c r="Z671" s="66"/>
      <c r="AA671" s="66"/>
      <c r="AB671" s="63"/>
      <c r="AC671" s="63"/>
      <c r="AD671" s="63"/>
      <c r="AE671" s="63"/>
      <c r="AF671" s="63"/>
      <c r="AG671" s="63"/>
      <c r="AH671" s="63" t="str">
        <f t="shared" si="14"/>
        <v/>
      </c>
      <c r="AI671" s="63" t="str">
        <f>if(AH671,_xlfn.workday.intl(int(AH671),0,"1000000",Holidays!A:A)+18/24,"")</f>
        <v/>
      </c>
      <c r="AJ671" s="64" t="str">
        <f t="shared" si="24"/>
        <v/>
      </c>
      <c r="AL671" s="66" t="str">
        <f t="shared" si="9"/>
        <v/>
      </c>
      <c r="AM671" s="66"/>
      <c r="AN671" s="63" t="str">
        <f>if(AJ671,if(and(hour(AJ671+AN$5)&gt;11,(hour(AJ671+AN$5)&lt;20)),AJ671+AN$5,_xlfn.workday.intl(int(AJ671),1,"1000000",Holidays!A:A)+hour(AJ671+AN$5-$B$1)/24+minute(AJ671)/1440),"")</f>
        <v/>
      </c>
      <c r="AO671" s="64" t="str">
        <f t="shared" si="15"/>
        <v/>
      </c>
      <c r="AQ671" s="66" t="str">
        <f t="shared" si="16"/>
        <v/>
      </c>
      <c r="AR671" s="66"/>
      <c r="AS671" s="63" t="str">
        <f>if(AJ671,if(and(hour(AJ671+AS$5)&gt;11,(hour(AJ671+AS$5)&lt;20)),AJ671+AS$5,_xlfn.workday.intl(int(AJ671),1,"1000000",Holidays!A:A)+hour(AJ671+AS$5-$B$1)/24+minute(AJ671)/1440),"")</f>
        <v/>
      </c>
      <c r="AT671" s="64" t="str">
        <f t="shared" si="21"/>
        <v/>
      </c>
      <c r="AV671" s="66" t="str">
        <f t="shared" si="25"/>
        <v/>
      </c>
      <c r="AW671" s="66"/>
      <c r="AX671" s="56"/>
    </row>
    <row r="672">
      <c r="A672" s="55">
        <v>45777.63249319444</v>
      </c>
      <c r="B672" s="56"/>
      <c r="C672" s="57"/>
      <c r="D672" s="57"/>
      <c r="E672" s="57"/>
      <c r="F672" s="57"/>
      <c r="G672" s="58">
        <f>if(A672,_xlfn.workday.intl(int(A672),1,"1000000",Holidays!A:A)+17/24,"")</f>
        <v>45778.70833</v>
      </c>
      <c r="H672" s="59" t="str">
        <f t="shared" si="23"/>
        <v/>
      </c>
      <c r="I672" s="60"/>
      <c r="J672" s="61">
        <f t="shared" si="2"/>
        <v>355.2755766</v>
      </c>
      <c r="K672" s="58">
        <f>if(G672,_xlfn.workday.intl(int(G672),0,"1000000",Holidays!A:A)+19/24,"")</f>
        <v>45778.79167</v>
      </c>
      <c r="L672" s="59" t="str">
        <f t="shared" si="3"/>
        <v/>
      </c>
      <c r="M672" s="60"/>
      <c r="N672" s="61">
        <f t="shared" si="4"/>
        <v>355.1922432</v>
      </c>
      <c r="O672" s="63">
        <f>if(A672,_xlfn.WORKDAY.INTL(A672,O$5,"1000000",Holidays!A:A)+hour(A672)/24+MINUTE(A672)/1440,"")</f>
        <v>45778.63194</v>
      </c>
      <c r="P672" s="64" t="s">
        <v>2718</v>
      </c>
      <c r="R672" s="66">
        <f t="shared" si="5"/>
        <v>355.3519655</v>
      </c>
      <c r="S672" s="66"/>
      <c r="T672" s="66"/>
      <c r="U672" s="64">
        <f>if(O672,_xlfn.WORKDAY.INTL(O672,U$5,"1000000",Holidays!A:A)+hour(O672)/24+MINUTE(O672)/1440,"")</f>
        <v>45779.63194</v>
      </c>
      <c r="V672" s="64" t="str">
        <f t="shared" si="6"/>
        <v/>
      </c>
      <c r="W672" s="66"/>
      <c r="X672" s="66">
        <f t="shared" si="7"/>
        <v>354.3519655</v>
      </c>
      <c r="Y672" s="66"/>
      <c r="Z672" s="66"/>
      <c r="AA672" s="66"/>
      <c r="AB672" s="63"/>
      <c r="AC672" s="63"/>
      <c r="AD672" s="63"/>
      <c r="AE672" s="63"/>
      <c r="AF672" s="63"/>
      <c r="AG672" s="63"/>
      <c r="AH672" s="63" t="str">
        <f t="shared" si="14"/>
        <v/>
      </c>
      <c r="AI672" s="63" t="str">
        <f>if(AH672,_xlfn.workday.intl(int(AH672),0,"1000000",Holidays!A:A)+18/24,"")</f>
        <v/>
      </c>
      <c r="AJ672" s="64" t="str">
        <f t="shared" si="24"/>
        <v/>
      </c>
      <c r="AL672" s="66" t="str">
        <f t="shared" si="9"/>
        <v/>
      </c>
      <c r="AM672" s="66"/>
      <c r="AN672" s="63" t="str">
        <f>if(AJ672,if(and(hour(AJ672+AN$5)&gt;11,(hour(AJ672+AN$5)&lt;20)),AJ672+AN$5,_xlfn.workday.intl(int(AJ672),1,"1000000",Holidays!A:A)+hour(AJ672+AN$5-$B$1)/24+minute(AJ672)/1440),"")</f>
        <v/>
      </c>
      <c r="AO672" s="64" t="str">
        <f t="shared" si="15"/>
        <v/>
      </c>
      <c r="AQ672" s="66" t="str">
        <f t="shared" si="16"/>
        <v/>
      </c>
      <c r="AR672" s="66"/>
      <c r="AS672" s="63" t="str">
        <f>if(AJ672,if(and(hour(AJ672+AS$5)&gt;11,(hour(AJ672+AS$5)&lt;20)),AJ672+AS$5,_xlfn.workday.intl(int(AJ672),1,"1000000",Holidays!A:A)+hour(AJ672+AS$5-$B$1)/24+minute(AJ672)/1440),"")</f>
        <v/>
      </c>
      <c r="AT672" s="64" t="str">
        <f t="shared" si="21"/>
        <v/>
      </c>
      <c r="AV672" s="66" t="str">
        <f t="shared" si="25"/>
        <v/>
      </c>
      <c r="AW672" s="66"/>
      <c r="AX672" s="56"/>
    </row>
    <row r="673">
      <c r="A673" s="55">
        <v>45791.594251365736</v>
      </c>
      <c r="B673" s="56"/>
      <c r="C673" s="57"/>
      <c r="D673" s="57"/>
      <c r="E673" s="57"/>
      <c r="F673" s="57"/>
      <c r="G673" s="58">
        <f>if(A673,_xlfn.workday.intl(int(A673),1,"1000000",Holidays!A:A)+17/24,"")</f>
        <v>45792.70833</v>
      </c>
      <c r="H673" s="59" t="str">
        <f t="shared" si="23"/>
        <v/>
      </c>
      <c r="I673" s="60"/>
      <c r="J673" s="61">
        <f t="shared" si="2"/>
        <v>341.2755766</v>
      </c>
      <c r="K673" s="58">
        <f>if(G673,_xlfn.workday.intl(int(G673),0,"1000000",Holidays!A:A)+19/24,"")</f>
        <v>45792.79167</v>
      </c>
      <c r="L673" s="59" t="str">
        <f t="shared" si="3"/>
        <v/>
      </c>
      <c r="M673" s="60"/>
      <c r="N673" s="61">
        <f t="shared" si="4"/>
        <v>341.1922432</v>
      </c>
      <c r="O673" s="63">
        <f>if(A673,_xlfn.WORKDAY.INTL(A673,O$5,"1000000",Holidays!A:A)+hour(A673)/24+MINUTE(A673)/1440,"")</f>
        <v>45792.59375</v>
      </c>
      <c r="P673" s="64" t="s">
        <v>2718</v>
      </c>
      <c r="R673" s="66">
        <f t="shared" si="5"/>
        <v>341.3901599</v>
      </c>
      <c r="S673" s="66"/>
      <c r="T673" s="66"/>
      <c r="U673" s="64">
        <f>if(O673,_xlfn.WORKDAY.INTL(O673,U$5,"1000000",Holidays!A:A)+hour(O673)/24+MINUTE(O673)/1440,"")</f>
        <v>45793.59375</v>
      </c>
      <c r="V673" s="64" t="str">
        <f t="shared" si="6"/>
        <v/>
      </c>
      <c r="W673" s="66"/>
      <c r="X673" s="66">
        <f t="shared" si="7"/>
        <v>340.3901599</v>
      </c>
      <c r="Y673" s="66"/>
      <c r="Z673" s="66"/>
      <c r="AA673" s="66"/>
      <c r="AB673" s="63"/>
      <c r="AC673" s="63"/>
      <c r="AD673" s="63"/>
      <c r="AE673" s="63"/>
      <c r="AF673" s="63"/>
      <c r="AG673" s="63"/>
      <c r="AH673" s="63" t="str">
        <f t="shared" si="14"/>
        <v/>
      </c>
      <c r="AI673" s="63" t="str">
        <f>if(AH673,_xlfn.workday.intl(int(AH673),0,"1000000",Holidays!A:A)+18/24,"")</f>
        <v/>
      </c>
      <c r="AJ673" s="64" t="str">
        <f t="shared" si="24"/>
        <v/>
      </c>
      <c r="AL673" s="66" t="str">
        <f t="shared" si="9"/>
        <v/>
      </c>
      <c r="AM673" s="66"/>
      <c r="AN673" s="63" t="str">
        <f>if(AJ673,if(and(hour(AJ673+AN$5)&gt;11,(hour(AJ673+AN$5)&lt;20)),AJ673+AN$5,_xlfn.workday.intl(int(AJ673),1,"1000000",Holidays!A:A)+hour(AJ673+AN$5-$B$1)/24+minute(AJ673)/1440),"")</f>
        <v/>
      </c>
      <c r="AO673" s="64" t="str">
        <f t="shared" si="15"/>
        <v/>
      </c>
      <c r="AQ673" s="66" t="str">
        <f t="shared" si="16"/>
        <v/>
      </c>
      <c r="AR673" s="66"/>
      <c r="AS673" s="63" t="str">
        <f>if(AJ673,if(and(hour(AJ673+AS$5)&gt;11,(hour(AJ673+AS$5)&lt;20)),AJ673+AS$5,_xlfn.workday.intl(int(AJ673),1,"1000000",Holidays!A:A)+hour(AJ673+AS$5-$B$1)/24+minute(AJ673)/1440),"")</f>
        <v/>
      </c>
      <c r="AT673" s="64" t="str">
        <f t="shared" si="21"/>
        <v/>
      </c>
      <c r="AV673" s="66" t="str">
        <f t="shared" si="25"/>
        <v/>
      </c>
      <c r="AW673" s="66"/>
      <c r="AX673" s="56"/>
    </row>
    <row r="674">
      <c r="A674" s="55">
        <v>45792.62288746527</v>
      </c>
      <c r="B674" s="56"/>
      <c r="C674" s="57"/>
      <c r="D674" s="57"/>
      <c r="E674" s="57"/>
      <c r="F674" s="57"/>
      <c r="G674" s="58">
        <f>if(A674,_xlfn.workday.intl(int(A674),1,"1000000",Holidays!A:A)+17/24,"")</f>
        <v>45793.70833</v>
      </c>
      <c r="H674" s="59" t="str">
        <f t="shared" si="23"/>
        <v/>
      </c>
      <c r="I674" s="60"/>
      <c r="J674" s="61">
        <f t="shared" si="2"/>
        <v>340.2755766</v>
      </c>
      <c r="K674" s="58">
        <f>if(G674,_xlfn.workday.intl(int(G674),0,"1000000",Holidays!A:A)+19/24,"")</f>
        <v>45793.79167</v>
      </c>
      <c r="L674" s="59" t="str">
        <f t="shared" si="3"/>
        <v/>
      </c>
      <c r="M674" s="60"/>
      <c r="N674" s="61">
        <f t="shared" si="4"/>
        <v>340.1922432</v>
      </c>
      <c r="O674" s="63">
        <f>if(A674,_xlfn.WORKDAY.INTL(A674,O$5,"1000000",Holidays!A:A)+hour(A674)/24+MINUTE(A674)/1440,"")</f>
        <v>45793.62222</v>
      </c>
      <c r="P674" s="64" t="s">
        <v>2718</v>
      </c>
      <c r="R674" s="66">
        <f t="shared" si="5"/>
        <v>340.3616877</v>
      </c>
      <c r="S674" s="66"/>
      <c r="T674" s="66"/>
      <c r="U674" s="64">
        <f>if(O674,_xlfn.WORKDAY.INTL(O674,U$5,"1000000",Holidays!A:A)+hour(O674)/24+MINUTE(O674)/1440,"")</f>
        <v>45794.62222</v>
      </c>
      <c r="V674" s="64" t="str">
        <f t="shared" si="6"/>
        <v/>
      </c>
      <c r="W674" s="66"/>
      <c r="X674" s="66">
        <f t="shared" si="7"/>
        <v>339.3616877</v>
      </c>
      <c r="Y674" s="66"/>
      <c r="Z674" s="66"/>
      <c r="AA674" s="66"/>
      <c r="AB674" s="63"/>
      <c r="AC674" s="63"/>
      <c r="AD674" s="63"/>
      <c r="AE674" s="63"/>
      <c r="AF674" s="63"/>
      <c r="AG674" s="63"/>
      <c r="AH674" s="63" t="str">
        <f t="shared" si="14"/>
        <v/>
      </c>
      <c r="AI674" s="63" t="str">
        <f>if(AH674,_xlfn.workday.intl(int(AH674),0,"1000000",Holidays!A:A)+18/24,"")</f>
        <v/>
      </c>
      <c r="AJ674" s="64" t="str">
        <f t="shared" si="24"/>
        <v/>
      </c>
      <c r="AL674" s="66" t="str">
        <f t="shared" si="9"/>
        <v/>
      </c>
      <c r="AM674" s="66"/>
      <c r="AN674" s="63" t="str">
        <f>if(AJ674,if(and(hour(AJ674+AN$5)&gt;11,(hour(AJ674+AN$5)&lt;20)),AJ674+AN$5,_xlfn.workday.intl(int(AJ674),1,"1000000",Holidays!A:A)+hour(AJ674+AN$5-$B$1)/24+minute(AJ674)/1440),"")</f>
        <v/>
      </c>
      <c r="AO674" s="64" t="str">
        <f t="shared" si="15"/>
        <v/>
      </c>
      <c r="AQ674" s="66" t="str">
        <f t="shared" si="16"/>
        <v/>
      </c>
      <c r="AR674" s="66"/>
      <c r="AS674" s="63" t="str">
        <f>if(AJ674,if(and(hour(AJ674+AS$5)&gt;11,(hour(AJ674+AS$5)&lt;20)),AJ674+AS$5,_xlfn.workday.intl(int(AJ674),1,"1000000",Holidays!A:A)+hour(AJ674+AS$5-$B$1)/24+minute(AJ674)/1440),"")</f>
        <v/>
      </c>
      <c r="AT674" s="64" t="str">
        <f t="shared" si="21"/>
        <v/>
      </c>
      <c r="AV674" s="66" t="str">
        <f t="shared" si="25"/>
        <v/>
      </c>
      <c r="AW674" s="66"/>
      <c r="AX674" s="56"/>
    </row>
    <row r="675">
      <c r="A675" s="55">
        <v>45792.64291900463</v>
      </c>
      <c r="B675" s="56"/>
      <c r="C675" s="57"/>
      <c r="D675" s="57"/>
      <c r="E675" s="57"/>
      <c r="F675" s="57"/>
      <c r="G675" s="58">
        <f>if(A675,_xlfn.workday.intl(int(A675),1,"1000000",Holidays!A:A)+17/24,"")</f>
        <v>45793.70833</v>
      </c>
      <c r="H675" s="59" t="str">
        <f t="shared" si="23"/>
        <v/>
      </c>
      <c r="I675" s="60"/>
      <c r="J675" s="61">
        <f t="shared" si="2"/>
        <v>340.2755766</v>
      </c>
      <c r="K675" s="58">
        <f>if(G675,_xlfn.workday.intl(int(G675),0,"1000000",Holidays!A:A)+19/24,"")</f>
        <v>45793.79167</v>
      </c>
      <c r="L675" s="59" t="str">
        <f t="shared" si="3"/>
        <v/>
      </c>
      <c r="M675" s="60"/>
      <c r="N675" s="61">
        <f t="shared" si="4"/>
        <v>340.1922432</v>
      </c>
      <c r="O675" s="63">
        <f>if(A675,_xlfn.WORKDAY.INTL(A675,O$5,"1000000",Holidays!A:A)+hour(A675)/24+MINUTE(A675)/1440,"")</f>
        <v>45793.64236</v>
      </c>
      <c r="P675" s="64" t="s">
        <v>2718</v>
      </c>
      <c r="R675" s="66">
        <f t="shared" si="5"/>
        <v>340.3415488</v>
      </c>
      <c r="S675" s="66"/>
      <c r="T675" s="66"/>
      <c r="U675" s="64">
        <f>if(O675,_xlfn.WORKDAY.INTL(O675,U$5,"1000000",Holidays!A:A)+hour(O675)/24+MINUTE(O675)/1440,"")</f>
        <v>45794.64236</v>
      </c>
      <c r="V675" s="64" t="str">
        <f t="shared" si="6"/>
        <v/>
      </c>
      <c r="W675" s="66"/>
      <c r="X675" s="66">
        <f t="shared" si="7"/>
        <v>339.3415488</v>
      </c>
      <c r="Y675" s="66"/>
      <c r="Z675" s="66"/>
      <c r="AA675" s="66"/>
      <c r="AB675" s="63"/>
      <c r="AC675" s="63"/>
      <c r="AD675" s="63"/>
      <c r="AE675" s="63"/>
      <c r="AF675" s="63"/>
      <c r="AG675" s="63"/>
      <c r="AH675" s="63" t="str">
        <f t="shared" si="14"/>
        <v/>
      </c>
      <c r="AI675" s="63" t="str">
        <f>if(AH675,_xlfn.workday.intl(int(AH675),0,"1000000",Holidays!A:A)+18/24,"")</f>
        <v/>
      </c>
      <c r="AJ675" s="64" t="str">
        <f t="shared" si="24"/>
        <v/>
      </c>
      <c r="AL675" s="66" t="str">
        <f t="shared" si="9"/>
        <v/>
      </c>
      <c r="AM675" s="66"/>
      <c r="AN675" s="63" t="str">
        <f>if(AJ675,if(and(hour(AJ675+AN$5)&gt;11,(hour(AJ675+AN$5)&lt;20)),AJ675+AN$5,_xlfn.workday.intl(int(AJ675),1,"1000000",Holidays!A:A)+hour(AJ675+AN$5-$B$1)/24+minute(AJ675)/1440),"")</f>
        <v/>
      </c>
      <c r="AO675" s="64" t="str">
        <f t="shared" si="15"/>
        <v/>
      </c>
      <c r="AQ675" s="66" t="str">
        <f t="shared" si="16"/>
        <v/>
      </c>
      <c r="AR675" s="66"/>
      <c r="AS675" s="63" t="str">
        <f>if(AJ675,if(and(hour(AJ675+AS$5)&gt;11,(hour(AJ675+AS$5)&lt;20)),AJ675+AS$5,_xlfn.workday.intl(int(AJ675),1,"1000000",Holidays!A:A)+hour(AJ675+AS$5-$B$1)/24+minute(AJ675)/1440),"")</f>
        <v/>
      </c>
      <c r="AT675" s="64" t="str">
        <f t="shared" si="21"/>
        <v/>
      </c>
      <c r="AV675" s="66" t="str">
        <f t="shared" si="25"/>
        <v/>
      </c>
      <c r="AW675" s="66"/>
      <c r="AX675" s="56"/>
    </row>
    <row r="676">
      <c r="A676" s="55">
        <v>45792.69952434028</v>
      </c>
      <c r="B676" s="56"/>
      <c r="C676" s="57"/>
      <c r="D676" s="57"/>
      <c r="E676" s="57"/>
      <c r="F676" s="57"/>
      <c r="G676" s="58">
        <f>if(A676,_xlfn.workday.intl(int(A676),1,"1000000",Holidays!A:A)+17/24,"")</f>
        <v>45793.70833</v>
      </c>
      <c r="H676" s="59" t="str">
        <f t="shared" si="23"/>
        <v/>
      </c>
      <c r="I676" s="60"/>
      <c r="J676" s="61">
        <f t="shared" si="2"/>
        <v>340.2755766</v>
      </c>
      <c r="K676" s="58">
        <f>if(G676,_xlfn.workday.intl(int(G676),0,"1000000",Holidays!A:A)+19/24,"")</f>
        <v>45793.79167</v>
      </c>
      <c r="L676" s="59" t="str">
        <f t="shared" si="3"/>
        <v/>
      </c>
      <c r="M676" s="60"/>
      <c r="N676" s="61">
        <f t="shared" si="4"/>
        <v>340.1922432</v>
      </c>
      <c r="O676" s="63">
        <f>if(A676,_xlfn.WORKDAY.INTL(A676,O$5,"1000000",Holidays!A:A)+hour(A676)/24+MINUTE(A676)/1440,"")</f>
        <v>45793.69931</v>
      </c>
      <c r="P676" s="64" t="s">
        <v>2718</v>
      </c>
      <c r="R676" s="66">
        <f t="shared" si="5"/>
        <v>340.2846043</v>
      </c>
      <c r="S676" s="66"/>
      <c r="T676" s="66"/>
      <c r="U676" s="64">
        <f>if(O676,_xlfn.WORKDAY.INTL(O676,U$5,"1000000",Holidays!A:A)+hour(O676)/24+MINUTE(O676)/1440,"")</f>
        <v>45794.69931</v>
      </c>
      <c r="V676" s="64" t="str">
        <f t="shared" si="6"/>
        <v/>
      </c>
      <c r="W676" s="66"/>
      <c r="X676" s="66">
        <f t="shared" si="7"/>
        <v>339.2846043</v>
      </c>
      <c r="Y676" s="66"/>
      <c r="Z676" s="66"/>
      <c r="AA676" s="66"/>
      <c r="AB676" s="63"/>
      <c r="AC676" s="63"/>
      <c r="AD676" s="63"/>
      <c r="AE676" s="63"/>
      <c r="AF676" s="63"/>
      <c r="AG676" s="63"/>
      <c r="AH676" s="63" t="str">
        <f t="shared" si="14"/>
        <v/>
      </c>
      <c r="AI676" s="63" t="str">
        <f>if(AH676,_xlfn.workday.intl(int(AH676),0,"1000000",Holidays!A:A)+18/24,"")</f>
        <v/>
      </c>
      <c r="AJ676" s="64" t="str">
        <f t="shared" si="24"/>
        <v/>
      </c>
      <c r="AL676" s="66" t="str">
        <f t="shared" si="9"/>
        <v/>
      </c>
      <c r="AM676" s="66"/>
      <c r="AN676" s="63" t="str">
        <f>if(AJ676,if(and(hour(AJ676+AN$5)&gt;11,(hour(AJ676+AN$5)&lt;20)),AJ676+AN$5,_xlfn.workday.intl(int(AJ676),1,"1000000",Holidays!A:A)+hour(AJ676+AN$5-$B$1)/24+minute(AJ676)/1440),"")</f>
        <v/>
      </c>
      <c r="AO676" s="64" t="str">
        <f t="shared" si="15"/>
        <v/>
      </c>
      <c r="AQ676" s="66" t="str">
        <f t="shared" si="16"/>
        <v/>
      </c>
      <c r="AR676" s="66"/>
      <c r="AS676" s="63" t="str">
        <f>if(AJ676,if(and(hour(AJ676+AS$5)&gt;11,(hour(AJ676+AS$5)&lt;20)),AJ676+AS$5,_xlfn.workday.intl(int(AJ676),1,"1000000",Holidays!A:A)+hour(AJ676+AS$5-$B$1)/24+minute(AJ676)/1440),"")</f>
        <v/>
      </c>
      <c r="AT676" s="64" t="str">
        <f t="shared" si="21"/>
        <v/>
      </c>
      <c r="AV676" s="66" t="str">
        <f t="shared" si="25"/>
        <v/>
      </c>
      <c r="AW676" s="66"/>
      <c r="AX676" s="56"/>
    </row>
    <row r="677">
      <c r="A677" s="55">
        <v>45797.69882071759</v>
      </c>
      <c r="B677" s="56"/>
      <c r="C677" s="57"/>
      <c r="D677" s="57"/>
      <c r="E677" s="57"/>
      <c r="F677" s="57"/>
      <c r="G677" s="58">
        <f>if(A677,_xlfn.workday.intl(int(A677),1,"1000000",Holidays!A:A)+17/24,"")</f>
        <v>45798.70833</v>
      </c>
      <c r="H677" s="59" t="str">
        <f t="shared" si="23"/>
        <v/>
      </c>
      <c r="I677" s="60"/>
      <c r="J677" s="61">
        <f t="shared" si="2"/>
        <v>335.2755766</v>
      </c>
      <c r="K677" s="58">
        <f>if(G677,_xlfn.workday.intl(int(G677),0,"1000000",Holidays!A:A)+19/24,"")</f>
        <v>45798.79167</v>
      </c>
      <c r="L677" s="59" t="str">
        <f t="shared" si="3"/>
        <v/>
      </c>
      <c r="M677" s="60"/>
      <c r="N677" s="61">
        <f t="shared" si="4"/>
        <v>335.1922432</v>
      </c>
      <c r="O677" s="63">
        <f>if(A677,_xlfn.WORKDAY.INTL(A677,O$5,"1000000",Holidays!A:A)+hour(A677)/24+MINUTE(A677)/1440,"")</f>
        <v>45798.69861</v>
      </c>
      <c r="P677" s="64" t="s">
        <v>2718</v>
      </c>
      <c r="R677" s="66">
        <f t="shared" si="5"/>
        <v>335.2852988</v>
      </c>
      <c r="S677" s="66"/>
      <c r="T677" s="66"/>
      <c r="U677" s="64">
        <f>if(O677,_xlfn.WORKDAY.INTL(O677,U$5,"1000000",Holidays!A:A)+hour(O677)/24+MINUTE(O677)/1440,"")</f>
        <v>45799.69861</v>
      </c>
      <c r="V677" s="64" t="str">
        <f t="shared" si="6"/>
        <v/>
      </c>
      <c r="W677" s="66"/>
      <c r="X677" s="66">
        <f t="shared" si="7"/>
        <v>334.2852988</v>
      </c>
      <c r="Y677" s="66"/>
      <c r="Z677" s="66"/>
      <c r="AA677" s="66"/>
      <c r="AB677" s="63"/>
      <c r="AC677" s="63"/>
      <c r="AD677" s="63"/>
      <c r="AE677" s="63"/>
      <c r="AF677" s="63"/>
      <c r="AG677" s="63"/>
      <c r="AH677" s="63" t="str">
        <f t="shared" si="14"/>
        <v/>
      </c>
      <c r="AI677" s="63" t="str">
        <f>if(AH677,_xlfn.workday.intl(int(AH677),0,"1000000",Holidays!A:A)+18/24,"")</f>
        <v/>
      </c>
      <c r="AJ677" s="64" t="str">
        <f t="shared" si="24"/>
        <v/>
      </c>
      <c r="AL677" s="66" t="str">
        <f t="shared" si="9"/>
        <v/>
      </c>
      <c r="AM677" s="66"/>
      <c r="AN677" s="63" t="str">
        <f>if(AJ677,if(and(hour(AJ677+AN$5)&gt;11,(hour(AJ677+AN$5)&lt;20)),AJ677+AN$5,_xlfn.workday.intl(int(AJ677),1,"1000000",Holidays!A:A)+hour(AJ677+AN$5-$B$1)/24+minute(AJ677)/1440),"")</f>
        <v/>
      </c>
      <c r="AO677" s="64" t="str">
        <f t="shared" si="15"/>
        <v/>
      </c>
      <c r="AQ677" s="66" t="str">
        <f t="shared" si="16"/>
        <v/>
      </c>
      <c r="AR677" s="66"/>
      <c r="AS677" s="63" t="str">
        <f>if(AJ677,if(and(hour(AJ677+AS$5)&gt;11,(hour(AJ677+AS$5)&lt;20)),AJ677+AS$5,_xlfn.workday.intl(int(AJ677),1,"1000000",Holidays!A:A)+hour(AJ677+AS$5-$B$1)/24+minute(AJ677)/1440),"")</f>
        <v/>
      </c>
      <c r="AT677" s="64" t="str">
        <f t="shared" si="21"/>
        <v/>
      </c>
      <c r="AV677" s="66" t="str">
        <f t="shared" si="25"/>
        <v/>
      </c>
      <c r="AW677" s="66"/>
      <c r="AX677" s="56"/>
    </row>
    <row r="678">
      <c r="A678" s="55">
        <v>45797.70748912037</v>
      </c>
      <c r="B678" s="56"/>
      <c r="C678" s="57"/>
      <c r="D678" s="57"/>
      <c r="E678" s="57"/>
      <c r="F678" s="57"/>
      <c r="G678" s="58">
        <f>if(A678,_xlfn.workday.intl(int(A678),1,"1000000",Holidays!A:A)+17/24,"")</f>
        <v>45798.70833</v>
      </c>
      <c r="H678" s="59" t="str">
        <f t="shared" si="23"/>
        <v/>
      </c>
      <c r="I678" s="60"/>
      <c r="J678" s="61">
        <f t="shared" si="2"/>
        <v>335.2755766</v>
      </c>
      <c r="K678" s="58">
        <f>if(G678,_xlfn.workday.intl(int(G678),0,"1000000",Holidays!A:A)+19/24,"")</f>
        <v>45798.79167</v>
      </c>
      <c r="L678" s="59" t="str">
        <f t="shared" si="3"/>
        <v/>
      </c>
      <c r="M678" s="60"/>
      <c r="N678" s="61">
        <f t="shared" si="4"/>
        <v>335.1922432</v>
      </c>
      <c r="O678" s="63">
        <f>if(A678,_xlfn.WORKDAY.INTL(A678,O$5,"1000000",Holidays!A:A)+hour(A678)/24+MINUTE(A678)/1440,"")</f>
        <v>45798.70694</v>
      </c>
      <c r="P678" s="64" t="s">
        <v>2718</v>
      </c>
      <c r="R678" s="66">
        <f t="shared" si="5"/>
        <v>335.2769655</v>
      </c>
      <c r="S678" s="66"/>
      <c r="T678" s="66"/>
      <c r="U678" s="64">
        <f>if(O678,_xlfn.WORKDAY.INTL(O678,U$5,"1000000",Holidays!A:A)+hour(O678)/24+MINUTE(O678)/1440,"")</f>
        <v>45799.70694</v>
      </c>
      <c r="V678" s="64" t="str">
        <f t="shared" si="6"/>
        <v/>
      </c>
      <c r="W678" s="66"/>
      <c r="X678" s="66">
        <f t="shared" si="7"/>
        <v>334.2769655</v>
      </c>
      <c r="Y678" s="66"/>
      <c r="Z678" s="66"/>
      <c r="AA678" s="66"/>
      <c r="AB678" s="63"/>
      <c r="AC678" s="63"/>
      <c r="AD678" s="63"/>
      <c r="AE678" s="63"/>
      <c r="AF678" s="63"/>
      <c r="AG678" s="63"/>
      <c r="AH678" s="63" t="str">
        <f t="shared" si="14"/>
        <v/>
      </c>
      <c r="AI678" s="63" t="str">
        <f>if(AH678,_xlfn.workday.intl(int(AH678),0,"1000000",Holidays!A:A)+18/24,"")</f>
        <v/>
      </c>
      <c r="AJ678" s="64" t="str">
        <f t="shared" si="24"/>
        <v/>
      </c>
      <c r="AL678" s="66" t="str">
        <f t="shared" si="9"/>
        <v/>
      </c>
      <c r="AM678" s="66"/>
      <c r="AN678" s="63" t="str">
        <f>if(AJ678,if(and(hour(AJ678+AN$5)&gt;11,(hour(AJ678+AN$5)&lt;20)),AJ678+AN$5,_xlfn.workday.intl(int(AJ678),1,"1000000",Holidays!A:A)+hour(AJ678+AN$5-$B$1)/24+minute(AJ678)/1440),"")</f>
        <v/>
      </c>
      <c r="AO678" s="64" t="str">
        <f t="shared" si="15"/>
        <v/>
      </c>
      <c r="AQ678" s="66" t="str">
        <f t="shared" si="16"/>
        <v/>
      </c>
      <c r="AR678" s="66"/>
      <c r="AS678" s="63" t="str">
        <f>if(AJ678,if(and(hour(AJ678+AS$5)&gt;11,(hour(AJ678+AS$5)&lt;20)),AJ678+AS$5,_xlfn.workday.intl(int(AJ678),1,"1000000",Holidays!A:A)+hour(AJ678+AS$5-$B$1)/24+minute(AJ678)/1440),"")</f>
        <v/>
      </c>
      <c r="AT678" s="64" t="str">
        <f t="shared" si="21"/>
        <v/>
      </c>
      <c r="AV678" s="66" t="str">
        <f t="shared" si="25"/>
        <v/>
      </c>
      <c r="AW678" s="66"/>
      <c r="AX678" s="56"/>
    </row>
    <row r="679">
      <c r="A679" s="55">
        <v>45799.651090046296</v>
      </c>
      <c r="B679" s="56"/>
      <c r="C679" s="57"/>
      <c r="D679" s="57"/>
      <c r="E679" s="57"/>
      <c r="F679" s="57"/>
      <c r="G679" s="58">
        <f>if(A679,_xlfn.workday.intl(int(A679),1,"1000000",Holidays!A:A)+17/24,"")</f>
        <v>45800.70833</v>
      </c>
      <c r="H679" s="59" t="str">
        <f t="shared" si="23"/>
        <v/>
      </c>
      <c r="I679" s="60"/>
      <c r="J679" s="61">
        <f t="shared" si="2"/>
        <v>333.2755766</v>
      </c>
      <c r="K679" s="58">
        <f>if(G679,_xlfn.workday.intl(int(G679),0,"1000000",Holidays!A:A)+19/24,"")</f>
        <v>45800.79167</v>
      </c>
      <c r="L679" s="59" t="str">
        <f t="shared" si="3"/>
        <v/>
      </c>
      <c r="M679" s="60"/>
      <c r="N679" s="61">
        <f t="shared" si="4"/>
        <v>333.1922432</v>
      </c>
      <c r="O679" s="63">
        <f>if(A679,_xlfn.WORKDAY.INTL(A679,O$5,"1000000",Holidays!A:A)+hour(A679)/24+MINUTE(A679)/1440,"")</f>
        <v>45800.65069</v>
      </c>
      <c r="P679" s="64" t="s">
        <v>2718</v>
      </c>
      <c r="R679" s="66">
        <f t="shared" si="5"/>
        <v>333.3332155</v>
      </c>
      <c r="S679" s="66"/>
      <c r="T679" s="66"/>
      <c r="U679" s="64">
        <f>if(O679,_xlfn.WORKDAY.INTL(O679,U$5,"1000000",Holidays!A:A)+hour(O679)/24+MINUTE(O679)/1440,"")</f>
        <v>45801.65069</v>
      </c>
      <c r="V679" s="64" t="str">
        <f t="shared" si="6"/>
        <v/>
      </c>
      <c r="W679" s="66"/>
      <c r="X679" s="66">
        <f t="shared" si="7"/>
        <v>332.3332155</v>
      </c>
      <c r="Y679" s="66"/>
      <c r="Z679" s="66"/>
      <c r="AA679" s="66"/>
      <c r="AB679" s="63"/>
      <c r="AC679" s="63"/>
      <c r="AD679" s="63"/>
      <c r="AE679" s="63"/>
      <c r="AF679" s="63"/>
      <c r="AG679" s="63"/>
      <c r="AH679" s="63" t="str">
        <f t="shared" si="14"/>
        <v/>
      </c>
      <c r="AI679" s="63" t="str">
        <f>if(AH679,_xlfn.workday.intl(int(AH679),0,"1000000",Holidays!A:A)+18/24,"")</f>
        <v/>
      </c>
      <c r="AJ679" s="64" t="str">
        <f t="shared" si="24"/>
        <v/>
      </c>
      <c r="AL679" s="66" t="str">
        <f t="shared" si="9"/>
        <v/>
      </c>
      <c r="AM679" s="66"/>
      <c r="AN679" s="63" t="str">
        <f>if(AJ679,if(and(hour(AJ679+AN$5)&gt;11,(hour(AJ679+AN$5)&lt;20)),AJ679+AN$5,_xlfn.workday.intl(int(AJ679),1,"1000000",Holidays!A:A)+hour(AJ679+AN$5-$B$1)/24+minute(AJ679)/1440),"")</f>
        <v/>
      </c>
      <c r="AO679" s="64" t="str">
        <f t="shared" si="15"/>
        <v/>
      </c>
      <c r="AQ679" s="66" t="str">
        <f t="shared" si="16"/>
        <v/>
      </c>
      <c r="AR679" s="66"/>
      <c r="AS679" s="63" t="str">
        <f>if(AJ679,if(and(hour(AJ679+AS$5)&gt;11,(hour(AJ679+AS$5)&lt;20)),AJ679+AS$5,_xlfn.workday.intl(int(AJ679),1,"1000000",Holidays!A:A)+hour(AJ679+AS$5-$B$1)/24+minute(AJ679)/1440),"")</f>
        <v/>
      </c>
      <c r="AT679" s="64" t="str">
        <f t="shared" si="21"/>
        <v/>
      </c>
      <c r="AV679" s="66" t="str">
        <f t="shared" si="25"/>
        <v/>
      </c>
      <c r="AW679" s="66"/>
      <c r="AX679" s="56"/>
    </row>
    <row r="680">
      <c r="A680" s="55">
        <v>45807.476224074075</v>
      </c>
      <c r="B680" s="56"/>
      <c r="C680" s="57"/>
      <c r="D680" s="57"/>
      <c r="E680" s="57"/>
      <c r="F680" s="57"/>
      <c r="G680" s="58">
        <f>if(A680,_xlfn.workday.intl(int(A680),1,"1000000",Holidays!A:A)+17/24,"")</f>
        <v>45808.70833</v>
      </c>
      <c r="H680" s="59" t="str">
        <f t="shared" si="23"/>
        <v/>
      </c>
      <c r="I680" s="60"/>
      <c r="J680" s="61">
        <f t="shared" si="2"/>
        <v>325.2755766</v>
      </c>
      <c r="K680" s="58">
        <f>if(G680,_xlfn.workday.intl(int(G680),0,"1000000",Holidays!A:A)+19/24,"")</f>
        <v>45808.79167</v>
      </c>
      <c r="L680" s="59" t="str">
        <f t="shared" si="3"/>
        <v/>
      </c>
      <c r="M680" s="60"/>
      <c r="N680" s="61">
        <f t="shared" si="4"/>
        <v>325.1922432</v>
      </c>
      <c r="O680" s="63">
        <f>if(A680,_xlfn.WORKDAY.INTL(A680,O$5,"1000000",Holidays!A:A)+hour(A680)/24+MINUTE(A680)/1440,"")</f>
        <v>45808.47569</v>
      </c>
      <c r="P680" s="64" t="s">
        <v>2718</v>
      </c>
      <c r="R680" s="66">
        <f t="shared" si="5"/>
        <v>325.5082155</v>
      </c>
      <c r="S680" s="66"/>
      <c r="T680" s="66"/>
      <c r="U680" s="64">
        <f>if(O680,_xlfn.WORKDAY.INTL(O680,U$5,"1000000",Holidays!A:A)+hour(O680)/24+MINUTE(O680)/1440,"")</f>
        <v>45809.47569</v>
      </c>
      <c r="V680" s="64" t="str">
        <f t="shared" si="6"/>
        <v/>
      </c>
      <c r="W680" s="66"/>
      <c r="X680" s="66">
        <f t="shared" si="7"/>
        <v>324.5082155</v>
      </c>
      <c r="Y680" s="66"/>
      <c r="Z680" s="66"/>
      <c r="AA680" s="66"/>
      <c r="AB680" s="63"/>
      <c r="AC680" s="63"/>
      <c r="AD680" s="63"/>
      <c r="AE680" s="63"/>
      <c r="AF680" s="63"/>
      <c r="AG680" s="63"/>
      <c r="AH680" s="63" t="str">
        <f t="shared" si="14"/>
        <v/>
      </c>
      <c r="AI680" s="63" t="str">
        <f>if(AH680,_xlfn.workday.intl(int(AH680),0,"1000000",Holidays!A:A)+18/24,"")</f>
        <v/>
      </c>
      <c r="AJ680" s="64" t="str">
        <f t="shared" si="24"/>
        <v/>
      </c>
      <c r="AL680" s="66" t="str">
        <f t="shared" si="9"/>
        <v/>
      </c>
      <c r="AM680" s="66"/>
      <c r="AN680" s="63" t="str">
        <f>if(AJ680,if(and(hour(AJ680+AN$5)&gt;11,(hour(AJ680+AN$5)&lt;20)),AJ680+AN$5,_xlfn.workday.intl(int(AJ680),1,"1000000",Holidays!A:A)+hour(AJ680+AN$5-$B$1)/24+minute(AJ680)/1440),"")</f>
        <v/>
      </c>
      <c r="AO680" s="64" t="str">
        <f t="shared" si="15"/>
        <v/>
      </c>
      <c r="AQ680" s="66" t="str">
        <f t="shared" si="16"/>
        <v/>
      </c>
      <c r="AR680" s="66"/>
      <c r="AS680" s="63" t="str">
        <f>if(AJ680,if(and(hour(AJ680+AS$5)&gt;11,(hour(AJ680+AS$5)&lt;20)),AJ680+AS$5,_xlfn.workday.intl(int(AJ680),1,"1000000",Holidays!A:A)+hour(AJ680+AS$5-$B$1)/24+minute(AJ680)/1440),"")</f>
        <v/>
      </c>
      <c r="AT680" s="64" t="str">
        <f t="shared" si="21"/>
        <v/>
      </c>
      <c r="AV680" s="66" t="str">
        <f t="shared" si="25"/>
        <v/>
      </c>
      <c r="AW680" s="66"/>
      <c r="AX680" s="56"/>
    </row>
    <row r="681">
      <c r="A681" s="55">
        <v>45811.57417144676</v>
      </c>
      <c r="B681" s="56"/>
      <c r="C681" s="57"/>
      <c r="D681" s="57"/>
      <c r="E681" s="57"/>
      <c r="F681" s="57"/>
      <c r="G681" s="58">
        <f>if(A681,_xlfn.workday.intl(int(A681),1,"1000000",Holidays!A:A)+17/24,"")</f>
        <v>45812.70833</v>
      </c>
      <c r="H681" s="59" t="str">
        <f t="shared" si="23"/>
        <v/>
      </c>
      <c r="I681" s="60"/>
      <c r="J681" s="61">
        <f t="shared" si="2"/>
        <v>321.2755766</v>
      </c>
      <c r="K681" s="58">
        <f>if(G681,_xlfn.workday.intl(int(G681),0,"1000000",Holidays!A:A)+19/24,"")</f>
        <v>45812.79167</v>
      </c>
      <c r="L681" s="59" t="str">
        <f t="shared" si="3"/>
        <v/>
      </c>
      <c r="M681" s="60"/>
      <c r="N681" s="61">
        <f t="shared" si="4"/>
        <v>321.1922432</v>
      </c>
      <c r="O681" s="63">
        <f>if(A681,_xlfn.WORKDAY.INTL(A681,O$5,"1000000",Holidays!A:A)+hour(A681)/24+MINUTE(A681)/1440,"")</f>
        <v>45812.57361</v>
      </c>
      <c r="P681" s="64" t="s">
        <v>2718</v>
      </c>
      <c r="R681" s="66">
        <f t="shared" si="5"/>
        <v>321.4102988</v>
      </c>
      <c r="S681" s="66"/>
      <c r="T681" s="66"/>
      <c r="U681" s="64">
        <f>if(O681,_xlfn.WORKDAY.INTL(O681,U$5,"1000000",Holidays!A:A)+hour(O681)/24+MINUTE(O681)/1440,"")</f>
        <v>45813.57361</v>
      </c>
      <c r="V681" s="64" t="str">
        <f t="shared" si="6"/>
        <v/>
      </c>
      <c r="W681" s="66"/>
      <c r="X681" s="66">
        <f t="shared" si="7"/>
        <v>320.4102988</v>
      </c>
      <c r="Y681" s="66"/>
      <c r="Z681" s="66"/>
      <c r="AA681" s="66"/>
      <c r="AB681" s="63"/>
      <c r="AC681" s="63"/>
      <c r="AD681" s="63"/>
      <c r="AE681" s="63"/>
      <c r="AF681" s="63"/>
      <c r="AG681" s="63"/>
      <c r="AH681" s="63" t="str">
        <f t="shared" si="14"/>
        <v/>
      </c>
      <c r="AI681" s="63" t="str">
        <f>if(AH681,_xlfn.workday.intl(int(AH681),0,"1000000",Holidays!A:A)+18/24,"")</f>
        <v/>
      </c>
      <c r="AJ681" s="64" t="str">
        <f t="shared" si="24"/>
        <v/>
      </c>
      <c r="AL681" s="66" t="str">
        <f t="shared" si="9"/>
        <v/>
      </c>
      <c r="AM681" s="66"/>
      <c r="AN681" s="63" t="str">
        <f>if(AJ681,if(and(hour(AJ681+AN$5)&gt;11,(hour(AJ681+AN$5)&lt;20)),AJ681+AN$5,_xlfn.workday.intl(int(AJ681),1,"1000000",Holidays!A:A)+hour(AJ681+AN$5-$B$1)/24+minute(AJ681)/1440),"")</f>
        <v/>
      </c>
      <c r="AO681" s="64" t="str">
        <f t="shared" si="15"/>
        <v/>
      </c>
      <c r="AQ681" s="66" t="str">
        <f t="shared" si="16"/>
        <v/>
      </c>
      <c r="AR681" s="66"/>
      <c r="AS681" s="63" t="str">
        <f>if(AJ681,if(and(hour(AJ681+AS$5)&gt;11,(hour(AJ681+AS$5)&lt;20)),AJ681+AS$5,_xlfn.workday.intl(int(AJ681),1,"1000000",Holidays!A:A)+hour(AJ681+AS$5-$B$1)/24+minute(AJ681)/1440),"")</f>
        <v/>
      </c>
      <c r="AT681" s="64" t="str">
        <f t="shared" si="21"/>
        <v/>
      </c>
      <c r="AV681" s="66" t="str">
        <f t="shared" si="25"/>
        <v/>
      </c>
      <c r="AW681" s="66"/>
      <c r="AX681" s="56"/>
    </row>
    <row r="682">
      <c r="A682" s="55">
        <v>45832.62573857639</v>
      </c>
      <c r="B682" s="56"/>
      <c r="C682" s="57"/>
      <c r="D682" s="57"/>
      <c r="E682" s="57"/>
      <c r="F682" s="57"/>
      <c r="G682" s="58">
        <f>if(A682,_xlfn.workday.intl(int(A682),1,"1000000",Holidays!A:A)+17/24,"")</f>
        <v>45833.70833</v>
      </c>
      <c r="H682" s="59" t="str">
        <f t="shared" si="23"/>
        <v/>
      </c>
      <c r="I682" s="60"/>
      <c r="J682" s="61">
        <f t="shared" si="2"/>
        <v>300.2755766</v>
      </c>
      <c r="K682" s="58">
        <f>if(G682,_xlfn.workday.intl(int(G682),0,"1000000",Holidays!A:A)+19/24,"")</f>
        <v>45833.79167</v>
      </c>
      <c r="L682" s="59" t="str">
        <f t="shared" si="3"/>
        <v/>
      </c>
      <c r="M682" s="60"/>
      <c r="N682" s="61">
        <f t="shared" si="4"/>
        <v>300.1922432</v>
      </c>
      <c r="O682" s="63">
        <f>if(A682,_xlfn.WORKDAY.INTL(A682,O$5,"1000000",Holidays!A:A)+hour(A682)/24+MINUTE(A682)/1440,"")</f>
        <v>45833.62569</v>
      </c>
      <c r="P682" s="64" t="s">
        <v>2718</v>
      </c>
      <c r="R682" s="66">
        <f t="shared" si="5"/>
        <v>300.3582155</v>
      </c>
      <c r="S682" s="66"/>
      <c r="T682" s="66"/>
      <c r="U682" s="64">
        <f>if(O682,_xlfn.WORKDAY.INTL(O682,U$5,"1000000",Holidays!A:A)+hour(O682)/24+MINUTE(O682)/1440,"")</f>
        <v>45834.62569</v>
      </c>
      <c r="V682" s="64" t="str">
        <f t="shared" si="6"/>
        <v/>
      </c>
      <c r="W682" s="66"/>
      <c r="X682" s="66">
        <f t="shared" si="7"/>
        <v>299.3582155</v>
      </c>
      <c r="Y682" s="66"/>
      <c r="Z682" s="66"/>
      <c r="AA682" s="66"/>
      <c r="AB682" s="63"/>
      <c r="AC682" s="63"/>
      <c r="AD682" s="63"/>
      <c r="AE682" s="63"/>
      <c r="AF682" s="63"/>
      <c r="AG682" s="63"/>
      <c r="AH682" s="63" t="str">
        <f t="shared" si="14"/>
        <v/>
      </c>
      <c r="AI682" s="63" t="str">
        <f>if(AH682,_xlfn.workday.intl(int(AH682),0,"1000000",Holidays!A:A)+18/24,"")</f>
        <v/>
      </c>
      <c r="AJ682" s="64" t="str">
        <f t="shared" si="24"/>
        <v/>
      </c>
      <c r="AL682" s="66" t="str">
        <f t="shared" si="9"/>
        <v/>
      </c>
      <c r="AM682" s="66"/>
      <c r="AN682" s="63" t="str">
        <f>if(AJ682,if(and(hour(AJ682+AN$5)&gt;11,(hour(AJ682+AN$5)&lt;20)),AJ682+AN$5,_xlfn.workday.intl(int(AJ682),1,"1000000",Holidays!A:A)+hour(AJ682+AN$5-$B$1)/24+minute(AJ682)/1440),"")</f>
        <v/>
      </c>
      <c r="AO682" s="64" t="str">
        <f t="shared" si="15"/>
        <v/>
      </c>
      <c r="AQ682" s="66" t="str">
        <f t="shared" si="16"/>
        <v/>
      </c>
      <c r="AR682" s="66"/>
      <c r="AS682" s="63" t="str">
        <f>if(AJ682,if(and(hour(AJ682+AS$5)&gt;11,(hour(AJ682+AS$5)&lt;20)),AJ682+AS$5,_xlfn.workday.intl(int(AJ682),1,"1000000",Holidays!A:A)+hour(AJ682+AS$5-$B$1)/24+minute(AJ682)/1440),"")</f>
        <v/>
      </c>
      <c r="AT682" s="64" t="str">
        <f t="shared" si="21"/>
        <v/>
      </c>
      <c r="AV682" s="66" t="str">
        <f t="shared" si="25"/>
        <v/>
      </c>
      <c r="AW682" s="66"/>
      <c r="AX682" s="56"/>
    </row>
    <row r="683">
      <c r="A683" s="55">
        <v>45832.63631265046</v>
      </c>
      <c r="B683" s="56"/>
      <c r="C683" s="57"/>
      <c r="D683" s="57"/>
      <c r="E683" s="57"/>
      <c r="F683" s="57"/>
      <c r="G683" s="58">
        <f>if(A683,_xlfn.workday.intl(int(A683),1,"1000000",Holidays!A:A)+17/24,"")</f>
        <v>45833.70833</v>
      </c>
      <c r="H683" s="59" t="str">
        <f t="shared" si="23"/>
        <v/>
      </c>
      <c r="I683" s="60"/>
      <c r="J683" s="61">
        <f t="shared" si="2"/>
        <v>300.2755766</v>
      </c>
      <c r="K683" s="58">
        <f>if(G683,_xlfn.workday.intl(int(G683),0,"1000000",Holidays!A:A)+19/24,"")</f>
        <v>45833.79167</v>
      </c>
      <c r="L683" s="59" t="str">
        <f t="shared" si="3"/>
        <v/>
      </c>
      <c r="M683" s="60"/>
      <c r="N683" s="61">
        <f t="shared" si="4"/>
        <v>300.1922432</v>
      </c>
      <c r="O683" s="63">
        <f>if(A683,_xlfn.WORKDAY.INTL(A683,O$5,"1000000",Holidays!A:A)+hour(A683)/24+MINUTE(A683)/1440,"")</f>
        <v>45833.63611</v>
      </c>
      <c r="P683" s="64" t="s">
        <v>2718</v>
      </c>
      <c r="R683" s="66">
        <f t="shared" si="5"/>
        <v>300.3477988</v>
      </c>
      <c r="S683" s="66"/>
      <c r="T683" s="66"/>
      <c r="U683" s="64">
        <f>if(O683,_xlfn.WORKDAY.INTL(O683,U$5,"1000000",Holidays!A:A)+hour(O683)/24+MINUTE(O683)/1440,"")</f>
        <v>45834.63611</v>
      </c>
      <c r="V683" s="64" t="str">
        <f t="shared" si="6"/>
        <v/>
      </c>
      <c r="W683" s="66"/>
      <c r="X683" s="66">
        <f t="shared" si="7"/>
        <v>299.3477988</v>
      </c>
      <c r="Y683" s="66"/>
      <c r="Z683" s="66"/>
      <c r="AA683" s="66"/>
      <c r="AB683" s="63"/>
      <c r="AC683" s="63"/>
      <c r="AD683" s="63"/>
      <c r="AE683" s="63"/>
      <c r="AF683" s="63"/>
      <c r="AG683" s="63"/>
      <c r="AH683" s="63" t="str">
        <f t="shared" si="14"/>
        <v/>
      </c>
      <c r="AI683" s="63" t="str">
        <f>if(AH683,_xlfn.workday.intl(int(AH683),0,"1000000",Holidays!A:A)+18/24,"")</f>
        <v/>
      </c>
      <c r="AJ683" s="64" t="str">
        <f t="shared" si="24"/>
        <v/>
      </c>
      <c r="AL683" s="66" t="str">
        <f t="shared" si="9"/>
        <v/>
      </c>
      <c r="AM683" s="66"/>
      <c r="AN683" s="63" t="str">
        <f>if(AJ683,if(and(hour(AJ683+AN$5)&gt;11,(hour(AJ683+AN$5)&lt;20)),AJ683+AN$5,_xlfn.workday.intl(int(AJ683),1,"1000000",Holidays!A:A)+hour(AJ683+AN$5-$B$1)/24+minute(AJ683)/1440),"")</f>
        <v/>
      </c>
      <c r="AO683" s="64" t="str">
        <f t="shared" si="15"/>
        <v/>
      </c>
      <c r="AQ683" s="66" t="str">
        <f t="shared" si="16"/>
        <v/>
      </c>
      <c r="AR683" s="66"/>
      <c r="AS683" s="63" t="str">
        <f>if(AJ683,if(and(hour(AJ683+AS$5)&gt;11,(hour(AJ683+AS$5)&lt;20)),AJ683+AS$5,_xlfn.workday.intl(int(AJ683),1,"1000000",Holidays!A:A)+hour(AJ683+AS$5-$B$1)/24+minute(AJ683)/1440),"")</f>
        <v/>
      </c>
      <c r="AT683" s="64" t="str">
        <f t="shared" si="21"/>
        <v/>
      </c>
      <c r="AV683" s="66" t="str">
        <f t="shared" si="25"/>
        <v/>
      </c>
      <c r="AW683" s="66"/>
      <c r="AX683" s="56"/>
    </row>
    <row r="684">
      <c r="A684" s="55">
        <v>45832.63746958334</v>
      </c>
      <c r="B684" s="56"/>
      <c r="C684" s="57"/>
      <c r="D684" s="57"/>
      <c r="E684" s="57"/>
      <c r="F684" s="57"/>
      <c r="G684" s="58">
        <f>if(A684,_xlfn.workday.intl(int(A684),1,"1000000",Holidays!A:A)+17/24,"")</f>
        <v>45833.70833</v>
      </c>
      <c r="H684" s="59" t="str">
        <f t="shared" si="23"/>
        <v/>
      </c>
      <c r="I684" s="60"/>
      <c r="J684" s="61">
        <f t="shared" si="2"/>
        <v>300.2755766</v>
      </c>
      <c r="K684" s="58">
        <f>if(G684,_xlfn.workday.intl(int(G684),0,"1000000",Holidays!A:A)+19/24,"")</f>
        <v>45833.79167</v>
      </c>
      <c r="L684" s="59" t="str">
        <f t="shared" si="3"/>
        <v/>
      </c>
      <c r="M684" s="60"/>
      <c r="N684" s="61">
        <f t="shared" si="4"/>
        <v>300.1922432</v>
      </c>
      <c r="O684" s="63">
        <f>if(A684,_xlfn.WORKDAY.INTL(A684,O$5,"1000000",Holidays!A:A)+hour(A684)/24+MINUTE(A684)/1440,"")</f>
        <v>45833.63681</v>
      </c>
      <c r="P684" s="64" t="s">
        <v>2718</v>
      </c>
      <c r="R684" s="66">
        <f t="shared" si="5"/>
        <v>300.3471043</v>
      </c>
      <c r="S684" s="66"/>
      <c r="T684" s="66"/>
      <c r="U684" s="64">
        <f>if(O684,_xlfn.WORKDAY.INTL(O684,U$5,"1000000",Holidays!A:A)+hour(O684)/24+MINUTE(O684)/1440,"")</f>
        <v>45834.63681</v>
      </c>
      <c r="V684" s="64" t="str">
        <f t="shared" si="6"/>
        <v/>
      </c>
      <c r="W684" s="66"/>
      <c r="X684" s="66">
        <f t="shared" si="7"/>
        <v>299.3471043</v>
      </c>
      <c r="Y684" s="66"/>
      <c r="Z684" s="66"/>
      <c r="AA684" s="66"/>
      <c r="AB684" s="63"/>
      <c r="AC684" s="63"/>
      <c r="AD684" s="63"/>
      <c r="AE684" s="63"/>
      <c r="AF684" s="63"/>
      <c r="AG684" s="63"/>
      <c r="AH684" s="63" t="str">
        <f t="shared" si="14"/>
        <v/>
      </c>
      <c r="AI684" s="63" t="str">
        <f>if(AH684,_xlfn.workday.intl(int(AH684),0,"1000000",Holidays!A:A)+18/24,"")</f>
        <v/>
      </c>
      <c r="AJ684" s="64" t="str">
        <f t="shared" si="24"/>
        <v/>
      </c>
      <c r="AL684" s="66" t="str">
        <f t="shared" si="9"/>
        <v/>
      </c>
      <c r="AM684" s="66"/>
      <c r="AN684" s="63" t="str">
        <f>if(AJ684,if(and(hour(AJ684+AN$5)&gt;11,(hour(AJ684+AN$5)&lt;20)),AJ684+AN$5,_xlfn.workday.intl(int(AJ684),1,"1000000",Holidays!A:A)+hour(AJ684+AN$5-$B$1)/24+minute(AJ684)/1440),"")</f>
        <v/>
      </c>
      <c r="AO684" s="64" t="str">
        <f t="shared" si="15"/>
        <v/>
      </c>
      <c r="AQ684" s="66" t="str">
        <f t="shared" si="16"/>
        <v/>
      </c>
      <c r="AR684" s="66"/>
      <c r="AS684" s="63" t="str">
        <f>if(AJ684,if(and(hour(AJ684+AS$5)&gt;11,(hour(AJ684+AS$5)&lt;20)),AJ684+AS$5,_xlfn.workday.intl(int(AJ684),1,"1000000",Holidays!A:A)+hour(AJ684+AS$5-$B$1)/24+minute(AJ684)/1440),"")</f>
        <v/>
      </c>
      <c r="AT684" s="64" t="str">
        <f t="shared" si="21"/>
        <v/>
      </c>
      <c r="AV684" s="66" t="str">
        <f t="shared" si="25"/>
        <v/>
      </c>
      <c r="AW684" s="66"/>
      <c r="AX684" s="56"/>
    </row>
    <row r="685">
      <c r="A685" s="55">
        <v>45832.639888935184</v>
      </c>
      <c r="B685" s="56"/>
      <c r="C685" s="57"/>
      <c r="D685" s="57"/>
      <c r="E685" s="57"/>
      <c r="F685" s="57"/>
      <c r="G685" s="58">
        <f>if(A685,_xlfn.workday.intl(int(A685),1,"1000000",Holidays!A:A)+17/24,"")</f>
        <v>45833.70833</v>
      </c>
      <c r="H685" s="59" t="str">
        <f t="shared" si="23"/>
        <v/>
      </c>
      <c r="I685" s="60"/>
      <c r="J685" s="61">
        <f t="shared" si="2"/>
        <v>300.2755766</v>
      </c>
      <c r="K685" s="58">
        <f>if(G685,_xlfn.workday.intl(int(G685),0,"1000000",Holidays!A:A)+19/24,"")</f>
        <v>45833.79167</v>
      </c>
      <c r="L685" s="59" t="str">
        <f t="shared" si="3"/>
        <v/>
      </c>
      <c r="M685" s="60"/>
      <c r="N685" s="61">
        <f t="shared" si="4"/>
        <v>300.1922432</v>
      </c>
      <c r="O685" s="63">
        <f>if(A685,_xlfn.WORKDAY.INTL(A685,O$5,"1000000",Holidays!A:A)+hour(A685)/24+MINUTE(A685)/1440,"")</f>
        <v>45833.63958</v>
      </c>
      <c r="P685" s="64" t="s">
        <v>2718</v>
      </c>
      <c r="R685" s="66">
        <f t="shared" si="5"/>
        <v>300.3443266</v>
      </c>
      <c r="S685" s="66"/>
      <c r="T685" s="66"/>
      <c r="U685" s="64">
        <f>if(O685,_xlfn.WORKDAY.INTL(O685,U$5,"1000000",Holidays!A:A)+hour(O685)/24+MINUTE(O685)/1440,"")</f>
        <v>45834.63958</v>
      </c>
      <c r="V685" s="64" t="str">
        <f t="shared" si="6"/>
        <v/>
      </c>
      <c r="W685" s="66"/>
      <c r="X685" s="66">
        <f t="shared" si="7"/>
        <v>299.3443266</v>
      </c>
      <c r="Y685" s="66"/>
      <c r="Z685" s="66"/>
      <c r="AA685" s="66"/>
      <c r="AB685" s="63"/>
      <c r="AC685" s="63"/>
      <c r="AD685" s="63"/>
      <c r="AE685" s="63"/>
      <c r="AF685" s="63"/>
      <c r="AG685" s="63"/>
      <c r="AH685" s="63" t="str">
        <f t="shared" si="14"/>
        <v/>
      </c>
      <c r="AI685" s="63" t="str">
        <f>if(AH685,_xlfn.workday.intl(int(AH685),0,"1000000",Holidays!A:A)+18/24,"")</f>
        <v/>
      </c>
      <c r="AJ685" s="64" t="str">
        <f t="shared" si="24"/>
        <v/>
      </c>
      <c r="AL685" s="66" t="str">
        <f t="shared" si="9"/>
        <v/>
      </c>
      <c r="AM685" s="66"/>
      <c r="AN685" s="63" t="str">
        <f>if(AJ685,if(and(hour(AJ685+AN$5)&gt;11,(hour(AJ685+AN$5)&lt;20)),AJ685+AN$5,_xlfn.workday.intl(int(AJ685),1,"1000000",Holidays!A:A)+hour(AJ685+AN$5-$B$1)/24+minute(AJ685)/1440),"")</f>
        <v/>
      </c>
      <c r="AO685" s="64" t="str">
        <f t="shared" si="15"/>
        <v/>
      </c>
      <c r="AQ685" s="66" t="str">
        <f t="shared" si="16"/>
        <v/>
      </c>
      <c r="AR685" s="66"/>
      <c r="AS685" s="63" t="str">
        <f>if(AJ685,if(and(hour(AJ685+AS$5)&gt;11,(hour(AJ685+AS$5)&lt;20)),AJ685+AS$5,_xlfn.workday.intl(int(AJ685),1,"1000000",Holidays!A:A)+hour(AJ685+AS$5-$B$1)/24+minute(AJ685)/1440),"")</f>
        <v/>
      </c>
      <c r="AT685" s="64" t="str">
        <f t="shared" si="21"/>
        <v/>
      </c>
      <c r="AV685" s="66" t="str">
        <f t="shared" si="25"/>
        <v/>
      </c>
      <c r="AW685" s="66"/>
      <c r="AX685" s="56"/>
    </row>
    <row r="686">
      <c r="A686" s="55">
        <v>45839.80263763889</v>
      </c>
      <c r="B686" s="56"/>
      <c r="C686" s="57"/>
      <c r="D686" s="57"/>
      <c r="E686" s="57"/>
      <c r="F686" s="57"/>
      <c r="G686" s="58">
        <f>if(A686,_xlfn.workday.intl(int(A686),1,"1000000",Holidays!A:A)+17/24,"")</f>
        <v>45840.70833</v>
      </c>
      <c r="H686" s="59" t="str">
        <f t="shared" si="23"/>
        <v/>
      </c>
      <c r="I686" s="60"/>
      <c r="J686" s="61">
        <f t="shared" si="2"/>
        <v>293.2755766</v>
      </c>
      <c r="K686" s="58">
        <f>if(G686,_xlfn.workday.intl(int(G686),0,"1000000",Holidays!A:A)+19/24,"")</f>
        <v>45840.79167</v>
      </c>
      <c r="L686" s="59" t="str">
        <f t="shared" si="3"/>
        <v/>
      </c>
      <c r="M686" s="60"/>
      <c r="N686" s="61">
        <f t="shared" si="4"/>
        <v>293.1922432</v>
      </c>
      <c r="O686" s="63">
        <f>if(A686,_xlfn.WORKDAY.INTL(A686,O$5,"1000000",Holidays!A:A)+hour(A686)/24+MINUTE(A686)/1440,"")</f>
        <v>45840.80208</v>
      </c>
      <c r="P686" s="64" t="s">
        <v>2718</v>
      </c>
      <c r="R686" s="66">
        <f t="shared" si="5"/>
        <v>293.1818266</v>
      </c>
      <c r="S686" s="66"/>
      <c r="T686" s="66"/>
      <c r="U686" s="64">
        <f>if(O686,_xlfn.WORKDAY.INTL(O686,U$5,"1000000",Holidays!A:A)+hour(O686)/24+MINUTE(O686)/1440,"")</f>
        <v>45841.80208</v>
      </c>
      <c r="V686" s="64" t="str">
        <f t="shared" si="6"/>
        <v/>
      </c>
      <c r="W686" s="66"/>
      <c r="X686" s="66">
        <f t="shared" si="7"/>
        <v>292.1818266</v>
      </c>
      <c r="Y686" s="66"/>
      <c r="Z686" s="66"/>
      <c r="AA686" s="66"/>
      <c r="AB686" s="63"/>
      <c r="AC686" s="63"/>
      <c r="AD686" s="63"/>
      <c r="AE686" s="63"/>
      <c r="AF686" s="63"/>
      <c r="AG686" s="63"/>
      <c r="AH686" s="63" t="str">
        <f t="shared" si="14"/>
        <v/>
      </c>
      <c r="AI686" s="63" t="str">
        <f>if(AH686,_xlfn.workday.intl(int(AH686),0,"1000000",Holidays!A:A)+18/24,"")</f>
        <v/>
      </c>
      <c r="AJ686" s="64" t="str">
        <f t="shared" si="24"/>
        <v/>
      </c>
      <c r="AL686" s="66" t="str">
        <f t="shared" si="9"/>
        <v/>
      </c>
      <c r="AM686" s="66"/>
      <c r="AN686" s="63" t="str">
        <f>if(AJ686,if(and(hour(AJ686+AN$5)&gt;11,(hour(AJ686+AN$5)&lt;20)),AJ686+AN$5,_xlfn.workday.intl(int(AJ686),1,"1000000",Holidays!A:A)+hour(AJ686+AN$5-$B$1)/24+minute(AJ686)/1440),"")</f>
        <v/>
      </c>
      <c r="AO686" s="64" t="str">
        <f t="shared" si="15"/>
        <v/>
      </c>
      <c r="AQ686" s="66" t="str">
        <f t="shared" si="16"/>
        <v/>
      </c>
      <c r="AR686" s="66"/>
      <c r="AS686" s="63" t="str">
        <f>if(AJ686,if(and(hour(AJ686+AS$5)&gt;11,(hour(AJ686+AS$5)&lt;20)),AJ686+AS$5,_xlfn.workday.intl(int(AJ686),1,"1000000",Holidays!A:A)+hour(AJ686+AS$5-$B$1)/24+minute(AJ686)/1440),"")</f>
        <v/>
      </c>
      <c r="AT686" s="64" t="str">
        <f t="shared" si="21"/>
        <v/>
      </c>
      <c r="AV686" s="66" t="str">
        <f t="shared" si="25"/>
        <v/>
      </c>
      <c r="AW686" s="66"/>
      <c r="AX686" s="56"/>
    </row>
    <row r="687">
      <c r="A687" s="55">
        <v>45841.47179575231</v>
      </c>
      <c r="B687" s="56"/>
      <c r="C687" s="57"/>
      <c r="D687" s="57"/>
      <c r="E687" s="57"/>
      <c r="F687" s="57"/>
      <c r="G687" s="58">
        <f>if(A687,_xlfn.workday.intl(int(A687),1,"1000000",Holidays!A:A)+17/24,"")</f>
        <v>45842.70833</v>
      </c>
      <c r="H687" s="59" t="str">
        <f t="shared" si="23"/>
        <v/>
      </c>
      <c r="I687" s="60"/>
      <c r="J687" s="61">
        <f t="shared" si="2"/>
        <v>291.2755766</v>
      </c>
      <c r="K687" s="58">
        <f>if(G687,_xlfn.workday.intl(int(G687),0,"1000000",Holidays!A:A)+19/24,"")</f>
        <v>45842.79167</v>
      </c>
      <c r="L687" s="59" t="str">
        <f t="shared" si="3"/>
        <v/>
      </c>
      <c r="M687" s="60"/>
      <c r="N687" s="61">
        <f t="shared" si="4"/>
        <v>291.1922432</v>
      </c>
      <c r="O687" s="63">
        <f>if(A687,_xlfn.WORKDAY.INTL(A687,O$5,"1000000",Holidays!A:A)+hour(A687)/24+MINUTE(A687)/1440,"")</f>
        <v>45842.47153</v>
      </c>
      <c r="P687" s="64" t="s">
        <v>2718</v>
      </c>
      <c r="R687" s="66">
        <f t="shared" si="5"/>
        <v>291.5123821</v>
      </c>
      <c r="S687" s="66"/>
      <c r="T687" s="66"/>
      <c r="U687" s="64">
        <f>if(O687,_xlfn.WORKDAY.INTL(O687,U$5,"1000000",Holidays!A:A)+hour(O687)/24+MINUTE(O687)/1440,"")</f>
        <v>45843.47153</v>
      </c>
      <c r="V687" s="64" t="str">
        <f t="shared" si="6"/>
        <v/>
      </c>
      <c r="W687" s="66"/>
      <c r="X687" s="66">
        <f t="shared" si="7"/>
        <v>290.5123821</v>
      </c>
      <c r="Y687" s="66"/>
      <c r="Z687" s="66"/>
      <c r="AA687" s="66"/>
      <c r="AB687" s="63"/>
      <c r="AC687" s="63"/>
      <c r="AD687" s="63"/>
      <c r="AE687" s="63"/>
      <c r="AF687" s="63"/>
      <c r="AG687" s="63"/>
      <c r="AH687" s="63" t="str">
        <f t="shared" si="14"/>
        <v/>
      </c>
      <c r="AI687" s="63" t="str">
        <f>if(AH687,_xlfn.workday.intl(int(AH687),0,"1000000",Holidays!A:A)+18/24,"")</f>
        <v/>
      </c>
      <c r="AJ687" s="64" t="str">
        <f t="shared" si="24"/>
        <v/>
      </c>
      <c r="AL687" s="66" t="str">
        <f t="shared" si="9"/>
        <v/>
      </c>
      <c r="AM687" s="66"/>
      <c r="AN687" s="63" t="str">
        <f>if(AJ687,if(and(hour(AJ687+AN$5)&gt;11,(hour(AJ687+AN$5)&lt;20)),AJ687+AN$5,_xlfn.workday.intl(int(AJ687),1,"1000000",Holidays!A:A)+hour(AJ687+AN$5-$B$1)/24+minute(AJ687)/1440),"")</f>
        <v/>
      </c>
      <c r="AO687" s="64" t="str">
        <f t="shared" si="15"/>
        <v/>
      </c>
      <c r="AQ687" s="66" t="str">
        <f t="shared" si="16"/>
        <v/>
      </c>
      <c r="AR687" s="66"/>
      <c r="AS687" s="63" t="str">
        <f>if(AJ687,if(and(hour(AJ687+AS$5)&gt;11,(hour(AJ687+AS$5)&lt;20)),AJ687+AS$5,_xlfn.workday.intl(int(AJ687),1,"1000000",Holidays!A:A)+hour(AJ687+AS$5-$B$1)/24+minute(AJ687)/1440),"")</f>
        <v/>
      </c>
      <c r="AT687" s="64" t="str">
        <f t="shared" si="21"/>
        <v/>
      </c>
      <c r="AV687" s="66" t="str">
        <f t="shared" si="25"/>
        <v/>
      </c>
      <c r="AW687" s="66"/>
      <c r="AX687" s="56"/>
    </row>
    <row r="688">
      <c r="A688" s="55">
        <v>45841.473340868055</v>
      </c>
      <c r="B688" s="56"/>
      <c r="C688" s="57"/>
      <c r="D688" s="57"/>
      <c r="E688" s="57"/>
      <c r="F688" s="57"/>
      <c r="G688" s="58">
        <f>if(A688,_xlfn.workday.intl(int(A688),1,"1000000",Holidays!A:A)+17/24,"")</f>
        <v>45842.70833</v>
      </c>
      <c r="H688" s="59" t="str">
        <f t="shared" si="23"/>
        <v/>
      </c>
      <c r="I688" s="60"/>
      <c r="J688" s="61">
        <f t="shared" si="2"/>
        <v>291.2755766</v>
      </c>
      <c r="K688" s="58">
        <f>if(G688,_xlfn.workday.intl(int(G688),0,"1000000",Holidays!A:A)+19/24,"")</f>
        <v>45842.79167</v>
      </c>
      <c r="L688" s="59" t="str">
        <f t="shared" si="3"/>
        <v/>
      </c>
      <c r="M688" s="60"/>
      <c r="N688" s="61">
        <f t="shared" si="4"/>
        <v>291.1922432</v>
      </c>
      <c r="O688" s="63">
        <f>if(A688,_xlfn.WORKDAY.INTL(A688,O$5,"1000000",Holidays!A:A)+hour(A688)/24+MINUTE(A688)/1440,"")</f>
        <v>45842.47292</v>
      </c>
      <c r="P688" s="64" t="s">
        <v>2718</v>
      </c>
      <c r="R688" s="66">
        <f t="shared" si="5"/>
        <v>291.5109932</v>
      </c>
      <c r="S688" s="66"/>
      <c r="T688" s="66"/>
      <c r="U688" s="64">
        <f>if(O688,_xlfn.WORKDAY.INTL(O688,U$5,"1000000",Holidays!A:A)+hour(O688)/24+MINUTE(O688)/1440,"")</f>
        <v>45843.47292</v>
      </c>
      <c r="V688" s="64" t="str">
        <f t="shared" si="6"/>
        <v/>
      </c>
      <c r="W688" s="66"/>
      <c r="X688" s="66">
        <f t="shared" si="7"/>
        <v>290.5109932</v>
      </c>
      <c r="Y688" s="66"/>
      <c r="Z688" s="66"/>
      <c r="AA688" s="66"/>
      <c r="AB688" s="63"/>
      <c r="AC688" s="63"/>
      <c r="AD688" s="63"/>
      <c r="AE688" s="63"/>
      <c r="AF688" s="63"/>
      <c r="AG688" s="63"/>
      <c r="AH688" s="63" t="str">
        <f t="shared" si="14"/>
        <v/>
      </c>
      <c r="AI688" s="63" t="str">
        <f>if(AH688,_xlfn.workday.intl(int(AH688),0,"1000000",Holidays!A:A)+18/24,"")</f>
        <v/>
      </c>
      <c r="AJ688" s="64" t="str">
        <f t="shared" si="24"/>
        <v/>
      </c>
      <c r="AL688" s="66" t="str">
        <f t="shared" si="9"/>
        <v/>
      </c>
      <c r="AM688" s="66"/>
      <c r="AN688" s="63" t="str">
        <f>if(AJ688,if(and(hour(AJ688+AN$5)&gt;11,(hour(AJ688+AN$5)&lt;20)),AJ688+AN$5,_xlfn.workday.intl(int(AJ688),1,"1000000",Holidays!A:A)+hour(AJ688+AN$5-$B$1)/24+minute(AJ688)/1440),"")</f>
        <v/>
      </c>
      <c r="AO688" s="64" t="str">
        <f t="shared" si="15"/>
        <v/>
      </c>
      <c r="AQ688" s="66" t="str">
        <f t="shared" si="16"/>
        <v/>
      </c>
      <c r="AR688" s="66"/>
      <c r="AS688" s="63" t="str">
        <f>if(AJ688,if(and(hour(AJ688+AS$5)&gt;11,(hour(AJ688+AS$5)&lt;20)),AJ688+AS$5,_xlfn.workday.intl(int(AJ688),1,"1000000",Holidays!A:A)+hour(AJ688+AS$5-$B$1)/24+minute(AJ688)/1440),"")</f>
        <v/>
      </c>
      <c r="AT688" s="64" t="str">
        <f t="shared" si="21"/>
        <v/>
      </c>
      <c r="AV688" s="66" t="str">
        <f t="shared" si="25"/>
        <v/>
      </c>
      <c r="AW688" s="66"/>
      <c r="AX688" s="56"/>
    </row>
    <row r="689">
      <c r="A689" s="55">
        <v>45849.53481667824</v>
      </c>
      <c r="B689" s="56"/>
      <c r="C689" s="57"/>
      <c r="D689" s="57"/>
      <c r="E689" s="57"/>
      <c r="F689" s="57"/>
      <c r="G689" s="58">
        <f>if(A689,_xlfn.workday.intl(int(A689),1,"1000000",Holidays!A:A)+17/24,"")</f>
        <v>45850.70833</v>
      </c>
      <c r="H689" s="59" t="str">
        <f t="shared" si="23"/>
        <v/>
      </c>
      <c r="I689" s="60"/>
      <c r="J689" s="61">
        <f t="shared" si="2"/>
        <v>283.2755766</v>
      </c>
      <c r="K689" s="58">
        <f>if(G689,_xlfn.workday.intl(int(G689),0,"1000000",Holidays!A:A)+19/24,"")</f>
        <v>45850.79167</v>
      </c>
      <c r="L689" s="59" t="str">
        <f t="shared" si="3"/>
        <v/>
      </c>
      <c r="M689" s="60"/>
      <c r="N689" s="61">
        <f t="shared" si="4"/>
        <v>283.1922432</v>
      </c>
      <c r="O689" s="63">
        <f>if(A689,_xlfn.WORKDAY.INTL(A689,O$5,"1000000",Holidays!A:A)+hour(A689)/24+MINUTE(A689)/1440,"")</f>
        <v>45850.53472</v>
      </c>
      <c r="P689" s="64" t="s">
        <v>2718</v>
      </c>
      <c r="R689" s="66">
        <f t="shared" si="5"/>
        <v>283.4491877</v>
      </c>
      <c r="S689" s="66"/>
      <c r="T689" s="66"/>
      <c r="U689" s="64">
        <f>if(O689,_xlfn.WORKDAY.INTL(O689,U$5,"1000000",Holidays!A:A)+hour(O689)/24+MINUTE(O689)/1440,"")</f>
        <v>45851.53472</v>
      </c>
      <c r="V689" s="64" t="str">
        <f t="shared" si="6"/>
        <v/>
      </c>
      <c r="W689" s="66"/>
      <c r="X689" s="66">
        <f t="shared" si="7"/>
        <v>282.4491877</v>
      </c>
      <c r="Y689" s="66"/>
      <c r="Z689" s="66"/>
      <c r="AA689" s="66"/>
      <c r="AB689" s="63"/>
      <c r="AC689" s="63"/>
      <c r="AD689" s="63"/>
      <c r="AE689" s="63"/>
      <c r="AF689" s="63"/>
      <c r="AG689" s="63"/>
      <c r="AH689" s="63" t="str">
        <f t="shared" si="14"/>
        <v/>
      </c>
      <c r="AI689" s="63" t="str">
        <f>if(AH689,_xlfn.workday.intl(int(AH689),0,"1000000",Holidays!A:A)+18/24,"")</f>
        <v/>
      </c>
      <c r="AJ689" s="64" t="str">
        <f t="shared" si="24"/>
        <v/>
      </c>
      <c r="AL689" s="66" t="str">
        <f t="shared" si="9"/>
        <v/>
      </c>
      <c r="AM689" s="66"/>
      <c r="AN689" s="63" t="str">
        <f>if(AJ689,if(and(hour(AJ689+AN$5)&gt;11,(hour(AJ689+AN$5)&lt;20)),AJ689+AN$5,_xlfn.workday.intl(int(AJ689),1,"1000000",Holidays!A:A)+hour(AJ689+AN$5-$B$1)/24+minute(AJ689)/1440),"")</f>
        <v/>
      </c>
      <c r="AO689" s="64" t="str">
        <f t="shared" si="15"/>
        <v/>
      </c>
      <c r="AQ689" s="66" t="str">
        <f t="shared" si="16"/>
        <v/>
      </c>
      <c r="AR689" s="66"/>
      <c r="AS689" s="63" t="str">
        <f>if(AJ689,if(and(hour(AJ689+AS$5)&gt;11,(hour(AJ689+AS$5)&lt;20)),AJ689+AS$5,_xlfn.workday.intl(int(AJ689),1,"1000000",Holidays!A:A)+hour(AJ689+AS$5-$B$1)/24+minute(AJ689)/1440),"")</f>
        <v/>
      </c>
      <c r="AT689" s="64" t="str">
        <f t="shared" si="21"/>
        <v/>
      </c>
      <c r="AV689" s="66" t="str">
        <f t="shared" si="25"/>
        <v/>
      </c>
      <c r="AW689" s="66"/>
      <c r="AX689" s="56"/>
    </row>
    <row r="690">
      <c r="A690" s="55">
        <v>45849.62748244213</v>
      </c>
      <c r="B690" s="56"/>
      <c r="C690" s="57"/>
      <c r="D690" s="57"/>
      <c r="E690" s="57"/>
      <c r="F690" s="57"/>
      <c r="G690" s="58">
        <f>if(A690,_xlfn.workday.intl(int(A690),1,"1000000",Holidays!A:A)+17/24,"")</f>
        <v>45850.70833</v>
      </c>
      <c r="H690" s="59" t="str">
        <f t="shared" si="23"/>
        <v/>
      </c>
      <c r="I690" s="60"/>
      <c r="J690" s="61">
        <f t="shared" si="2"/>
        <v>283.2755766</v>
      </c>
      <c r="K690" s="58">
        <f>if(G690,_xlfn.workday.intl(int(G690),0,"1000000",Holidays!A:A)+19/24,"")</f>
        <v>45850.79167</v>
      </c>
      <c r="L690" s="59" t="str">
        <f t="shared" si="3"/>
        <v/>
      </c>
      <c r="M690" s="60"/>
      <c r="N690" s="61">
        <f t="shared" si="4"/>
        <v>283.1922432</v>
      </c>
      <c r="O690" s="63">
        <f>if(A690,_xlfn.WORKDAY.INTL(A690,O$5,"1000000",Holidays!A:A)+hour(A690)/24+MINUTE(A690)/1440,"")</f>
        <v>45850.62708</v>
      </c>
      <c r="P690" s="64" t="s">
        <v>2718</v>
      </c>
      <c r="R690" s="66">
        <f t="shared" si="5"/>
        <v>283.3568266</v>
      </c>
      <c r="S690" s="66"/>
      <c r="T690" s="66"/>
      <c r="U690" s="64">
        <f>if(O690,_xlfn.WORKDAY.INTL(O690,U$5,"1000000",Holidays!A:A)+hour(O690)/24+MINUTE(O690)/1440,"")</f>
        <v>45851.62708</v>
      </c>
      <c r="V690" s="64" t="str">
        <f t="shared" si="6"/>
        <v/>
      </c>
      <c r="W690" s="66"/>
      <c r="X690" s="66">
        <f t="shared" si="7"/>
        <v>282.3568266</v>
      </c>
      <c r="Y690" s="66"/>
      <c r="Z690" s="66"/>
      <c r="AA690" s="66"/>
      <c r="AB690" s="63"/>
      <c r="AC690" s="63"/>
      <c r="AD690" s="63"/>
      <c r="AE690" s="63"/>
      <c r="AF690" s="63"/>
      <c r="AG690" s="63"/>
      <c r="AH690" s="63" t="str">
        <f t="shared" si="14"/>
        <v/>
      </c>
      <c r="AI690" s="63" t="str">
        <f>if(AH690,_xlfn.workday.intl(int(AH690),0,"1000000",Holidays!A:A)+18/24,"")</f>
        <v/>
      </c>
      <c r="AJ690" s="64" t="str">
        <f t="shared" si="24"/>
        <v/>
      </c>
      <c r="AL690" s="66" t="str">
        <f t="shared" si="9"/>
        <v/>
      </c>
      <c r="AM690" s="66"/>
      <c r="AN690" s="63" t="str">
        <f>if(AJ690,if(and(hour(AJ690+AN$5)&gt;11,(hour(AJ690+AN$5)&lt;20)),AJ690+AN$5,_xlfn.workday.intl(int(AJ690),1,"1000000",Holidays!A:A)+hour(AJ690+AN$5-$B$1)/24+minute(AJ690)/1440),"")</f>
        <v/>
      </c>
      <c r="AO690" s="64" t="str">
        <f t="shared" si="15"/>
        <v/>
      </c>
      <c r="AQ690" s="66" t="str">
        <f t="shared" si="16"/>
        <v/>
      </c>
      <c r="AR690" s="66"/>
      <c r="AS690" s="63" t="str">
        <f>if(AJ690,if(and(hour(AJ690+AS$5)&gt;11,(hour(AJ690+AS$5)&lt;20)),AJ690+AS$5,_xlfn.workday.intl(int(AJ690),1,"1000000",Holidays!A:A)+hour(AJ690+AS$5-$B$1)/24+minute(AJ690)/1440),"")</f>
        <v/>
      </c>
      <c r="AT690" s="64" t="str">
        <f t="shared" si="21"/>
        <v/>
      </c>
      <c r="AV690" s="66" t="str">
        <f t="shared" si="25"/>
        <v/>
      </c>
      <c r="AW690" s="66"/>
      <c r="AX690" s="56"/>
    </row>
    <row r="691">
      <c r="A691" s="55">
        <v>45849.62943394676</v>
      </c>
      <c r="B691" s="56"/>
      <c r="C691" s="57"/>
      <c r="D691" s="57"/>
      <c r="E691" s="57"/>
      <c r="F691" s="57"/>
      <c r="G691" s="58">
        <f>if(A691,_xlfn.workday.intl(int(A691),1,"1000000",Holidays!A:A)+17/24,"")</f>
        <v>45850.70833</v>
      </c>
      <c r="H691" s="59" t="str">
        <f t="shared" si="23"/>
        <v/>
      </c>
      <c r="I691" s="60"/>
      <c r="J691" s="61">
        <f t="shared" si="2"/>
        <v>283.2755766</v>
      </c>
      <c r="K691" s="58">
        <f>if(G691,_xlfn.workday.intl(int(G691),0,"1000000",Holidays!A:A)+19/24,"")</f>
        <v>45850.79167</v>
      </c>
      <c r="L691" s="59" t="str">
        <f t="shared" si="3"/>
        <v/>
      </c>
      <c r="M691" s="60"/>
      <c r="N691" s="61">
        <f t="shared" si="4"/>
        <v>283.1922432</v>
      </c>
      <c r="O691" s="63">
        <f>if(A691,_xlfn.WORKDAY.INTL(A691,O$5,"1000000",Holidays!A:A)+hour(A691)/24+MINUTE(A691)/1440,"")</f>
        <v>45850.62917</v>
      </c>
      <c r="P691" s="64" t="s">
        <v>2718</v>
      </c>
      <c r="R691" s="66">
        <f t="shared" si="5"/>
        <v>283.3547432</v>
      </c>
      <c r="S691" s="66"/>
      <c r="T691" s="66"/>
      <c r="U691" s="64">
        <f>if(O691,_xlfn.WORKDAY.INTL(O691,U$5,"1000000",Holidays!A:A)+hour(O691)/24+MINUTE(O691)/1440,"")</f>
        <v>45851.62917</v>
      </c>
      <c r="V691" s="64" t="str">
        <f t="shared" si="6"/>
        <v/>
      </c>
      <c r="W691" s="66"/>
      <c r="X691" s="66">
        <f t="shared" si="7"/>
        <v>282.3547432</v>
      </c>
      <c r="Y691" s="66"/>
      <c r="Z691" s="66"/>
      <c r="AA691" s="66"/>
      <c r="AB691" s="63"/>
      <c r="AC691" s="63"/>
      <c r="AD691" s="63"/>
      <c r="AE691" s="63"/>
      <c r="AF691" s="63"/>
      <c r="AG691" s="63"/>
      <c r="AH691" s="63" t="str">
        <f t="shared" si="14"/>
        <v/>
      </c>
      <c r="AI691" s="63" t="str">
        <f>if(AH691,_xlfn.workday.intl(int(AH691),0,"1000000",Holidays!A:A)+18/24,"")</f>
        <v/>
      </c>
      <c r="AJ691" s="64" t="str">
        <f t="shared" si="24"/>
        <v/>
      </c>
      <c r="AL691" s="66" t="str">
        <f t="shared" si="9"/>
        <v/>
      </c>
      <c r="AM691" s="66"/>
      <c r="AN691" s="63" t="str">
        <f>if(AJ691,if(and(hour(AJ691+AN$5)&gt;11,(hour(AJ691+AN$5)&lt;20)),AJ691+AN$5,_xlfn.workday.intl(int(AJ691),1,"1000000",Holidays!A:A)+hour(AJ691+AN$5-$B$1)/24+minute(AJ691)/1440),"")</f>
        <v/>
      </c>
      <c r="AO691" s="64" t="str">
        <f t="shared" si="15"/>
        <v/>
      </c>
      <c r="AQ691" s="66" t="str">
        <f t="shared" si="16"/>
        <v/>
      </c>
      <c r="AR691" s="66"/>
      <c r="AS691" s="63" t="str">
        <f>if(AJ691,if(and(hour(AJ691+AS$5)&gt;11,(hour(AJ691+AS$5)&lt;20)),AJ691+AS$5,_xlfn.workday.intl(int(AJ691),1,"1000000",Holidays!A:A)+hour(AJ691+AS$5-$B$1)/24+minute(AJ691)/1440),"")</f>
        <v/>
      </c>
      <c r="AT691" s="64" t="str">
        <f t="shared" si="21"/>
        <v/>
      </c>
      <c r="AV691" s="66" t="str">
        <f t="shared" si="25"/>
        <v/>
      </c>
      <c r="AW691" s="66"/>
      <c r="AX691" s="56"/>
    </row>
    <row r="692">
      <c r="A692" s="55">
        <v>45862.74334450232</v>
      </c>
      <c r="B692" s="56"/>
      <c r="C692" s="57"/>
      <c r="D692" s="57"/>
      <c r="E692" s="57"/>
      <c r="F692" s="57"/>
      <c r="G692" s="58">
        <f>if(A692,_xlfn.workday.intl(int(A692),1,"1000000",Holidays!A:A)+17/24,"")</f>
        <v>45863.70833</v>
      </c>
      <c r="H692" s="59" t="str">
        <f t="shared" si="23"/>
        <v/>
      </c>
      <c r="I692" s="60"/>
      <c r="J692" s="61">
        <f t="shared" si="2"/>
        <v>270.2755766</v>
      </c>
      <c r="K692" s="58">
        <f>if(G692,_xlfn.workday.intl(int(G692),0,"1000000",Holidays!A:A)+19/24,"")</f>
        <v>45863.79167</v>
      </c>
      <c r="L692" s="59" t="str">
        <f t="shared" si="3"/>
        <v/>
      </c>
      <c r="M692" s="60"/>
      <c r="N692" s="61">
        <f t="shared" si="4"/>
        <v>270.1922432</v>
      </c>
      <c r="O692" s="63">
        <f>if(A692,_xlfn.WORKDAY.INTL(A692,O$5,"1000000",Holidays!A:A)+hour(A692)/24+MINUTE(A692)/1440,"")</f>
        <v>45863.74306</v>
      </c>
      <c r="P692" s="64" t="s">
        <v>2718</v>
      </c>
      <c r="R692" s="66">
        <f t="shared" si="5"/>
        <v>270.2408543</v>
      </c>
      <c r="S692" s="66"/>
      <c r="T692" s="66"/>
      <c r="U692" s="64">
        <f>if(O692,_xlfn.WORKDAY.INTL(O692,U$5,"1000000",Holidays!A:A)+hour(O692)/24+MINUTE(O692)/1440,"")</f>
        <v>45864.74306</v>
      </c>
      <c r="V692" s="64" t="str">
        <f t="shared" si="6"/>
        <v/>
      </c>
      <c r="W692" s="66"/>
      <c r="X692" s="66">
        <f t="shared" si="7"/>
        <v>269.2408543</v>
      </c>
      <c r="Y692" s="66"/>
      <c r="Z692" s="66"/>
      <c r="AA692" s="66"/>
      <c r="AB692" s="63"/>
      <c r="AC692" s="63"/>
      <c r="AD692" s="63"/>
      <c r="AE692" s="63"/>
      <c r="AF692" s="63"/>
      <c r="AG692" s="63"/>
      <c r="AH692" s="63" t="str">
        <f t="shared" si="14"/>
        <v/>
      </c>
      <c r="AI692" s="63" t="str">
        <f>if(AH692,_xlfn.workday.intl(int(AH692),0,"1000000",Holidays!A:A)+18/24,"")</f>
        <v/>
      </c>
      <c r="AJ692" s="64" t="str">
        <f t="shared" si="24"/>
        <v/>
      </c>
      <c r="AL692" s="66" t="str">
        <f t="shared" si="9"/>
        <v/>
      </c>
      <c r="AM692" s="66"/>
      <c r="AN692" s="63" t="str">
        <f>if(AJ692,if(and(hour(AJ692+AN$5)&gt;11,(hour(AJ692+AN$5)&lt;20)),AJ692+AN$5,_xlfn.workday.intl(int(AJ692),1,"1000000",Holidays!A:A)+hour(AJ692+AN$5-$B$1)/24+minute(AJ692)/1440),"")</f>
        <v/>
      </c>
      <c r="AO692" s="64" t="str">
        <f t="shared" si="15"/>
        <v/>
      </c>
      <c r="AQ692" s="66" t="str">
        <f t="shared" si="16"/>
        <v/>
      </c>
      <c r="AR692" s="66"/>
      <c r="AS692" s="63" t="str">
        <f>if(AJ692,if(and(hour(AJ692+AS$5)&gt;11,(hour(AJ692+AS$5)&lt;20)),AJ692+AS$5,_xlfn.workday.intl(int(AJ692),1,"1000000",Holidays!A:A)+hour(AJ692+AS$5-$B$1)/24+minute(AJ692)/1440),"")</f>
        <v/>
      </c>
      <c r="AT692" s="64" t="str">
        <f t="shared" si="21"/>
        <v/>
      </c>
      <c r="AV692" s="66" t="str">
        <f t="shared" si="25"/>
        <v/>
      </c>
      <c r="AW692" s="66"/>
      <c r="AX692" s="56"/>
    </row>
    <row r="693">
      <c r="A693" s="55">
        <v>45862.749110613426</v>
      </c>
      <c r="B693" s="56"/>
      <c r="C693" s="57"/>
      <c r="D693" s="57"/>
      <c r="E693" s="57"/>
      <c r="F693" s="57"/>
      <c r="G693" s="58">
        <f>if(A693,_xlfn.workday.intl(int(A693),1,"1000000",Holidays!A:A)+17/24,"")</f>
        <v>45863.70833</v>
      </c>
      <c r="H693" s="59" t="str">
        <f t="shared" si="23"/>
        <v/>
      </c>
      <c r="I693" s="60"/>
      <c r="J693" s="61">
        <f t="shared" si="2"/>
        <v>270.2755766</v>
      </c>
      <c r="K693" s="58">
        <f>if(G693,_xlfn.workday.intl(int(G693),0,"1000000",Holidays!A:A)+19/24,"")</f>
        <v>45863.79167</v>
      </c>
      <c r="L693" s="59" t="str">
        <f t="shared" si="3"/>
        <v/>
      </c>
      <c r="M693" s="60"/>
      <c r="N693" s="61">
        <f t="shared" si="4"/>
        <v>270.1922432</v>
      </c>
      <c r="O693" s="63">
        <f>if(A693,_xlfn.WORKDAY.INTL(A693,O$5,"1000000",Holidays!A:A)+hour(A693)/24+MINUTE(A693)/1440,"")</f>
        <v>45863.74861</v>
      </c>
      <c r="P693" s="64" t="s">
        <v>2718</v>
      </c>
      <c r="R693" s="66">
        <f t="shared" si="5"/>
        <v>270.2352988</v>
      </c>
      <c r="S693" s="66"/>
      <c r="T693" s="66"/>
      <c r="U693" s="64">
        <f>if(O693,_xlfn.WORKDAY.INTL(O693,U$5,"1000000",Holidays!A:A)+hour(O693)/24+MINUTE(O693)/1440,"")</f>
        <v>45864.74861</v>
      </c>
      <c r="V693" s="64" t="str">
        <f t="shared" si="6"/>
        <v/>
      </c>
      <c r="W693" s="66"/>
      <c r="X693" s="66">
        <f t="shared" si="7"/>
        <v>269.2352988</v>
      </c>
      <c r="Y693" s="66"/>
      <c r="Z693" s="66"/>
      <c r="AA693" s="66"/>
      <c r="AB693" s="63"/>
      <c r="AC693" s="63"/>
      <c r="AD693" s="63"/>
      <c r="AE693" s="63"/>
      <c r="AF693" s="63"/>
      <c r="AG693" s="63"/>
      <c r="AH693" s="63" t="str">
        <f t="shared" si="14"/>
        <v/>
      </c>
      <c r="AI693" s="63" t="str">
        <f>if(AH693,_xlfn.workday.intl(int(AH693),0,"1000000",Holidays!A:A)+18/24,"")</f>
        <v/>
      </c>
      <c r="AJ693" s="64" t="str">
        <f t="shared" si="24"/>
        <v/>
      </c>
      <c r="AL693" s="66" t="str">
        <f t="shared" si="9"/>
        <v/>
      </c>
      <c r="AM693" s="66"/>
      <c r="AN693" s="63" t="str">
        <f>if(AJ693,if(and(hour(AJ693+AN$5)&gt;11,(hour(AJ693+AN$5)&lt;20)),AJ693+AN$5,_xlfn.workday.intl(int(AJ693),1,"1000000",Holidays!A:A)+hour(AJ693+AN$5-$B$1)/24+minute(AJ693)/1440),"")</f>
        <v/>
      </c>
      <c r="AO693" s="64" t="str">
        <f t="shared" si="15"/>
        <v/>
      </c>
      <c r="AQ693" s="66" t="str">
        <f t="shared" si="16"/>
        <v/>
      </c>
      <c r="AR693" s="66"/>
      <c r="AS693" s="63" t="str">
        <f>if(AJ693,if(and(hour(AJ693+AS$5)&gt;11,(hour(AJ693+AS$5)&lt;20)),AJ693+AS$5,_xlfn.workday.intl(int(AJ693),1,"1000000",Holidays!A:A)+hour(AJ693+AS$5-$B$1)/24+minute(AJ693)/1440),"")</f>
        <v/>
      </c>
      <c r="AT693" s="64" t="str">
        <f t="shared" si="21"/>
        <v/>
      </c>
      <c r="AV693" s="66" t="str">
        <f t="shared" si="25"/>
        <v/>
      </c>
      <c r="AW693" s="66"/>
      <c r="AX693" s="56"/>
    </row>
    <row r="694">
      <c r="A694" s="55">
        <v>45867.726722708336</v>
      </c>
      <c r="B694" s="56"/>
      <c r="C694" s="57"/>
      <c r="D694" s="57"/>
      <c r="E694" s="57"/>
      <c r="F694" s="57"/>
      <c r="G694" s="58">
        <f>if(A694,_xlfn.workday.intl(int(A694),1,"1000000",Holidays!A:A)+17/24,"")</f>
        <v>45868.70833</v>
      </c>
      <c r="H694" s="59" t="str">
        <f t="shared" si="23"/>
        <v/>
      </c>
      <c r="I694" s="60"/>
      <c r="J694" s="61">
        <f t="shared" si="2"/>
        <v>265.2755766</v>
      </c>
      <c r="K694" s="58">
        <f>if(G694,_xlfn.workday.intl(int(G694),0,"1000000",Holidays!A:A)+19/24,"")</f>
        <v>45868.79167</v>
      </c>
      <c r="L694" s="59" t="str">
        <f t="shared" si="3"/>
        <v/>
      </c>
      <c r="M694" s="60"/>
      <c r="N694" s="61">
        <f t="shared" si="4"/>
        <v>265.1922432</v>
      </c>
      <c r="O694" s="63">
        <f>if(A694,_xlfn.WORKDAY.INTL(A694,O$5,"1000000",Holidays!A:A)+hour(A694)/24+MINUTE(A694)/1440,"")</f>
        <v>45868.72639</v>
      </c>
      <c r="P694" s="64" t="s">
        <v>2718</v>
      </c>
      <c r="R694" s="66">
        <f t="shared" si="5"/>
        <v>265.257521</v>
      </c>
      <c r="S694" s="66"/>
      <c r="T694" s="66"/>
      <c r="U694" s="64">
        <f>if(O694,_xlfn.WORKDAY.INTL(O694,U$5,"1000000",Holidays!A:A)+hour(O694)/24+MINUTE(O694)/1440,"")</f>
        <v>45869.72639</v>
      </c>
      <c r="V694" s="64" t="str">
        <f t="shared" si="6"/>
        <v/>
      </c>
      <c r="W694" s="66"/>
      <c r="X694" s="66">
        <f t="shared" si="7"/>
        <v>264.257521</v>
      </c>
      <c r="Y694" s="66"/>
      <c r="Z694" s="66"/>
      <c r="AA694" s="66"/>
      <c r="AB694" s="63"/>
      <c r="AC694" s="63"/>
      <c r="AD694" s="63"/>
      <c r="AE694" s="63"/>
      <c r="AF694" s="63"/>
      <c r="AG694" s="63"/>
      <c r="AH694" s="63" t="str">
        <f t="shared" si="14"/>
        <v/>
      </c>
      <c r="AI694" s="63" t="str">
        <f>if(AH694,_xlfn.workday.intl(int(AH694),0,"1000000",Holidays!A:A)+18/24,"")</f>
        <v/>
      </c>
      <c r="AJ694" s="64" t="str">
        <f t="shared" si="24"/>
        <v/>
      </c>
      <c r="AL694" s="66" t="str">
        <f t="shared" si="9"/>
        <v/>
      </c>
      <c r="AM694" s="66"/>
      <c r="AN694" s="63" t="str">
        <f>if(AJ694,if(and(hour(AJ694+AN$5)&gt;11,(hour(AJ694+AN$5)&lt;20)),AJ694+AN$5,_xlfn.workday.intl(int(AJ694),1,"1000000",Holidays!A:A)+hour(AJ694+AN$5-$B$1)/24+minute(AJ694)/1440),"")</f>
        <v/>
      </c>
      <c r="AO694" s="64" t="str">
        <f t="shared" si="15"/>
        <v/>
      </c>
      <c r="AQ694" s="66" t="str">
        <f t="shared" si="16"/>
        <v/>
      </c>
      <c r="AR694" s="66"/>
      <c r="AS694" s="63" t="str">
        <f>if(AJ694,if(and(hour(AJ694+AS$5)&gt;11,(hour(AJ694+AS$5)&lt;20)),AJ694+AS$5,_xlfn.workday.intl(int(AJ694),1,"1000000",Holidays!A:A)+hour(AJ694+AS$5-$B$1)/24+minute(AJ694)/1440),"")</f>
        <v/>
      </c>
      <c r="AT694" s="64" t="str">
        <f t="shared" si="21"/>
        <v/>
      </c>
      <c r="AV694" s="66" t="str">
        <f t="shared" si="25"/>
        <v/>
      </c>
      <c r="AW694" s="66"/>
      <c r="AX694" s="56"/>
    </row>
    <row r="695">
      <c r="A695" s="55">
        <v>45867.729114016205</v>
      </c>
      <c r="B695" s="56"/>
      <c r="C695" s="57"/>
      <c r="D695" s="57"/>
      <c r="E695" s="57"/>
      <c r="F695" s="57"/>
      <c r="G695" s="58">
        <f>if(A695,_xlfn.workday.intl(int(A695),1,"1000000",Holidays!A:A)+17/24,"")</f>
        <v>45868.70833</v>
      </c>
      <c r="H695" s="59" t="str">
        <f t="shared" si="23"/>
        <v/>
      </c>
      <c r="I695" s="60"/>
      <c r="J695" s="61">
        <f t="shared" si="2"/>
        <v>265.2755766</v>
      </c>
      <c r="K695" s="58">
        <f>if(G695,_xlfn.workday.intl(int(G695),0,"1000000",Holidays!A:A)+19/24,"")</f>
        <v>45868.79167</v>
      </c>
      <c r="L695" s="59" t="str">
        <f t="shared" si="3"/>
        <v/>
      </c>
      <c r="M695" s="60"/>
      <c r="N695" s="61">
        <f t="shared" si="4"/>
        <v>265.1922432</v>
      </c>
      <c r="O695" s="63">
        <f>if(A695,_xlfn.WORKDAY.INTL(A695,O$5,"1000000",Holidays!A:A)+hour(A695)/24+MINUTE(A695)/1440,"")</f>
        <v>45868.72847</v>
      </c>
      <c r="P695" s="64" t="s">
        <v>2718</v>
      </c>
      <c r="R695" s="66">
        <f t="shared" si="5"/>
        <v>265.2554377</v>
      </c>
      <c r="S695" s="66"/>
      <c r="T695" s="66"/>
      <c r="U695" s="64">
        <f>if(O695,_xlfn.WORKDAY.INTL(O695,U$5,"1000000",Holidays!A:A)+hour(O695)/24+MINUTE(O695)/1440,"")</f>
        <v>45869.72847</v>
      </c>
      <c r="V695" s="64" t="str">
        <f t="shared" si="6"/>
        <v/>
      </c>
      <c r="W695" s="66"/>
      <c r="X695" s="66">
        <f t="shared" si="7"/>
        <v>264.2554377</v>
      </c>
      <c r="Y695" s="66"/>
      <c r="Z695" s="66"/>
      <c r="AA695" s="66"/>
      <c r="AB695" s="63"/>
      <c r="AC695" s="63"/>
      <c r="AD695" s="63"/>
      <c r="AE695" s="63"/>
      <c r="AF695" s="63"/>
      <c r="AG695" s="63"/>
      <c r="AH695" s="63" t="str">
        <f t="shared" si="14"/>
        <v/>
      </c>
      <c r="AI695" s="63" t="str">
        <f>if(AH695,_xlfn.workday.intl(int(AH695),0,"1000000",Holidays!A:A)+18/24,"")</f>
        <v/>
      </c>
      <c r="AJ695" s="64" t="str">
        <f t="shared" si="24"/>
        <v/>
      </c>
      <c r="AL695" s="66" t="str">
        <f t="shared" si="9"/>
        <v/>
      </c>
      <c r="AM695" s="66"/>
      <c r="AN695" s="63" t="str">
        <f>if(AJ695,if(and(hour(AJ695+AN$5)&gt;11,(hour(AJ695+AN$5)&lt;20)),AJ695+AN$5,_xlfn.workday.intl(int(AJ695),1,"1000000",Holidays!A:A)+hour(AJ695+AN$5-$B$1)/24+minute(AJ695)/1440),"")</f>
        <v/>
      </c>
      <c r="AO695" s="64" t="str">
        <f t="shared" si="15"/>
        <v/>
      </c>
      <c r="AQ695" s="66" t="str">
        <f t="shared" si="16"/>
        <v/>
      </c>
      <c r="AR695" s="66"/>
      <c r="AS695" s="63" t="str">
        <f>if(AJ695,if(and(hour(AJ695+AS$5)&gt;11,(hour(AJ695+AS$5)&lt;20)),AJ695+AS$5,_xlfn.workday.intl(int(AJ695),1,"1000000",Holidays!A:A)+hour(AJ695+AS$5-$B$1)/24+minute(AJ695)/1440),"")</f>
        <v/>
      </c>
      <c r="AT695" s="64" t="str">
        <f t="shared" si="21"/>
        <v/>
      </c>
      <c r="AV695" s="66" t="str">
        <f t="shared" si="25"/>
        <v/>
      </c>
      <c r="AW695" s="66"/>
      <c r="AX695" s="56"/>
    </row>
    <row r="696">
      <c r="A696" s="55">
        <v>45875.69951521991</v>
      </c>
      <c r="B696" s="56"/>
      <c r="C696" s="57"/>
      <c r="D696" s="57"/>
      <c r="E696" s="57"/>
      <c r="F696" s="57"/>
      <c r="G696" s="58">
        <f>if(A696,_xlfn.workday.intl(int(A696),1,"1000000",Holidays!A:A)+17/24,"")</f>
        <v>45876.70833</v>
      </c>
      <c r="H696" s="59" t="str">
        <f t="shared" si="23"/>
        <v/>
      </c>
      <c r="I696" s="60"/>
      <c r="J696" s="61">
        <f t="shared" si="2"/>
        <v>257.2755766</v>
      </c>
      <c r="K696" s="58">
        <f>if(G696,_xlfn.workday.intl(int(G696),0,"1000000",Holidays!A:A)+19/24,"")</f>
        <v>45876.79167</v>
      </c>
      <c r="L696" s="59" t="str">
        <f t="shared" si="3"/>
        <v/>
      </c>
      <c r="M696" s="60"/>
      <c r="N696" s="61">
        <f t="shared" si="4"/>
        <v>257.1922432</v>
      </c>
      <c r="O696" s="63">
        <f>if(A696,_xlfn.WORKDAY.INTL(A696,O$5,"1000000",Holidays!A:A)+hour(A696)/24+MINUTE(A696)/1440,"")</f>
        <v>45876.69931</v>
      </c>
      <c r="P696" s="64" t="s">
        <v>2718</v>
      </c>
      <c r="R696" s="66">
        <f t="shared" si="5"/>
        <v>257.2846043</v>
      </c>
      <c r="S696" s="66"/>
      <c r="T696" s="66"/>
      <c r="U696" s="64">
        <f>if(O696,_xlfn.WORKDAY.INTL(O696,U$5,"1000000",Holidays!A:A)+hour(O696)/24+MINUTE(O696)/1440,"")</f>
        <v>45877.69931</v>
      </c>
      <c r="V696" s="64" t="str">
        <f t="shared" si="6"/>
        <v/>
      </c>
      <c r="W696" s="66"/>
      <c r="X696" s="66">
        <f t="shared" si="7"/>
        <v>256.2846043</v>
      </c>
      <c r="Y696" s="66"/>
      <c r="Z696" s="66"/>
      <c r="AA696" s="66"/>
      <c r="AB696" s="63"/>
      <c r="AC696" s="63"/>
      <c r="AD696" s="63"/>
      <c r="AE696" s="63"/>
      <c r="AF696" s="63"/>
      <c r="AG696" s="63"/>
      <c r="AH696" s="63" t="str">
        <f t="shared" si="14"/>
        <v/>
      </c>
      <c r="AI696" s="63" t="str">
        <f>if(AH696,_xlfn.workday.intl(int(AH696),0,"1000000",Holidays!A:A)+18/24,"")</f>
        <v/>
      </c>
      <c r="AJ696" s="64" t="str">
        <f t="shared" si="24"/>
        <v/>
      </c>
      <c r="AL696" s="66" t="str">
        <f t="shared" si="9"/>
        <v/>
      </c>
      <c r="AM696" s="66"/>
      <c r="AN696" s="63" t="str">
        <f>if(AJ696,if(and(hour(AJ696+AN$5)&gt;11,(hour(AJ696+AN$5)&lt;20)),AJ696+AN$5,_xlfn.workday.intl(int(AJ696),1,"1000000",Holidays!A:A)+hour(AJ696+AN$5-$B$1)/24+minute(AJ696)/1440),"")</f>
        <v/>
      </c>
      <c r="AO696" s="64" t="str">
        <f t="shared" si="15"/>
        <v/>
      </c>
      <c r="AQ696" s="66" t="str">
        <f t="shared" si="16"/>
        <v/>
      </c>
      <c r="AR696" s="66"/>
      <c r="AS696" s="63" t="str">
        <f>if(AJ696,if(and(hour(AJ696+AS$5)&gt;11,(hour(AJ696+AS$5)&lt;20)),AJ696+AS$5,_xlfn.workday.intl(int(AJ696),1,"1000000",Holidays!A:A)+hour(AJ696+AS$5-$B$1)/24+minute(AJ696)/1440),"")</f>
        <v/>
      </c>
      <c r="AT696" s="64" t="str">
        <f t="shared" si="21"/>
        <v/>
      </c>
      <c r="AV696" s="66" t="str">
        <f t="shared" si="25"/>
        <v/>
      </c>
      <c r="AW696" s="66"/>
      <c r="AX696" s="56"/>
    </row>
    <row r="697">
      <c r="A697" s="55">
        <v>45875.70443155093</v>
      </c>
      <c r="B697" s="56"/>
      <c r="C697" s="57"/>
      <c r="D697" s="57"/>
      <c r="E697" s="57"/>
      <c r="F697" s="57"/>
      <c r="G697" s="58">
        <f>if(A697,_xlfn.workday.intl(int(A697),1,"1000000",Holidays!A:A)+17/24,"")</f>
        <v>45876.70833</v>
      </c>
      <c r="H697" s="59" t="str">
        <f t="shared" si="23"/>
        <v/>
      </c>
      <c r="I697" s="60"/>
      <c r="J697" s="61">
        <f t="shared" si="2"/>
        <v>257.2755766</v>
      </c>
      <c r="K697" s="58">
        <f>if(G697,_xlfn.workday.intl(int(G697),0,"1000000",Holidays!A:A)+19/24,"")</f>
        <v>45876.79167</v>
      </c>
      <c r="L697" s="59" t="str">
        <f t="shared" si="3"/>
        <v/>
      </c>
      <c r="M697" s="60"/>
      <c r="N697" s="61">
        <f t="shared" si="4"/>
        <v>257.1922432</v>
      </c>
      <c r="O697" s="63">
        <f>if(A697,_xlfn.WORKDAY.INTL(A697,O$5,"1000000",Holidays!A:A)+hour(A697)/24+MINUTE(A697)/1440,"")</f>
        <v>45876.70417</v>
      </c>
      <c r="P697" s="64" t="s">
        <v>2718</v>
      </c>
      <c r="R697" s="66">
        <f t="shared" si="5"/>
        <v>257.2797432</v>
      </c>
      <c r="S697" s="66"/>
      <c r="T697" s="66"/>
      <c r="U697" s="64">
        <f>if(O697,_xlfn.WORKDAY.INTL(O697,U$5,"1000000",Holidays!A:A)+hour(O697)/24+MINUTE(O697)/1440,"")</f>
        <v>45877.70417</v>
      </c>
      <c r="V697" s="64" t="str">
        <f t="shared" si="6"/>
        <v/>
      </c>
      <c r="W697" s="66"/>
      <c r="X697" s="66">
        <f t="shared" si="7"/>
        <v>256.2797432</v>
      </c>
      <c r="Y697" s="66"/>
      <c r="Z697" s="66"/>
      <c r="AA697" s="66"/>
      <c r="AB697" s="63"/>
      <c r="AC697" s="63"/>
      <c r="AD697" s="63"/>
      <c r="AE697" s="63"/>
      <c r="AF697" s="63"/>
      <c r="AG697" s="63"/>
      <c r="AH697" s="63" t="str">
        <f t="shared" si="14"/>
        <v/>
      </c>
      <c r="AI697" s="63" t="str">
        <f>if(AH697,_xlfn.workday.intl(int(AH697),0,"1000000",Holidays!A:A)+18/24,"")</f>
        <v/>
      </c>
      <c r="AJ697" s="64" t="str">
        <f t="shared" si="24"/>
        <v/>
      </c>
      <c r="AL697" s="66" t="str">
        <f t="shared" si="9"/>
        <v/>
      </c>
      <c r="AM697" s="66"/>
      <c r="AN697" s="63" t="str">
        <f>if(AJ697,if(and(hour(AJ697+AN$5)&gt;11,(hour(AJ697+AN$5)&lt;20)),AJ697+AN$5,_xlfn.workday.intl(int(AJ697),1,"1000000",Holidays!A:A)+hour(AJ697+AN$5-$B$1)/24+minute(AJ697)/1440),"")</f>
        <v/>
      </c>
      <c r="AO697" s="64" t="str">
        <f t="shared" si="15"/>
        <v/>
      </c>
      <c r="AQ697" s="66" t="str">
        <f t="shared" si="16"/>
        <v/>
      </c>
      <c r="AR697" s="66"/>
      <c r="AS697" s="63" t="str">
        <f>if(AJ697,if(and(hour(AJ697+AS$5)&gt;11,(hour(AJ697+AS$5)&lt;20)),AJ697+AS$5,_xlfn.workday.intl(int(AJ697),1,"1000000",Holidays!A:A)+hour(AJ697+AS$5-$B$1)/24+minute(AJ697)/1440),"")</f>
        <v/>
      </c>
      <c r="AT697" s="64" t="str">
        <f t="shared" si="21"/>
        <v/>
      </c>
      <c r="AV697" s="66" t="str">
        <f t="shared" si="25"/>
        <v/>
      </c>
      <c r="AW697" s="66"/>
      <c r="AX697" s="56"/>
    </row>
    <row r="698">
      <c r="A698" s="55">
        <v>45875.77540466435</v>
      </c>
      <c r="B698" s="56"/>
      <c r="C698" s="57"/>
      <c r="D698" s="57"/>
      <c r="E698" s="57"/>
      <c r="F698" s="57"/>
      <c r="G698" s="58">
        <f>if(A698,_xlfn.workday.intl(int(A698),1,"1000000",Holidays!A:A)+17/24,"")</f>
        <v>45876.70833</v>
      </c>
      <c r="H698" s="59" t="str">
        <f t="shared" si="23"/>
        <v/>
      </c>
      <c r="I698" s="60"/>
      <c r="J698" s="61">
        <f t="shared" si="2"/>
        <v>257.2755766</v>
      </c>
      <c r="K698" s="58">
        <f>if(G698,_xlfn.workday.intl(int(G698),0,"1000000",Holidays!A:A)+19/24,"")</f>
        <v>45876.79167</v>
      </c>
      <c r="L698" s="59" t="str">
        <f t="shared" si="3"/>
        <v/>
      </c>
      <c r="M698" s="60"/>
      <c r="N698" s="61">
        <f t="shared" si="4"/>
        <v>257.1922432</v>
      </c>
      <c r="O698" s="63">
        <f>if(A698,_xlfn.WORKDAY.INTL(A698,O$5,"1000000",Holidays!A:A)+hour(A698)/24+MINUTE(A698)/1440,"")</f>
        <v>45876.775</v>
      </c>
      <c r="P698" s="64" t="s">
        <v>2718</v>
      </c>
      <c r="R698" s="66">
        <f t="shared" si="5"/>
        <v>257.2089099</v>
      </c>
      <c r="S698" s="66"/>
      <c r="T698" s="66"/>
      <c r="U698" s="64">
        <f>if(O698,_xlfn.WORKDAY.INTL(O698,U$5,"1000000",Holidays!A:A)+hour(O698)/24+MINUTE(O698)/1440,"")</f>
        <v>45877.775</v>
      </c>
      <c r="V698" s="64" t="str">
        <f t="shared" si="6"/>
        <v/>
      </c>
      <c r="W698" s="66"/>
      <c r="X698" s="66">
        <f t="shared" si="7"/>
        <v>256.2089099</v>
      </c>
      <c r="Y698" s="66"/>
      <c r="Z698" s="66"/>
      <c r="AA698" s="66"/>
      <c r="AB698" s="63"/>
      <c r="AC698" s="63"/>
      <c r="AD698" s="63"/>
      <c r="AE698" s="63"/>
      <c r="AF698" s="63"/>
      <c r="AG698" s="63"/>
      <c r="AH698" s="63" t="str">
        <f t="shared" si="14"/>
        <v/>
      </c>
      <c r="AI698" s="63" t="str">
        <f>if(AH698,_xlfn.workday.intl(int(AH698),0,"1000000",Holidays!A:A)+18/24,"")</f>
        <v/>
      </c>
      <c r="AJ698" s="64" t="str">
        <f t="shared" si="24"/>
        <v/>
      </c>
      <c r="AL698" s="66" t="str">
        <f t="shared" si="9"/>
        <v/>
      </c>
      <c r="AM698" s="66"/>
      <c r="AN698" s="63" t="str">
        <f>if(AJ698,if(and(hour(AJ698+AN$5)&gt;11,(hour(AJ698+AN$5)&lt;20)),AJ698+AN$5,_xlfn.workday.intl(int(AJ698),1,"1000000",Holidays!A:A)+hour(AJ698+AN$5-$B$1)/24+minute(AJ698)/1440),"")</f>
        <v/>
      </c>
      <c r="AO698" s="64" t="str">
        <f t="shared" si="15"/>
        <v/>
      </c>
      <c r="AQ698" s="66" t="str">
        <f t="shared" si="16"/>
        <v/>
      </c>
      <c r="AR698" s="66"/>
      <c r="AS698" s="63" t="str">
        <f>if(AJ698,if(and(hour(AJ698+AS$5)&gt;11,(hour(AJ698+AS$5)&lt;20)),AJ698+AS$5,_xlfn.workday.intl(int(AJ698),1,"1000000",Holidays!A:A)+hour(AJ698+AS$5-$B$1)/24+minute(AJ698)/1440),"")</f>
        <v/>
      </c>
      <c r="AT698" s="64" t="str">
        <f t="shared" si="21"/>
        <v/>
      </c>
      <c r="AV698" s="66" t="str">
        <f t="shared" si="25"/>
        <v/>
      </c>
      <c r="AW698" s="66"/>
      <c r="AX698" s="56"/>
    </row>
    <row r="699">
      <c r="A699" s="55">
        <v>45875.78489589121</v>
      </c>
      <c r="B699" s="56"/>
      <c r="C699" s="57"/>
      <c r="D699" s="57"/>
      <c r="E699" s="57"/>
      <c r="F699" s="57"/>
      <c r="G699" s="58">
        <f>if(A699,_xlfn.workday.intl(int(A699),1,"1000000",Holidays!A:A)+17/24,"")</f>
        <v>45876.70833</v>
      </c>
      <c r="H699" s="59" t="str">
        <f t="shared" si="23"/>
        <v/>
      </c>
      <c r="I699" s="60"/>
      <c r="J699" s="61">
        <f t="shared" si="2"/>
        <v>257.2755766</v>
      </c>
      <c r="K699" s="58">
        <f>if(G699,_xlfn.workday.intl(int(G699),0,"1000000",Holidays!A:A)+19/24,"")</f>
        <v>45876.79167</v>
      </c>
      <c r="L699" s="59" t="str">
        <f t="shared" si="3"/>
        <v/>
      </c>
      <c r="M699" s="60"/>
      <c r="N699" s="61">
        <f t="shared" si="4"/>
        <v>257.1922432</v>
      </c>
      <c r="O699" s="63">
        <f>if(A699,_xlfn.WORKDAY.INTL(A699,O$5,"1000000",Holidays!A:A)+hour(A699)/24+MINUTE(A699)/1440,"")</f>
        <v>45876.78472</v>
      </c>
      <c r="P699" s="64" t="s">
        <v>2718</v>
      </c>
      <c r="R699" s="66">
        <f t="shared" si="5"/>
        <v>257.1991877</v>
      </c>
      <c r="S699" s="66"/>
      <c r="T699" s="66"/>
      <c r="U699" s="64">
        <f>if(O699,_xlfn.WORKDAY.INTL(O699,U$5,"1000000",Holidays!A:A)+hour(O699)/24+MINUTE(O699)/1440,"")</f>
        <v>45877.78472</v>
      </c>
      <c r="V699" s="64" t="str">
        <f t="shared" si="6"/>
        <v/>
      </c>
      <c r="W699" s="66"/>
      <c r="X699" s="66">
        <f t="shared" si="7"/>
        <v>256.1991877</v>
      </c>
      <c r="Y699" s="66"/>
      <c r="Z699" s="66"/>
      <c r="AA699" s="66"/>
      <c r="AB699" s="63"/>
      <c r="AC699" s="63"/>
      <c r="AD699" s="63"/>
      <c r="AE699" s="63"/>
      <c r="AF699" s="63"/>
      <c r="AG699" s="63"/>
      <c r="AH699" s="63" t="str">
        <f t="shared" si="14"/>
        <v/>
      </c>
      <c r="AI699" s="63" t="str">
        <f>if(AH699,_xlfn.workday.intl(int(AH699),0,"1000000",Holidays!A:A)+18/24,"")</f>
        <v/>
      </c>
      <c r="AJ699" s="64" t="str">
        <f t="shared" si="24"/>
        <v/>
      </c>
      <c r="AL699" s="66" t="str">
        <f t="shared" si="9"/>
        <v/>
      </c>
      <c r="AM699" s="66"/>
      <c r="AN699" s="63" t="str">
        <f>if(AJ699,if(and(hour(AJ699+AN$5)&gt;11,(hour(AJ699+AN$5)&lt;20)),AJ699+AN$5,_xlfn.workday.intl(int(AJ699),1,"1000000",Holidays!A:A)+hour(AJ699+AN$5-$B$1)/24+minute(AJ699)/1440),"")</f>
        <v/>
      </c>
      <c r="AO699" s="64" t="str">
        <f t="shared" si="15"/>
        <v/>
      </c>
      <c r="AQ699" s="66" t="str">
        <f t="shared" si="16"/>
        <v/>
      </c>
      <c r="AR699" s="66"/>
      <c r="AS699" s="63" t="str">
        <f>if(AJ699,if(and(hour(AJ699+AS$5)&gt;11,(hour(AJ699+AS$5)&lt;20)),AJ699+AS$5,_xlfn.workday.intl(int(AJ699),1,"1000000",Holidays!A:A)+hour(AJ699+AS$5-$B$1)/24+minute(AJ699)/1440),"")</f>
        <v/>
      </c>
      <c r="AT699" s="64" t="str">
        <f t="shared" si="21"/>
        <v/>
      </c>
      <c r="AV699" s="66" t="str">
        <f t="shared" si="25"/>
        <v/>
      </c>
      <c r="AW699" s="66"/>
      <c r="AX699" s="56"/>
    </row>
    <row r="700">
      <c r="A700" s="55">
        <v>45875.7859880787</v>
      </c>
      <c r="B700" s="56"/>
      <c r="C700" s="57"/>
      <c r="D700" s="57"/>
      <c r="E700" s="57"/>
      <c r="F700" s="57"/>
      <c r="G700" s="58">
        <f>if(A700,_xlfn.workday.intl(int(A700),1,"1000000",Holidays!A:A)+17/24,"")</f>
        <v>45876.70833</v>
      </c>
      <c r="H700" s="59" t="str">
        <f t="shared" si="23"/>
        <v/>
      </c>
      <c r="I700" s="60"/>
      <c r="J700" s="61">
        <f t="shared" si="2"/>
        <v>257.2755766</v>
      </c>
      <c r="K700" s="58">
        <f>if(G700,_xlfn.workday.intl(int(G700),0,"1000000",Holidays!A:A)+19/24,"")</f>
        <v>45876.79167</v>
      </c>
      <c r="L700" s="59" t="str">
        <f t="shared" si="3"/>
        <v/>
      </c>
      <c r="M700" s="60"/>
      <c r="N700" s="61">
        <f t="shared" si="4"/>
        <v>257.1922432</v>
      </c>
      <c r="O700" s="63">
        <f>if(A700,_xlfn.WORKDAY.INTL(A700,O$5,"1000000",Holidays!A:A)+hour(A700)/24+MINUTE(A700)/1440,"")</f>
        <v>45876.78542</v>
      </c>
      <c r="P700" s="64" t="s">
        <v>2718</v>
      </c>
      <c r="R700" s="66">
        <f t="shared" si="5"/>
        <v>257.1984932</v>
      </c>
      <c r="S700" s="66"/>
      <c r="T700" s="66"/>
      <c r="U700" s="64">
        <f>if(O700,_xlfn.WORKDAY.INTL(O700,U$5,"1000000",Holidays!A:A)+hour(O700)/24+MINUTE(O700)/1440,"")</f>
        <v>45877.78542</v>
      </c>
      <c r="V700" s="64" t="str">
        <f t="shared" si="6"/>
        <v/>
      </c>
      <c r="W700" s="66"/>
      <c r="X700" s="66">
        <f t="shared" si="7"/>
        <v>256.1984932</v>
      </c>
      <c r="Y700" s="66"/>
      <c r="Z700" s="66"/>
      <c r="AA700" s="66"/>
      <c r="AB700" s="63"/>
      <c r="AC700" s="63"/>
      <c r="AD700" s="63"/>
      <c r="AE700" s="63"/>
      <c r="AF700" s="63"/>
      <c r="AG700" s="63"/>
      <c r="AH700" s="63" t="str">
        <f t="shared" si="14"/>
        <v/>
      </c>
      <c r="AI700" s="63" t="str">
        <f>if(AH700,_xlfn.workday.intl(int(AH700),0,"1000000",Holidays!A:A)+18/24,"")</f>
        <v/>
      </c>
      <c r="AJ700" s="64" t="str">
        <f t="shared" si="24"/>
        <v/>
      </c>
      <c r="AL700" s="66" t="str">
        <f t="shared" si="9"/>
        <v/>
      </c>
      <c r="AM700" s="66"/>
      <c r="AN700" s="63" t="str">
        <f>if(AJ700,if(and(hour(AJ700+AN$5)&gt;11,(hour(AJ700+AN$5)&lt;20)),AJ700+AN$5,_xlfn.workday.intl(int(AJ700),1,"1000000",Holidays!A:A)+hour(AJ700+AN$5-$B$1)/24+minute(AJ700)/1440),"")</f>
        <v/>
      </c>
      <c r="AO700" s="64" t="str">
        <f t="shared" si="15"/>
        <v/>
      </c>
      <c r="AQ700" s="66" t="str">
        <f t="shared" si="16"/>
        <v/>
      </c>
      <c r="AR700" s="66"/>
      <c r="AS700" s="63" t="str">
        <f>if(AJ700,if(and(hour(AJ700+AS$5)&gt;11,(hour(AJ700+AS$5)&lt;20)),AJ700+AS$5,_xlfn.workday.intl(int(AJ700),1,"1000000",Holidays!A:A)+hour(AJ700+AS$5-$B$1)/24+minute(AJ700)/1440),"")</f>
        <v/>
      </c>
      <c r="AT700" s="64" t="str">
        <f t="shared" si="21"/>
        <v/>
      </c>
      <c r="AV700" s="66" t="str">
        <f t="shared" si="25"/>
        <v/>
      </c>
      <c r="AW700" s="66"/>
      <c r="AX700" s="56"/>
    </row>
    <row r="701">
      <c r="A701" s="55">
        <v>45875.78705646991</v>
      </c>
      <c r="B701" s="56"/>
      <c r="C701" s="57"/>
      <c r="D701" s="57"/>
      <c r="E701" s="57"/>
      <c r="F701" s="57"/>
      <c r="G701" s="58">
        <f>if(A701,_xlfn.workday.intl(int(A701),1,"1000000",Holidays!A:A)+17/24,"")</f>
        <v>45876.70833</v>
      </c>
      <c r="H701" s="59" t="str">
        <f t="shared" si="23"/>
        <v/>
      </c>
      <c r="I701" s="60"/>
      <c r="J701" s="61">
        <f t="shared" si="2"/>
        <v>257.2755766</v>
      </c>
      <c r="K701" s="58">
        <f>if(G701,_xlfn.workday.intl(int(G701),0,"1000000",Holidays!A:A)+19/24,"")</f>
        <v>45876.79167</v>
      </c>
      <c r="L701" s="59" t="str">
        <f t="shared" si="3"/>
        <v/>
      </c>
      <c r="M701" s="60"/>
      <c r="N701" s="61">
        <f t="shared" si="4"/>
        <v>257.1922432</v>
      </c>
      <c r="O701" s="63">
        <f>if(A701,_xlfn.WORKDAY.INTL(A701,O$5,"1000000",Holidays!A:A)+hour(A701)/24+MINUTE(A701)/1440,"")</f>
        <v>45876.78681</v>
      </c>
      <c r="P701" s="64" t="s">
        <v>2718</v>
      </c>
      <c r="R701" s="66">
        <f t="shared" si="5"/>
        <v>257.1971043</v>
      </c>
      <c r="S701" s="66"/>
      <c r="T701" s="66"/>
      <c r="U701" s="64">
        <f>if(O701,_xlfn.WORKDAY.INTL(O701,U$5,"1000000",Holidays!A:A)+hour(O701)/24+MINUTE(O701)/1440,"")</f>
        <v>45877.78681</v>
      </c>
      <c r="V701" s="64" t="str">
        <f t="shared" si="6"/>
        <v/>
      </c>
      <c r="W701" s="66"/>
      <c r="X701" s="66">
        <f t="shared" si="7"/>
        <v>256.1971043</v>
      </c>
      <c r="Y701" s="66"/>
      <c r="Z701" s="66"/>
      <c r="AA701" s="66"/>
      <c r="AB701" s="63"/>
      <c r="AC701" s="63"/>
      <c r="AD701" s="63"/>
      <c r="AE701" s="63"/>
      <c r="AF701" s="63"/>
      <c r="AG701" s="63"/>
      <c r="AH701" s="63" t="str">
        <f t="shared" si="14"/>
        <v/>
      </c>
      <c r="AI701" s="63" t="str">
        <f>if(AH701,_xlfn.workday.intl(int(AH701),0,"1000000",Holidays!A:A)+18/24,"")</f>
        <v/>
      </c>
      <c r="AJ701" s="64" t="str">
        <f t="shared" si="24"/>
        <v/>
      </c>
      <c r="AL701" s="66" t="str">
        <f t="shared" si="9"/>
        <v/>
      </c>
      <c r="AM701" s="66"/>
      <c r="AN701" s="63" t="str">
        <f>if(AJ701,if(and(hour(AJ701+AN$5)&gt;11,(hour(AJ701+AN$5)&lt;20)),AJ701+AN$5,_xlfn.workday.intl(int(AJ701),1,"1000000",Holidays!A:A)+hour(AJ701+AN$5-$B$1)/24+minute(AJ701)/1440),"")</f>
        <v/>
      </c>
      <c r="AO701" s="64" t="str">
        <f t="shared" si="15"/>
        <v/>
      </c>
      <c r="AQ701" s="66" t="str">
        <f t="shared" si="16"/>
        <v/>
      </c>
      <c r="AR701" s="66"/>
      <c r="AS701" s="63" t="str">
        <f>if(AJ701,if(and(hour(AJ701+AS$5)&gt;11,(hour(AJ701+AS$5)&lt;20)),AJ701+AS$5,_xlfn.workday.intl(int(AJ701),1,"1000000",Holidays!A:A)+hour(AJ701+AS$5-$B$1)/24+minute(AJ701)/1440),"")</f>
        <v/>
      </c>
      <c r="AT701" s="64" t="str">
        <f t="shared" si="21"/>
        <v/>
      </c>
      <c r="AV701" s="66" t="str">
        <f t="shared" si="25"/>
        <v/>
      </c>
      <c r="AW701" s="66"/>
      <c r="AX701" s="56"/>
    </row>
    <row r="702">
      <c r="A702" s="55">
        <v>45875.78962949074</v>
      </c>
      <c r="B702" s="56"/>
      <c r="C702" s="57"/>
      <c r="D702" s="57"/>
      <c r="E702" s="57"/>
      <c r="F702" s="57"/>
      <c r="G702" s="58">
        <f>if(A702,_xlfn.workday.intl(int(A702),1,"1000000",Holidays!A:A)+17/24,"")</f>
        <v>45876.70833</v>
      </c>
      <c r="H702" s="59" t="str">
        <f t="shared" si="23"/>
        <v/>
      </c>
      <c r="I702" s="60"/>
      <c r="J702" s="61">
        <f t="shared" si="2"/>
        <v>257.2755766</v>
      </c>
      <c r="K702" s="58">
        <f>if(G702,_xlfn.workday.intl(int(G702),0,"1000000",Holidays!A:A)+19/24,"")</f>
        <v>45876.79167</v>
      </c>
      <c r="L702" s="59" t="str">
        <f t="shared" si="3"/>
        <v/>
      </c>
      <c r="M702" s="60"/>
      <c r="N702" s="61">
        <f t="shared" si="4"/>
        <v>257.1922432</v>
      </c>
      <c r="O702" s="63">
        <f>if(A702,_xlfn.WORKDAY.INTL(A702,O$5,"1000000",Holidays!A:A)+hour(A702)/24+MINUTE(A702)/1440,"")</f>
        <v>45876.78958</v>
      </c>
      <c r="P702" s="64" t="s">
        <v>2718</v>
      </c>
      <c r="R702" s="66">
        <f t="shared" si="5"/>
        <v>257.1943266</v>
      </c>
      <c r="S702" s="66"/>
      <c r="T702" s="66"/>
      <c r="U702" s="64">
        <f>if(O702,_xlfn.WORKDAY.INTL(O702,U$5,"1000000",Holidays!A:A)+hour(O702)/24+MINUTE(O702)/1440,"")</f>
        <v>45877.78958</v>
      </c>
      <c r="V702" s="64" t="str">
        <f t="shared" si="6"/>
        <v/>
      </c>
      <c r="W702" s="66"/>
      <c r="X702" s="66">
        <f t="shared" si="7"/>
        <v>256.1943266</v>
      </c>
      <c r="Y702" s="66"/>
      <c r="Z702" s="66"/>
      <c r="AA702" s="66"/>
      <c r="AB702" s="63"/>
      <c r="AC702" s="63"/>
      <c r="AD702" s="63"/>
      <c r="AE702" s="63"/>
      <c r="AF702" s="63"/>
      <c r="AG702" s="63"/>
      <c r="AH702" s="63" t="str">
        <f t="shared" si="14"/>
        <v/>
      </c>
      <c r="AI702" s="63" t="str">
        <f>if(AH702,_xlfn.workday.intl(int(AH702),0,"1000000",Holidays!A:A)+18/24,"")</f>
        <v/>
      </c>
      <c r="AJ702" s="64" t="str">
        <f t="shared" si="24"/>
        <v/>
      </c>
      <c r="AL702" s="66" t="str">
        <f t="shared" si="9"/>
        <v/>
      </c>
      <c r="AM702" s="66"/>
      <c r="AN702" s="63" t="str">
        <f>if(AJ702,if(and(hour(AJ702+AN$5)&gt;11,(hour(AJ702+AN$5)&lt;20)),AJ702+AN$5,_xlfn.workday.intl(int(AJ702),1,"1000000",Holidays!A:A)+hour(AJ702+AN$5-$B$1)/24+minute(AJ702)/1440),"")</f>
        <v/>
      </c>
      <c r="AO702" s="64" t="str">
        <f t="shared" si="15"/>
        <v/>
      </c>
      <c r="AQ702" s="66" t="str">
        <f t="shared" si="16"/>
        <v/>
      </c>
      <c r="AR702" s="66"/>
      <c r="AS702" s="63" t="str">
        <f>if(AJ702,if(and(hour(AJ702+AS$5)&gt;11,(hour(AJ702+AS$5)&lt;20)),AJ702+AS$5,_xlfn.workday.intl(int(AJ702),1,"1000000",Holidays!A:A)+hour(AJ702+AS$5-$B$1)/24+minute(AJ702)/1440),"")</f>
        <v/>
      </c>
      <c r="AT702" s="64" t="str">
        <f t="shared" si="21"/>
        <v/>
      </c>
      <c r="AV702" s="66" t="str">
        <f t="shared" si="25"/>
        <v/>
      </c>
      <c r="AW702" s="66"/>
      <c r="AX702" s="56"/>
    </row>
    <row r="703">
      <c r="A703" s="55">
        <v>45875.79033065972</v>
      </c>
      <c r="B703" s="56"/>
      <c r="C703" s="57"/>
      <c r="D703" s="57"/>
      <c r="E703" s="57"/>
      <c r="F703" s="57"/>
      <c r="G703" s="58">
        <f>if(A703,_xlfn.workday.intl(int(A703),1,"1000000",Holidays!A:A)+17/24,"")</f>
        <v>45876.70833</v>
      </c>
      <c r="H703" s="59" t="str">
        <f t="shared" si="23"/>
        <v/>
      </c>
      <c r="I703" s="60"/>
      <c r="J703" s="61">
        <f t="shared" si="2"/>
        <v>257.2755766</v>
      </c>
      <c r="K703" s="58">
        <f>if(G703,_xlfn.workday.intl(int(G703),0,"1000000",Holidays!A:A)+19/24,"")</f>
        <v>45876.79167</v>
      </c>
      <c r="L703" s="59" t="str">
        <f t="shared" si="3"/>
        <v/>
      </c>
      <c r="M703" s="60"/>
      <c r="N703" s="61">
        <f t="shared" si="4"/>
        <v>257.1922432</v>
      </c>
      <c r="O703" s="63">
        <f>if(A703,_xlfn.WORKDAY.INTL(A703,O$5,"1000000",Holidays!A:A)+hour(A703)/24+MINUTE(A703)/1440,"")</f>
        <v>45876.79028</v>
      </c>
      <c r="P703" s="64" t="s">
        <v>2718</v>
      </c>
      <c r="R703" s="66">
        <f t="shared" si="5"/>
        <v>257.1936321</v>
      </c>
      <c r="S703" s="66"/>
      <c r="T703" s="66"/>
      <c r="U703" s="64">
        <f>if(O703,_xlfn.WORKDAY.INTL(O703,U$5,"1000000",Holidays!A:A)+hour(O703)/24+MINUTE(O703)/1440,"")</f>
        <v>45877.79028</v>
      </c>
      <c r="V703" s="64" t="str">
        <f t="shared" si="6"/>
        <v/>
      </c>
      <c r="W703" s="66"/>
      <c r="X703" s="66">
        <f t="shared" si="7"/>
        <v>256.1936321</v>
      </c>
      <c r="Y703" s="66"/>
      <c r="Z703" s="66"/>
      <c r="AA703" s="66"/>
      <c r="AB703" s="63"/>
      <c r="AC703" s="63"/>
      <c r="AD703" s="63"/>
      <c r="AE703" s="63"/>
      <c r="AF703" s="63"/>
      <c r="AG703" s="63"/>
      <c r="AH703" s="63" t="str">
        <f t="shared" si="14"/>
        <v/>
      </c>
      <c r="AI703" s="63" t="str">
        <f>if(AH703,_xlfn.workday.intl(int(AH703),0,"1000000",Holidays!A:A)+18/24,"")</f>
        <v/>
      </c>
      <c r="AJ703" s="64" t="str">
        <f t="shared" si="24"/>
        <v/>
      </c>
      <c r="AL703" s="66" t="str">
        <f t="shared" si="9"/>
        <v/>
      </c>
      <c r="AM703" s="66"/>
      <c r="AN703" s="63" t="str">
        <f>if(AJ703,if(and(hour(AJ703+AN$5)&gt;11,(hour(AJ703+AN$5)&lt;20)),AJ703+AN$5,_xlfn.workday.intl(int(AJ703),1,"1000000",Holidays!A:A)+hour(AJ703+AN$5-$B$1)/24+minute(AJ703)/1440),"")</f>
        <v/>
      </c>
      <c r="AO703" s="64" t="str">
        <f t="shared" si="15"/>
        <v/>
      </c>
      <c r="AQ703" s="66" t="str">
        <f t="shared" si="16"/>
        <v/>
      </c>
      <c r="AR703" s="66"/>
      <c r="AS703" s="63" t="str">
        <f>if(AJ703,if(and(hour(AJ703+AS$5)&gt;11,(hour(AJ703+AS$5)&lt;20)),AJ703+AS$5,_xlfn.workday.intl(int(AJ703),1,"1000000",Holidays!A:A)+hour(AJ703+AS$5-$B$1)/24+minute(AJ703)/1440),"")</f>
        <v/>
      </c>
      <c r="AT703" s="64" t="str">
        <f t="shared" si="21"/>
        <v/>
      </c>
      <c r="AV703" s="66" t="str">
        <f t="shared" si="25"/>
        <v/>
      </c>
      <c r="AW703" s="66"/>
      <c r="AX703" s="56"/>
    </row>
    <row r="704">
      <c r="A704" s="55">
        <v>45885.62114478009</v>
      </c>
      <c r="B704" s="56"/>
      <c r="C704" s="57"/>
      <c r="D704" s="57"/>
      <c r="E704" s="57"/>
      <c r="F704" s="57"/>
      <c r="G704" s="58">
        <f>if(A704,_xlfn.workday.intl(int(A704),1,"1000000",Holidays!A:A)+17/24,"")</f>
        <v>45886.70833</v>
      </c>
      <c r="H704" s="59" t="str">
        <f t="shared" si="23"/>
        <v/>
      </c>
      <c r="I704" s="60"/>
      <c r="J704" s="61">
        <f t="shared" si="2"/>
        <v>247.2755766</v>
      </c>
      <c r="K704" s="58">
        <f>if(G704,_xlfn.workday.intl(int(G704),0,"1000000",Holidays!A:A)+19/24,"")</f>
        <v>45886.79167</v>
      </c>
      <c r="L704" s="59" t="str">
        <f t="shared" si="3"/>
        <v/>
      </c>
      <c r="M704" s="60"/>
      <c r="N704" s="61">
        <f t="shared" si="4"/>
        <v>247.1922432</v>
      </c>
      <c r="O704" s="63">
        <f>if(A704,_xlfn.WORKDAY.INTL(A704,O$5,"1000000",Holidays!A:A)+hour(A704)/24+MINUTE(A704)/1440,"")</f>
        <v>45886.62083</v>
      </c>
      <c r="P704" s="64" t="s">
        <v>2718</v>
      </c>
      <c r="R704" s="66">
        <f t="shared" si="5"/>
        <v>247.3630766</v>
      </c>
      <c r="S704" s="66"/>
      <c r="T704" s="66"/>
      <c r="U704" s="64">
        <f>if(O704,_xlfn.WORKDAY.INTL(O704,U$5,"1000000",Holidays!A:A)+hour(O704)/24+MINUTE(O704)/1440,"")</f>
        <v>45888.62083</v>
      </c>
      <c r="V704" s="64" t="str">
        <f t="shared" si="6"/>
        <v/>
      </c>
      <c r="W704" s="66"/>
      <c r="X704" s="66">
        <f t="shared" si="7"/>
        <v>245.3630766</v>
      </c>
      <c r="Y704" s="66"/>
      <c r="Z704" s="66"/>
      <c r="AA704" s="66"/>
      <c r="AB704" s="63"/>
      <c r="AC704" s="63"/>
      <c r="AD704" s="63"/>
      <c r="AE704" s="63"/>
      <c r="AF704" s="63"/>
      <c r="AG704" s="63"/>
      <c r="AH704" s="63" t="str">
        <f t="shared" si="14"/>
        <v/>
      </c>
      <c r="AI704" s="63" t="str">
        <f>if(AH704,_xlfn.workday.intl(int(AH704),0,"1000000",Holidays!A:A)+18/24,"")</f>
        <v/>
      </c>
      <c r="AJ704" s="64" t="str">
        <f t="shared" si="24"/>
        <v/>
      </c>
      <c r="AL704" s="66" t="str">
        <f t="shared" si="9"/>
        <v/>
      </c>
      <c r="AM704" s="66"/>
      <c r="AN704" s="63" t="str">
        <f>if(AJ704,if(and(hour(AJ704+AN$5)&gt;11,(hour(AJ704+AN$5)&lt;20)),AJ704+AN$5,_xlfn.workday.intl(int(AJ704),1,"1000000",Holidays!A:A)+hour(AJ704+AN$5-$B$1)/24+minute(AJ704)/1440),"")</f>
        <v/>
      </c>
      <c r="AO704" s="64" t="str">
        <f t="shared" si="15"/>
        <v/>
      </c>
      <c r="AQ704" s="66" t="str">
        <f t="shared" si="16"/>
        <v/>
      </c>
      <c r="AR704" s="66"/>
      <c r="AS704" s="63" t="str">
        <f>if(AJ704,if(and(hour(AJ704+AS$5)&gt;11,(hour(AJ704+AS$5)&lt;20)),AJ704+AS$5,_xlfn.workday.intl(int(AJ704),1,"1000000",Holidays!A:A)+hour(AJ704+AS$5-$B$1)/24+minute(AJ704)/1440),"")</f>
        <v/>
      </c>
      <c r="AT704" s="64" t="str">
        <f t="shared" si="21"/>
        <v/>
      </c>
      <c r="AV704" s="66" t="str">
        <f t="shared" si="25"/>
        <v/>
      </c>
      <c r="AW704" s="66"/>
      <c r="AX704" s="56"/>
    </row>
    <row r="705">
      <c r="A705" s="55">
        <v>45891.79784738426</v>
      </c>
      <c r="B705" s="56"/>
      <c r="C705" s="57"/>
      <c r="D705" s="57"/>
      <c r="E705" s="57"/>
      <c r="F705" s="57"/>
      <c r="G705" s="58">
        <f>if(A705,_xlfn.workday.intl(int(A705),1,"1000000",Holidays!A:A)+17/24,"")</f>
        <v>45892.70833</v>
      </c>
      <c r="H705" s="59" t="str">
        <f t="shared" si="23"/>
        <v/>
      </c>
      <c r="I705" s="60"/>
      <c r="J705" s="61">
        <f t="shared" si="2"/>
        <v>241.2755766</v>
      </c>
      <c r="K705" s="58">
        <f>if(G705,_xlfn.workday.intl(int(G705),0,"1000000",Holidays!A:A)+19/24,"")</f>
        <v>45892.79167</v>
      </c>
      <c r="L705" s="59" t="str">
        <f t="shared" si="3"/>
        <v/>
      </c>
      <c r="M705" s="60"/>
      <c r="N705" s="61">
        <f t="shared" si="4"/>
        <v>241.1922432</v>
      </c>
      <c r="O705" s="63">
        <f>if(A705,_xlfn.WORKDAY.INTL(A705,O$5,"1000000",Holidays!A:A)+hour(A705)/24+MINUTE(A705)/1440,"")</f>
        <v>45892.79722</v>
      </c>
      <c r="P705" s="64" t="s">
        <v>2718</v>
      </c>
      <c r="R705" s="66">
        <f t="shared" si="5"/>
        <v>241.1866877</v>
      </c>
      <c r="S705" s="66"/>
      <c r="T705" s="66"/>
      <c r="U705" s="64">
        <f>if(O705,_xlfn.WORKDAY.INTL(O705,U$5,"1000000",Holidays!A:A)+hour(O705)/24+MINUTE(O705)/1440,"")</f>
        <v>45893.79722</v>
      </c>
      <c r="V705" s="64" t="str">
        <f t="shared" si="6"/>
        <v/>
      </c>
      <c r="W705" s="66"/>
      <c r="X705" s="66">
        <f t="shared" si="7"/>
        <v>240.1866877</v>
      </c>
      <c r="Y705" s="66"/>
      <c r="Z705" s="66"/>
      <c r="AA705" s="66"/>
      <c r="AB705" s="63"/>
      <c r="AC705" s="63"/>
      <c r="AD705" s="63"/>
      <c r="AE705" s="63"/>
      <c r="AF705" s="63"/>
      <c r="AG705" s="63"/>
      <c r="AH705" s="63" t="str">
        <f t="shared" si="14"/>
        <v/>
      </c>
      <c r="AI705" s="63" t="str">
        <f>if(AH705,_xlfn.workday.intl(int(AH705),0,"1000000",Holidays!A:A)+18/24,"")</f>
        <v/>
      </c>
      <c r="AJ705" s="64" t="str">
        <f t="shared" si="24"/>
        <v/>
      </c>
      <c r="AL705" s="66" t="str">
        <f t="shared" si="9"/>
        <v/>
      </c>
      <c r="AM705" s="66"/>
      <c r="AN705" s="63" t="str">
        <f>if(AJ705,if(and(hour(AJ705+AN$5)&gt;11,(hour(AJ705+AN$5)&lt;20)),AJ705+AN$5,_xlfn.workday.intl(int(AJ705),1,"1000000",Holidays!A:A)+hour(AJ705+AN$5-$B$1)/24+minute(AJ705)/1440),"")</f>
        <v/>
      </c>
      <c r="AO705" s="64" t="str">
        <f t="shared" si="15"/>
        <v/>
      </c>
      <c r="AQ705" s="66" t="str">
        <f t="shared" si="16"/>
        <v/>
      </c>
      <c r="AR705" s="66"/>
      <c r="AS705" s="63" t="str">
        <f>if(AJ705,if(and(hour(AJ705+AS$5)&gt;11,(hour(AJ705+AS$5)&lt;20)),AJ705+AS$5,_xlfn.workday.intl(int(AJ705),1,"1000000",Holidays!A:A)+hour(AJ705+AS$5-$B$1)/24+minute(AJ705)/1440),"")</f>
        <v/>
      </c>
      <c r="AT705" s="64" t="str">
        <f t="shared" si="21"/>
        <v/>
      </c>
      <c r="AV705" s="66" t="str">
        <f t="shared" si="25"/>
        <v/>
      </c>
      <c r="AW705" s="66"/>
      <c r="AX705" s="56"/>
    </row>
    <row r="706">
      <c r="A706" s="55">
        <v>45893.73446230324</v>
      </c>
      <c r="B706" s="56"/>
      <c r="C706" s="57"/>
      <c r="D706" s="57"/>
      <c r="E706" s="57"/>
      <c r="F706" s="57"/>
      <c r="G706" s="58">
        <f>if(A706,_xlfn.workday.intl(int(A706),1,"1000000",Holidays!A:A)+17/24,"")</f>
        <v>45895.70833</v>
      </c>
      <c r="H706" s="59" t="str">
        <f t="shared" si="23"/>
        <v/>
      </c>
      <c r="I706" s="60"/>
      <c r="J706" s="61">
        <f t="shared" si="2"/>
        <v>238.2755766</v>
      </c>
      <c r="K706" s="58">
        <f>if(G706,_xlfn.workday.intl(int(G706),0,"1000000",Holidays!A:A)+19/24,"")</f>
        <v>45895.79167</v>
      </c>
      <c r="L706" s="59" t="str">
        <f t="shared" si="3"/>
        <v/>
      </c>
      <c r="M706" s="60"/>
      <c r="N706" s="61">
        <f t="shared" si="4"/>
        <v>238.1922432</v>
      </c>
      <c r="O706" s="63">
        <f>if(A706,_xlfn.WORKDAY.INTL(A706,O$5,"1000000",Holidays!A:A)+hour(A706)/24+MINUTE(A706)/1440,"")</f>
        <v>45895.73403</v>
      </c>
      <c r="P706" s="64" t="s">
        <v>2718</v>
      </c>
      <c r="R706" s="66">
        <f t="shared" si="5"/>
        <v>238.2498821</v>
      </c>
      <c r="S706" s="66"/>
      <c r="T706" s="66"/>
      <c r="U706" s="64">
        <f>if(O706,_xlfn.WORKDAY.INTL(O706,U$5,"1000000",Holidays!A:A)+hour(O706)/24+MINUTE(O706)/1440,"")</f>
        <v>45896.73403</v>
      </c>
      <c r="V706" s="64" t="str">
        <f t="shared" si="6"/>
        <v/>
      </c>
      <c r="W706" s="66"/>
      <c r="X706" s="66">
        <f t="shared" si="7"/>
        <v>237.2498821</v>
      </c>
      <c r="Y706" s="66"/>
      <c r="Z706" s="66"/>
      <c r="AA706" s="66"/>
      <c r="AB706" s="63"/>
      <c r="AC706" s="63"/>
      <c r="AD706" s="63"/>
      <c r="AE706" s="63"/>
      <c r="AF706" s="63"/>
      <c r="AG706" s="63"/>
      <c r="AH706" s="63" t="str">
        <f t="shared" si="14"/>
        <v/>
      </c>
      <c r="AI706" s="63" t="str">
        <f>if(AH706,_xlfn.workday.intl(int(AH706),0,"1000000",Holidays!A:A)+18/24,"")</f>
        <v/>
      </c>
      <c r="AJ706" s="64" t="str">
        <f t="shared" si="24"/>
        <v/>
      </c>
      <c r="AL706" s="66" t="str">
        <f t="shared" si="9"/>
        <v/>
      </c>
      <c r="AM706" s="66"/>
      <c r="AN706" s="63" t="str">
        <f>if(AJ706,if(and(hour(AJ706+AN$5)&gt;11,(hour(AJ706+AN$5)&lt;20)),AJ706+AN$5,_xlfn.workday.intl(int(AJ706),1,"1000000",Holidays!A:A)+hour(AJ706+AN$5-$B$1)/24+minute(AJ706)/1440),"")</f>
        <v/>
      </c>
      <c r="AO706" s="64" t="str">
        <f t="shared" si="15"/>
        <v/>
      </c>
      <c r="AQ706" s="66" t="str">
        <f t="shared" si="16"/>
        <v/>
      </c>
      <c r="AR706" s="66"/>
      <c r="AS706" s="63" t="str">
        <f>if(AJ706,if(and(hour(AJ706+AS$5)&gt;11,(hour(AJ706+AS$5)&lt;20)),AJ706+AS$5,_xlfn.workday.intl(int(AJ706),1,"1000000",Holidays!A:A)+hour(AJ706+AS$5-$B$1)/24+minute(AJ706)/1440),"")</f>
        <v/>
      </c>
      <c r="AT706" s="64" t="str">
        <f t="shared" si="21"/>
        <v/>
      </c>
      <c r="AV706" s="66" t="str">
        <f t="shared" si="25"/>
        <v/>
      </c>
      <c r="AW706" s="66"/>
      <c r="AX706" s="56"/>
    </row>
    <row r="707">
      <c r="A707" s="55">
        <v>45909.46113246528</v>
      </c>
      <c r="B707" s="56"/>
      <c r="C707" s="57"/>
      <c r="D707" s="57"/>
      <c r="E707" s="57"/>
      <c r="F707" s="57"/>
      <c r="G707" s="58">
        <f>if(A707,_xlfn.workday.intl(int(A707),1,"1000000",Holidays!A:A)+17/24,"")</f>
        <v>45910.70833</v>
      </c>
      <c r="H707" s="59" t="str">
        <f t="shared" si="23"/>
        <v/>
      </c>
      <c r="I707" s="60"/>
      <c r="J707" s="61">
        <f t="shared" si="2"/>
        <v>223.2755766</v>
      </c>
      <c r="K707" s="58">
        <f>if(G707,_xlfn.workday.intl(int(G707),0,"1000000",Holidays!A:A)+19/24,"")</f>
        <v>45910.79167</v>
      </c>
      <c r="L707" s="59" t="str">
        <f t="shared" si="3"/>
        <v/>
      </c>
      <c r="M707" s="60"/>
      <c r="N707" s="61">
        <f t="shared" si="4"/>
        <v>223.1922432</v>
      </c>
      <c r="O707" s="63">
        <f>if(A707,_xlfn.WORKDAY.INTL(A707,O$5,"1000000",Holidays!A:A)+hour(A707)/24+MINUTE(A707)/1440,"")</f>
        <v>45910.46111</v>
      </c>
      <c r="P707" s="64" t="s">
        <v>2718</v>
      </c>
      <c r="R707" s="66">
        <f t="shared" si="5"/>
        <v>223.5227988</v>
      </c>
      <c r="S707" s="66"/>
      <c r="T707" s="66"/>
      <c r="U707" s="64">
        <f>if(O707,_xlfn.WORKDAY.INTL(O707,U$5,"1000000",Holidays!A:A)+hour(O707)/24+MINUTE(O707)/1440,"")</f>
        <v>45911.46111</v>
      </c>
      <c r="V707" s="64" t="str">
        <f t="shared" si="6"/>
        <v/>
      </c>
      <c r="W707" s="66"/>
      <c r="X707" s="66">
        <f t="shared" si="7"/>
        <v>222.5227988</v>
      </c>
      <c r="Y707" s="66"/>
      <c r="Z707" s="66"/>
      <c r="AA707" s="66"/>
      <c r="AB707" s="63"/>
      <c r="AC707" s="63"/>
      <c r="AD707" s="63"/>
      <c r="AE707" s="63"/>
      <c r="AF707" s="63"/>
      <c r="AG707" s="63"/>
      <c r="AH707" s="63" t="str">
        <f t="shared" si="14"/>
        <v/>
      </c>
      <c r="AI707" s="63" t="str">
        <f>if(AH707,_xlfn.workday.intl(int(AH707),0,"1000000",Holidays!A:A)+18/24,"")</f>
        <v/>
      </c>
      <c r="AJ707" s="64" t="str">
        <f t="shared" si="24"/>
        <v/>
      </c>
      <c r="AL707" s="66" t="str">
        <f t="shared" si="9"/>
        <v/>
      </c>
      <c r="AM707" s="66"/>
      <c r="AN707" s="63" t="str">
        <f>if(AJ707,if(and(hour(AJ707+AN$5)&gt;11,(hour(AJ707+AN$5)&lt;20)),AJ707+AN$5,_xlfn.workday.intl(int(AJ707),1,"1000000",Holidays!A:A)+hour(AJ707+AN$5-$B$1)/24+minute(AJ707)/1440),"")</f>
        <v/>
      </c>
      <c r="AO707" s="64" t="str">
        <f t="shared" si="15"/>
        <v/>
      </c>
      <c r="AQ707" s="66" t="str">
        <f t="shared" si="16"/>
        <v/>
      </c>
      <c r="AR707" s="66"/>
      <c r="AS707" s="63" t="str">
        <f>if(AJ707,if(and(hour(AJ707+AS$5)&gt;11,(hour(AJ707+AS$5)&lt;20)),AJ707+AS$5,_xlfn.workday.intl(int(AJ707),1,"1000000",Holidays!A:A)+hour(AJ707+AS$5-$B$1)/24+minute(AJ707)/1440),"")</f>
        <v/>
      </c>
      <c r="AT707" s="64" t="str">
        <f t="shared" si="21"/>
        <v/>
      </c>
      <c r="AV707" s="66" t="str">
        <f t="shared" si="25"/>
        <v/>
      </c>
      <c r="AW707" s="66"/>
      <c r="AX707" s="56"/>
    </row>
    <row r="708">
      <c r="A708" s="55">
        <v>45920.64054797454</v>
      </c>
      <c r="B708" s="56"/>
      <c r="C708" s="57"/>
      <c r="D708" s="57"/>
      <c r="E708" s="57"/>
      <c r="F708" s="57"/>
      <c r="G708" s="58">
        <f>if(A708,_xlfn.workday.intl(int(A708),1,"1000000",Holidays!A:A)+17/24,"")</f>
        <v>45921.70833</v>
      </c>
      <c r="H708" s="59" t="str">
        <f t="shared" si="23"/>
        <v/>
      </c>
      <c r="I708" s="60"/>
      <c r="J708" s="61">
        <f t="shared" si="2"/>
        <v>212.2755766</v>
      </c>
      <c r="K708" s="58">
        <f>if(G708,_xlfn.workday.intl(int(G708),0,"1000000",Holidays!A:A)+19/24,"")</f>
        <v>45921.79167</v>
      </c>
      <c r="L708" s="59" t="str">
        <f t="shared" si="3"/>
        <v/>
      </c>
      <c r="M708" s="60"/>
      <c r="N708" s="61">
        <f t="shared" si="4"/>
        <v>212.1922432</v>
      </c>
      <c r="O708" s="63">
        <f>if(A708,_xlfn.WORKDAY.INTL(A708,O$5,"1000000",Holidays!A:A)+hour(A708)/24+MINUTE(A708)/1440,"")</f>
        <v>45921.64028</v>
      </c>
      <c r="P708" s="64" t="s">
        <v>2718</v>
      </c>
      <c r="R708" s="66">
        <f t="shared" si="5"/>
        <v>212.3436321</v>
      </c>
      <c r="S708" s="66"/>
      <c r="T708" s="66"/>
      <c r="U708" s="64">
        <f>if(O708,_xlfn.WORKDAY.INTL(O708,U$5,"1000000",Holidays!A:A)+hour(O708)/24+MINUTE(O708)/1440,"")</f>
        <v>45923.64028</v>
      </c>
      <c r="V708" s="64" t="str">
        <f t="shared" si="6"/>
        <v/>
      </c>
      <c r="W708" s="66"/>
      <c r="X708" s="66">
        <f t="shared" si="7"/>
        <v>210.3436321</v>
      </c>
      <c r="Y708" s="66"/>
      <c r="Z708" s="66"/>
      <c r="AA708" s="66"/>
      <c r="AB708" s="63"/>
      <c r="AC708" s="63"/>
      <c r="AD708" s="63"/>
      <c r="AE708" s="63"/>
      <c r="AF708" s="63"/>
      <c r="AG708" s="63"/>
      <c r="AH708" s="63" t="str">
        <f t="shared" si="14"/>
        <v/>
      </c>
      <c r="AI708" s="63" t="str">
        <f>if(AH708,_xlfn.workday.intl(int(AH708),0,"1000000",Holidays!A:A)+18/24,"")</f>
        <v/>
      </c>
      <c r="AJ708" s="64" t="str">
        <f t="shared" si="24"/>
        <v/>
      </c>
      <c r="AL708" s="66" t="str">
        <f t="shared" si="9"/>
        <v/>
      </c>
      <c r="AM708" s="66"/>
      <c r="AN708" s="63" t="str">
        <f>if(AJ708,if(and(hour(AJ708+AN$5)&gt;11,(hour(AJ708+AN$5)&lt;20)),AJ708+AN$5,_xlfn.workday.intl(int(AJ708),1,"1000000",Holidays!A:A)+hour(AJ708+AN$5-$B$1)/24+minute(AJ708)/1440),"")</f>
        <v/>
      </c>
      <c r="AO708" s="64" t="str">
        <f t="shared" si="15"/>
        <v/>
      </c>
      <c r="AQ708" s="66" t="str">
        <f t="shared" si="16"/>
        <v/>
      </c>
      <c r="AR708" s="66"/>
      <c r="AS708" s="63" t="str">
        <f>if(AJ708,if(and(hour(AJ708+AS$5)&gt;11,(hour(AJ708+AS$5)&lt;20)),AJ708+AS$5,_xlfn.workday.intl(int(AJ708),1,"1000000",Holidays!A:A)+hour(AJ708+AS$5-$B$1)/24+minute(AJ708)/1440),"")</f>
        <v/>
      </c>
      <c r="AT708" s="64" t="str">
        <f t="shared" si="21"/>
        <v/>
      </c>
      <c r="AV708" s="66" t="str">
        <f t="shared" si="25"/>
        <v/>
      </c>
      <c r="AW708" s="66"/>
      <c r="AX708" s="56"/>
    </row>
    <row r="709">
      <c r="A709" s="55">
        <v>45920.642550000004</v>
      </c>
      <c r="B709" s="56"/>
      <c r="C709" s="57"/>
      <c r="D709" s="57"/>
      <c r="E709" s="57"/>
      <c r="F709" s="57"/>
      <c r="G709" s="58">
        <f>if(A709,_xlfn.workday.intl(int(A709),1,"1000000",Holidays!A:A)+17/24,"")</f>
        <v>45921.70833</v>
      </c>
      <c r="H709" s="59" t="str">
        <f t="shared" si="23"/>
        <v/>
      </c>
      <c r="I709" s="60"/>
      <c r="J709" s="61">
        <f t="shared" si="2"/>
        <v>212.2755766</v>
      </c>
      <c r="K709" s="58">
        <f>if(G709,_xlfn.workday.intl(int(G709),0,"1000000",Holidays!A:A)+19/24,"")</f>
        <v>45921.79167</v>
      </c>
      <c r="L709" s="59" t="str">
        <f t="shared" si="3"/>
        <v/>
      </c>
      <c r="M709" s="60"/>
      <c r="N709" s="61">
        <f t="shared" si="4"/>
        <v>212.1922432</v>
      </c>
      <c r="O709" s="63">
        <f>if(A709,_xlfn.WORKDAY.INTL(A709,O$5,"1000000",Holidays!A:A)+hour(A709)/24+MINUTE(A709)/1440,"")</f>
        <v>45921.64236</v>
      </c>
      <c r="P709" s="64" t="s">
        <v>2718</v>
      </c>
      <c r="R709" s="66">
        <f t="shared" si="5"/>
        <v>212.3415488</v>
      </c>
      <c r="S709" s="66"/>
      <c r="T709" s="66"/>
      <c r="U709" s="64">
        <f>if(O709,_xlfn.WORKDAY.INTL(O709,U$5,"1000000",Holidays!A:A)+hour(O709)/24+MINUTE(O709)/1440,"")</f>
        <v>45923.64236</v>
      </c>
      <c r="V709" s="64" t="str">
        <f t="shared" si="6"/>
        <v/>
      </c>
      <c r="W709" s="66"/>
      <c r="X709" s="66">
        <f t="shared" si="7"/>
        <v>210.3415488</v>
      </c>
      <c r="Y709" s="66"/>
      <c r="Z709" s="66"/>
      <c r="AA709" s="66"/>
      <c r="AB709" s="63"/>
      <c r="AC709" s="63"/>
      <c r="AD709" s="63"/>
      <c r="AE709" s="63"/>
      <c r="AF709" s="63"/>
      <c r="AG709" s="63"/>
      <c r="AH709" s="63" t="str">
        <f t="shared" si="14"/>
        <v/>
      </c>
      <c r="AI709" s="63" t="str">
        <f>if(AH709,_xlfn.workday.intl(int(AH709),0,"1000000",Holidays!A:A)+18/24,"")</f>
        <v/>
      </c>
      <c r="AJ709" s="64" t="str">
        <f t="shared" si="24"/>
        <v/>
      </c>
      <c r="AL709" s="66" t="str">
        <f t="shared" si="9"/>
        <v/>
      </c>
      <c r="AM709" s="66"/>
      <c r="AN709" s="63" t="str">
        <f>if(AJ709,if(and(hour(AJ709+AN$5)&gt;11,(hour(AJ709+AN$5)&lt;20)),AJ709+AN$5,_xlfn.workday.intl(int(AJ709),1,"1000000",Holidays!A:A)+hour(AJ709+AN$5-$B$1)/24+minute(AJ709)/1440),"")</f>
        <v/>
      </c>
      <c r="AO709" s="64" t="str">
        <f t="shared" si="15"/>
        <v/>
      </c>
      <c r="AQ709" s="66" t="str">
        <f t="shared" si="16"/>
        <v/>
      </c>
      <c r="AR709" s="66"/>
      <c r="AS709" s="63" t="str">
        <f>if(AJ709,if(and(hour(AJ709+AS$5)&gt;11,(hour(AJ709+AS$5)&lt;20)),AJ709+AS$5,_xlfn.workday.intl(int(AJ709),1,"1000000",Holidays!A:A)+hour(AJ709+AS$5-$B$1)/24+minute(AJ709)/1440),"")</f>
        <v/>
      </c>
      <c r="AT709" s="64" t="str">
        <f t="shared" si="21"/>
        <v/>
      </c>
      <c r="AV709" s="66" t="str">
        <f t="shared" si="25"/>
        <v/>
      </c>
      <c r="AW709" s="66"/>
      <c r="AX709" s="56"/>
    </row>
    <row r="710">
      <c r="A710" s="55">
        <v>45920.65294329861</v>
      </c>
      <c r="B710" s="56"/>
      <c r="C710" s="57"/>
      <c r="D710" s="57"/>
      <c r="E710" s="57"/>
      <c r="F710" s="57"/>
      <c r="G710" s="58">
        <f>if(A710,_xlfn.workday.intl(int(A710),1,"1000000",Holidays!A:A)+17/24,"")</f>
        <v>45921.70833</v>
      </c>
      <c r="H710" s="59" t="str">
        <f t="shared" si="23"/>
        <v/>
      </c>
      <c r="I710" s="60"/>
      <c r="J710" s="61">
        <f t="shared" si="2"/>
        <v>212.2755766</v>
      </c>
      <c r="K710" s="58">
        <f>if(G710,_xlfn.workday.intl(int(G710),0,"1000000",Holidays!A:A)+19/24,"")</f>
        <v>45921.79167</v>
      </c>
      <c r="L710" s="59" t="str">
        <f t="shared" si="3"/>
        <v/>
      </c>
      <c r="M710" s="60"/>
      <c r="N710" s="61">
        <f t="shared" si="4"/>
        <v>212.1922432</v>
      </c>
      <c r="O710" s="63">
        <f>if(A710,_xlfn.WORKDAY.INTL(A710,O$5,"1000000",Holidays!A:A)+hour(A710)/24+MINUTE(A710)/1440,"")</f>
        <v>45921.65278</v>
      </c>
      <c r="P710" s="64" t="s">
        <v>2718</v>
      </c>
      <c r="R710" s="66">
        <f t="shared" si="5"/>
        <v>212.3311321</v>
      </c>
      <c r="S710" s="66"/>
      <c r="T710" s="66"/>
      <c r="U710" s="64">
        <f>if(O710,_xlfn.WORKDAY.INTL(O710,U$5,"1000000",Holidays!A:A)+hour(O710)/24+MINUTE(O710)/1440,"")</f>
        <v>45923.65278</v>
      </c>
      <c r="V710" s="64" t="str">
        <f t="shared" si="6"/>
        <v/>
      </c>
      <c r="W710" s="66"/>
      <c r="X710" s="66">
        <f t="shared" si="7"/>
        <v>210.3311321</v>
      </c>
      <c r="Y710" s="66"/>
      <c r="Z710" s="66"/>
      <c r="AA710" s="66"/>
      <c r="AB710" s="63"/>
      <c r="AC710" s="63"/>
      <c r="AD710" s="63"/>
      <c r="AE710" s="63"/>
      <c r="AF710" s="63"/>
      <c r="AG710" s="63"/>
      <c r="AH710" s="63" t="str">
        <f t="shared" si="14"/>
        <v/>
      </c>
      <c r="AI710" s="63" t="str">
        <f>if(AH710,_xlfn.workday.intl(int(AH710),0,"1000000",Holidays!A:A)+18/24,"")</f>
        <v/>
      </c>
      <c r="AJ710" s="64" t="str">
        <f t="shared" si="24"/>
        <v/>
      </c>
      <c r="AL710" s="66" t="str">
        <f t="shared" si="9"/>
        <v/>
      </c>
      <c r="AM710" s="66"/>
      <c r="AN710" s="63" t="str">
        <f>if(AJ710,if(and(hour(AJ710+AN$5)&gt;11,(hour(AJ710+AN$5)&lt;20)),AJ710+AN$5,_xlfn.workday.intl(int(AJ710),1,"1000000",Holidays!A:A)+hour(AJ710+AN$5-$B$1)/24+minute(AJ710)/1440),"")</f>
        <v/>
      </c>
      <c r="AO710" s="64" t="str">
        <f t="shared" si="15"/>
        <v/>
      </c>
      <c r="AQ710" s="66" t="str">
        <f t="shared" si="16"/>
        <v/>
      </c>
      <c r="AR710" s="66"/>
      <c r="AS710" s="63" t="str">
        <f>if(AJ710,if(and(hour(AJ710+AS$5)&gt;11,(hour(AJ710+AS$5)&lt;20)),AJ710+AS$5,_xlfn.workday.intl(int(AJ710),1,"1000000",Holidays!A:A)+hour(AJ710+AS$5-$B$1)/24+minute(AJ710)/1440),"")</f>
        <v/>
      </c>
      <c r="AT710" s="64" t="str">
        <f t="shared" si="21"/>
        <v/>
      </c>
      <c r="AV710" s="66" t="str">
        <f t="shared" si="25"/>
        <v/>
      </c>
      <c r="AW710" s="66"/>
      <c r="AX710" s="56"/>
    </row>
    <row r="711">
      <c r="A711" s="55">
        <v>45921.45847008102</v>
      </c>
      <c r="B711" s="56"/>
      <c r="C711" s="57"/>
      <c r="D711" s="57"/>
      <c r="E711" s="57"/>
      <c r="F711" s="57"/>
      <c r="G711" s="58">
        <f>if(A711,_xlfn.workday.intl(int(A711),1,"1000000",Holidays!A:A)+17/24,"")</f>
        <v>45923.70833</v>
      </c>
      <c r="H711" s="59" t="str">
        <f t="shared" si="23"/>
        <v/>
      </c>
      <c r="I711" s="60"/>
      <c r="J711" s="61">
        <f t="shared" si="2"/>
        <v>210.2755766</v>
      </c>
      <c r="K711" s="58">
        <f>if(G711,_xlfn.workday.intl(int(G711),0,"1000000",Holidays!A:A)+19/24,"")</f>
        <v>45923.79167</v>
      </c>
      <c r="L711" s="59" t="str">
        <f t="shared" si="3"/>
        <v/>
      </c>
      <c r="M711" s="60"/>
      <c r="N711" s="61">
        <f t="shared" si="4"/>
        <v>210.1922432</v>
      </c>
      <c r="O711" s="63">
        <f>if(A711,_xlfn.WORKDAY.INTL(A711,O$5,"1000000",Holidays!A:A)+hour(A711)/24+MINUTE(A711)/1440,"")</f>
        <v>45923.45833</v>
      </c>
      <c r="P711" s="64" t="s">
        <v>2718</v>
      </c>
      <c r="R711" s="66">
        <f t="shared" si="5"/>
        <v>210.5255766</v>
      </c>
      <c r="S711" s="66"/>
      <c r="T711" s="66"/>
      <c r="U711" s="64">
        <f>if(O711,_xlfn.WORKDAY.INTL(O711,U$5,"1000000",Holidays!A:A)+hour(O711)/24+MINUTE(O711)/1440,"")</f>
        <v>45924.45833</v>
      </c>
      <c r="V711" s="64" t="str">
        <f t="shared" si="6"/>
        <v/>
      </c>
      <c r="W711" s="66"/>
      <c r="X711" s="66">
        <f t="shared" si="7"/>
        <v>209.5255766</v>
      </c>
      <c r="Y711" s="66"/>
      <c r="Z711" s="66"/>
      <c r="AA711" s="66"/>
      <c r="AB711" s="63"/>
      <c r="AC711" s="63"/>
      <c r="AD711" s="63"/>
      <c r="AE711" s="63"/>
      <c r="AF711" s="63"/>
      <c r="AG711" s="63"/>
      <c r="AH711" s="63" t="str">
        <f t="shared" si="14"/>
        <v/>
      </c>
      <c r="AI711" s="63" t="str">
        <f>if(AH711,_xlfn.workday.intl(int(AH711),0,"1000000",Holidays!A:A)+18/24,"")</f>
        <v/>
      </c>
      <c r="AJ711" s="64" t="str">
        <f t="shared" si="24"/>
        <v/>
      </c>
      <c r="AL711" s="66" t="str">
        <f t="shared" si="9"/>
        <v/>
      </c>
      <c r="AM711" s="66"/>
      <c r="AN711" s="63" t="str">
        <f>if(AJ711,if(and(hour(AJ711+AN$5)&gt;11,(hour(AJ711+AN$5)&lt;20)),AJ711+AN$5,_xlfn.workday.intl(int(AJ711),1,"1000000",Holidays!A:A)+hour(AJ711+AN$5-$B$1)/24+minute(AJ711)/1440),"")</f>
        <v/>
      </c>
      <c r="AO711" s="64" t="str">
        <f t="shared" si="15"/>
        <v/>
      </c>
      <c r="AQ711" s="66" t="str">
        <f t="shared" si="16"/>
        <v/>
      </c>
      <c r="AR711" s="66"/>
      <c r="AS711" s="63" t="str">
        <f>if(AJ711,if(and(hour(AJ711+AS$5)&gt;11,(hour(AJ711+AS$5)&lt;20)),AJ711+AS$5,_xlfn.workday.intl(int(AJ711),1,"1000000",Holidays!A:A)+hour(AJ711+AS$5-$B$1)/24+minute(AJ711)/1440),"")</f>
        <v/>
      </c>
      <c r="AT711" s="64" t="str">
        <f t="shared" si="21"/>
        <v/>
      </c>
      <c r="AV711" s="66" t="str">
        <f t="shared" si="25"/>
        <v/>
      </c>
      <c r="AW711" s="66"/>
      <c r="AX711" s="56"/>
    </row>
    <row r="712">
      <c r="A712" s="55">
        <v>45924.444565150465</v>
      </c>
      <c r="B712" s="56"/>
      <c r="C712" s="57"/>
      <c r="D712" s="57"/>
      <c r="E712" s="57"/>
      <c r="F712" s="57"/>
      <c r="G712" s="58">
        <f>if(A712,_xlfn.workday.intl(int(A712),1,"1000000",Holidays!A:A)+17/24,"")</f>
        <v>45925.70833</v>
      </c>
      <c r="H712" s="59" t="str">
        <f t="shared" si="23"/>
        <v/>
      </c>
      <c r="I712" s="60"/>
      <c r="J712" s="61">
        <f t="shared" si="2"/>
        <v>208.2755766</v>
      </c>
      <c r="K712" s="58">
        <f>if(G712,_xlfn.workday.intl(int(G712),0,"1000000",Holidays!A:A)+19/24,"")</f>
        <v>45925.79167</v>
      </c>
      <c r="L712" s="59" t="str">
        <f t="shared" si="3"/>
        <v/>
      </c>
      <c r="M712" s="60"/>
      <c r="N712" s="61">
        <f t="shared" si="4"/>
        <v>208.1922432</v>
      </c>
      <c r="O712" s="63">
        <f>if(A712,_xlfn.WORKDAY.INTL(A712,O$5,"1000000",Holidays!A:A)+hour(A712)/24+MINUTE(A712)/1440,"")</f>
        <v>45925.44444</v>
      </c>
      <c r="P712" s="64" t="s">
        <v>2718</v>
      </c>
      <c r="R712" s="66">
        <f t="shared" si="5"/>
        <v>208.5394655</v>
      </c>
      <c r="S712" s="66"/>
      <c r="T712" s="66"/>
      <c r="U712" s="64">
        <f>if(O712,_xlfn.WORKDAY.INTL(O712,U$5,"1000000",Holidays!A:A)+hour(O712)/24+MINUTE(O712)/1440,"")</f>
        <v>45926.44444</v>
      </c>
      <c r="V712" s="64" t="str">
        <f t="shared" si="6"/>
        <v/>
      </c>
      <c r="W712" s="66"/>
      <c r="X712" s="66">
        <f t="shared" si="7"/>
        <v>207.5394655</v>
      </c>
      <c r="Y712" s="66"/>
      <c r="Z712" s="66"/>
      <c r="AA712" s="66"/>
      <c r="AB712" s="63"/>
      <c r="AC712" s="63"/>
      <c r="AD712" s="63"/>
      <c r="AE712" s="63"/>
      <c r="AF712" s="63"/>
      <c r="AG712" s="63"/>
      <c r="AH712" s="63" t="str">
        <f t="shared" si="14"/>
        <v/>
      </c>
      <c r="AI712" s="63" t="str">
        <f>if(AH712,_xlfn.workday.intl(int(AH712),0,"1000000",Holidays!A:A)+18/24,"")</f>
        <v/>
      </c>
      <c r="AJ712" s="64" t="str">
        <f t="shared" si="24"/>
        <v/>
      </c>
      <c r="AL712" s="66" t="str">
        <f t="shared" si="9"/>
        <v/>
      </c>
      <c r="AM712" s="66"/>
      <c r="AN712" s="63" t="str">
        <f>if(AJ712,if(and(hour(AJ712+AN$5)&gt;11,(hour(AJ712+AN$5)&lt;20)),AJ712+AN$5,_xlfn.workday.intl(int(AJ712),1,"1000000",Holidays!A:A)+hour(AJ712+AN$5-$B$1)/24+minute(AJ712)/1440),"")</f>
        <v/>
      </c>
      <c r="AO712" s="64" t="str">
        <f t="shared" si="15"/>
        <v/>
      </c>
      <c r="AQ712" s="66" t="str">
        <f t="shared" si="16"/>
        <v/>
      </c>
      <c r="AR712" s="66"/>
      <c r="AS712" s="63" t="str">
        <f>if(AJ712,if(and(hour(AJ712+AS$5)&gt;11,(hour(AJ712+AS$5)&lt;20)),AJ712+AS$5,_xlfn.workday.intl(int(AJ712),1,"1000000",Holidays!A:A)+hour(AJ712+AS$5-$B$1)/24+minute(AJ712)/1440),"")</f>
        <v/>
      </c>
      <c r="AT712" s="64" t="str">
        <f t="shared" si="21"/>
        <v/>
      </c>
      <c r="AV712" s="66" t="str">
        <f t="shared" si="25"/>
        <v/>
      </c>
      <c r="AW712" s="66"/>
      <c r="AX712" s="56"/>
    </row>
    <row r="713">
      <c r="A713" s="55">
        <v>45924.44895893519</v>
      </c>
      <c r="B713" s="56"/>
      <c r="C713" s="57"/>
      <c r="D713" s="57"/>
      <c r="E713" s="57"/>
      <c r="F713" s="57"/>
      <c r="G713" s="58">
        <f>if(A713,_xlfn.workday.intl(int(A713),1,"1000000",Holidays!A:A)+17/24,"")</f>
        <v>45925.70833</v>
      </c>
      <c r="H713" s="59" t="str">
        <f t="shared" si="23"/>
        <v/>
      </c>
      <c r="I713" s="60"/>
      <c r="J713" s="61">
        <f t="shared" si="2"/>
        <v>208.2755766</v>
      </c>
      <c r="K713" s="58">
        <f>if(G713,_xlfn.workday.intl(int(G713),0,"1000000",Holidays!A:A)+19/24,"")</f>
        <v>45925.79167</v>
      </c>
      <c r="L713" s="59" t="str">
        <f t="shared" si="3"/>
        <v/>
      </c>
      <c r="M713" s="60"/>
      <c r="N713" s="61">
        <f t="shared" si="4"/>
        <v>208.1922432</v>
      </c>
      <c r="O713" s="63">
        <f>if(A713,_xlfn.WORKDAY.INTL(A713,O$5,"1000000",Holidays!A:A)+hour(A713)/24+MINUTE(A713)/1440,"")</f>
        <v>45925.44861</v>
      </c>
      <c r="P713" s="64" t="s">
        <v>2718</v>
      </c>
      <c r="R713" s="66">
        <f t="shared" si="5"/>
        <v>208.5352988</v>
      </c>
      <c r="S713" s="66"/>
      <c r="T713" s="66"/>
      <c r="U713" s="64">
        <f>if(O713,_xlfn.WORKDAY.INTL(O713,U$5,"1000000",Holidays!A:A)+hour(O713)/24+MINUTE(O713)/1440,"")</f>
        <v>45926.44861</v>
      </c>
      <c r="V713" s="64" t="str">
        <f t="shared" si="6"/>
        <v/>
      </c>
      <c r="W713" s="66"/>
      <c r="X713" s="66">
        <f t="shared" si="7"/>
        <v>207.5352988</v>
      </c>
      <c r="Y713" s="66"/>
      <c r="Z713" s="66"/>
      <c r="AA713" s="66"/>
      <c r="AB713" s="63"/>
      <c r="AC713" s="63"/>
      <c r="AD713" s="63"/>
      <c r="AE713" s="63"/>
      <c r="AF713" s="63"/>
      <c r="AG713" s="63"/>
      <c r="AH713" s="63" t="str">
        <f t="shared" si="14"/>
        <v/>
      </c>
      <c r="AI713" s="63" t="str">
        <f>if(AH713,_xlfn.workday.intl(int(AH713),0,"1000000",Holidays!A:A)+18/24,"")</f>
        <v/>
      </c>
      <c r="AJ713" s="64" t="str">
        <f t="shared" si="24"/>
        <v/>
      </c>
      <c r="AL713" s="66" t="str">
        <f t="shared" si="9"/>
        <v/>
      </c>
      <c r="AM713" s="66"/>
      <c r="AN713" s="63" t="str">
        <f>if(AJ713,if(and(hour(AJ713+AN$5)&gt;11,(hour(AJ713+AN$5)&lt;20)),AJ713+AN$5,_xlfn.workday.intl(int(AJ713),1,"1000000",Holidays!A:A)+hour(AJ713+AN$5-$B$1)/24+minute(AJ713)/1440),"")</f>
        <v/>
      </c>
      <c r="AO713" s="64" t="str">
        <f t="shared" si="15"/>
        <v/>
      </c>
      <c r="AQ713" s="66" t="str">
        <f t="shared" si="16"/>
        <v/>
      </c>
      <c r="AR713" s="66"/>
      <c r="AS713" s="63" t="str">
        <f>if(AJ713,if(and(hour(AJ713+AS$5)&gt;11,(hour(AJ713+AS$5)&lt;20)),AJ713+AS$5,_xlfn.workday.intl(int(AJ713),1,"1000000",Holidays!A:A)+hour(AJ713+AS$5-$B$1)/24+minute(AJ713)/1440),"")</f>
        <v/>
      </c>
      <c r="AT713" s="64" t="str">
        <f t="shared" si="21"/>
        <v/>
      </c>
      <c r="AV713" s="66" t="str">
        <f t="shared" si="25"/>
        <v/>
      </c>
      <c r="AW713" s="66"/>
      <c r="AX713" s="56"/>
    </row>
    <row r="714">
      <c r="A714" s="55">
        <v>45924.449562118054</v>
      </c>
      <c r="B714" s="56"/>
      <c r="C714" s="57"/>
      <c r="D714" s="57"/>
      <c r="E714" s="57"/>
      <c r="F714" s="57"/>
      <c r="G714" s="58">
        <f>if(A714,_xlfn.workday.intl(int(A714),1,"1000000",Holidays!A:A)+17/24,"")</f>
        <v>45925.70833</v>
      </c>
      <c r="H714" s="59" t="str">
        <f t="shared" si="23"/>
        <v/>
      </c>
      <c r="I714" s="60"/>
      <c r="J714" s="61">
        <f t="shared" si="2"/>
        <v>208.2755766</v>
      </c>
      <c r="K714" s="58">
        <f>if(G714,_xlfn.workday.intl(int(G714),0,"1000000",Holidays!A:A)+19/24,"")</f>
        <v>45925.79167</v>
      </c>
      <c r="L714" s="59" t="str">
        <f t="shared" si="3"/>
        <v/>
      </c>
      <c r="M714" s="60"/>
      <c r="N714" s="61">
        <f t="shared" si="4"/>
        <v>208.1922432</v>
      </c>
      <c r="O714" s="63">
        <f>if(A714,_xlfn.WORKDAY.INTL(A714,O$5,"1000000",Holidays!A:A)+hour(A714)/24+MINUTE(A714)/1440,"")</f>
        <v>45925.44931</v>
      </c>
      <c r="P714" s="64" t="s">
        <v>2718</v>
      </c>
      <c r="R714" s="66">
        <f t="shared" si="5"/>
        <v>208.5346043</v>
      </c>
      <c r="S714" s="66"/>
      <c r="T714" s="66"/>
      <c r="U714" s="64">
        <f>if(O714,_xlfn.WORKDAY.INTL(O714,U$5,"1000000",Holidays!A:A)+hour(O714)/24+MINUTE(O714)/1440,"")</f>
        <v>45926.44931</v>
      </c>
      <c r="V714" s="64" t="str">
        <f t="shared" si="6"/>
        <v/>
      </c>
      <c r="W714" s="66"/>
      <c r="X714" s="66">
        <f t="shared" si="7"/>
        <v>207.5346043</v>
      </c>
      <c r="Y714" s="66"/>
      <c r="Z714" s="66"/>
      <c r="AA714" s="66"/>
      <c r="AB714" s="63"/>
      <c r="AC714" s="63"/>
      <c r="AD714" s="63"/>
      <c r="AE714" s="63"/>
      <c r="AF714" s="63"/>
      <c r="AG714" s="63"/>
      <c r="AH714" s="63" t="str">
        <f t="shared" si="14"/>
        <v/>
      </c>
      <c r="AI714" s="63" t="str">
        <f>if(AH714,_xlfn.workday.intl(int(AH714),0,"1000000",Holidays!A:A)+18/24,"")</f>
        <v/>
      </c>
      <c r="AJ714" s="64" t="str">
        <f t="shared" si="24"/>
        <v/>
      </c>
      <c r="AL714" s="66" t="str">
        <f t="shared" si="9"/>
        <v/>
      </c>
      <c r="AM714" s="66"/>
      <c r="AN714" s="63" t="str">
        <f>if(AJ714,if(and(hour(AJ714+AN$5)&gt;11,(hour(AJ714+AN$5)&lt;20)),AJ714+AN$5,_xlfn.workday.intl(int(AJ714),1,"1000000",Holidays!A:A)+hour(AJ714+AN$5-$B$1)/24+minute(AJ714)/1440),"")</f>
        <v/>
      </c>
      <c r="AO714" s="64" t="str">
        <f t="shared" si="15"/>
        <v/>
      </c>
      <c r="AQ714" s="66" t="str">
        <f t="shared" si="16"/>
        <v/>
      </c>
      <c r="AR714" s="66"/>
      <c r="AS714" s="63" t="str">
        <f>if(AJ714,if(and(hour(AJ714+AS$5)&gt;11,(hour(AJ714+AS$5)&lt;20)),AJ714+AS$5,_xlfn.workday.intl(int(AJ714),1,"1000000",Holidays!A:A)+hour(AJ714+AS$5-$B$1)/24+minute(AJ714)/1440),"")</f>
        <v/>
      </c>
      <c r="AT714" s="64" t="str">
        <f t="shared" si="21"/>
        <v/>
      </c>
      <c r="AV714" s="66" t="str">
        <f t="shared" si="25"/>
        <v/>
      </c>
      <c r="AW714" s="66"/>
      <c r="AX714" s="56"/>
    </row>
    <row r="715">
      <c r="A715" s="55">
        <v>45928.44418310185</v>
      </c>
      <c r="B715" s="56"/>
      <c r="C715" s="57"/>
      <c r="D715" s="57"/>
      <c r="E715" s="57"/>
      <c r="F715" s="57"/>
      <c r="G715" s="58">
        <f>if(A715,_xlfn.workday.intl(int(A715),1,"1000000",Holidays!A:A)+17/24,"")</f>
        <v>45930.70833</v>
      </c>
      <c r="H715" s="59" t="str">
        <f t="shared" si="23"/>
        <v/>
      </c>
      <c r="I715" s="60"/>
      <c r="J715" s="61">
        <f t="shared" si="2"/>
        <v>203.2755766</v>
      </c>
      <c r="K715" s="58">
        <f>if(G715,_xlfn.workday.intl(int(G715),0,"1000000",Holidays!A:A)+19/24,"")</f>
        <v>45930.79167</v>
      </c>
      <c r="L715" s="59" t="str">
        <f t="shared" si="3"/>
        <v/>
      </c>
      <c r="M715" s="60"/>
      <c r="N715" s="61">
        <f t="shared" si="4"/>
        <v>203.1922432</v>
      </c>
      <c r="O715" s="63">
        <f>if(A715,_xlfn.WORKDAY.INTL(A715,O$5,"1000000",Holidays!A:A)+hour(A715)/24+MINUTE(A715)/1440,"")</f>
        <v>45930.44375</v>
      </c>
      <c r="P715" s="64" t="s">
        <v>2718</v>
      </c>
      <c r="R715" s="66">
        <f t="shared" si="5"/>
        <v>203.5401599</v>
      </c>
      <c r="S715" s="66"/>
      <c r="T715" s="66"/>
      <c r="U715" s="64">
        <f>if(O715,_xlfn.WORKDAY.INTL(O715,U$5,"1000000",Holidays!A:A)+hour(O715)/24+MINUTE(O715)/1440,"")</f>
        <v>45931.44375</v>
      </c>
      <c r="V715" s="64" t="str">
        <f t="shared" si="6"/>
        <v/>
      </c>
      <c r="W715" s="66"/>
      <c r="X715" s="66">
        <f t="shared" si="7"/>
        <v>202.5401599</v>
      </c>
      <c r="Y715" s="66"/>
      <c r="Z715" s="66"/>
      <c r="AA715" s="66"/>
      <c r="AB715" s="63"/>
      <c r="AC715" s="63"/>
      <c r="AD715" s="63"/>
      <c r="AE715" s="63"/>
      <c r="AF715" s="63"/>
      <c r="AG715" s="63"/>
      <c r="AH715" s="63" t="str">
        <f t="shared" si="14"/>
        <v/>
      </c>
      <c r="AI715" s="63" t="str">
        <f>if(AH715,_xlfn.workday.intl(int(AH715),0,"1000000",Holidays!A:A)+18/24,"")</f>
        <v/>
      </c>
      <c r="AJ715" s="64" t="str">
        <f t="shared" si="24"/>
        <v/>
      </c>
      <c r="AL715" s="66" t="str">
        <f t="shared" si="9"/>
        <v/>
      </c>
      <c r="AM715" s="66"/>
      <c r="AN715" s="63" t="str">
        <f>if(AJ715,if(and(hour(AJ715+AN$5)&gt;11,(hour(AJ715+AN$5)&lt;20)),AJ715+AN$5,_xlfn.workday.intl(int(AJ715),1,"1000000",Holidays!A:A)+hour(AJ715+AN$5-$B$1)/24+minute(AJ715)/1440),"")</f>
        <v/>
      </c>
      <c r="AO715" s="64" t="str">
        <f t="shared" si="15"/>
        <v/>
      </c>
      <c r="AQ715" s="66" t="str">
        <f t="shared" si="16"/>
        <v/>
      </c>
      <c r="AR715" s="66"/>
      <c r="AS715" s="63" t="str">
        <f>if(AJ715,if(and(hour(AJ715+AS$5)&gt;11,(hour(AJ715+AS$5)&lt;20)),AJ715+AS$5,_xlfn.workday.intl(int(AJ715),1,"1000000",Holidays!A:A)+hour(AJ715+AS$5-$B$1)/24+minute(AJ715)/1440),"")</f>
        <v/>
      </c>
      <c r="AT715" s="64" t="str">
        <f t="shared" si="21"/>
        <v/>
      </c>
      <c r="AV715" s="66" t="str">
        <f t="shared" si="25"/>
        <v/>
      </c>
      <c r="AW715" s="66"/>
      <c r="AX715" s="56"/>
    </row>
    <row r="716">
      <c r="A716" s="55">
        <v>45931.451847847224</v>
      </c>
      <c r="B716" s="56"/>
      <c r="C716" s="57"/>
      <c r="D716" s="57"/>
      <c r="E716" s="57"/>
      <c r="F716" s="57"/>
      <c r="G716" s="58">
        <f>if(A716,_xlfn.workday.intl(int(A716),1,"1000000",Holidays!A:A)+17/24,"")</f>
        <v>45932.70833</v>
      </c>
      <c r="H716" s="59" t="str">
        <f t="shared" si="23"/>
        <v/>
      </c>
      <c r="I716" s="60"/>
      <c r="J716" s="61">
        <f t="shared" si="2"/>
        <v>201.2755766</v>
      </c>
      <c r="K716" s="58">
        <f>if(G716,_xlfn.workday.intl(int(G716),0,"1000000",Holidays!A:A)+19/24,"")</f>
        <v>45932.79167</v>
      </c>
      <c r="L716" s="59" t="str">
        <f t="shared" si="3"/>
        <v/>
      </c>
      <c r="M716" s="60"/>
      <c r="N716" s="61">
        <f t="shared" si="4"/>
        <v>201.1922432</v>
      </c>
      <c r="O716" s="63">
        <f>if(A716,_xlfn.WORKDAY.INTL(A716,O$5,"1000000",Holidays!A:A)+hour(A716)/24+MINUTE(A716)/1440,"")</f>
        <v>45932.45139</v>
      </c>
      <c r="P716" s="64" t="s">
        <v>2718</v>
      </c>
      <c r="R716" s="66">
        <f t="shared" si="5"/>
        <v>201.532521</v>
      </c>
      <c r="S716" s="66"/>
      <c r="T716" s="66"/>
      <c r="U716" s="64">
        <f>if(O716,_xlfn.WORKDAY.INTL(O716,U$5,"1000000",Holidays!A:A)+hour(O716)/24+MINUTE(O716)/1440,"")</f>
        <v>45933.45139</v>
      </c>
      <c r="V716" s="64" t="str">
        <f t="shared" si="6"/>
        <v/>
      </c>
      <c r="W716" s="66"/>
      <c r="X716" s="66">
        <f t="shared" si="7"/>
        <v>200.532521</v>
      </c>
      <c r="Y716" s="66"/>
      <c r="Z716" s="66"/>
      <c r="AA716" s="66"/>
      <c r="AB716" s="63"/>
      <c r="AC716" s="63"/>
      <c r="AD716" s="63"/>
      <c r="AE716" s="63"/>
      <c r="AF716" s="63"/>
      <c r="AG716" s="63"/>
      <c r="AH716" s="63" t="str">
        <f t="shared" si="14"/>
        <v/>
      </c>
      <c r="AI716" s="63" t="str">
        <f>if(AH716,_xlfn.workday.intl(int(AH716),0,"1000000",Holidays!A:A)+18/24,"")</f>
        <v/>
      </c>
      <c r="AJ716" s="64" t="str">
        <f t="shared" si="24"/>
        <v/>
      </c>
      <c r="AL716" s="66" t="str">
        <f t="shared" si="9"/>
        <v/>
      </c>
      <c r="AM716" s="66"/>
      <c r="AN716" s="63" t="str">
        <f>if(AJ716,if(and(hour(AJ716+AN$5)&gt;11,(hour(AJ716+AN$5)&lt;20)),AJ716+AN$5,_xlfn.workday.intl(int(AJ716),1,"1000000",Holidays!A:A)+hour(AJ716+AN$5-$B$1)/24+minute(AJ716)/1440),"")</f>
        <v/>
      </c>
      <c r="AO716" s="64" t="str">
        <f t="shared" si="15"/>
        <v/>
      </c>
      <c r="AQ716" s="66" t="str">
        <f t="shared" si="16"/>
        <v/>
      </c>
      <c r="AR716" s="66"/>
      <c r="AS716" s="63" t="str">
        <f>if(AJ716,if(and(hour(AJ716+AS$5)&gt;11,(hour(AJ716+AS$5)&lt;20)),AJ716+AS$5,_xlfn.workday.intl(int(AJ716),1,"1000000",Holidays!A:A)+hour(AJ716+AS$5-$B$1)/24+minute(AJ716)/1440),"")</f>
        <v/>
      </c>
      <c r="AT716" s="64" t="str">
        <f t="shared" si="21"/>
        <v/>
      </c>
      <c r="AV716" s="66" t="str">
        <f t="shared" si="25"/>
        <v/>
      </c>
      <c r="AW716" s="66"/>
      <c r="AX716" s="56"/>
    </row>
    <row r="717">
      <c r="A717" s="55">
        <v>45934.64233290509</v>
      </c>
      <c r="B717" s="56"/>
      <c r="C717" s="57"/>
      <c r="D717" s="57"/>
      <c r="E717" s="57"/>
      <c r="F717" s="57"/>
      <c r="G717" s="58">
        <f>if(A717,_xlfn.workday.intl(int(A717),1,"1000000",Holidays!A:A)+17/24,"")</f>
        <v>45935.70833</v>
      </c>
      <c r="H717" s="59" t="str">
        <f t="shared" si="23"/>
        <v/>
      </c>
      <c r="I717" s="60"/>
      <c r="J717" s="61">
        <f t="shared" si="2"/>
        <v>198.2755766</v>
      </c>
      <c r="K717" s="58">
        <f>if(G717,_xlfn.workday.intl(int(G717),0,"1000000",Holidays!A:A)+19/24,"")</f>
        <v>45935.79167</v>
      </c>
      <c r="L717" s="59" t="str">
        <f t="shared" si="3"/>
        <v/>
      </c>
      <c r="M717" s="60"/>
      <c r="N717" s="61">
        <f t="shared" si="4"/>
        <v>198.1922432</v>
      </c>
      <c r="O717" s="63">
        <f>if(A717,_xlfn.WORKDAY.INTL(A717,O$5,"1000000",Holidays!A:A)+hour(A717)/24+MINUTE(A717)/1440,"")</f>
        <v>45935.64167</v>
      </c>
      <c r="P717" s="64" t="s">
        <v>2718</v>
      </c>
      <c r="R717" s="66">
        <f t="shared" si="5"/>
        <v>198.3422432</v>
      </c>
      <c r="S717" s="66"/>
      <c r="T717" s="66"/>
      <c r="U717" s="64">
        <f>if(O717,_xlfn.WORKDAY.INTL(O717,U$5,"1000000",Holidays!A:A)+hour(O717)/24+MINUTE(O717)/1440,"")</f>
        <v>45937.64167</v>
      </c>
      <c r="V717" s="64" t="str">
        <f t="shared" si="6"/>
        <v/>
      </c>
      <c r="W717" s="66"/>
      <c r="X717" s="66">
        <f t="shared" si="7"/>
        <v>196.3422432</v>
      </c>
      <c r="Y717" s="66"/>
      <c r="Z717" s="66"/>
      <c r="AA717" s="66"/>
      <c r="AB717" s="63"/>
      <c r="AC717" s="63"/>
      <c r="AD717" s="63"/>
      <c r="AE717" s="63"/>
      <c r="AF717" s="63"/>
      <c r="AG717" s="63"/>
      <c r="AH717" s="63" t="str">
        <f t="shared" si="14"/>
        <v/>
      </c>
      <c r="AI717" s="63" t="str">
        <f>if(AH717,_xlfn.workday.intl(int(AH717),0,"1000000",Holidays!A:A)+18/24,"")</f>
        <v/>
      </c>
      <c r="AJ717" s="64" t="str">
        <f t="shared" si="24"/>
        <v/>
      </c>
      <c r="AL717" s="66" t="str">
        <f t="shared" si="9"/>
        <v/>
      </c>
      <c r="AM717" s="66"/>
      <c r="AN717" s="63" t="str">
        <f>if(AJ717,if(and(hour(AJ717+AN$5)&gt;11,(hour(AJ717+AN$5)&lt;20)),AJ717+AN$5,_xlfn.workday.intl(int(AJ717),1,"1000000",Holidays!A:A)+hour(AJ717+AN$5-$B$1)/24+minute(AJ717)/1440),"")</f>
        <v/>
      </c>
      <c r="AO717" s="64" t="str">
        <f t="shared" si="15"/>
        <v/>
      </c>
      <c r="AQ717" s="66" t="str">
        <f t="shared" si="16"/>
        <v/>
      </c>
      <c r="AR717" s="66"/>
      <c r="AS717" s="63" t="str">
        <f>if(AJ717,if(and(hour(AJ717+AS$5)&gt;11,(hour(AJ717+AS$5)&lt;20)),AJ717+AS$5,_xlfn.workday.intl(int(AJ717),1,"1000000",Holidays!A:A)+hour(AJ717+AS$5-$B$1)/24+minute(AJ717)/1440),"")</f>
        <v/>
      </c>
      <c r="AT717" s="64" t="str">
        <f t="shared" si="21"/>
        <v/>
      </c>
      <c r="AV717" s="66" t="str">
        <f t="shared" si="25"/>
        <v/>
      </c>
      <c r="AW717" s="66"/>
      <c r="AX717" s="56"/>
    </row>
    <row r="718">
      <c r="A718" s="55">
        <v>45935.46206034722</v>
      </c>
      <c r="B718" s="56"/>
      <c r="C718" s="57"/>
      <c r="D718" s="57"/>
      <c r="E718" s="57"/>
      <c r="F718" s="57"/>
      <c r="G718" s="58">
        <f>if(A718,_xlfn.workday.intl(int(A718),1,"1000000",Holidays!A:A)+17/24,"")</f>
        <v>45937.70833</v>
      </c>
      <c r="H718" s="59" t="str">
        <f t="shared" si="23"/>
        <v/>
      </c>
      <c r="I718" s="60"/>
      <c r="J718" s="61">
        <f t="shared" si="2"/>
        <v>196.2755766</v>
      </c>
      <c r="K718" s="58">
        <f>if(G718,_xlfn.workday.intl(int(G718),0,"1000000",Holidays!A:A)+19/24,"")</f>
        <v>45937.79167</v>
      </c>
      <c r="L718" s="59" t="str">
        <f t="shared" si="3"/>
        <v/>
      </c>
      <c r="M718" s="60"/>
      <c r="N718" s="61">
        <f t="shared" si="4"/>
        <v>196.1922432</v>
      </c>
      <c r="O718" s="63">
        <f>if(A718,_xlfn.WORKDAY.INTL(A718,O$5,"1000000",Holidays!A:A)+hour(A718)/24+MINUTE(A718)/1440,"")</f>
        <v>45937.46181</v>
      </c>
      <c r="P718" s="64" t="s">
        <v>2718</v>
      </c>
      <c r="R718" s="66">
        <f t="shared" si="5"/>
        <v>196.5221043</v>
      </c>
      <c r="S718" s="66"/>
      <c r="T718" s="66"/>
      <c r="U718" s="64">
        <f>if(O718,_xlfn.WORKDAY.INTL(O718,U$5,"1000000",Holidays!A:A)+hour(O718)/24+MINUTE(O718)/1440,"")</f>
        <v>45938.46181</v>
      </c>
      <c r="V718" s="64" t="str">
        <f t="shared" si="6"/>
        <v/>
      </c>
      <c r="W718" s="66"/>
      <c r="X718" s="66">
        <f t="shared" si="7"/>
        <v>195.5221043</v>
      </c>
      <c r="Y718" s="66"/>
      <c r="Z718" s="66"/>
      <c r="AA718" s="66"/>
      <c r="AB718" s="63"/>
      <c r="AC718" s="63"/>
      <c r="AD718" s="63"/>
      <c r="AE718" s="63"/>
      <c r="AF718" s="63"/>
      <c r="AG718" s="63"/>
      <c r="AH718" s="63" t="str">
        <f t="shared" si="14"/>
        <v/>
      </c>
      <c r="AI718" s="63" t="str">
        <f>if(AH718,_xlfn.workday.intl(int(AH718),0,"1000000",Holidays!A:A)+18/24,"")</f>
        <v/>
      </c>
      <c r="AJ718" s="64" t="str">
        <f t="shared" si="24"/>
        <v/>
      </c>
      <c r="AL718" s="66" t="str">
        <f t="shared" si="9"/>
        <v/>
      </c>
      <c r="AM718" s="66"/>
      <c r="AN718" s="63" t="str">
        <f>if(AJ718,if(and(hour(AJ718+AN$5)&gt;11,(hour(AJ718+AN$5)&lt;20)),AJ718+AN$5,_xlfn.workday.intl(int(AJ718),1,"1000000",Holidays!A:A)+hour(AJ718+AN$5-$B$1)/24+minute(AJ718)/1440),"")</f>
        <v/>
      </c>
      <c r="AO718" s="64" t="str">
        <f t="shared" si="15"/>
        <v/>
      </c>
      <c r="AQ718" s="66" t="str">
        <f t="shared" si="16"/>
        <v/>
      </c>
      <c r="AR718" s="66"/>
      <c r="AS718" s="63" t="str">
        <f>if(AJ718,if(and(hour(AJ718+AS$5)&gt;11,(hour(AJ718+AS$5)&lt;20)),AJ718+AS$5,_xlfn.workday.intl(int(AJ718),1,"1000000",Holidays!A:A)+hour(AJ718+AS$5-$B$1)/24+minute(AJ718)/1440),"")</f>
        <v/>
      </c>
      <c r="AT718" s="64" t="str">
        <f t="shared" si="21"/>
        <v/>
      </c>
      <c r="AV718" s="66" t="str">
        <f t="shared" si="25"/>
        <v/>
      </c>
      <c r="AW718" s="66"/>
      <c r="AX718" s="56"/>
    </row>
    <row r="719">
      <c r="A719" s="55">
        <v>45936.69461479167</v>
      </c>
      <c r="B719" s="56"/>
      <c r="C719" s="57"/>
      <c r="D719" s="57"/>
      <c r="E719" s="57"/>
      <c r="F719" s="57"/>
      <c r="G719" s="58">
        <f>if(A719,_xlfn.workday.intl(int(A719),1,"1000000",Holidays!A:A)+17/24,"")</f>
        <v>45937.70833</v>
      </c>
      <c r="H719" s="59" t="str">
        <f t="shared" si="23"/>
        <v/>
      </c>
      <c r="I719" s="60"/>
      <c r="J719" s="61">
        <f t="shared" si="2"/>
        <v>196.2755766</v>
      </c>
      <c r="K719" s="58">
        <f>if(G719,_xlfn.workday.intl(int(G719),0,"1000000",Holidays!A:A)+19/24,"")</f>
        <v>45937.79167</v>
      </c>
      <c r="L719" s="59" t="str">
        <f t="shared" si="3"/>
        <v/>
      </c>
      <c r="M719" s="60"/>
      <c r="N719" s="61">
        <f t="shared" si="4"/>
        <v>196.1922432</v>
      </c>
      <c r="O719" s="63">
        <f>if(A719,_xlfn.WORKDAY.INTL(A719,O$5,"1000000",Holidays!A:A)+hour(A719)/24+MINUTE(A719)/1440,"")</f>
        <v>45937.69444</v>
      </c>
      <c r="P719" s="64" t="s">
        <v>2718</v>
      </c>
      <c r="R719" s="66">
        <f t="shared" si="5"/>
        <v>196.2894655</v>
      </c>
      <c r="S719" s="66"/>
      <c r="T719" s="66"/>
      <c r="U719" s="64">
        <f>if(O719,_xlfn.WORKDAY.INTL(O719,U$5,"1000000",Holidays!A:A)+hour(O719)/24+MINUTE(O719)/1440,"")</f>
        <v>45938.69444</v>
      </c>
      <c r="V719" s="64" t="str">
        <f t="shared" si="6"/>
        <v/>
      </c>
      <c r="W719" s="66"/>
      <c r="X719" s="66">
        <f t="shared" si="7"/>
        <v>195.2894655</v>
      </c>
      <c r="Y719" s="66"/>
      <c r="Z719" s="66"/>
      <c r="AA719" s="66"/>
      <c r="AB719" s="63"/>
      <c r="AC719" s="63"/>
      <c r="AD719" s="63"/>
      <c r="AE719" s="63"/>
      <c r="AF719" s="63"/>
      <c r="AG719" s="63"/>
      <c r="AH719" s="63" t="str">
        <f t="shared" si="14"/>
        <v/>
      </c>
      <c r="AI719" s="63" t="str">
        <f>if(AH719,_xlfn.workday.intl(int(AH719),0,"1000000",Holidays!A:A)+18/24,"")</f>
        <v/>
      </c>
      <c r="AJ719" s="64" t="str">
        <f t="shared" si="24"/>
        <v/>
      </c>
      <c r="AL719" s="66" t="str">
        <f t="shared" si="9"/>
        <v/>
      </c>
      <c r="AM719" s="66"/>
      <c r="AN719" s="63" t="str">
        <f>if(AJ719,if(and(hour(AJ719+AN$5)&gt;11,(hour(AJ719+AN$5)&lt;20)),AJ719+AN$5,_xlfn.workday.intl(int(AJ719),1,"1000000",Holidays!A:A)+hour(AJ719+AN$5-$B$1)/24+minute(AJ719)/1440),"")</f>
        <v/>
      </c>
      <c r="AO719" s="64" t="str">
        <f t="shared" si="15"/>
        <v/>
      </c>
      <c r="AQ719" s="66" t="str">
        <f t="shared" si="16"/>
        <v/>
      </c>
      <c r="AR719" s="66"/>
      <c r="AS719" s="63" t="str">
        <f>if(AJ719,if(and(hour(AJ719+AS$5)&gt;11,(hour(AJ719+AS$5)&lt;20)),AJ719+AS$5,_xlfn.workday.intl(int(AJ719),1,"1000000",Holidays!A:A)+hour(AJ719+AS$5-$B$1)/24+minute(AJ719)/1440),"")</f>
        <v/>
      </c>
      <c r="AT719" s="64" t="str">
        <f t="shared" si="21"/>
        <v/>
      </c>
      <c r="AV719" s="66" t="str">
        <f t="shared" si="25"/>
        <v/>
      </c>
      <c r="AW719" s="66"/>
      <c r="AX719" s="56"/>
    </row>
    <row r="720">
      <c r="A720" s="55">
        <v>45936.6975241551</v>
      </c>
      <c r="B720" s="56"/>
      <c r="C720" s="57"/>
      <c r="D720" s="57"/>
      <c r="E720" s="57"/>
      <c r="F720" s="57"/>
      <c r="G720" s="58">
        <f>if(A720,_xlfn.workday.intl(int(A720),1,"1000000",Holidays!A:A)+17/24,"")</f>
        <v>45937.70833</v>
      </c>
      <c r="H720" s="59" t="str">
        <f t="shared" si="23"/>
        <v/>
      </c>
      <c r="I720" s="60"/>
      <c r="J720" s="61">
        <f t="shared" si="2"/>
        <v>196.2755766</v>
      </c>
      <c r="K720" s="58">
        <f>if(G720,_xlfn.workday.intl(int(G720),0,"1000000",Holidays!A:A)+19/24,"")</f>
        <v>45937.79167</v>
      </c>
      <c r="L720" s="59" t="str">
        <f t="shared" si="3"/>
        <v/>
      </c>
      <c r="M720" s="60"/>
      <c r="N720" s="61">
        <f t="shared" si="4"/>
        <v>196.1922432</v>
      </c>
      <c r="O720" s="63">
        <f>if(A720,_xlfn.WORKDAY.INTL(A720,O$5,"1000000",Holidays!A:A)+hour(A720)/24+MINUTE(A720)/1440,"")</f>
        <v>45937.69722</v>
      </c>
      <c r="P720" s="64" t="s">
        <v>2718</v>
      </c>
      <c r="R720" s="66">
        <f t="shared" si="5"/>
        <v>196.2866877</v>
      </c>
      <c r="S720" s="66"/>
      <c r="T720" s="66"/>
      <c r="U720" s="64">
        <f>if(O720,_xlfn.WORKDAY.INTL(O720,U$5,"1000000",Holidays!A:A)+hour(O720)/24+MINUTE(O720)/1440,"")</f>
        <v>45938.69722</v>
      </c>
      <c r="V720" s="64" t="str">
        <f t="shared" si="6"/>
        <v/>
      </c>
      <c r="W720" s="66"/>
      <c r="X720" s="66">
        <f t="shared" si="7"/>
        <v>195.2866877</v>
      </c>
      <c r="Y720" s="66"/>
      <c r="Z720" s="66"/>
      <c r="AA720" s="66"/>
      <c r="AB720" s="63"/>
      <c r="AC720" s="63"/>
      <c r="AD720" s="63"/>
      <c r="AE720" s="63"/>
      <c r="AF720" s="63"/>
      <c r="AG720" s="63"/>
      <c r="AH720" s="63" t="str">
        <f t="shared" si="14"/>
        <v/>
      </c>
      <c r="AI720" s="63" t="str">
        <f>if(AH720,_xlfn.workday.intl(int(AH720),0,"1000000",Holidays!A:A)+18/24,"")</f>
        <v/>
      </c>
      <c r="AJ720" s="64" t="str">
        <f t="shared" si="24"/>
        <v/>
      </c>
      <c r="AL720" s="66" t="str">
        <f t="shared" si="9"/>
        <v/>
      </c>
      <c r="AM720" s="66"/>
      <c r="AN720" s="63" t="str">
        <f>if(AJ720,if(and(hour(AJ720+AN$5)&gt;11,(hour(AJ720+AN$5)&lt;20)),AJ720+AN$5,_xlfn.workday.intl(int(AJ720),1,"1000000",Holidays!A:A)+hour(AJ720+AN$5-$B$1)/24+minute(AJ720)/1440),"")</f>
        <v/>
      </c>
      <c r="AO720" s="64" t="str">
        <f t="shared" si="15"/>
        <v/>
      </c>
      <c r="AQ720" s="66" t="str">
        <f t="shared" si="16"/>
        <v/>
      </c>
      <c r="AR720" s="66"/>
      <c r="AS720" s="63" t="str">
        <f>if(AJ720,if(and(hour(AJ720+AS$5)&gt;11,(hour(AJ720+AS$5)&lt;20)),AJ720+AS$5,_xlfn.workday.intl(int(AJ720),1,"1000000",Holidays!A:A)+hour(AJ720+AS$5-$B$1)/24+minute(AJ720)/1440),"")</f>
        <v/>
      </c>
      <c r="AT720" s="64" t="str">
        <f t="shared" si="21"/>
        <v/>
      </c>
      <c r="AV720" s="66" t="str">
        <f t="shared" si="25"/>
        <v/>
      </c>
      <c r="AW720" s="66"/>
      <c r="AX720" s="56"/>
    </row>
    <row r="721">
      <c r="A721" s="55">
        <v>45936.70209178241</v>
      </c>
      <c r="B721" s="56"/>
      <c r="C721" s="57"/>
      <c r="D721" s="57"/>
      <c r="E721" s="57"/>
      <c r="F721" s="57"/>
      <c r="G721" s="58">
        <f>if(A721,_xlfn.workday.intl(int(A721),1,"1000000",Holidays!A:A)+17/24,"")</f>
        <v>45937.70833</v>
      </c>
      <c r="H721" s="59" t="str">
        <f t="shared" si="23"/>
        <v/>
      </c>
      <c r="I721" s="60"/>
      <c r="J721" s="61">
        <f t="shared" si="2"/>
        <v>196.2755766</v>
      </c>
      <c r="K721" s="58">
        <f>if(G721,_xlfn.workday.intl(int(G721),0,"1000000",Holidays!A:A)+19/24,"")</f>
        <v>45937.79167</v>
      </c>
      <c r="L721" s="59" t="str">
        <f t="shared" si="3"/>
        <v/>
      </c>
      <c r="M721" s="60"/>
      <c r="N721" s="61">
        <f t="shared" si="4"/>
        <v>196.1922432</v>
      </c>
      <c r="O721" s="63">
        <f>if(A721,_xlfn.WORKDAY.INTL(A721,O$5,"1000000",Holidays!A:A)+hour(A721)/24+MINUTE(A721)/1440,"")</f>
        <v>45937.70208</v>
      </c>
      <c r="P721" s="64" t="s">
        <v>2718</v>
      </c>
      <c r="R721" s="66">
        <f t="shared" si="5"/>
        <v>196.2818266</v>
      </c>
      <c r="S721" s="66"/>
      <c r="T721" s="66"/>
      <c r="U721" s="64">
        <f>if(O721,_xlfn.WORKDAY.INTL(O721,U$5,"1000000",Holidays!A:A)+hour(O721)/24+MINUTE(O721)/1440,"")</f>
        <v>45938.70208</v>
      </c>
      <c r="V721" s="64" t="str">
        <f t="shared" si="6"/>
        <v/>
      </c>
      <c r="W721" s="66"/>
      <c r="X721" s="66">
        <f t="shared" si="7"/>
        <v>195.2818266</v>
      </c>
      <c r="Y721" s="66"/>
      <c r="Z721" s="66"/>
      <c r="AA721" s="66"/>
      <c r="AB721" s="63"/>
      <c r="AC721" s="63"/>
      <c r="AD721" s="63"/>
      <c r="AE721" s="63"/>
      <c r="AF721" s="63"/>
      <c r="AG721" s="63"/>
      <c r="AH721" s="63" t="str">
        <f t="shared" si="14"/>
        <v/>
      </c>
      <c r="AI721" s="63" t="str">
        <f>if(AH721,_xlfn.workday.intl(int(AH721),0,"1000000",Holidays!A:A)+18/24,"")</f>
        <v/>
      </c>
      <c r="AJ721" s="64" t="str">
        <f t="shared" si="24"/>
        <v/>
      </c>
      <c r="AL721" s="66" t="str">
        <f t="shared" si="9"/>
        <v/>
      </c>
      <c r="AM721" s="66"/>
      <c r="AN721" s="63" t="str">
        <f>if(AJ721,if(and(hour(AJ721+AN$5)&gt;11,(hour(AJ721+AN$5)&lt;20)),AJ721+AN$5,_xlfn.workday.intl(int(AJ721),1,"1000000",Holidays!A:A)+hour(AJ721+AN$5-$B$1)/24+minute(AJ721)/1440),"")</f>
        <v/>
      </c>
      <c r="AO721" s="64" t="str">
        <f t="shared" si="15"/>
        <v/>
      </c>
      <c r="AQ721" s="66" t="str">
        <f t="shared" si="16"/>
        <v/>
      </c>
      <c r="AR721" s="66"/>
      <c r="AS721" s="63" t="str">
        <f>if(AJ721,if(and(hour(AJ721+AS$5)&gt;11,(hour(AJ721+AS$5)&lt;20)),AJ721+AS$5,_xlfn.workday.intl(int(AJ721),1,"1000000",Holidays!A:A)+hour(AJ721+AS$5-$B$1)/24+minute(AJ721)/1440),"")</f>
        <v/>
      </c>
      <c r="AT721" s="64" t="str">
        <f t="shared" si="21"/>
        <v/>
      </c>
      <c r="AV721" s="66" t="str">
        <f t="shared" si="25"/>
        <v/>
      </c>
      <c r="AW721" s="66"/>
      <c r="AX721" s="56"/>
    </row>
    <row r="722">
      <c r="A722" s="55">
        <v>45937.6595540625</v>
      </c>
      <c r="B722" s="56"/>
      <c r="C722" s="57"/>
      <c r="D722" s="57"/>
      <c r="E722" s="57"/>
      <c r="F722" s="57"/>
      <c r="G722" s="58">
        <f>if(A722,_xlfn.workday.intl(int(A722),1,"1000000",Holidays!A:A)+17/24,"")</f>
        <v>45938.70833</v>
      </c>
      <c r="H722" s="59" t="str">
        <f t="shared" si="23"/>
        <v/>
      </c>
      <c r="I722" s="60"/>
      <c r="J722" s="61">
        <f t="shared" si="2"/>
        <v>195.2755766</v>
      </c>
      <c r="K722" s="58">
        <f>if(G722,_xlfn.workday.intl(int(G722),0,"1000000",Holidays!A:A)+19/24,"")</f>
        <v>45938.79167</v>
      </c>
      <c r="L722" s="59" t="str">
        <f t="shared" si="3"/>
        <v/>
      </c>
      <c r="M722" s="60"/>
      <c r="N722" s="61">
        <f t="shared" si="4"/>
        <v>195.1922432</v>
      </c>
      <c r="O722" s="63">
        <f>if(A722,_xlfn.WORKDAY.INTL(A722,O$5,"1000000",Holidays!A:A)+hour(A722)/24+MINUTE(A722)/1440,"")</f>
        <v>45938.65903</v>
      </c>
      <c r="P722" s="64" t="s">
        <v>2718</v>
      </c>
      <c r="R722" s="66">
        <f t="shared" si="5"/>
        <v>195.3248821</v>
      </c>
      <c r="S722" s="66"/>
      <c r="T722" s="66"/>
      <c r="U722" s="64">
        <f>if(O722,_xlfn.WORKDAY.INTL(O722,U$5,"1000000",Holidays!A:A)+hour(O722)/24+MINUTE(O722)/1440,"")</f>
        <v>45939.65903</v>
      </c>
      <c r="V722" s="64" t="str">
        <f t="shared" si="6"/>
        <v/>
      </c>
      <c r="W722" s="66"/>
      <c r="X722" s="66">
        <f t="shared" si="7"/>
        <v>194.3248821</v>
      </c>
      <c r="Y722" s="66"/>
      <c r="Z722" s="66"/>
      <c r="AA722" s="66"/>
      <c r="AB722" s="63"/>
      <c r="AC722" s="63"/>
      <c r="AD722" s="63"/>
      <c r="AE722" s="63"/>
      <c r="AF722" s="63"/>
      <c r="AG722" s="63"/>
      <c r="AH722" s="63" t="str">
        <f t="shared" si="14"/>
        <v/>
      </c>
      <c r="AI722" s="63" t="str">
        <f>if(AH722,_xlfn.workday.intl(int(AH722),0,"1000000",Holidays!A:A)+18/24,"")</f>
        <v/>
      </c>
      <c r="AJ722" s="64" t="str">
        <f t="shared" si="24"/>
        <v/>
      </c>
      <c r="AL722" s="66" t="str">
        <f t="shared" si="9"/>
        <v/>
      </c>
      <c r="AM722" s="66"/>
      <c r="AN722" s="63" t="str">
        <f>if(AJ722,if(and(hour(AJ722+AN$5)&gt;11,(hour(AJ722+AN$5)&lt;20)),AJ722+AN$5,_xlfn.workday.intl(int(AJ722),1,"1000000",Holidays!A:A)+hour(AJ722+AN$5-$B$1)/24+minute(AJ722)/1440),"")</f>
        <v/>
      </c>
      <c r="AO722" s="64" t="str">
        <f t="shared" si="15"/>
        <v/>
      </c>
      <c r="AQ722" s="66" t="str">
        <f t="shared" si="16"/>
        <v/>
      </c>
      <c r="AR722" s="66"/>
      <c r="AS722" s="63" t="str">
        <f>if(AJ722,if(and(hour(AJ722+AS$5)&gt;11,(hour(AJ722+AS$5)&lt;20)),AJ722+AS$5,_xlfn.workday.intl(int(AJ722),1,"1000000",Holidays!A:A)+hour(AJ722+AS$5-$B$1)/24+minute(AJ722)/1440),"")</f>
        <v/>
      </c>
      <c r="AT722" s="64" t="str">
        <f t="shared" si="21"/>
        <v/>
      </c>
      <c r="AV722" s="66" t="str">
        <f t="shared" si="25"/>
        <v/>
      </c>
      <c r="AW722" s="66"/>
      <c r="AX722" s="56"/>
    </row>
    <row r="723">
      <c r="A723" s="55">
        <v>45937.71661416667</v>
      </c>
      <c r="B723" s="56"/>
      <c r="C723" s="57"/>
      <c r="D723" s="57"/>
      <c r="E723" s="57"/>
      <c r="F723" s="57"/>
      <c r="G723" s="58">
        <f>if(A723,_xlfn.workday.intl(int(A723),1,"1000000",Holidays!A:A)+17/24,"")</f>
        <v>45938.70833</v>
      </c>
      <c r="H723" s="59" t="str">
        <f t="shared" si="23"/>
        <v/>
      </c>
      <c r="I723" s="60"/>
      <c r="J723" s="61">
        <f t="shared" si="2"/>
        <v>195.2755766</v>
      </c>
      <c r="K723" s="58">
        <f>if(G723,_xlfn.workday.intl(int(G723),0,"1000000",Holidays!A:A)+19/24,"")</f>
        <v>45938.79167</v>
      </c>
      <c r="L723" s="59" t="str">
        <f t="shared" si="3"/>
        <v/>
      </c>
      <c r="M723" s="60"/>
      <c r="N723" s="61">
        <f t="shared" si="4"/>
        <v>195.1922432</v>
      </c>
      <c r="O723" s="63">
        <f>if(A723,_xlfn.WORKDAY.INTL(A723,O$5,"1000000",Holidays!A:A)+hour(A723)/24+MINUTE(A723)/1440,"")</f>
        <v>45938.71597</v>
      </c>
      <c r="P723" s="64" t="s">
        <v>2718</v>
      </c>
      <c r="R723" s="66">
        <f t="shared" si="5"/>
        <v>195.2679377</v>
      </c>
      <c r="S723" s="66"/>
      <c r="T723" s="66"/>
      <c r="U723" s="64">
        <f>if(O723,_xlfn.WORKDAY.INTL(O723,U$5,"1000000",Holidays!A:A)+hour(O723)/24+MINUTE(O723)/1440,"")</f>
        <v>45939.71597</v>
      </c>
      <c r="V723" s="64" t="str">
        <f t="shared" si="6"/>
        <v/>
      </c>
      <c r="W723" s="66"/>
      <c r="X723" s="66">
        <f t="shared" si="7"/>
        <v>194.2679377</v>
      </c>
      <c r="Y723" s="66"/>
      <c r="Z723" s="66"/>
      <c r="AA723" s="66"/>
      <c r="AB723" s="63"/>
      <c r="AC723" s="63"/>
      <c r="AD723" s="63"/>
      <c r="AE723" s="63"/>
      <c r="AF723" s="63"/>
      <c r="AG723" s="63"/>
      <c r="AH723" s="63" t="str">
        <f t="shared" si="14"/>
        <v/>
      </c>
      <c r="AI723" s="63" t="str">
        <f>if(AH723,_xlfn.workday.intl(int(AH723),0,"1000000",Holidays!A:A)+18/24,"")</f>
        <v/>
      </c>
      <c r="AJ723" s="64" t="str">
        <f t="shared" si="24"/>
        <v/>
      </c>
      <c r="AL723" s="66" t="str">
        <f t="shared" si="9"/>
        <v/>
      </c>
      <c r="AM723" s="66"/>
      <c r="AN723" s="63" t="str">
        <f>if(AJ723,if(and(hour(AJ723+AN$5)&gt;11,(hour(AJ723+AN$5)&lt;20)),AJ723+AN$5,_xlfn.workday.intl(int(AJ723),1,"1000000",Holidays!A:A)+hour(AJ723+AN$5-$B$1)/24+minute(AJ723)/1440),"")</f>
        <v/>
      </c>
      <c r="AO723" s="64" t="str">
        <f t="shared" si="15"/>
        <v/>
      </c>
      <c r="AQ723" s="66" t="str">
        <f t="shared" si="16"/>
        <v/>
      </c>
      <c r="AR723" s="66"/>
      <c r="AS723" s="63" t="str">
        <f>if(AJ723,if(and(hour(AJ723+AS$5)&gt;11,(hour(AJ723+AS$5)&lt;20)),AJ723+AS$5,_xlfn.workday.intl(int(AJ723),1,"1000000",Holidays!A:A)+hour(AJ723+AS$5-$B$1)/24+minute(AJ723)/1440),"")</f>
        <v/>
      </c>
      <c r="AT723" s="64" t="str">
        <f t="shared" si="21"/>
        <v/>
      </c>
      <c r="AV723" s="66" t="str">
        <f t="shared" si="25"/>
        <v/>
      </c>
      <c r="AW723" s="66"/>
      <c r="AX723" s="56"/>
    </row>
    <row r="724">
      <c r="A724" s="55">
        <v>45940.61953866898</v>
      </c>
      <c r="B724" s="56"/>
      <c r="C724" s="57"/>
      <c r="D724" s="57"/>
      <c r="E724" s="57"/>
      <c r="F724" s="57"/>
      <c r="G724" s="58">
        <f>if(A724,_xlfn.workday.intl(int(A724),1,"1000000",Holidays!A:A)+17/24,"")</f>
        <v>45941.70833</v>
      </c>
      <c r="H724" s="59" t="str">
        <f t="shared" si="23"/>
        <v/>
      </c>
      <c r="I724" s="60"/>
      <c r="J724" s="61">
        <f t="shared" si="2"/>
        <v>192.2755766</v>
      </c>
      <c r="K724" s="58">
        <f>if(G724,_xlfn.workday.intl(int(G724),0,"1000000",Holidays!A:A)+19/24,"")</f>
        <v>45941.79167</v>
      </c>
      <c r="L724" s="59" t="str">
        <f t="shared" si="3"/>
        <v/>
      </c>
      <c r="M724" s="60"/>
      <c r="N724" s="61">
        <f t="shared" si="4"/>
        <v>192.1922432</v>
      </c>
      <c r="O724" s="63">
        <f>if(A724,_xlfn.WORKDAY.INTL(A724,O$5,"1000000",Holidays!A:A)+hour(A724)/24+MINUTE(A724)/1440,"")</f>
        <v>45941.61944</v>
      </c>
      <c r="P724" s="64" t="s">
        <v>2718</v>
      </c>
      <c r="R724" s="66">
        <f t="shared" si="5"/>
        <v>192.3644655</v>
      </c>
      <c r="S724" s="66"/>
      <c r="T724" s="66"/>
      <c r="U724" s="64">
        <f>if(O724,_xlfn.WORKDAY.INTL(O724,U$5,"1000000",Holidays!A:A)+hour(O724)/24+MINUTE(O724)/1440,"")</f>
        <v>45942.61944</v>
      </c>
      <c r="V724" s="64" t="str">
        <f t="shared" si="6"/>
        <v/>
      </c>
      <c r="W724" s="66"/>
      <c r="X724" s="66">
        <f t="shared" si="7"/>
        <v>191.3644655</v>
      </c>
      <c r="Y724" s="66"/>
      <c r="Z724" s="66"/>
      <c r="AA724" s="66"/>
      <c r="AB724" s="63"/>
      <c r="AC724" s="63"/>
      <c r="AD724" s="63"/>
      <c r="AE724" s="63"/>
      <c r="AF724" s="63"/>
      <c r="AG724" s="63"/>
      <c r="AH724" s="63" t="str">
        <f t="shared" si="14"/>
        <v/>
      </c>
      <c r="AI724" s="63" t="str">
        <f>if(AH724,_xlfn.workday.intl(int(AH724),0,"1000000",Holidays!A:A)+18/24,"")</f>
        <v/>
      </c>
      <c r="AJ724" s="64" t="str">
        <f t="shared" si="24"/>
        <v/>
      </c>
      <c r="AL724" s="66" t="str">
        <f t="shared" si="9"/>
        <v/>
      </c>
      <c r="AM724" s="66"/>
      <c r="AN724" s="63" t="str">
        <f>if(AJ724,if(and(hour(AJ724+AN$5)&gt;11,(hour(AJ724+AN$5)&lt;20)),AJ724+AN$5,_xlfn.workday.intl(int(AJ724),1,"1000000",Holidays!A:A)+hour(AJ724+AN$5-$B$1)/24+minute(AJ724)/1440),"")</f>
        <v/>
      </c>
      <c r="AO724" s="64" t="str">
        <f t="shared" si="15"/>
        <v/>
      </c>
      <c r="AQ724" s="66" t="str">
        <f t="shared" si="16"/>
        <v/>
      </c>
      <c r="AR724" s="66"/>
      <c r="AS724" s="63" t="str">
        <f>if(AJ724,if(and(hour(AJ724+AS$5)&gt;11,(hour(AJ724+AS$5)&lt;20)),AJ724+AS$5,_xlfn.workday.intl(int(AJ724),1,"1000000",Holidays!A:A)+hour(AJ724+AS$5-$B$1)/24+minute(AJ724)/1440),"")</f>
        <v/>
      </c>
      <c r="AT724" s="64" t="str">
        <f t="shared" si="21"/>
        <v/>
      </c>
      <c r="AV724" s="66" t="str">
        <f t="shared" si="25"/>
        <v/>
      </c>
      <c r="AW724" s="66"/>
      <c r="AX724" s="56"/>
    </row>
    <row r="725">
      <c r="A725" s="55">
        <v>45940.62148153935</v>
      </c>
      <c r="B725" s="56"/>
      <c r="C725" s="57"/>
      <c r="D725" s="57"/>
      <c r="E725" s="57"/>
      <c r="F725" s="57"/>
      <c r="G725" s="58">
        <f>if(A725,_xlfn.workday.intl(int(A725),1,"1000000",Holidays!A:A)+17/24,"")</f>
        <v>45941.70833</v>
      </c>
      <c r="H725" s="59" t="str">
        <f t="shared" si="23"/>
        <v/>
      </c>
      <c r="I725" s="60"/>
      <c r="J725" s="61">
        <f t="shared" si="2"/>
        <v>192.2755766</v>
      </c>
      <c r="K725" s="58">
        <f>if(G725,_xlfn.workday.intl(int(G725),0,"1000000",Holidays!A:A)+19/24,"")</f>
        <v>45941.79167</v>
      </c>
      <c r="L725" s="59" t="str">
        <f t="shared" si="3"/>
        <v/>
      </c>
      <c r="M725" s="60"/>
      <c r="N725" s="61">
        <f t="shared" si="4"/>
        <v>192.1922432</v>
      </c>
      <c r="O725" s="63">
        <f>if(A725,_xlfn.WORKDAY.INTL(A725,O$5,"1000000",Holidays!A:A)+hour(A725)/24+MINUTE(A725)/1440,"")</f>
        <v>45941.62083</v>
      </c>
      <c r="P725" s="64" t="s">
        <v>2718</v>
      </c>
      <c r="R725" s="66">
        <f t="shared" si="5"/>
        <v>192.3630766</v>
      </c>
      <c r="S725" s="66"/>
      <c r="T725" s="66"/>
      <c r="U725" s="64">
        <f>if(O725,_xlfn.WORKDAY.INTL(O725,U$5,"1000000",Holidays!A:A)+hour(O725)/24+MINUTE(O725)/1440,"")</f>
        <v>45942.62083</v>
      </c>
      <c r="V725" s="64" t="str">
        <f t="shared" si="6"/>
        <v/>
      </c>
      <c r="W725" s="66"/>
      <c r="X725" s="66">
        <f t="shared" si="7"/>
        <v>191.3630766</v>
      </c>
      <c r="Y725" s="66"/>
      <c r="Z725" s="66"/>
      <c r="AA725" s="66"/>
      <c r="AB725" s="63"/>
      <c r="AC725" s="63"/>
      <c r="AD725" s="63"/>
      <c r="AE725" s="63"/>
      <c r="AF725" s="63"/>
      <c r="AG725" s="63"/>
      <c r="AH725" s="63" t="str">
        <f t="shared" si="14"/>
        <v/>
      </c>
      <c r="AI725" s="63" t="str">
        <f>if(AH725,_xlfn.workday.intl(int(AH725),0,"1000000",Holidays!A:A)+18/24,"")</f>
        <v/>
      </c>
      <c r="AJ725" s="64" t="str">
        <f t="shared" si="24"/>
        <v/>
      </c>
      <c r="AL725" s="66" t="str">
        <f t="shared" si="9"/>
        <v/>
      </c>
      <c r="AM725" s="66"/>
      <c r="AN725" s="63" t="str">
        <f>if(AJ725,if(and(hour(AJ725+AN$5)&gt;11,(hour(AJ725+AN$5)&lt;20)),AJ725+AN$5,_xlfn.workday.intl(int(AJ725),1,"1000000",Holidays!A:A)+hour(AJ725+AN$5-$B$1)/24+minute(AJ725)/1440),"")</f>
        <v/>
      </c>
      <c r="AO725" s="64" t="str">
        <f t="shared" si="15"/>
        <v/>
      </c>
      <c r="AQ725" s="66" t="str">
        <f t="shared" si="16"/>
        <v/>
      </c>
      <c r="AR725" s="66"/>
      <c r="AS725" s="63" t="str">
        <f>if(AJ725,if(and(hour(AJ725+AS$5)&gt;11,(hour(AJ725+AS$5)&lt;20)),AJ725+AS$5,_xlfn.workday.intl(int(AJ725),1,"1000000",Holidays!A:A)+hour(AJ725+AS$5-$B$1)/24+minute(AJ725)/1440),"")</f>
        <v/>
      </c>
      <c r="AT725" s="64" t="str">
        <f t="shared" si="21"/>
        <v/>
      </c>
      <c r="AV725" s="66" t="str">
        <f t="shared" si="25"/>
        <v/>
      </c>
      <c r="AW725" s="66"/>
      <c r="AX725" s="56"/>
    </row>
    <row r="726">
      <c r="A726" s="55">
        <v>45940.623434375</v>
      </c>
      <c r="B726" s="56"/>
      <c r="C726" s="57"/>
      <c r="D726" s="57"/>
      <c r="E726" s="57"/>
      <c r="F726" s="57"/>
      <c r="G726" s="58">
        <f>if(A726,_xlfn.workday.intl(int(A726),1,"1000000",Holidays!A:A)+17/24,"")</f>
        <v>45941.70833</v>
      </c>
      <c r="H726" s="59" t="str">
        <f t="shared" si="23"/>
        <v/>
      </c>
      <c r="I726" s="60"/>
      <c r="J726" s="61">
        <f t="shared" si="2"/>
        <v>192.2755766</v>
      </c>
      <c r="K726" s="58">
        <f>if(G726,_xlfn.workday.intl(int(G726),0,"1000000",Holidays!A:A)+19/24,"")</f>
        <v>45941.79167</v>
      </c>
      <c r="L726" s="59" t="str">
        <f t="shared" si="3"/>
        <v/>
      </c>
      <c r="M726" s="60"/>
      <c r="N726" s="61">
        <f t="shared" si="4"/>
        <v>192.1922432</v>
      </c>
      <c r="O726" s="63">
        <f>if(A726,_xlfn.WORKDAY.INTL(A726,O$5,"1000000",Holidays!A:A)+hour(A726)/24+MINUTE(A726)/1440,"")</f>
        <v>45941.62292</v>
      </c>
      <c r="P726" s="64" t="s">
        <v>2718</v>
      </c>
      <c r="R726" s="66">
        <f t="shared" si="5"/>
        <v>192.3609932</v>
      </c>
      <c r="S726" s="66"/>
      <c r="T726" s="66"/>
      <c r="U726" s="64">
        <f>if(O726,_xlfn.WORKDAY.INTL(O726,U$5,"1000000",Holidays!A:A)+hour(O726)/24+MINUTE(O726)/1440,"")</f>
        <v>45942.62292</v>
      </c>
      <c r="V726" s="64" t="str">
        <f t="shared" si="6"/>
        <v/>
      </c>
      <c r="W726" s="66"/>
      <c r="X726" s="66">
        <f t="shared" si="7"/>
        <v>191.3609932</v>
      </c>
      <c r="Y726" s="66"/>
      <c r="Z726" s="66"/>
      <c r="AA726" s="66"/>
      <c r="AB726" s="63"/>
      <c r="AC726" s="63"/>
      <c r="AD726" s="63"/>
      <c r="AE726" s="63"/>
      <c r="AF726" s="63"/>
      <c r="AG726" s="63"/>
      <c r="AH726" s="63" t="str">
        <f t="shared" si="14"/>
        <v/>
      </c>
      <c r="AI726" s="63" t="str">
        <f>if(AH726,_xlfn.workday.intl(int(AH726),0,"1000000",Holidays!A:A)+18/24,"")</f>
        <v/>
      </c>
      <c r="AJ726" s="64" t="str">
        <f t="shared" si="24"/>
        <v/>
      </c>
      <c r="AL726" s="66" t="str">
        <f t="shared" si="9"/>
        <v/>
      </c>
      <c r="AM726" s="66"/>
      <c r="AN726" s="63" t="str">
        <f>if(AJ726,if(and(hour(AJ726+AN$5)&gt;11,(hour(AJ726+AN$5)&lt;20)),AJ726+AN$5,_xlfn.workday.intl(int(AJ726),1,"1000000",Holidays!A:A)+hour(AJ726+AN$5-$B$1)/24+minute(AJ726)/1440),"")</f>
        <v/>
      </c>
      <c r="AO726" s="64" t="str">
        <f t="shared" si="15"/>
        <v/>
      </c>
      <c r="AQ726" s="66" t="str">
        <f t="shared" si="16"/>
        <v/>
      </c>
      <c r="AR726" s="66"/>
      <c r="AS726" s="63" t="str">
        <f>if(AJ726,if(and(hour(AJ726+AS$5)&gt;11,(hour(AJ726+AS$5)&lt;20)),AJ726+AS$5,_xlfn.workday.intl(int(AJ726),1,"1000000",Holidays!A:A)+hour(AJ726+AS$5-$B$1)/24+minute(AJ726)/1440),"")</f>
        <v/>
      </c>
      <c r="AT726" s="64" t="str">
        <f t="shared" si="21"/>
        <v/>
      </c>
      <c r="AV726" s="66" t="str">
        <f t="shared" si="25"/>
        <v/>
      </c>
      <c r="AW726" s="66"/>
      <c r="AX726" s="56"/>
    </row>
    <row r="727">
      <c r="A727" s="55">
        <v>45940.62748594907</v>
      </c>
      <c r="B727" s="56"/>
      <c r="C727" s="57"/>
      <c r="D727" s="57"/>
      <c r="E727" s="57"/>
      <c r="F727" s="57"/>
      <c r="G727" s="58">
        <f>if(A727,_xlfn.workday.intl(int(A727),1,"1000000",Holidays!A:A)+17/24,"")</f>
        <v>45941.70833</v>
      </c>
      <c r="H727" s="59" t="str">
        <f t="shared" si="23"/>
        <v/>
      </c>
      <c r="I727" s="60"/>
      <c r="J727" s="61">
        <f t="shared" si="2"/>
        <v>192.2755766</v>
      </c>
      <c r="K727" s="58">
        <f>if(G727,_xlfn.workday.intl(int(G727),0,"1000000",Holidays!A:A)+19/24,"")</f>
        <v>45941.79167</v>
      </c>
      <c r="L727" s="59" t="str">
        <f t="shared" si="3"/>
        <v/>
      </c>
      <c r="M727" s="60"/>
      <c r="N727" s="61">
        <f t="shared" si="4"/>
        <v>192.1922432</v>
      </c>
      <c r="O727" s="63">
        <f>if(A727,_xlfn.WORKDAY.INTL(A727,O$5,"1000000",Holidays!A:A)+hour(A727)/24+MINUTE(A727)/1440,"")</f>
        <v>45941.62708</v>
      </c>
      <c r="P727" s="64" t="s">
        <v>2718</v>
      </c>
      <c r="R727" s="66">
        <f t="shared" si="5"/>
        <v>192.3568266</v>
      </c>
      <c r="S727" s="66"/>
      <c r="T727" s="66"/>
      <c r="U727" s="64">
        <f>if(O727,_xlfn.WORKDAY.INTL(O727,U$5,"1000000",Holidays!A:A)+hour(O727)/24+MINUTE(O727)/1440,"")</f>
        <v>45942.62708</v>
      </c>
      <c r="V727" s="64" t="str">
        <f t="shared" si="6"/>
        <v/>
      </c>
      <c r="W727" s="66"/>
      <c r="X727" s="66">
        <f t="shared" si="7"/>
        <v>191.3568266</v>
      </c>
      <c r="Y727" s="66"/>
      <c r="Z727" s="66"/>
      <c r="AA727" s="66"/>
      <c r="AB727" s="63"/>
      <c r="AC727" s="63"/>
      <c r="AD727" s="63"/>
      <c r="AE727" s="63"/>
      <c r="AF727" s="63"/>
      <c r="AG727" s="63"/>
      <c r="AH727" s="63" t="str">
        <f t="shared" si="14"/>
        <v/>
      </c>
      <c r="AI727" s="63" t="str">
        <f>if(AH727,_xlfn.workday.intl(int(AH727),0,"1000000",Holidays!A:A)+18/24,"")</f>
        <v/>
      </c>
      <c r="AJ727" s="64" t="str">
        <f t="shared" si="24"/>
        <v/>
      </c>
      <c r="AL727" s="66" t="str">
        <f t="shared" si="9"/>
        <v/>
      </c>
      <c r="AM727" s="66"/>
      <c r="AN727" s="63" t="str">
        <f>if(AJ727,if(and(hour(AJ727+AN$5)&gt;11,(hour(AJ727+AN$5)&lt;20)),AJ727+AN$5,_xlfn.workday.intl(int(AJ727),1,"1000000",Holidays!A:A)+hour(AJ727+AN$5-$B$1)/24+minute(AJ727)/1440),"")</f>
        <v/>
      </c>
      <c r="AO727" s="64" t="str">
        <f t="shared" si="15"/>
        <v/>
      </c>
      <c r="AQ727" s="66" t="str">
        <f t="shared" si="16"/>
        <v/>
      </c>
      <c r="AR727" s="66"/>
      <c r="AS727" s="63" t="str">
        <f>if(AJ727,if(and(hour(AJ727+AS$5)&gt;11,(hour(AJ727+AS$5)&lt;20)),AJ727+AS$5,_xlfn.workday.intl(int(AJ727),1,"1000000",Holidays!A:A)+hour(AJ727+AS$5-$B$1)/24+minute(AJ727)/1440),"")</f>
        <v/>
      </c>
      <c r="AT727" s="64" t="str">
        <f t="shared" si="21"/>
        <v/>
      </c>
      <c r="AV727" s="66" t="str">
        <f t="shared" si="25"/>
        <v/>
      </c>
      <c r="AW727" s="66"/>
      <c r="AX727" s="56"/>
    </row>
    <row r="728">
      <c r="A728" s="55">
        <v>45943.50451518518</v>
      </c>
      <c r="B728" s="56"/>
      <c r="C728" s="57"/>
      <c r="D728" s="57"/>
      <c r="E728" s="57"/>
      <c r="F728" s="57"/>
      <c r="G728" s="58">
        <f>if(A728,_xlfn.workday.intl(int(A728),1,"1000000",Holidays!A:A)+17/24,"")</f>
        <v>45944.70833</v>
      </c>
      <c r="H728" s="59" t="str">
        <f t="shared" si="23"/>
        <v/>
      </c>
      <c r="I728" s="60"/>
      <c r="J728" s="61">
        <f t="shared" si="2"/>
        <v>189.2755766</v>
      </c>
      <c r="K728" s="58">
        <f>if(G728,_xlfn.workday.intl(int(G728),0,"1000000",Holidays!A:A)+19/24,"")</f>
        <v>45944.79167</v>
      </c>
      <c r="L728" s="59" t="str">
        <f t="shared" si="3"/>
        <v/>
      </c>
      <c r="M728" s="60"/>
      <c r="N728" s="61">
        <f t="shared" si="4"/>
        <v>189.1922432</v>
      </c>
      <c r="O728" s="63">
        <f>if(A728,_xlfn.WORKDAY.INTL(A728,O$5,"1000000",Holidays!A:A)+hour(A728)/24+MINUTE(A728)/1440,"")</f>
        <v>45944.50417</v>
      </c>
      <c r="P728" s="64" t="s">
        <v>2718</v>
      </c>
      <c r="R728" s="66">
        <f t="shared" si="5"/>
        <v>189.4797432</v>
      </c>
      <c r="S728" s="66"/>
      <c r="T728" s="66"/>
      <c r="U728" s="64">
        <f>if(O728,_xlfn.WORKDAY.INTL(O728,U$5,"1000000",Holidays!A:A)+hour(O728)/24+MINUTE(O728)/1440,"")</f>
        <v>45945.50417</v>
      </c>
      <c r="V728" s="64" t="str">
        <f t="shared" si="6"/>
        <v/>
      </c>
      <c r="W728" s="66"/>
      <c r="X728" s="66">
        <f t="shared" si="7"/>
        <v>188.4797432</v>
      </c>
      <c r="Y728" s="66"/>
      <c r="Z728" s="66"/>
      <c r="AA728" s="66"/>
      <c r="AB728" s="63"/>
      <c r="AC728" s="63"/>
      <c r="AD728" s="63"/>
      <c r="AE728" s="63"/>
      <c r="AF728" s="63"/>
      <c r="AG728" s="63"/>
      <c r="AH728" s="63" t="str">
        <f t="shared" si="14"/>
        <v/>
      </c>
      <c r="AI728" s="63" t="str">
        <f>if(AH728,_xlfn.workday.intl(int(AH728),0,"1000000",Holidays!A:A)+18/24,"")</f>
        <v/>
      </c>
      <c r="AJ728" s="64" t="str">
        <f t="shared" si="24"/>
        <v/>
      </c>
      <c r="AL728" s="66" t="str">
        <f t="shared" si="9"/>
        <v/>
      </c>
      <c r="AM728" s="66"/>
      <c r="AN728" s="63" t="str">
        <f>if(AJ728,if(and(hour(AJ728+AN$5)&gt;11,(hour(AJ728+AN$5)&lt;20)),AJ728+AN$5,_xlfn.workday.intl(int(AJ728),1,"1000000",Holidays!A:A)+hour(AJ728+AN$5-$B$1)/24+minute(AJ728)/1440),"")</f>
        <v/>
      </c>
      <c r="AO728" s="64" t="str">
        <f t="shared" si="15"/>
        <v/>
      </c>
      <c r="AQ728" s="66" t="str">
        <f t="shared" si="16"/>
        <v/>
      </c>
      <c r="AR728" s="66"/>
      <c r="AS728" s="63" t="str">
        <f>if(AJ728,if(and(hour(AJ728+AS$5)&gt;11,(hour(AJ728+AS$5)&lt;20)),AJ728+AS$5,_xlfn.workday.intl(int(AJ728),1,"1000000",Holidays!A:A)+hour(AJ728+AS$5-$B$1)/24+minute(AJ728)/1440),"")</f>
        <v/>
      </c>
      <c r="AT728" s="64" t="str">
        <f t="shared" si="21"/>
        <v/>
      </c>
      <c r="AV728" s="66" t="str">
        <f t="shared" si="25"/>
        <v/>
      </c>
      <c r="AW728" s="66"/>
      <c r="AX728" s="56"/>
    </row>
    <row r="729">
      <c r="A729" s="55">
        <v>45943.505268368055</v>
      </c>
      <c r="B729" s="56"/>
      <c r="C729" s="57"/>
      <c r="D729" s="57"/>
      <c r="E729" s="57"/>
      <c r="F729" s="57"/>
      <c r="G729" s="58">
        <f>if(A729,_xlfn.workday.intl(int(A729),1,"1000000",Holidays!A:A)+17/24,"")</f>
        <v>45944.70833</v>
      </c>
      <c r="H729" s="59" t="str">
        <f t="shared" si="23"/>
        <v/>
      </c>
      <c r="I729" s="60"/>
      <c r="J729" s="61">
        <f t="shared" si="2"/>
        <v>189.2755766</v>
      </c>
      <c r="K729" s="58">
        <f>if(G729,_xlfn.workday.intl(int(G729),0,"1000000",Holidays!A:A)+19/24,"")</f>
        <v>45944.79167</v>
      </c>
      <c r="L729" s="59" t="str">
        <f t="shared" si="3"/>
        <v/>
      </c>
      <c r="M729" s="60"/>
      <c r="N729" s="61">
        <f t="shared" si="4"/>
        <v>189.1922432</v>
      </c>
      <c r="O729" s="63">
        <f>if(A729,_xlfn.WORKDAY.INTL(A729,O$5,"1000000",Holidays!A:A)+hour(A729)/24+MINUTE(A729)/1440,"")</f>
        <v>45944.50486</v>
      </c>
      <c r="P729" s="64" t="s">
        <v>2718</v>
      </c>
      <c r="R729" s="66">
        <f t="shared" si="5"/>
        <v>189.4790488</v>
      </c>
      <c r="S729" s="66"/>
      <c r="T729" s="66"/>
      <c r="U729" s="64">
        <f>if(O729,_xlfn.WORKDAY.INTL(O729,U$5,"1000000",Holidays!A:A)+hour(O729)/24+MINUTE(O729)/1440,"")</f>
        <v>45945.50486</v>
      </c>
      <c r="V729" s="64" t="str">
        <f t="shared" si="6"/>
        <v/>
      </c>
      <c r="W729" s="66"/>
      <c r="X729" s="66">
        <f t="shared" si="7"/>
        <v>188.4790488</v>
      </c>
      <c r="Y729" s="66"/>
      <c r="Z729" s="66"/>
      <c r="AA729" s="66"/>
      <c r="AB729" s="63"/>
      <c r="AC729" s="63"/>
      <c r="AD729" s="63"/>
      <c r="AE729" s="63"/>
      <c r="AF729" s="63"/>
      <c r="AG729" s="63"/>
      <c r="AH729" s="63" t="str">
        <f t="shared" si="14"/>
        <v/>
      </c>
      <c r="AI729" s="63" t="str">
        <f>if(AH729,_xlfn.workday.intl(int(AH729),0,"1000000",Holidays!A:A)+18/24,"")</f>
        <v/>
      </c>
      <c r="AJ729" s="64" t="str">
        <f t="shared" si="24"/>
        <v/>
      </c>
      <c r="AL729" s="66" t="str">
        <f t="shared" si="9"/>
        <v/>
      </c>
      <c r="AM729" s="66"/>
      <c r="AN729" s="63" t="str">
        <f>if(AJ729,if(and(hour(AJ729+AN$5)&gt;11,(hour(AJ729+AN$5)&lt;20)),AJ729+AN$5,_xlfn.workday.intl(int(AJ729),1,"1000000",Holidays!A:A)+hour(AJ729+AN$5-$B$1)/24+minute(AJ729)/1440),"")</f>
        <v/>
      </c>
      <c r="AO729" s="64" t="str">
        <f t="shared" si="15"/>
        <v/>
      </c>
      <c r="AQ729" s="66" t="str">
        <f t="shared" si="16"/>
        <v/>
      </c>
      <c r="AR729" s="66"/>
      <c r="AS729" s="63" t="str">
        <f>if(AJ729,if(and(hour(AJ729+AS$5)&gt;11,(hour(AJ729+AS$5)&lt;20)),AJ729+AS$5,_xlfn.workday.intl(int(AJ729),1,"1000000",Holidays!A:A)+hour(AJ729+AS$5-$B$1)/24+minute(AJ729)/1440),"")</f>
        <v/>
      </c>
      <c r="AT729" s="64" t="str">
        <f t="shared" si="21"/>
        <v/>
      </c>
      <c r="AV729" s="66" t="str">
        <f t="shared" si="25"/>
        <v/>
      </c>
      <c r="AW729" s="66"/>
      <c r="AX729" s="56"/>
    </row>
    <row r="730">
      <c r="A730" s="55">
        <v>45943.50615736112</v>
      </c>
      <c r="B730" s="56"/>
      <c r="C730" s="57"/>
      <c r="D730" s="57"/>
      <c r="E730" s="57"/>
      <c r="F730" s="57"/>
      <c r="G730" s="58">
        <f>if(A730,_xlfn.workday.intl(int(A730),1,"1000000",Holidays!A:A)+17/24,"")</f>
        <v>45944.70833</v>
      </c>
      <c r="H730" s="59" t="str">
        <f t="shared" si="23"/>
        <v/>
      </c>
      <c r="I730" s="60"/>
      <c r="J730" s="61">
        <f t="shared" si="2"/>
        <v>189.2755766</v>
      </c>
      <c r="K730" s="58">
        <f>if(G730,_xlfn.workday.intl(int(G730),0,"1000000",Holidays!A:A)+19/24,"")</f>
        <v>45944.79167</v>
      </c>
      <c r="L730" s="59" t="str">
        <f t="shared" si="3"/>
        <v/>
      </c>
      <c r="M730" s="60"/>
      <c r="N730" s="61">
        <f t="shared" si="4"/>
        <v>189.1922432</v>
      </c>
      <c r="O730" s="63">
        <f>if(A730,_xlfn.WORKDAY.INTL(A730,O$5,"1000000",Holidays!A:A)+hour(A730)/24+MINUTE(A730)/1440,"")</f>
        <v>45944.50556</v>
      </c>
      <c r="P730" s="64" t="s">
        <v>2718</v>
      </c>
      <c r="R730" s="66">
        <f t="shared" si="5"/>
        <v>189.4783543</v>
      </c>
      <c r="S730" s="66"/>
      <c r="T730" s="66"/>
      <c r="U730" s="64">
        <f>if(O730,_xlfn.WORKDAY.INTL(O730,U$5,"1000000",Holidays!A:A)+hour(O730)/24+MINUTE(O730)/1440,"")</f>
        <v>45945.50556</v>
      </c>
      <c r="V730" s="64" t="str">
        <f t="shared" si="6"/>
        <v/>
      </c>
      <c r="W730" s="66"/>
      <c r="X730" s="66">
        <f t="shared" si="7"/>
        <v>188.4783543</v>
      </c>
      <c r="Y730" s="66"/>
      <c r="Z730" s="66"/>
      <c r="AA730" s="66"/>
      <c r="AB730" s="63"/>
      <c r="AC730" s="63"/>
      <c r="AD730" s="63"/>
      <c r="AE730" s="63"/>
      <c r="AF730" s="63"/>
      <c r="AG730" s="63"/>
      <c r="AH730" s="63" t="str">
        <f t="shared" si="14"/>
        <v/>
      </c>
      <c r="AI730" s="63" t="str">
        <f>if(AH730,_xlfn.workday.intl(int(AH730),0,"1000000",Holidays!A:A)+18/24,"")</f>
        <v/>
      </c>
      <c r="AJ730" s="64" t="str">
        <f t="shared" si="24"/>
        <v/>
      </c>
      <c r="AL730" s="66" t="str">
        <f t="shared" si="9"/>
        <v/>
      </c>
      <c r="AM730" s="66"/>
      <c r="AN730" s="63" t="str">
        <f>if(AJ730,if(and(hour(AJ730+AN$5)&gt;11,(hour(AJ730+AN$5)&lt;20)),AJ730+AN$5,_xlfn.workday.intl(int(AJ730),1,"1000000",Holidays!A:A)+hour(AJ730+AN$5-$B$1)/24+minute(AJ730)/1440),"")</f>
        <v/>
      </c>
      <c r="AO730" s="64" t="str">
        <f t="shared" si="15"/>
        <v/>
      </c>
      <c r="AQ730" s="66" t="str">
        <f t="shared" si="16"/>
        <v/>
      </c>
      <c r="AR730" s="66"/>
      <c r="AS730" s="63" t="str">
        <f>if(AJ730,if(and(hour(AJ730+AS$5)&gt;11,(hour(AJ730+AS$5)&lt;20)),AJ730+AS$5,_xlfn.workday.intl(int(AJ730),1,"1000000",Holidays!A:A)+hour(AJ730+AS$5-$B$1)/24+minute(AJ730)/1440),"")</f>
        <v/>
      </c>
      <c r="AT730" s="64" t="str">
        <f t="shared" si="21"/>
        <v/>
      </c>
      <c r="AV730" s="66" t="str">
        <f t="shared" si="25"/>
        <v/>
      </c>
      <c r="AW730" s="66"/>
      <c r="AX730" s="56"/>
    </row>
    <row r="731">
      <c r="A731" s="55">
        <v>45943.50754898148</v>
      </c>
      <c r="B731" s="56"/>
      <c r="C731" s="57"/>
      <c r="D731" s="57"/>
      <c r="E731" s="57"/>
      <c r="F731" s="57"/>
      <c r="G731" s="58">
        <f>if(A731,_xlfn.workday.intl(int(A731),1,"1000000",Holidays!A:A)+17/24,"")</f>
        <v>45944.70833</v>
      </c>
      <c r="H731" s="59" t="str">
        <f t="shared" si="23"/>
        <v/>
      </c>
      <c r="I731" s="60"/>
      <c r="J731" s="61">
        <f t="shared" si="2"/>
        <v>189.2755766</v>
      </c>
      <c r="K731" s="58">
        <f>if(G731,_xlfn.workday.intl(int(G731),0,"1000000",Holidays!A:A)+19/24,"")</f>
        <v>45944.79167</v>
      </c>
      <c r="L731" s="59" t="str">
        <f t="shared" si="3"/>
        <v/>
      </c>
      <c r="M731" s="60"/>
      <c r="N731" s="61">
        <f t="shared" si="4"/>
        <v>189.1922432</v>
      </c>
      <c r="O731" s="63">
        <f>if(A731,_xlfn.WORKDAY.INTL(A731,O$5,"1000000",Holidays!A:A)+hour(A731)/24+MINUTE(A731)/1440,"")</f>
        <v>45944.50694</v>
      </c>
      <c r="P731" s="64" t="s">
        <v>2718</v>
      </c>
      <c r="R731" s="66">
        <f t="shared" si="5"/>
        <v>189.4769655</v>
      </c>
      <c r="S731" s="66"/>
      <c r="T731" s="66"/>
      <c r="U731" s="64">
        <f>if(O731,_xlfn.WORKDAY.INTL(O731,U$5,"1000000",Holidays!A:A)+hour(O731)/24+MINUTE(O731)/1440,"")</f>
        <v>45945.50694</v>
      </c>
      <c r="V731" s="64" t="str">
        <f t="shared" si="6"/>
        <v/>
      </c>
      <c r="W731" s="66"/>
      <c r="X731" s="66">
        <f t="shared" si="7"/>
        <v>188.4769655</v>
      </c>
      <c r="Y731" s="66"/>
      <c r="Z731" s="66"/>
      <c r="AA731" s="66"/>
      <c r="AB731" s="63"/>
      <c r="AC731" s="63"/>
      <c r="AD731" s="63"/>
      <c r="AE731" s="63"/>
      <c r="AF731" s="63"/>
      <c r="AG731" s="63"/>
      <c r="AH731" s="63" t="str">
        <f t="shared" si="14"/>
        <v/>
      </c>
      <c r="AI731" s="63" t="str">
        <f>if(AH731,_xlfn.workday.intl(int(AH731),0,"1000000",Holidays!A:A)+18/24,"")</f>
        <v/>
      </c>
      <c r="AJ731" s="64" t="str">
        <f t="shared" si="24"/>
        <v/>
      </c>
      <c r="AL731" s="66" t="str">
        <f t="shared" si="9"/>
        <v/>
      </c>
      <c r="AM731" s="66"/>
      <c r="AN731" s="63" t="str">
        <f>if(AJ731,if(and(hour(AJ731+AN$5)&gt;11,(hour(AJ731+AN$5)&lt;20)),AJ731+AN$5,_xlfn.workday.intl(int(AJ731),1,"1000000",Holidays!A:A)+hour(AJ731+AN$5-$B$1)/24+minute(AJ731)/1440),"")</f>
        <v/>
      </c>
      <c r="AO731" s="64" t="str">
        <f t="shared" si="15"/>
        <v/>
      </c>
      <c r="AQ731" s="66" t="str">
        <f t="shared" si="16"/>
        <v/>
      </c>
      <c r="AR731" s="66"/>
      <c r="AS731" s="63" t="str">
        <f>if(AJ731,if(and(hour(AJ731+AS$5)&gt;11,(hour(AJ731+AS$5)&lt;20)),AJ731+AS$5,_xlfn.workday.intl(int(AJ731),1,"1000000",Holidays!A:A)+hour(AJ731+AS$5-$B$1)/24+minute(AJ731)/1440),"")</f>
        <v/>
      </c>
      <c r="AT731" s="64" t="str">
        <f t="shared" si="21"/>
        <v/>
      </c>
      <c r="AV731" s="66" t="str">
        <f t="shared" si="25"/>
        <v/>
      </c>
      <c r="AW731" s="66"/>
      <c r="AX731" s="56"/>
    </row>
    <row r="732">
      <c r="A732" s="55">
        <v>45943.50843770833</v>
      </c>
      <c r="B732" s="56"/>
      <c r="C732" s="57"/>
      <c r="D732" s="57"/>
      <c r="E732" s="57"/>
      <c r="F732" s="57"/>
      <c r="G732" s="58">
        <f>if(A732,_xlfn.workday.intl(int(A732),1,"1000000",Holidays!A:A)+17/24,"")</f>
        <v>45944.70833</v>
      </c>
      <c r="H732" s="59" t="str">
        <f t="shared" si="23"/>
        <v/>
      </c>
      <c r="I732" s="60"/>
      <c r="J732" s="61">
        <f t="shared" si="2"/>
        <v>189.2755766</v>
      </c>
      <c r="K732" s="58">
        <f>if(G732,_xlfn.workday.intl(int(G732),0,"1000000",Holidays!A:A)+19/24,"")</f>
        <v>45944.79167</v>
      </c>
      <c r="L732" s="59" t="str">
        <f t="shared" si="3"/>
        <v/>
      </c>
      <c r="M732" s="60"/>
      <c r="N732" s="61">
        <f t="shared" si="4"/>
        <v>189.1922432</v>
      </c>
      <c r="O732" s="63">
        <f>if(A732,_xlfn.WORKDAY.INTL(A732,O$5,"1000000",Holidays!A:A)+hour(A732)/24+MINUTE(A732)/1440,"")</f>
        <v>45944.50833</v>
      </c>
      <c r="P732" s="64" t="s">
        <v>2718</v>
      </c>
      <c r="R732" s="66">
        <f t="shared" si="5"/>
        <v>189.4755766</v>
      </c>
      <c r="S732" s="66"/>
      <c r="T732" s="66"/>
      <c r="U732" s="64">
        <f>if(O732,_xlfn.WORKDAY.INTL(O732,U$5,"1000000",Holidays!A:A)+hour(O732)/24+MINUTE(O732)/1440,"")</f>
        <v>45945.50833</v>
      </c>
      <c r="V732" s="64" t="str">
        <f t="shared" si="6"/>
        <v/>
      </c>
      <c r="W732" s="66"/>
      <c r="X732" s="66">
        <f t="shared" si="7"/>
        <v>188.4755766</v>
      </c>
      <c r="Y732" s="66"/>
      <c r="Z732" s="66"/>
      <c r="AA732" s="66"/>
      <c r="AB732" s="63"/>
      <c r="AC732" s="63"/>
      <c r="AD732" s="63"/>
      <c r="AE732" s="63"/>
      <c r="AF732" s="63"/>
      <c r="AG732" s="63"/>
      <c r="AH732" s="63" t="str">
        <f t="shared" si="14"/>
        <v/>
      </c>
      <c r="AI732" s="63" t="str">
        <f>if(AH732,_xlfn.workday.intl(int(AH732),0,"1000000",Holidays!A:A)+18/24,"")</f>
        <v/>
      </c>
      <c r="AJ732" s="64" t="str">
        <f t="shared" si="24"/>
        <v/>
      </c>
      <c r="AL732" s="66" t="str">
        <f t="shared" si="9"/>
        <v/>
      </c>
      <c r="AM732" s="66"/>
      <c r="AN732" s="63" t="str">
        <f>if(AJ732,if(and(hour(AJ732+AN$5)&gt;11,(hour(AJ732+AN$5)&lt;20)),AJ732+AN$5,_xlfn.workday.intl(int(AJ732),1,"1000000",Holidays!A:A)+hour(AJ732+AN$5-$B$1)/24+minute(AJ732)/1440),"")</f>
        <v/>
      </c>
      <c r="AO732" s="64" t="str">
        <f t="shared" si="15"/>
        <v/>
      </c>
      <c r="AQ732" s="66" t="str">
        <f t="shared" si="16"/>
        <v/>
      </c>
      <c r="AR732" s="66"/>
      <c r="AS732" s="63" t="str">
        <f>if(AJ732,if(and(hour(AJ732+AS$5)&gt;11,(hour(AJ732+AS$5)&lt;20)),AJ732+AS$5,_xlfn.workday.intl(int(AJ732),1,"1000000",Holidays!A:A)+hour(AJ732+AS$5-$B$1)/24+minute(AJ732)/1440),"")</f>
        <v/>
      </c>
      <c r="AT732" s="64" t="str">
        <f t="shared" si="21"/>
        <v/>
      </c>
      <c r="AV732" s="66" t="str">
        <f t="shared" si="25"/>
        <v/>
      </c>
      <c r="AW732" s="66"/>
      <c r="AX732" s="56"/>
    </row>
    <row r="733">
      <c r="A733" s="55">
        <v>45943.50923506945</v>
      </c>
      <c r="B733" s="56"/>
      <c r="C733" s="57"/>
      <c r="D733" s="57"/>
      <c r="E733" s="57"/>
      <c r="F733" s="57"/>
      <c r="G733" s="58">
        <f>if(A733,_xlfn.workday.intl(int(A733),1,"1000000",Holidays!A:A)+17/24,"")</f>
        <v>45944.70833</v>
      </c>
      <c r="H733" s="59" t="str">
        <f t="shared" si="23"/>
        <v/>
      </c>
      <c r="I733" s="60"/>
      <c r="J733" s="61">
        <f t="shared" si="2"/>
        <v>189.2755766</v>
      </c>
      <c r="K733" s="58">
        <f>if(G733,_xlfn.workday.intl(int(G733),0,"1000000",Holidays!A:A)+19/24,"")</f>
        <v>45944.79167</v>
      </c>
      <c r="L733" s="59" t="str">
        <f t="shared" si="3"/>
        <v/>
      </c>
      <c r="M733" s="60"/>
      <c r="N733" s="61">
        <f t="shared" si="4"/>
        <v>189.1922432</v>
      </c>
      <c r="O733" s="63">
        <f>if(A733,_xlfn.WORKDAY.INTL(A733,O$5,"1000000",Holidays!A:A)+hour(A733)/24+MINUTE(A733)/1440,"")</f>
        <v>45944.50903</v>
      </c>
      <c r="P733" s="64" t="s">
        <v>2718</v>
      </c>
      <c r="R733" s="66">
        <f t="shared" si="5"/>
        <v>189.4748821</v>
      </c>
      <c r="S733" s="66"/>
      <c r="T733" s="66"/>
      <c r="U733" s="64">
        <f>if(O733,_xlfn.WORKDAY.INTL(O733,U$5,"1000000",Holidays!A:A)+hour(O733)/24+MINUTE(O733)/1440,"")</f>
        <v>45945.50903</v>
      </c>
      <c r="V733" s="64" t="str">
        <f t="shared" si="6"/>
        <v/>
      </c>
      <c r="W733" s="66"/>
      <c r="X733" s="66">
        <f t="shared" si="7"/>
        <v>188.4748821</v>
      </c>
      <c r="Y733" s="66"/>
      <c r="Z733" s="66"/>
      <c r="AA733" s="66"/>
      <c r="AB733" s="63"/>
      <c r="AC733" s="63"/>
      <c r="AD733" s="63"/>
      <c r="AE733" s="63"/>
      <c r="AF733" s="63"/>
      <c r="AG733" s="63"/>
      <c r="AH733" s="63" t="str">
        <f t="shared" si="14"/>
        <v/>
      </c>
      <c r="AI733" s="63" t="str">
        <f>if(AH733,_xlfn.workday.intl(int(AH733),0,"1000000",Holidays!A:A)+18/24,"")</f>
        <v/>
      </c>
      <c r="AJ733" s="64" t="str">
        <f t="shared" si="24"/>
        <v/>
      </c>
      <c r="AL733" s="66" t="str">
        <f t="shared" si="9"/>
        <v/>
      </c>
      <c r="AM733" s="66"/>
      <c r="AN733" s="63" t="str">
        <f>if(AJ733,if(and(hour(AJ733+AN$5)&gt;11,(hour(AJ733+AN$5)&lt;20)),AJ733+AN$5,_xlfn.workday.intl(int(AJ733),1,"1000000",Holidays!A:A)+hour(AJ733+AN$5-$B$1)/24+minute(AJ733)/1440),"")</f>
        <v/>
      </c>
      <c r="AO733" s="64" t="str">
        <f t="shared" si="15"/>
        <v/>
      </c>
      <c r="AQ733" s="66" t="str">
        <f t="shared" si="16"/>
        <v/>
      </c>
      <c r="AR733" s="66"/>
      <c r="AS733" s="63" t="str">
        <f>if(AJ733,if(and(hour(AJ733+AS$5)&gt;11,(hour(AJ733+AS$5)&lt;20)),AJ733+AS$5,_xlfn.workday.intl(int(AJ733),1,"1000000",Holidays!A:A)+hour(AJ733+AS$5-$B$1)/24+minute(AJ733)/1440),"")</f>
        <v/>
      </c>
      <c r="AT733" s="64" t="str">
        <f t="shared" si="21"/>
        <v/>
      </c>
      <c r="AV733" s="66" t="str">
        <f t="shared" si="25"/>
        <v/>
      </c>
      <c r="AW733" s="66"/>
      <c r="AX733" s="56"/>
    </row>
    <row r="734">
      <c r="A734" s="55">
        <v>45943.51144939815</v>
      </c>
      <c r="B734" s="56"/>
      <c r="C734" s="57"/>
      <c r="D734" s="57"/>
      <c r="E734" s="57"/>
      <c r="F734" s="57"/>
      <c r="G734" s="58">
        <f>if(A734,_xlfn.workday.intl(int(A734),1,"1000000",Holidays!A:A)+17/24,"")</f>
        <v>45944.70833</v>
      </c>
      <c r="H734" s="59" t="str">
        <f t="shared" si="23"/>
        <v/>
      </c>
      <c r="I734" s="60"/>
      <c r="J734" s="61">
        <f t="shared" si="2"/>
        <v>189.2755766</v>
      </c>
      <c r="K734" s="58">
        <f>if(G734,_xlfn.workday.intl(int(G734),0,"1000000",Holidays!A:A)+19/24,"")</f>
        <v>45944.79167</v>
      </c>
      <c r="L734" s="59" t="str">
        <f t="shared" si="3"/>
        <v/>
      </c>
      <c r="M734" s="60"/>
      <c r="N734" s="61">
        <f t="shared" si="4"/>
        <v>189.1922432</v>
      </c>
      <c r="O734" s="63">
        <f>if(A734,_xlfn.WORKDAY.INTL(A734,O$5,"1000000",Holidays!A:A)+hour(A734)/24+MINUTE(A734)/1440,"")</f>
        <v>45944.51111</v>
      </c>
      <c r="P734" s="64" t="s">
        <v>2718</v>
      </c>
      <c r="R734" s="66">
        <f t="shared" si="5"/>
        <v>189.4727988</v>
      </c>
      <c r="S734" s="66"/>
      <c r="T734" s="66"/>
      <c r="U734" s="64">
        <f>if(O734,_xlfn.WORKDAY.INTL(O734,U$5,"1000000",Holidays!A:A)+hour(O734)/24+MINUTE(O734)/1440,"")</f>
        <v>45945.51111</v>
      </c>
      <c r="V734" s="64" t="str">
        <f t="shared" si="6"/>
        <v/>
      </c>
      <c r="W734" s="66"/>
      <c r="X734" s="66">
        <f t="shared" si="7"/>
        <v>188.4727988</v>
      </c>
      <c r="Y734" s="66"/>
      <c r="Z734" s="66"/>
      <c r="AA734" s="66"/>
      <c r="AB734" s="63"/>
      <c r="AC734" s="63"/>
      <c r="AD734" s="63"/>
      <c r="AE734" s="63"/>
      <c r="AF734" s="63"/>
      <c r="AG734" s="63"/>
      <c r="AH734" s="63" t="str">
        <f t="shared" si="14"/>
        <v/>
      </c>
      <c r="AI734" s="63" t="str">
        <f>if(AH734,_xlfn.workday.intl(int(AH734),0,"1000000",Holidays!A:A)+18/24,"")</f>
        <v/>
      </c>
      <c r="AJ734" s="64" t="str">
        <f t="shared" si="24"/>
        <v/>
      </c>
      <c r="AL734" s="66" t="str">
        <f t="shared" si="9"/>
        <v/>
      </c>
      <c r="AM734" s="66"/>
      <c r="AN734" s="63" t="str">
        <f>if(AJ734,if(and(hour(AJ734+AN$5)&gt;11,(hour(AJ734+AN$5)&lt;20)),AJ734+AN$5,_xlfn.workday.intl(int(AJ734),1,"1000000",Holidays!A:A)+hour(AJ734+AN$5-$B$1)/24+minute(AJ734)/1440),"")</f>
        <v/>
      </c>
      <c r="AO734" s="64" t="str">
        <f t="shared" si="15"/>
        <v/>
      </c>
      <c r="AQ734" s="66" t="str">
        <f t="shared" si="16"/>
        <v/>
      </c>
      <c r="AR734" s="66"/>
      <c r="AS734" s="63" t="str">
        <f>if(AJ734,if(and(hour(AJ734+AS$5)&gt;11,(hour(AJ734+AS$5)&lt;20)),AJ734+AS$5,_xlfn.workday.intl(int(AJ734),1,"1000000",Holidays!A:A)+hour(AJ734+AS$5-$B$1)/24+minute(AJ734)/1440),"")</f>
        <v/>
      </c>
      <c r="AT734" s="64" t="str">
        <f t="shared" si="21"/>
        <v/>
      </c>
      <c r="AV734" s="66" t="str">
        <f t="shared" si="25"/>
        <v/>
      </c>
      <c r="AW734" s="66"/>
      <c r="AX734" s="56"/>
    </row>
    <row r="735">
      <c r="A735" s="55">
        <v>45943.704364398145</v>
      </c>
      <c r="B735" s="56"/>
      <c r="C735" s="57"/>
      <c r="D735" s="57"/>
      <c r="E735" s="57"/>
      <c r="F735" s="57"/>
      <c r="G735" s="58">
        <f>if(A735,_xlfn.workday.intl(int(A735),1,"1000000",Holidays!A:A)+17/24,"")</f>
        <v>45944.70833</v>
      </c>
      <c r="H735" s="59" t="str">
        <f t="shared" si="23"/>
        <v/>
      </c>
      <c r="I735" s="60"/>
      <c r="J735" s="61">
        <f t="shared" si="2"/>
        <v>189.2755766</v>
      </c>
      <c r="K735" s="58">
        <f>if(G735,_xlfn.workday.intl(int(G735),0,"1000000",Holidays!A:A)+19/24,"")</f>
        <v>45944.79167</v>
      </c>
      <c r="L735" s="59" t="str">
        <f t="shared" si="3"/>
        <v/>
      </c>
      <c r="M735" s="60"/>
      <c r="N735" s="61">
        <f t="shared" si="4"/>
        <v>189.1922432</v>
      </c>
      <c r="O735" s="63">
        <f>if(A735,_xlfn.WORKDAY.INTL(A735,O$5,"1000000",Holidays!A:A)+hour(A735)/24+MINUTE(A735)/1440,"")</f>
        <v>45944.70417</v>
      </c>
      <c r="P735" s="64" t="s">
        <v>2718</v>
      </c>
      <c r="R735" s="66">
        <f t="shared" si="5"/>
        <v>189.2797432</v>
      </c>
      <c r="S735" s="66"/>
      <c r="T735" s="66"/>
      <c r="U735" s="64">
        <f>if(O735,_xlfn.WORKDAY.INTL(O735,U$5,"1000000",Holidays!A:A)+hour(O735)/24+MINUTE(O735)/1440,"")</f>
        <v>45945.70417</v>
      </c>
      <c r="V735" s="64" t="str">
        <f t="shared" si="6"/>
        <v/>
      </c>
      <c r="W735" s="66"/>
      <c r="X735" s="66">
        <f t="shared" si="7"/>
        <v>188.2797432</v>
      </c>
      <c r="Y735" s="66"/>
      <c r="Z735" s="66"/>
      <c r="AA735" s="66"/>
      <c r="AB735" s="63"/>
      <c r="AC735" s="63"/>
      <c r="AD735" s="63"/>
      <c r="AE735" s="63"/>
      <c r="AF735" s="63"/>
      <c r="AG735" s="63"/>
      <c r="AH735" s="63" t="str">
        <f t="shared" si="14"/>
        <v/>
      </c>
      <c r="AI735" s="63" t="str">
        <f>if(AH735,_xlfn.workday.intl(int(AH735),0,"1000000",Holidays!A:A)+18/24,"")</f>
        <v/>
      </c>
      <c r="AJ735" s="64" t="str">
        <f t="shared" si="24"/>
        <v/>
      </c>
      <c r="AL735" s="66" t="str">
        <f t="shared" si="9"/>
        <v/>
      </c>
      <c r="AM735" s="66"/>
      <c r="AN735" s="63" t="str">
        <f>if(AJ735,if(and(hour(AJ735+AN$5)&gt;11,(hour(AJ735+AN$5)&lt;20)),AJ735+AN$5,_xlfn.workday.intl(int(AJ735),1,"1000000",Holidays!A:A)+hour(AJ735+AN$5-$B$1)/24+minute(AJ735)/1440),"")</f>
        <v/>
      </c>
      <c r="AO735" s="64" t="str">
        <f t="shared" si="15"/>
        <v/>
      </c>
      <c r="AQ735" s="66" t="str">
        <f t="shared" si="16"/>
        <v/>
      </c>
      <c r="AR735" s="66"/>
      <c r="AS735" s="63" t="str">
        <f>if(AJ735,if(and(hour(AJ735+AS$5)&gt;11,(hour(AJ735+AS$5)&lt;20)),AJ735+AS$5,_xlfn.workday.intl(int(AJ735),1,"1000000",Holidays!A:A)+hour(AJ735+AS$5-$B$1)/24+minute(AJ735)/1440),"")</f>
        <v/>
      </c>
      <c r="AT735" s="64" t="str">
        <f t="shared" si="21"/>
        <v/>
      </c>
      <c r="AV735" s="66" t="str">
        <f t="shared" si="25"/>
        <v/>
      </c>
      <c r="AW735" s="66"/>
      <c r="AX735" s="56"/>
    </row>
    <row r="736">
      <c r="A736" s="55">
        <v>45953.61774033565</v>
      </c>
      <c r="B736" s="56"/>
      <c r="C736" s="57"/>
      <c r="D736" s="57"/>
      <c r="E736" s="57"/>
      <c r="F736" s="57"/>
      <c r="G736" s="58">
        <f>if(A736,_xlfn.workday.intl(int(A736),1,"1000000",Holidays!A:A)+17/24,"")</f>
        <v>45954.70833</v>
      </c>
      <c r="H736" s="59" t="str">
        <f t="shared" si="23"/>
        <v/>
      </c>
      <c r="I736" s="60"/>
      <c r="J736" s="61">
        <f t="shared" si="2"/>
        <v>179.2755766</v>
      </c>
      <c r="K736" s="58">
        <f>if(G736,_xlfn.workday.intl(int(G736),0,"1000000",Holidays!A:A)+19/24,"")</f>
        <v>45954.79167</v>
      </c>
      <c r="L736" s="59" t="str">
        <f t="shared" si="3"/>
        <v/>
      </c>
      <c r="M736" s="60"/>
      <c r="N736" s="61">
        <f t="shared" si="4"/>
        <v>179.1922432</v>
      </c>
      <c r="O736" s="63">
        <f>if(A736,_xlfn.WORKDAY.INTL(A736,O$5,"1000000",Holidays!A:A)+hour(A736)/24+MINUTE(A736)/1440,"")</f>
        <v>45954.61736</v>
      </c>
      <c r="P736" s="64" t="s">
        <v>2718</v>
      </c>
      <c r="R736" s="66">
        <f t="shared" si="5"/>
        <v>179.3665488</v>
      </c>
      <c r="S736" s="66"/>
      <c r="T736" s="66"/>
      <c r="U736" s="64">
        <f>if(O736,_xlfn.WORKDAY.INTL(O736,U$5,"1000000",Holidays!A:A)+hour(O736)/24+MINUTE(O736)/1440,"")</f>
        <v>45955.61736</v>
      </c>
      <c r="V736" s="64" t="str">
        <f t="shared" si="6"/>
        <v/>
      </c>
      <c r="W736" s="66"/>
      <c r="X736" s="66">
        <f t="shared" si="7"/>
        <v>178.3665488</v>
      </c>
      <c r="Y736" s="66"/>
      <c r="Z736" s="66"/>
      <c r="AA736" s="66"/>
      <c r="AB736" s="63"/>
      <c r="AC736" s="63"/>
      <c r="AD736" s="63"/>
      <c r="AE736" s="63"/>
      <c r="AF736" s="63"/>
      <c r="AG736" s="63"/>
      <c r="AH736" s="63" t="str">
        <f t="shared" si="14"/>
        <v/>
      </c>
      <c r="AI736" s="63" t="str">
        <f>if(AH736,_xlfn.workday.intl(int(AH736),0,"1000000",Holidays!A:A)+18/24,"")</f>
        <v/>
      </c>
      <c r="AJ736" s="64" t="str">
        <f t="shared" si="24"/>
        <v/>
      </c>
      <c r="AL736" s="66" t="str">
        <f t="shared" si="9"/>
        <v/>
      </c>
      <c r="AM736" s="66"/>
      <c r="AN736" s="63" t="str">
        <f>if(AJ736,if(and(hour(AJ736+AN$5)&gt;11,(hour(AJ736+AN$5)&lt;20)),AJ736+AN$5,_xlfn.workday.intl(int(AJ736),1,"1000000",Holidays!A:A)+hour(AJ736+AN$5-$B$1)/24+minute(AJ736)/1440),"")</f>
        <v/>
      </c>
      <c r="AO736" s="64" t="str">
        <f t="shared" si="15"/>
        <v/>
      </c>
      <c r="AQ736" s="66" t="str">
        <f t="shared" si="16"/>
        <v/>
      </c>
      <c r="AR736" s="66"/>
      <c r="AS736" s="63" t="str">
        <f>if(AJ736,if(and(hour(AJ736+AS$5)&gt;11,(hour(AJ736+AS$5)&lt;20)),AJ736+AS$5,_xlfn.workday.intl(int(AJ736),1,"1000000",Holidays!A:A)+hour(AJ736+AS$5-$B$1)/24+minute(AJ736)/1440),"")</f>
        <v/>
      </c>
      <c r="AT736" s="64" t="str">
        <f t="shared" si="21"/>
        <v/>
      </c>
      <c r="AV736" s="66" t="str">
        <f t="shared" si="25"/>
        <v/>
      </c>
      <c r="AW736" s="66"/>
      <c r="AX736" s="56"/>
    </row>
    <row r="737">
      <c r="A737" s="55">
        <v>45953.641726574075</v>
      </c>
      <c r="B737" s="56"/>
      <c r="C737" s="57"/>
      <c r="D737" s="57"/>
      <c r="E737" s="57"/>
      <c r="F737" s="57"/>
      <c r="G737" s="58">
        <f>if(A737,_xlfn.workday.intl(int(A737),1,"1000000",Holidays!A:A)+17/24,"")</f>
        <v>45954.70833</v>
      </c>
      <c r="H737" s="59" t="str">
        <f t="shared" si="23"/>
        <v/>
      </c>
      <c r="I737" s="60"/>
      <c r="J737" s="61">
        <f t="shared" si="2"/>
        <v>179.2755766</v>
      </c>
      <c r="K737" s="58">
        <f>if(G737,_xlfn.workday.intl(int(G737),0,"1000000",Holidays!A:A)+19/24,"")</f>
        <v>45954.79167</v>
      </c>
      <c r="L737" s="59" t="str">
        <f t="shared" si="3"/>
        <v/>
      </c>
      <c r="M737" s="60"/>
      <c r="N737" s="61">
        <f t="shared" si="4"/>
        <v>179.1922432</v>
      </c>
      <c r="O737" s="63">
        <f>if(A737,_xlfn.WORKDAY.INTL(A737,O$5,"1000000",Holidays!A:A)+hour(A737)/24+MINUTE(A737)/1440,"")</f>
        <v>45954.64167</v>
      </c>
      <c r="P737" s="64" t="s">
        <v>2718</v>
      </c>
      <c r="R737" s="66">
        <f t="shared" si="5"/>
        <v>179.3422432</v>
      </c>
      <c r="S737" s="66"/>
      <c r="T737" s="66"/>
      <c r="U737" s="64">
        <f>if(O737,_xlfn.WORKDAY.INTL(O737,U$5,"1000000",Holidays!A:A)+hour(O737)/24+MINUTE(O737)/1440,"")</f>
        <v>45955.64167</v>
      </c>
      <c r="V737" s="64" t="str">
        <f t="shared" si="6"/>
        <v/>
      </c>
      <c r="W737" s="66"/>
      <c r="X737" s="66">
        <f t="shared" si="7"/>
        <v>178.3422432</v>
      </c>
      <c r="Y737" s="66"/>
      <c r="Z737" s="66"/>
      <c r="AA737" s="66"/>
      <c r="AB737" s="63"/>
      <c r="AC737" s="63"/>
      <c r="AD737" s="63"/>
      <c r="AE737" s="63"/>
      <c r="AF737" s="63"/>
      <c r="AG737" s="63"/>
      <c r="AH737" s="63" t="str">
        <f t="shared" si="14"/>
        <v/>
      </c>
      <c r="AI737" s="63" t="str">
        <f>if(AH737,_xlfn.workday.intl(int(AH737),0,"1000000",Holidays!A:A)+18/24,"")</f>
        <v/>
      </c>
      <c r="AJ737" s="64" t="str">
        <f t="shared" si="24"/>
        <v/>
      </c>
      <c r="AL737" s="66" t="str">
        <f t="shared" si="9"/>
        <v/>
      </c>
      <c r="AM737" s="66"/>
      <c r="AN737" s="63" t="str">
        <f>if(AJ737,if(and(hour(AJ737+AN$5)&gt;11,(hour(AJ737+AN$5)&lt;20)),AJ737+AN$5,_xlfn.workday.intl(int(AJ737),1,"1000000",Holidays!A:A)+hour(AJ737+AN$5-$B$1)/24+minute(AJ737)/1440),"")</f>
        <v/>
      </c>
      <c r="AO737" s="64" t="str">
        <f t="shared" si="15"/>
        <v/>
      </c>
      <c r="AQ737" s="66" t="str">
        <f t="shared" si="16"/>
        <v/>
      </c>
      <c r="AR737" s="66"/>
      <c r="AS737" s="63" t="str">
        <f>if(AJ737,if(and(hour(AJ737+AS$5)&gt;11,(hour(AJ737+AS$5)&lt;20)),AJ737+AS$5,_xlfn.workday.intl(int(AJ737),1,"1000000",Holidays!A:A)+hour(AJ737+AS$5-$B$1)/24+minute(AJ737)/1440),"")</f>
        <v/>
      </c>
      <c r="AT737" s="64" t="str">
        <f t="shared" si="21"/>
        <v/>
      </c>
      <c r="AV737" s="66" t="str">
        <f t="shared" si="25"/>
        <v/>
      </c>
      <c r="AW737" s="66"/>
      <c r="AX737" s="56"/>
    </row>
    <row r="738">
      <c r="A738" s="55">
        <v>45953.65946837963</v>
      </c>
      <c r="B738" s="56"/>
      <c r="C738" s="57"/>
      <c r="D738" s="57"/>
      <c r="E738" s="57"/>
      <c r="F738" s="57"/>
      <c r="G738" s="58">
        <f>if(A738,_xlfn.workday.intl(int(A738),1,"1000000",Holidays!A:A)+17/24,"")</f>
        <v>45954.70833</v>
      </c>
      <c r="H738" s="59" t="str">
        <f t="shared" si="23"/>
        <v/>
      </c>
      <c r="I738" s="60"/>
      <c r="J738" s="61">
        <f t="shared" si="2"/>
        <v>179.2755766</v>
      </c>
      <c r="K738" s="58">
        <f>if(G738,_xlfn.workday.intl(int(G738),0,"1000000",Holidays!A:A)+19/24,"")</f>
        <v>45954.79167</v>
      </c>
      <c r="L738" s="59" t="str">
        <f t="shared" si="3"/>
        <v/>
      </c>
      <c r="M738" s="60"/>
      <c r="N738" s="61">
        <f t="shared" si="4"/>
        <v>179.1922432</v>
      </c>
      <c r="O738" s="63">
        <f>if(A738,_xlfn.WORKDAY.INTL(A738,O$5,"1000000",Holidays!A:A)+hour(A738)/24+MINUTE(A738)/1440,"")</f>
        <v>45954.65903</v>
      </c>
      <c r="P738" s="64" t="s">
        <v>2718</v>
      </c>
      <c r="R738" s="66">
        <f t="shared" si="5"/>
        <v>179.3248821</v>
      </c>
      <c r="S738" s="66"/>
      <c r="T738" s="66"/>
      <c r="U738" s="64">
        <f>if(O738,_xlfn.WORKDAY.INTL(O738,U$5,"1000000",Holidays!A:A)+hour(O738)/24+MINUTE(O738)/1440,"")</f>
        <v>45955.65903</v>
      </c>
      <c r="V738" s="64" t="str">
        <f t="shared" si="6"/>
        <v/>
      </c>
      <c r="W738" s="66"/>
      <c r="X738" s="66">
        <f t="shared" si="7"/>
        <v>178.3248821</v>
      </c>
      <c r="Y738" s="66"/>
      <c r="Z738" s="66"/>
      <c r="AA738" s="66"/>
      <c r="AB738" s="63"/>
      <c r="AC738" s="63"/>
      <c r="AD738" s="63"/>
      <c r="AE738" s="63"/>
      <c r="AF738" s="63"/>
      <c r="AG738" s="63"/>
      <c r="AH738" s="63" t="str">
        <f t="shared" si="14"/>
        <v/>
      </c>
      <c r="AI738" s="63" t="str">
        <f>if(AH738,_xlfn.workday.intl(int(AH738),0,"1000000",Holidays!A:A)+18/24,"")</f>
        <v/>
      </c>
      <c r="AJ738" s="64" t="str">
        <f t="shared" si="24"/>
        <v/>
      </c>
      <c r="AL738" s="66" t="str">
        <f t="shared" si="9"/>
        <v/>
      </c>
      <c r="AM738" s="66"/>
      <c r="AN738" s="63" t="str">
        <f>if(AJ738,if(and(hour(AJ738+AN$5)&gt;11,(hour(AJ738+AN$5)&lt;20)),AJ738+AN$5,_xlfn.workday.intl(int(AJ738),1,"1000000",Holidays!A:A)+hour(AJ738+AN$5-$B$1)/24+minute(AJ738)/1440),"")</f>
        <v/>
      </c>
      <c r="AO738" s="64" t="str">
        <f t="shared" si="15"/>
        <v/>
      </c>
      <c r="AQ738" s="66" t="str">
        <f t="shared" si="16"/>
        <v/>
      </c>
      <c r="AR738" s="66"/>
      <c r="AS738" s="63" t="str">
        <f>if(AJ738,if(and(hour(AJ738+AS$5)&gt;11,(hour(AJ738+AS$5)&lt;20)),AJ738+AS$5,_xlfn.workday.intl(int(AJ738),1,"1000000",Holidays!A:A)+hour(AJ738+AS$5-$B$1)/24+minute(AJ738)/1440),"")</f>
        <v/>
      </c>
      <c r="AT738" s="64" t="str">
        <f t="shared" si="21"/>
        <v/>
      </c>
      <c r="AV738" s="66" t="str">
        <f t="shared" si="25"/>
        <v/>
      </c>
      <c r="AW738" s="66"/>
      <c r="AX738" s="56"/>
    </row>
    <row r="739">
      <c r="A739" s="55">
        <v>45969.48252637732</v>
      </c>
      <c r="B739" s="56"/>
      <c r="C739" s="57"/>
      <c r="D739" s="57"/>
      <c r="E739" s="57"/>
      <c r="F739" s="57"/>
      <c r="G739" s="58">
        <f>if(A739,_xlfn.workday.intl(int(A739),1,"1000000",Holidays!A:A)+17/24,"")</f>
        <v>45970.70833</v>
      </c>
      <c r="H739" s="59" t="str">
        <f t="shared" si="23"/>
        <v/>
      </c>
      <c r="I739" s="60"/>
      <c r="J739" s="61">
        <f t="shared" si="2"/>
        <v>163.2755766</v>
      </c>
      <c r="K739" s="58">
        <f>if(G739,_xlfn.workday.intl(int(G739),0,"1000000",Holidays!A:A)+19/24,"")</f>
        <v>45970.79167</v>
      </c>
      <c r="L739" s="59" t="str">
        <f t="shared" si="3"/>
        <v/>
      </c>
      <c r="M739" s="60"/>
      <c r="N739" s="61">
        <f t="shared" si="4"/>
        <v>163.1922432</v>
      </c>
      <c r="O739" s="63">
        <f>if(A739,_xlfn.WORKDAY.INTL(A739,O$5,"1000000",Holidays!A:A)+hour(A739)/24+MINUTE(A739)/1440,"")</f>
        <v>45970.48194</v>
      </c>
      <c r="P739" s="64" t="s">
        <v>2718</v>
      </c>
      <c r="R739" s="66">
        <f t="shared" si="5"/>
        <v>163.5019655</v>
      </c>
      <c r="S739" s="66"/>
      <c r="T739" s="66"/>
      <c r="U739" s="64">
        <f>if(O739,_xlfn.WORKDAY.INTL(O739,U$5,"1000000",Holidays!A:A)+hour(O739)/24+MINUTE(O739)/1440,"")</f>
        <v>45972.48194</v>
      </c>
      <c r="V739" s="64" t="str">
        <f t="shared" si="6"/>
        <v/>
      </c>
      <c r="W739" s="66"/>
      <c r="X739" s="66">
        <f t="shared" si="7"/>
        <v>161.5019655</v>
      </c>
      <c r="Y739" s="66"/>
      <c r="Z739" s="66"/>
      <c r="AA739" s="66"/>
      <c r="AB739" s="63"/>
      <c r="AC739" s="63"/>
      <c r="AD739" s="63"/>
      <c r="AE739" s="63"/>
      <c r="AF739" s="63"/>
      <c r="AG739" s="63"/>
      <c r="AH739" s="63" t="str">
        <f t="shared" si="14"/>
        <v/>
      </c>
      <c r="AI739" s="63" t="str">
        <f>if(AH739,_xlfn.workday.intl(int(AH739),0,"1000000",Holidays!A:A)+18/24,"")</f>
        <v/>
      </c>
      <c r="AJ739" s="64" t="str">
        <f t="shared" si="24"/>
        <v/>
      </c>
      <c r="AL739" s="66" t="str">
        <f t="shared" si="9"/>
        <v/>
      </c>
      <c r="AM739" s="66"/>
      <c r="AN739" s="63" t="str">
        <f>if(AJ739,if(and(hour(AJ739+AN$5)&gt;11,(hour(AJ739+AN$5)&lt;20)),AJ739+AN$5,_xlfn.workday.intl(int(AJ739),1,"1000000",Holidays!A:A)+hour(AJ739+AN$5-$B$1)/24+minute(AJ739)/1440),"")</f>
        <v/>
      </c>
      <c r="AO739" s="64" t="str">
        <f t="shared" si="15"/>
        <v/>
      </c>
      <c r="AQ739" s="66" t="str">
        <f t="shared" si="16"/>
        <v/>
      </c>
      <c r="AR739" s="66"/>
      <c r="AS739" s="63" t="str">
        <f>if(AJ739,if(and(hour(AJ739+AS$5)&gt;11,(hour(AJ739+AS$5)&lt;20)),AJ739+AS$5,_xlfn.workday.intl(int(AJ739),1,"1000000",Holidays!A:A)+hour(AJ739+AS$5-$B$1)/24+minute(AJ739)/1440),"")</f>
        <v/>
      </c>
      <c r="AT739" s="64" t="str">
        <f t="shared" si="21"/>
        <v/>
      </c>
      <c r="AV739" s="66" t="str">
        <f t="shared" si="25"/>
        <v/>
      </c>
      <c r="AW739" s="66"/>
      <c r="AX739" s="56"/>
    </row>
    <row r="740">
      <c r="A740" s="55">
        <v>45969.48671556713</v>
      </c>
      <c r="B740" s="56"/>
      <c r="C740" s="57"/>
      <c r="D740" s="57"/>
      <c r="E740" s="57"/>
      <c r="F740" s="57"/>
      <c r="G740" s="58">
        <f>if(A740,_xlfn.workday.intl(int(A740),1,"1000000",Holidays!A:A)+17/24,"")</f>
        <v>45970.70833</v>
      </c>
      <c r="H740" s="59" t="str">
        <f t="shared" si="23"/>
        <v/>
      </c>
      <c r="I740" s="60"/>
      <c r="J740" s="61">
        <f t="shared" si="2"/>
        <v>163.2755766</v>
      </c>
      <c r="K740" s="58">
        <f>if(G740,_xlfn.workday.intl(int(G740),0,"1000000",Holidays!A:A)+19/24,"")</f>
        <v>45970.79167</v>
      </c>
      <c r="L740" s="59" t="str">
        <f t="shared" si="3"/>
        <v/>
      </c>
      <c r="M740" s="60"/>
      <c r="N740" s="61">
        <f t="shared" si="4"/>
        <v>163.1922432</v>
      </c>
      <c r="O740" s="63">
        <f>if(A740,_xlfn.WORKDAY.INTL(A740,O$5,"1000000",Holidays!A:A)+hour(A740)/24+MINUTE(A740)/1440,"")</f>
        <v>45970.48611</v>
      </c>
      <c r="P740" s="64" t="s">
        <v>2718</v>
      </c>
      <c r="R740" s="66">
        <f t="shared" si="5"/>
        <v>163.4977988</v>
      </c>
      <c r="S740" s="66"/>
      <c r="T740" s="66"/>
      <c r="U740" s="64">
        <f>if(O740,_xlfn.WORKDAY.INTL(O740,U$5,"1000000",Holidays!A:A)+hour(O740)/24+MINUTE(O740)/1440,"")</f>
        <v>45972.48611</v>
      </c>
      <c r="V740" s="64" t="str">
        <f t="shared" si="6"/>
        <v/>
      </c>
      <c r="W740" s="66"/>
      <c r="X740" s="66">
        <f t="shared" si="7"/>
        <v>161.4977988</v>
      </c>
      <c r="Y740" s="66"/>
      <c r="Z740" s="66"/>
      <c r="AA740" s="66"/>
      <c r="AB740" s="63"/>
      <c r="AC740" s="63"/>
      <c r="AD740" s="63"/>
      <c r="AE740" s="63"/>
      <c r="AF740" s="63"/>
      <c r="AG740" s="63"/>
      <c r="AH740" s="63" t="str">
        <f t="shared" si="14"/>
        <v/>
      </c>
      <c r="AI740" s="63" t="str">
        <f>if(AH740,_xlfn.workday.intl(int(AH740),0,"1000000",Holidays!A:A)+18/24,"")</f>
        <v/>
      </c>
      <c r="AJ740" s="64" t="str">
        <f t="shared" si="24"/>
        <v/>
      </c>
      <c r="AL740" s="66" t="str">
        <f t="shared" si="9"/>
        <v/>
      </c>
      <c r="AM740" s="66"/>
      <c r="AN740" s="63" t="str">
        <f>if(AJ740,if(and(hour(AJ740+AN$5)&gt;11,(hour(AJ740+AN$5)&lt;20)),AJ740+AN$5,_xlfn.workday.intl(int(AJ740),1,"1000000",Holidays!A:A)+hour(AJ740+AN$5-$B$1)/24+minute(AJ740)/1440),"")</f>
        <v/>
      </c>
      <c r="AO740" s="64" t="str">
        <f t="shared" si="15"/>
        <v/>
      </c>
      <c r="AQ740" s="66" t="str">
        <f t="shared" si="16"/>
        <v/>
      </c>
      <c r="AR740" s="66"/>
      <c r="AS740" s="63" t="str">
        <f>if(AJ740,if(and(hour(AJ740+AS$5)&gt;11,(hour(AJ740+AS$5)&lt;20)),AJ740+AS$5,_xlfn.workday.intl(int(AJ740),1,"1000000",Holidays!A:A)+hour(AJ740+AS$5-$B$1)/24+minute(AJ740)/1440),"")</f>
        <v/>
      </c>
      <c r="AT740" s="64" t="str">
        <f t="shared" si="21"/>
        <v/>
      </c>
      <c r="AV740" s="66" t="str">
        <f t="shared" si="25"/>
        <v/>
      </c>
      <c r="AW740" s="66"/>
      <c r="AX740" s="56"/>
    </row>
    <row r="741">
      <c r="A741" s="55">
        <v>45969.489836574074</v>
      </c>
      <c r="B741" s="56"/>
      <c r="C741" s="57"/>
      <c r="D741" s="57"/>
      <c r="E741" s="57"/>
      <c r="F741" s="57"/>
      <c r="G741" s="58">
        <f>if(A741,_xlfn.workday.intl(int(A741),1,"1000000",Holidays!A:A)+17/24,"")</f>
        <v>45970.70833</v>
      </c>
      <c r="H741" s="59" t="str">
        <f t="shared" si="23"/>
        <v/>
      </c>
      <c r="I741" s="60"/>
      <c r="J741" s="61">
        <f t="shared" si="2"/>
        <v>163.2755766</v>
      </c>
      <c r="K741" s="58">
        <f>if(G741,_xlfn.workday.intl(int(G741),0,"1000000",Holidays!A:A)+19/24,"")</f>
        <v>45970.79167</v>
      </c>
      <c r="L741" s="59" t="str">
        <f t="shared" si="3"/>
        <v/>
      </c>
      <c r="M741" s="60"/>
      <c r="N741" s="61">
        <f t="shared" si="4"/>
        <v>163.1922432</v>
      </c>
      <c r="O741" s="63">
        <f>if(A741,_xlfn.WORKDAY.INTL(A741,O$5,"1000000",Holidays!A:A)+hour(A741)/24+MINUTE(A741)/1440,"")</f>
        <v>45970.48958</v>
      </c>
      <c r="P741" s="64" t="s">
        <v>2718</v>
      </c>
      <c r="R741" s="66">
        <f t="shared" si="5"/>
        <v>163.4943266</v>
      </c>
      <c r="S741" s="66"/>
      <c r="T741" s="66"/>
      <c r="U741" s="64">
        <f>if(O741,_xlfn.WORKDAY.INTL(O741,U$5,"1000000",Holidays!A:A)+hour(O741)/24+MINUTE(O741)/1440,"")</f>
        <v>45972.48958</v>
      </c>
      <c r="V741" s="64" t="str">
        <f t="shared" si="6"/>
        <v/>
      </c>
      <c r="W741" s="66"/>
      <c r="X741" s="66">
        <f t="shared" si="7"/>
        <v>161.4943266</v>
      </c>
      <c r="Y741" s="66"/>
      <c r="Z741" s="66"/>
      <c r="AA741" s="66"/>
      <c r="AB741" s="63"/>
      <c r="AC741" s="63"/>
      <c r="AD741" s="63"/>
      <c r="AE741" s="63"/>
      <c r="AF741" s="63"/>
      <c r="AG741" s="63"/>
      <c r="AH741" s="63" t="str">
        <f t="shared" si="14"/>
        <v/>
      </c>
      <c r="AI741" s="63" t="str">
        <f>if(AH741,_xlfn.workday.intl(int(AH741),0,"1000000",Holidays!A:A)+18/24,"")</f>
        <v/>
      </c>
      <c r="AJ741" s="64" t="str">
        <f t="shared" si="24"/>
        <v/>
      </c>
      <c r="AL741" s="66" t="str">
        <f t="shared" si="9"/>
        <v/>
      </c>
      <c r="AM741" s="66"/>
      <c r="AN741" s="63" t="str">
        <f>if(AJ741,if(and(hour(AJ741+AN$5)&gt;11,(hour(AJ741+AN$5)&lt;20)),AJ741+AN$5,_xlfn.workday.intl(int(AJ741),1,"1000000",Holidays!A:A)+hour(AJ741+AN$5-$B$1)/24+minute(AJ741)/1440),"")</f>
        <v/>
      </c>
      <c r="AO741" s="64" t="str">
        <f t="shared" si="15"/>
        <v/>
      </c>
      <c r="AQ741" s="66" t="str">
        <f t="shared" si="16"/>
        <v/>
      </c>
      <c r="AR741" s="66"/>
      <c r="AS741" s="63" t="str">
        <f>if(AJ741,if(and(hour(AJ741+AS$5)&gt;11,(hour(AJ741+AS$5)&lt;20)),AJ741+AS$5,_xlfn.workday.intl(int(AJ741),1,"1000000",Holidays!A:A)+hour(AJ741+AS$5-$B$1)/24+minute(AJ741)/1440),"")</f>
        <v/>
      </c>
      <c r="AT741" s="64" t="str">
        <f t="shared" si="21"/>
        <v/>
      </c>
      <c r="AV741" s="66" t="str">
        <f t="shared" si="25"/>
        <v/>
      </c>
      <c r="AW741" s="66"/>
      <c r="AX741" s="56"/>
    </row>
    <row r="742">
      <c r="A742" s="55">
        <v>45969.49170528935</v>
      </c>
      <c r="B742" s="56"/>
      <c r="C742" s="57"/>
      <c r="D742" s="57"/>
      <c r="E742" s="57"/>
      <c r="F742" s="57"/>
      <c r="G742" s="58">
        <f>if(A742,_xlfn.workday.intl(int(A742),1,"1000000",Holidays!A:A)+17/24,"")</f>
        <v>45970.70833</v>
      </c>
      <c r="H742" s="59" t="str">
        <f t="shared" si="23"/>
        <v/>
      </c>
      <c r="I742" s="60"/>
      <c r="J742" s="61">
        <f t="shared" si="2"/>
        <v>163.2755766</v>
      </c>
      <c r="K742" s="58">
        <f>if(G742,_xlfn.workday.intl(int(G742),0,"1000000",Holidays!A:A)+19/24,"")</f>
        <v>45970.79167</v>
      </c>
      <c r="L742" s="59" t="str">
        <f t="shared" si="3"/>
        <v/>
      </c>
      <c r="M742" s="60"/>
      <c r="N742" s="61">
        <f t="shared" si="4"/>
        <v>163.1922432</v>
      </c>
      <c r="O742" s="63">
        <f>if(A742,_xlfn.WORKDAY.INTL(A742,O$5,"1000000",Holidays!A:A)+hour(A742)/24+MINUTE(A742)/1440,"")</f>
        <v>45970.49167</v>
      </c>
      <c r="P742" s="64" t="s">
        <v>2718</v>
      </c>
      <c r="R742" s="66">
        <f t="shared" si="5"/>
        <v>163.4922432</v>
      </c>
      <c r="S742" s="66"/>
      <c r="T742" s="66"/>
      <c r="U742" s="64">
        <f>if(O742,_xlfn.WORKDAY.INTL(O742,U$5,"1000000",Holidays!A:A)+hour(O742)/24+MINUTE(O742)/1440,"")</f>
        <v>45972.49167</v>
      </c>
      <c r="V742" s="64" t="str">
        <f t="shared" si="6"/>
        <v/>
      </c>
      <c r="W742" s="66"/>
      <c r="X742" s="66">
        <f t="shared" si="7"/>
        <v>161.4922432</v>
      </c>
      <c r="Y742" s="66"/>
      <c r="Z742" s="66"/>
      <c r="AA742" s="66"/>
      <c r="AB742" s="63"/>
      <c r="AC742" s="63"/>
      <c r="AD742" s="63"/>
      <c r="AE742" s="63"/>
      <c r="AF742" s="63"/>
      <c r="AG742" s="63"/>
      <c r="AH742" s="63" t="str">
        <f t="shared" si="14"/>
        <v/>
      </c>
      <c r="AI742" s="63" t="str">
        <f>if(AH742,_xlfn.workday.intl(int(AH742),0,"1000000",Holidays!A:A)+18/24,"")</f>
        <v/>
      </c>
      <c r="AJ742" s="64" t="str">
        <f t="shared" si="24"/>
        <v/>
      </c>
      <c r="AL742" s="66" t="str">
        <f t="shared" si="9"/>
        <v/>
      </c>
      <c r="AM742" s="66"/>
      <c r="AN742" s="63" t="str">
        <f>if(AJ742,if(and(hour(AJ742+AN$5)&gt;11,(hour(AJ742+AN$5)&lt;20)),AJ742+AN$5,_xlfn.workday.intl(int(AJ742),1,"1000000",Holidays!A:A)+hour(AJ742+AN$5-$B$1)/24+minute(AJ742)/1440),"")</f>
        <v/>
      </c>
      <c r="AO742" s="64" t="str">
        <f t="shared" si="15"/>
        <v/>
      </c>
      <c r="AQ742" s="66" t="str">
        <f t="shared" si="16"/>
        <v/>
      </c>
      <c r="AR742" s="66"/>
      <c r="AS742" s="63" t="str">
        <f>if(AJ742,if(and(hour(AJ742+AS$5)&gt;11,(hour(AJ742+AS$5)&lt;20)),AJ742+AS$5,_xlfn.workday.intl(int(AJ742),1,"1000000",Holidays!A:A)+hour(AJ742+AS$5-$B$1)/24+minute(AJ742)/1440),"")</f>
        <v/>
      </c>
      <c r="AT742" s="64" t="str">
        <f t="shared" si="21"/>
        <v/>
      </c>
      <c r="AV742" s="66" t="str">
        <f t="shared" si="25"/>
        <v/>
      </c>
      <c r="AW742" s="66"/>
      <c r="AX742" s="56"/>
    </row>
    <row r="743">
      <c r="A743" s="55">
        <v>45969.66087284722</v>
      </c>
      <c r="B743" s="56"/>
      <c r="C743" s="57"/>
      <c r="D743" s="57"/>
      <c r="E743" s="57"/>
      <c r="F743" s="57"/>
      <c r="G743" s="58">
        <f>if(A743,_xlfn.workday.intl(int(A743),1,"1000000",Holidays!A:A)+17/24,"")</f>
        <v>45970.70833</v>
      </c>
      <c r="H743" s="59" t="str">
        <f t="shared" si="23"/>
        <v/>
      </c>
      <c r="I743" s="60"/>
      <c r="J743" s="61">
        <f t="shared" si="2"/>
        <v>163.2755766</v>
      </c>
      <c r="K743" s="58">
        <f>if(G743,_xlfn.workday.intl(int(G743),0,"1000000",Holidays!A:A)+19/24,"")</f>
        <v>45970.79167</v>
      </c>
      <c r="L743" s="59" t="str">
        <f t="shared" si="3"/>
        <v/>
      </c>
      <c r="M743" s="60"/>
      <c r="N743" s="61">
        <f t="shared" si="4"/>
        <v>163.1922432</v>
      </c>
      <c r="O743" s="63">
        <f>if(A743,_xlfn.WORKDAY.INTL(A743,O$5,"1000000",Holidays!A:A)+hour(A743)/24+MINUTE(A743)/1440,"")</f>
        <v>45970.66042</v>
      </c>
      <c r="P743" s="64" t="s">
        <v>2718</v>
      </c>
      <c r="R743" s="66">
        <f t="shared" si="5"/>
        <v>163.3234932</v>
      </c>
      <c r="S743" s="66"/>
      <c r="T743" s="66"/>
      <c r="U743" s="64">
        <f>if(O743,_xlfn.WORKDAY.INTL(O743,U$5,"1000000",Holidays!A:A)+hour(O743)/24+MINUTE(O743)/1440,"")</f>
        <v>45972.66042</v>
      </c>
      <c r="V743" s="64" t="str">
        <f t="shared" si="6"/>
        <v/>
      </c>
      <c r="W743" s="66"/>
      <c r="X743" s="66">
        <f t="shared" si="7"/>
        <v>161.3234932</v>
      </c>
      <c r="Y743" s="66"/>
      <c r="Z743" s="66"/>
      <c r="AA743" s="66"/>
      <c r="AB743" s="63"/>
      <c r="AC743" s="63"/>
      <c r="AD743" s="63"/>
      <c r="AE743" s="63"/>
      <c r="AF743" s="63"/>
      <c r="AG743" s="63"/>
      <c r="AH743" s="63" t="str">
        <f t="shared" si="14"/>
        <v/>
      </c>
      <c r="AI743" s="63" t="str">
        <f>if(AH743,_xlfn.workday.intl(int(AH743),0,"1000000",Holidays!A:A)+18/24,"")</f>
        <v/>
      </c>
      <c r="AJ743" s="64" t="str">
        <f t="shared" si="24"/>
        <v/>
      </c>
      <c r="AL743" s="66" t="str">
        <f t="shared" si="9"/>
        <v/>
      </c>
      <c r="AM743" s="66"/>
      <c r="AN743" s="63" t="str">
        <f>if(AJ743,if(and(hour(AJ743+AN$5)&gt;11,(hour(AJ743+AN$5)&lt;20)),AJ743+AN$5,_xlfn.workday.intl(int(AJ743),1,"1000000",Holidays!A:A)+hour(AJ743+AN$5-$B$1)/24+minute(AJ743)/1440),"")</f>
        <v/>
      </c>
      <c r="AO743" s="64" t="str">
        <f t="shared" si="15"/>
        <v/>
      </c>
      <c r="AQ743" s="66" t="str">
        <f t="shared" si="16"/>
        <v/>
      </c>
      <c r="AR743" s="66"/>
      <c r="AS743" s="63" t="str">
        <f>if(AJ743,if(and(hour(AJ743+AS$5)&gt;11,(hour(AJ743+AS$5)&lt;20)),AJ743+AS$5,_xlfn.workday.intl(int(AJ743),1,"1000000",Holidays!A:A)+hour(AJ743+AS$5-$B$1)/24+minute(AJ743)/1440),"")</f>
        <v/>
      </c>
      <c r="AT743" s="64" t="str">
        <f t="shared" si="21"/>
        <v/>
      </c>
      <c r="AV743" s="66" t="str">
        <f t="shared" si="25"/>
        <v/>
      </c>
      <c r="AW743" s="66"/>
      <c r="AX743" s="56"/>
    </row>
    <row r="744">
      <c r="A744" s="55">
        <v>45969.665445694445</v>
      </c>
      <c r="B744" s="56"/>
      <c r="C744" s="57"/>
      <c r="D744" s="57"/>
      <c r="E744" s="57"/>
      <c r="F744" s="57"/>
      <c r="G744" s="58">
        <f>if(A744,_xlfn.workday.intl(int(A744),1,"1000000",Holidays!A:A)+17/24,"")</f>
        <v>45970.70833</v>
      </c>
      <c r="H744" s="59" t="str">
        <f t="shared" si="23"/>
        <v/>
      </c>
      <c r="I744" s="60"/>
      <c r="J744" s="61">
        <f t="shared" si="2"/>
        <v>163.2755766</v>
      </c>
      <c r="K744" s="58">
        <f>if(G744,_xlfn.workday.intl(int(G744),0,"1000000",Holidays!A:A)+19/24,"")</f>
        <v>45970.79167</v>
      </c>
      <c r="L744" s="59" t="str">
        <f t="shared" si="3"/>
        <v/>
      </c>
      <c r="M744" s="60"/>
      <c r="N744" s="61">
        <f t="shared" si="4"/>
        <v>163.1922432</v>
      </c>
      <c r="O744" s="63">
        <f>if(A744,_xlfn.WORKDAY.INTL(A744,O$5,"1000000",Holidays!A:A)+hour(A744)/24+MINUTE(A744)/1440,"")</f>
        <v>45970.66528</v>
      </c>
      <c r="P744" s="64" t="s">
        <v>2718</v>
      </c>
      <c r="R744" s="66">
        <f t="shared" si="5"/>
        <v>163.3186321</v>
      </c>
      <c r="S744" s="66"/>
      <c r="T744" s="66"/>
      <c r="U744" s="64">
        <f>if(O744,_xlfn.WORKDAY.INTL(O744,U$5,"1000000",Holidays!A:A)+hour(O744)/24+MINUTE(O744)/1440,"")</f>
        <v>45972.66528</v>
      </c>
      <c r="V744" s="64" t="str">
        <f t="shared" si="6"/>
        <v/>
      </c>
      <c r="W744" s="66"/>
      <c r="X744" s="66">
        <f t="shared" si="7"/>
        <v>161.3186321</v>
      </c>
      <c r="Y744" s="66"/>
      <c r="Z744" s="66"/>
      <c r="AA744" s="66"/>
      <c r="AB744" s="63"/>
      <c r="AC744" s="63"/>
      <c r="AD744" s="63"/>
      <c r="AE744" s="63"/>
      <c r="AF744" s="63"/>
      <c r="AG744" s="63"/>
      <c r="AH744" s="63" t="str">
        <f t="shared" si="14"/>
        <v/>
      </c>
      <c r="AI744" s="63" t="str">
        <f>if(AH744,_xlfn.workday.intl(int(AH744),0,"1000000",Holidays!A:A)+18/24,"")</f>
        <v/>
      </c>
      <c r="AJ744" s="64" t="str">
        <f t="shared" si="24"/>
        <v/>
      </c>
      <c r="AL744" s="66" t="str">
        <f t="shared" si="9"/>
        <v/>
      </c>
      <c r="AM744" s="66"/>
      <c r="AN744" s="63" t="str">
        <f>if(AJ744,if(and(hour(AJ744+AN$5)&gt;11,(hour(AJ744+AN$5)&lt;20)),AJ744+AN$5,_xlfn.workday.intl(int(AJ744),1,"1000000",Holidays!A:A)+hour(AJ744+AN$5-$B$1)/24+minute(AJ744)/1440),"")</f>
        <v/>
      </c>
      <c r="AO744" s="64" t="str">
        <f t="shared" si="15"/>
        <v/>
      </c>
      <c r="AQ744" s="66" t="str">
        <f t="shared" si="16"/>
        <v/>
      </c>
      <c r="AR744" s="66"/>
      <c r="AS744" s="63" t="str">
        <f>if(AJ744,if(and(hour(AJ744+AS$5)&gt;11,(hour(AJ744+AS$5)&lt;20)),AJ744+AS$5,_xlfn.workday.intl(int(AJ744),1,"1000000",Holidays!A:A)+hour(AJ744+AS$5-$B$1)/24+minute(AJ744)/1440),"")</f>
        <v/>
      </c>
      <c r="AT744" s="64" t="str">
        <f t="shared" si="21"/>
        <v/>
      </c>
      <c r="AV744" s="66" t="str">
        <f t="shared" si="25"/>
        <v/>
      </c>
      <c r="AW744" s="66"/>
      <c r="AX744" s="56"/>
    </row>
    <row r="745">
      <c r="A745" s="55">
        <v>45969.66631677083</v>
      </c>
      <c r="B745" s="56"/>
      <c r="C745" s="57"/>
      <c r="D745" s="57"/>
      <c r="E745" s="57"/>
      <c r="F745" s="57"/>
      <c r="G745" s="58">
        <f>if(A745,_xlfn.workday.intl(int(A745),1,"1000000",Holidays!A:A)+17/24,"")</f>
        <v>45970.70833</v>
      </c>
      <c r="H745" s="59" t="str">
        <f t="shared" si="23"/>
        <v/>
      </c>
      <c r="I745" s="60"/>
      <c r="J745" s="61">
        <f t="shared" si="2"/>
        <v>163.2755766</v>
      </c>
      <c r="K745" s="58">
        <f>if(G745,_xlfn.workday.intl(int(G745),0,"1000000",Holidays!A:A)+19/24,"")</f>
        <v>45970.79167</v>
      </c>
      <c r="L745" s="59" t="str">
        <f t="shared" si="3"/>
        <v/>
      </c>
      <c r="M745" s="60"/>
      <c r="N745" s="61">
        <f t="shared" si="4"/>
        <v>163.1922432</v>
      </c>
      <c r="O745" s="63">
        <f>if(A745,_xlfn.WORKDAY.INTL(A745,O$5,"1000000",Holidays!A:A)+hour(A745)/24+MINUTE(A745)/1440,"")</f>
        <v>45970.66597</v>
      </c>
      <c r="P745" s="64" t="s">
        <v>2718</v>
      </c>
      <c r="R745" s="66">
        <f t="shared" si="5"/>
        <v>163.3179377</v>
      </c>
      <c r="S745" s="66"/>
      <c r="T745" s="66"/>
      <c r="U745" s="64">
        <f>if(O745,_xlfn.WORKDAY.INTL(O745,U$5,"1000000",Holidays!A:A)+hour(O745)/24+MINUTE(O745)/1440,"")</f>
        <v>45972.66597</v>
      </c>
      <c r="V745" s="64" t="str">
        <f t="shared" si="6"/>
        <v/>
      </c>
      <c r="W745" s="66"/>
      <c r="X745" s="66">
        <f t="shared" si="7"/>
        <v>161.3179377</v>
      </c>
      <c r="Y745" s="66"/>
      <c r="Z745" s="66"/>
      <c r="AA745" s="66"/>
      <c r="AB745" s="63"/>
      <c r="AC745" s="63"/>
      <c r="AD745" s="63"/>
      <c r="AE745" s="63"/>
      <c r="AF745" s="63"/>
      <c r="AG745" s="63"/>
      <c r="AH745" s="63" t="str">
        <f t="shared" si="14"/>
        <v/>
      </c>
      <c r="AI745" s="63" t="str">
        <f>if(AH745,_xlfn.workday.intl(int(AH745),0,"1000000",Holidays!A:A)+18/24,"")</f>
        <v/>
      </c>
      <c r="AJ745" s="64" t="str">
        <f t="shared" si="24"/>
        <v/>
      </c>
      <c r="AL745" s="66" t="str">
        <f t="shared" si="9"/>
        <v/>
      </c>
      <c r="AM745" s="66"/>
      <c r="AN745" s="63" t="str">
        <f>if(AJ745,if(and(hour(AJ745+AN$5)&gt;11,(hour(AJ745+AN$5)&lt;20)),AJ745+AN$5,_xlfn.workday.intl(int(AJ745),1,"1000000",Holidays!A:A)+hour(AJ745+AN$5-$B$1)/24+minute(AJ745)/1440),"")</f>
        <v/>
      </c>
      <c r="AO745" s="64" t="str">
        <f t="shared" si="15"/>
        <v/>
      </c>
      <c r="AQ745" s="66" t="str">
        <f t="shared" si="16"/>
        <v/>
      </c>
      <c r="AR745" s="66"/>
      <c r="AS745" s="63" t="str">
        <f>if(AJ745,if(and(hour(AJ745+AS$5)&gt;11,(hour(AJ745+AS$5)&lt;20)),AJ745+AS$5,_xlfn.workday.intl(int(AJ745),1,"1000000",Holidays!A:A)+hour(AJ745+AS$5-$B$1)/24+minute(AJ745)/1440),"")</f>
        <v/>
      </c>
      <c r="AT745" s="64" t="str">
        <f t="shared" si="21"/>
        <v/>
      </c>
      <c r="AV745" s="66" t="str">
        <f t="shared" si="25"/>
        <v/>
      </c>
      <c r="AW745" s="66"/>
      <c r="AX745" s="56"/>
    </row>
    <row r="746">
      <c r="A746" s="55">
        <v>45969.66752710648</v>
      </c>
      <c r="B746" s="56"/>
      <c r="C746" s="57"/>
      <c r="D746" s="57"/>
      <c r="E746" s="57"/>
      <c r="F746" s="57"/>
      <c r="G746" s="58">
        <f>if(A746,_xlfn.workday.intl(int(A746),1,"1000000",Holidays!A:A)+17/24,"")</f>
        <v>45970.70833</v>
      </c>
      <c r="H746" s="59" t="str">
        <f t="shared" si="23"/>
        <v/>
      </c>
      <c r="I746" s="60"/>
      <c r="J746" s="61">
        <f t="shared" si="2"/>
        <v>163.2755766</v>
      </c>
      <c r="K746" s="58">
        <f>if(G746,_xlfn.workday.intl(int(G746),0,"1000000",Holidays!A:A)+19/24,"")</f>
        <v>45970.79167</v>
      </c>
      <c r="L746" s="59" t="str">
        <f t="shared" si="3"/>
        <v/>
      </c>
      <c r="M746" s="60"/>
      <c r="N746" s="61">
        <f t="shared" si="4"/>
        <v>163.1922432</v>
      </c>
      <c r="O746" s="63">
        <f>if(A746,_xlfn.WORKDAY.INTL(A746,O$5,"1000000",Holidays!A:A)+hour(A746)/24+MINUTE(A746)/1440,"")</f>
        <v>45970.66736</v>
      </c>
      <c r="P746" s="64" t="s">
        <v>2718</v>
      </c>
      <c r="R746" s="66">
        <f t="shared" si="5"/>
        <v>163.3165488</v>
      </c>
      <c r="S746" s="66"/>
      <c r="T746" s="66"/>
      <c r="U746" s="64">
        <f>if(O746,_xlfn.WORKDAY.INTL(O746,U$5,"1000000",Holidays!A:A)+hour(O746)/24+MINUTE(O746)/1440,"")</f>
        <v>45972.66736</v>
      </c>
      <c r="V746" s="64" t="str">
        <f t="shared" si="6"/>
        <v/>
      </c>
      <c r="W746" s="66"/>
      <c r="X746" s="66">
        <f t="shared" si="7"/>
        <v>161.3165488</v>
      </c>
      <c r="Y746" s="66"/>
      <c r="Z746" s="66"/>
      <c r="AA746" s="66"/>
      <c r="AB746" s="63"/>
      <c r="AC746" s="63"/>
      <c r="AD746" s="63"/>
      <c r="AE746" s="63"/>
      <c r="AF746" s="63"/>
      <c r="AG746" s="63"/>
      <c r="AH746" s="63" t="str">
        <f t="shared" si="14"/>
        <v/>
      </c>
      <c r="AI746" s="63" t="str">
        <f>if(AH746,_xlfn.workday.intl(int(AH746),0,"1000000",Holidays!A:A)+18/24,"")</f>
        <v/>
      </c>
      <c r="AJ746" s="64" t="str">
        <f t="shared" si="24"/>
        <v/>
      </c>
      <c r="AL746" s="66" t="str">
        <f t="shared" si="9"/>
        <v/>
      </c>
      <c r="AM746" s="66"/>
      <c r="AN746" s="63" t="str">
        <f>if(AJ746,if(and(hour(AJ746+AN$5)&gt;11,(hour(AJ746+AN$5)&lt;20)),AJ746+AN$5,_xlfn.workday.intl(int(AJ746),1,"1000000",Holidays!A:A)+hour(AJ746+AN$5-$B$1)/24+minute(AJ746)/1440),"")</f>
        <v/>
      </c>
      <c r="AO746" s="64" t="str">
        <f t="shared" si="15"/>
        <v/>
      </c>
      <c r="AQ746" s="66" t="str">
        <f t="shared" si="16"/>
        <v/>
      </c>
      <c r="AR746" s="66"/>
      <c r="AS746" s="63" t="str">
        <f>if(AJ746,if(and(hour(AJ746+AS$5)&gt;11,(hour(AJ746+AS$5)&lt;20)),AJ746+AS$5,_xlfn.workday.intl(int(AJ746),1,"1000000",Holidays!A:A)+hour(AJ746+AS$5-$B$1)/24+minute(AJ746)/1440),"")</f>
        <v/>
      </c>
      <c r="AT746" s="64" t="str">
        <f t="shared" si="21"/>
        <v/>
      </c>
      <c r="AV746" s="66" t="str">
        <f t="shared" si="25"/>
        <v/>
      </c>
      <c r="AW746" s="66"/>
      <c r="AX746" s="56"/>
    </row>
    <row r="747">
      <c r="A747" s="55">
        <v>45969.66915135417</v>
      </c>
      <c r="B747" s="56"/>
      <c r="C747" s="57"/>
      <c r="D747" s="57"/>
      <c r="E747" s="57"/>
      <c r="F747" s="57"/>
      <c r="G747" s="58">
        <f>if(A747,_xlfn.workday.intl(int(A747),1,"1000000",Holidays!A:A)+17/24,"")</f>
        <v>45970.70833</v>
      </c>
      <c r="H747" s="59" t="str">
        <f t="shared" si="23"/>
        <v/>
      </c>
      <c r="I747" s="60"/>
      <c r="J747" s="61">
        <f t="shared" si="2"/>
        <v>163.2755766</v>
      </c>
      <c r="K747" s="58">
        <f>if(G747,_xlfn.workday.intl(int(G747),0,"1000000",Holidays!A:A)+19/24,"")</f>
        <v>45970.79167</v>
      </c>
      <c r="L747" s="59" t="str">
        <f t="shared" si="3"/>
        <v/>
      </c>
      <c r="M747" s="60"/>
      <c r="N747" s="61">
        <f t="shared" si="4"/>
        <v>163.1922432</v>
      </c>
      <c r="O747" s="63">
        <f>if(A747,_xlfn.WORKDAY.INTL(A747,O$5,"1000000",Holidays!A:A)+hour(A747)/24+MINUTE(A747)/1440,"")</f>
        <v>45970.66875</v>
      </c>
      <c r="P747" s="64" t="s">
        <v>2718</v>
      </c>
      <c r="R747" s="66">
        <f t="shared" si="5"/>
        <v>163.3151599</v>
      </c>
      <c r="S747" s="66"/>
      <c r="T747" s="66"/>
      <c r="U747" s="64">
        <f>if(O747,_xlfn.WORKDAY.INTL(O747,U$5,"1000000",Holidays!A:A)+hour(O747)/24+MINUTE(O747)/1440,"")</f>
        <v>45972.66875</v>
      </c>
      <c r="V747" s="64" t="str">
        <f t="shared" si="6"/>
        <v/>
      </c>
      <c r="W747" s="66"/>
      <c r="X747" s="66">
        <f t="shared" si="7"/>
        <v>161.3151599</v>
      </c>
      <c r="Y747" s="66"/>
      <c r="Z747" s="66"/>
      <c r="AA747" s="66"/>
      <c r="AB747" s="63"/>
      <c r="AC747" s="63"/>
      <c r="AD747" s="63"/>
      <c r="AE747" s="63"/>
      <c r="AF747" s="63"/>
      <c r="AG747" s="63"/>
      <c r="AH747" s="63" t="str">
        <f t="shared" si="14"/>
        <v/>
      </c>
      <c r="AI747" s="63" t="str">
        <f>if(AH747,_xlfn.workday.intl(int(AH747),0,"1000000",Holidays!A:A)+18/24,"")</f>
        <v/>
      </c>
      <c r="AJ747" s="64" t="str">
        <f t="shared" si="24"/>
        <v/>
      </c>
      <c r="AL747" s="66" t="str">
        <f t="shared" si="9"/>
        <v/>
      </c>
      <c r="AM747" s="66"/>
      <c r="AN747" s="63" t="str">
        <f>if(AJ747,if(and(hour(AJ747+AN$5)&gt;11,(hour(AJ747+AN$5)&lt;20)),AJ747+AN$5,_xlfn.workday.intl(int(AJ747),1,"1000000",Holidays!A:A)+hour(AJ747+AN$5-$B$1)/24+minute(AJ747)/1440),"")</f>
        <v/>
      </c>
      <c r="AO747" s="64" t="str">
        <f t="shared" si="15"/>
        <v/>
      </c>
      <c r="AQ747" s="66" t="str">
        <f t="shared" si="16"/>
        <v/>
      </c>
      <c r="AR747" s="66"/>
      <c r="AS747" s="63" t="str">
        <f>if(AJ747,if(and(hour(AJ747+AS$5)&gt;11,(hour(AJ747+AS$5)&lt;20)),AJ747+AS$5,_xlfn.workday.intl(int(AJ747),1,"1000000",Holidays!A:A)+hour(AJ747+AS$5-$B$1)/24+minute(AJ747)/1440),"")</f>
        <v/>
      </c>
      <c r="AT747" s="64" t="str">
        <f t="shared" si="21"/>
        <v/>
      </c>
      <c r="AV747" s="66" t="str">
        <f t="shared" si="25"/>
        <v/>
      </c>
      <c r="AW747" s="66"/>
      <c r="AX747" s="56"/>
    </row>
    <row r="748">
      <c r="A748" s="55">
        <v>45972.52396494213</v>
      </c>
      <c r="B748" s="56"/>
      <c r="C748" s="57"/>
      <c r="D748" s="57"/>
      <c r="E748" s="57"/>
      <c r="F748" s="57"/>
      <c r="G748" s="58">
        <f>if(A748,_xlfn.workday.intl(int(A748),1,"1000000",Holidays!A:A)+17/24,"")</f>
        <v>45973.70833</v>
      </c>
      <c r="H748" s="59" t="str">
        <f t="shared" si="23"/>
        <v/>
      </c>
      <c r="I748" s="60"/>
      <c r="J748" s="61">
        <f t="shared" si="2"/>
        <v>160.2755766</v>
      </c>
      <c r="K748" s="58">
        <f>if(G748,_xlfn.workday.intl(int(G748),0,"1000000",Holidays!A:A)+19/24,"")</f>
        <v>45973.79167</v>
      </c>
      <c r="L748" s="59" t="str">
        <f t="shared" si="3"/>
        <v/>
      </c>
      <c r="M748" s="60"/>
      <c r="N748" s="61">
        <f t="shared" si="4"/>
        <v>160.1922432</v>
      </c>
      <c r="O748" s="63">
        <f>if(A748,_xlfn.WORKDAY.INTL(A748,O$5,"1000000",Holidays!A:A)+hour(A748)/24+MINUTE(A748)/1440,"")</f>
        <v>45973.52361</v>
      </c>
      <c r="P748" s="64" t="s">
        <v>2718</v>
      </c>
      <c r="R748" s="66">
        <f t="shared" si="5"/>
        <v>160.4602988</v>
      </c>
      <c r="S748" s="66"/>
      <c r="T748" s="66"/>
      <c r="U748" s="64">
        <f>if(O748,_xlfn.WORKDAY.INTL(O748,U$5,"1000000",Holidays!A:A)+hour(O748)/24+MINUTE(O748)/1440,"")</f>
        <v>45974.52361</v>
      </c>
      <c r="V748" s="64" t="str">
        <f t="shared" si="6"/>
        <v/>
      </c>
      <c r="W748" s="66"/>
      <c r="X748" s="66">
        <f t="shared" si="7"/>
        <v>159.4602988</v>
      </c>
      <c r="Y748" s="66"/>
      <c r="Z748" s="66"/>
      <c r="AA748" s="66"/>
      <c r="AB748" s="63"/>
      <c r="AC748" s="63"/>
      <c r="AD748" s="63"/>
      <c r="AE748" s="63"/>
      <c r="AF748" s="63"/>
      <c r="AG748" s="63"/>
      <c r="AH748" s="63" t="str">
        <f t="shared" si="14"/>
        <v/>
      </c>
      <c r="AI748" s="63" t="str">
        <f>if(AH748,_xlfn.workday.intl(int(AH748),0,"1000000",Holidays!A:A)+18/24,"")</f>
        <v/>
      </c>
      <c r="AJ748" s="64" t="str">
        <f t="shared" si="24"/>
        <v/>
      </c>
      <c r="AL748" s="66" t="str">
        <f t="shared" si="9"/>
        <v/>
      </c>
      <c r="AM748" s="66"/>
      <c r="AN748" s="63" t="str">
        <f>if(AJ748,if(and(hour(AJ748+AN$5)&gt;11,(hour(AJ748+AN$5)&lt;20)),AJ748+AN$5,_xlfn.workday.intl(int(AJ748),1,"1000000",Holidays!A:A)+hour(AJ748+AN$5-$B$1)/24+minute(AJ748)/1440),"")</f>
        <v/>
      </c>
      <c r="AO748" s="64" t="str">
        <f t="shared" si="15"/>
        <v/>
      </c>
      <c r="AQ748" s="66" t="str">
        <f t="shared" si="16"/>
        <v/>
      </c>
      <c r="AR748" s="66"/>
      <c r="AS748" s="63" t="str">
        <f>if(AJ748,if(and(hour(AJ748+AS$5)&gt;11,(hour(AJ748+AS$5)&lt;20)),AJ748+AS$5,_xlfn.workday.intl(int(AJ748),1,"1000000",Holidays!A:A)+hour(AJ748+AS$5-$B$1)/24+minute(AJ748)/1440),"")</f>
        <v/>
      </c>
      <c r="AT748" s="64" t="str">
        <f t="shared" si="21"/>
        <v/>
      </c>
      <c r="AV748" s="66" t="str">
        <f t="shared" si="25"/>
        <v/>
      </c>
      <c r="AW748" s="66"/>
      <c r="AX748" s="56"/>
    </row>
    <row r="749">
      <c r="A749" s="55">
        <v>45972.554236979166</v>
      </c>
      <c r="B749" s="56"/>
      <c r="C749" s="57"/>
      <c r="D749" s="57"/>
      <c r="E749" s="57"/>
      <c r="F749" s="57"/>
      <c r="G749" s="58">
        <f>if(A749,_xlfn.workday.intl(int(A749),1,"1000000",Holidays!A:A)+17/24,"")</f>
        <v>45973.70833</v>
      </c>
      <c r="H749" s="59" t="str">
        <f t="shared" si="23"/>
        <v/>
      </c>
      <c r="I749" s="60"/>
      <c r="J749" s="61">
        <f t="shared" si="2"/>
        <v>160.2755766</v>
      </c>
      <c r="K749" s="58">
        <f>if(G749,_xlfn.workday.intl(int(G749),0,"1000000",Holidays!A:A)+19/24,"")</f>
        <v>45973.79167</v>
      </c>
      <c r="L749" s="59" t="str">
        <f t="shared" si="3"/>
        <v/>
      </c>
      <c r="M749" s="60"/>
      <c r="N749" s="61">
        <f t="shared" si="4"/>
        <v>160.1922432</v>
      </c>
      <c r="O749" s="63">
        <f>if(A749,_xlfn.WORKDAY.INTL(A749,O$5,"1000000",Holidays!A:A)+hour(A749)/24+MINUTE(A749)/1440,"")</f>
        <v>45973.55417</v>
      </c>
      <c r="P749" s="64" t="s">
        <v>2718</v>
      </c>
      <c r="R749" s="66">
        <f t="shared" si="5"/>
        <v>160.4297432</v>
      </c>
      <c r="S749" s="66"/>
      <c r="T749" s="66"/>
      <c r="U749" s="64">
        <f>if(O749,_xlfn.WORKDAY.INTL(O749,U$5,"1000000",Holidays!A:A)+hour(O749)/24+MINUTE(O749)/1440,"")</f>
        <v>45974.55417</v>
      </c>
      <c r="V749" s="64" t="str">
        <f t="shared" si="6"/>
        <v/>
      </c>
      <c r="W749" s="66"/>
      <c r="X749" s="66">
        <f t="shared" si="7"/>
        <v>159.4297432</v>
      </c>
      <c r="Y749" s="66"/>
      <c r="Z749" s="66"/>
      <c r="AA749" s="66"/>
      <c r="AB749" s="63"/>
      <c r="AC749" s="63"/>
      <c r="AD749" s="63"/>
      <c r="AE749" s="63"/>
      <c r="AF749" s="63"/>
      <c r="AG749" s="63"/>
      <c r="AH749" s="63" t="str">
        <f t="shared" si="14"/>
        <v/>
      </c>
      <c r="AI749" s="63" t="str">
        <f>if(AH749,_xlfn.workday.intl(int(AH749),0,"1000000",Holidays!A:A)+18/24,"")</f>
        <v/>
      </c>
      <c r="AJ749" s="64" t="str">
        <f t="shared" si="24"/>
        <v/>
      </c>
      <c r="AL749" s="66" t="str">
        <f t="shared" si="9"/>
        <v/>
      </c>
      <c r="AM749" s="66"/>
      <c r="AN749" s="63" t="str">
        <f>if(AJ749,if(and(hour(AJ749+AN$5)&gt;11,(hour(AJ749+AN$5)&lt;20)),AJ749+AN$5,_xlfn.workday.intl(int(AJ749),1,"1000000",Holidays!A:A)+hour(AJ749+AN$5-$B$1)/24+minute(AJ749)/1440),"")</f>
        <v/>
      </c>
      <c r="AO749" s="64" t="str">
        <f t="shared" si="15"/>
        <v/>
      </c>
      <c r="AQ749" s="66" t="str">
        <f t="shared" si="16"/>
        <v/>
      </c>
      <c r="AR749" s="66"/>
      <c r="AS749" s="63" t="str">
        <f>if(AJ749,if(and(hour(AJ749+AS$5)&gt;11,(hour(AJ749+AS$5)&lt;20)),AJ749+AS$5,_xlfn.workday.intl(int(AJ749),1,"1000000",Holidays!A:A)+hour(AJ749+AS$5-$B$1)/24+minute(AJ749)/1440),"")</f>
        <v/>
      </c>
      <c r="AT749" s="64" t="str">
        <f t="shared" si="21"/>
        <v/>
      </c>
      <c r="AV749" s="66" t="str">
        <f t="shared" si="25"/>
        <v/>
      </c>
      <c r="AW749" s="66"/>
      <c r="AX749" s="56"/>
    </row>
    <row r="750">
      <c r="A750" s="55">
        <v>45972.57629430556</v>
      </c>
      <c r="B750" s="56"/>
      <c r="C750" s="57"/>
      <c r="D750" s="57"/>
      <c r="E750" s="57"/>
      <c r="F750" s="57"/>
      <c r="G750" s="58">
        <f>if(A750,_xlfn.workday.intl(int(A750),1,"1000000",Holidays!A:A)+17/24,"")</f>
        <v>45973.70833</v>
      </c>
      <c r="H750" s="59" t="str">
        <f t="shared" si="23"/>
        <v/>
      </c>
      <c r="I750" s="60"/>
      <c r="J750" s="61">
        <f t="shared" si="2"/>
        <v>160.2755766</v>
      </c>
      <c r="K750" s="58">
        <f>if(G750,_xlfn.workday.intl(int(G750),0,"1000000",Holidays!A:A)+19/24,"")</f>
        <v>45973.79167</v>
      </c>
      <c r="L750" s="59" t="str">
        <f t="shared" si="3"/>
        <v/>
      </c>
      <c r="M750" s="60"/>
      <c r="N750" s="61">
        <f t="shared" si="4"/>
        <v>160.1922432</v>
      </c>
      <c r="O750" s="63">
        <f>if(A750,_xlfn.WORKDAY.INTL(A750,O$5,"1000000",Holidays!A:A)+hour(A750)/24+MINUTE(A750)/1440,"")</f>
        <v>45973.57569</v>
      </c>
      <c r="P750" s="64" t="s">
        <v>2718</v>
      </c>
      <c r="R750" s="66">
        <f t="shared" si="5"/>
        <v>160.4082155</v>
      </c>
      <c r="S750" s="66"/>
      <c r="T750" s="66"/>
      <c r="U750" s="64">
        <f>if(O750,_xlfn.WORKDAY.INTL(O750,U$5,"1000000",Holidays!A:A)+hour(O750)/24+MINUTE(O750)/1440,"")</f>
        <v>45974.57569</v>
      </c>
      <c r="V750" s="64" t="str">
        <f t="shared" si="6"/>
        <v/>
      </c>
      <c r="W750" s="66"/>
      <c r="X750" s="66">
        <f t="shared" si="7"/>
        <v>159.4082155</v>
      </c>
      <c r="Y750" s="66"/>
      <c r="Z750" s="66"/>
      <c r="AA750" s="66"/>
      <c r="AB750" s="63"/>
      <c r="AC750" s="63"/>
      <c r="AD750" s="63"/>
      <c r="AE750" s="63"/>
      <c r="AF750" s="63"/>
      <c r="AG750" s="63"/>
      <c r="AH750" s="63" t="str">
        <f t="shared" si="14"/>
        <v/>
      </c>
      <c r="AI750" s="63" t="str">
        <f>if(AH750,_xlfn.workday.intl(int(AH750),0,"1000000",Holidays!A:A)+18/24,"")</f>
        <v/>
      </c>
      <c r="AJ750" s="64" t="str">
        <f t="shared" si="24"/>
        <v/>
      </c>
      <c r="AL750" s="66" t="str">
        <f t="shared" si="9"/>
        <v/>
      </c>
      <c r="AM750" s="66"/>
      <c r="AN750" s="63" t="str">
        <f>if(AJ750,if(and(hour(AJ750+AN$5)&gt;11,(hour(AJ750+AN$5)&lt;20)),AJ750+AN$5,_xlfn.workday.intl(int(AJ750),1,"1000000",Holidays!A:A)+hour(AJ750+AN$5-$B$1)/24+minute(AJ750)/1440),"")</f>
        <v/>
      </c>
      <c r="AO750" s="64" t="str">
        <f t="shared" si="15"/>
        <v/>
      </c>
      <c r="AQ750" s="66" t="str">
        <f t="shared" si="16"/>
        <v/>
      </c>
      <c r="AR750" s="66"/>
      <c r="AS750" s="63" t="str">
        <f>if(AJ750,if(and(hour(AJ750+AS$5)&gt;11,(hour(AJ750+AS$5)&lt;20)),AJ750+AS$5,_xlfn.workday.intl(int(AJ750),1,"1000000",Holidays!A:A)+hour(AJ750+AS$5-$B$1)/24+minute(AJ750)/1440),"")</f>
        <v/>
      </c>
      <c r="AT750" s="64" t="str">
        <f t="shared" si="21"/>
        <v/>
      </c>
      <c r="AV750" s="66" t="str">
        <f t="shared" si="25"/>
        <v/>
      </c>
      <c r="AW750" s="66"/>
      <c r="AX750" s="56"/>
    </row>
    <row r="751">
      <c r="A751" s="55">
        <v>45972.57750275463</v>
      </c>
      <c r="B751" s="56"/>
      <c r="C751" s="57"/>
      <c r="D751" s="57"/>
      <c r="E751" s="57"/>
      <c r="F751" s="57"/>
      <c r="G751" s="58">
        <f>if(A751,_xlfn.workday.intl(int(A751),1,"1000000",Holidays!A:A)+17/24,"")</f>
        <v>45973.70833</v>
      </c>
      <c r="H751" s="59" t="str">
        <f t="shared" si="23"/>
        <v/>
      </c>
      <c r="I751" s="60"/>
      <c r="J751" s="61">
        <f t="shared" si="2"/>
        <v>160.2755766</v>
      </c>
      <c r="K751" s="58">
        <f>if(G751,_xlfn.workday.intl(int(G751),0,"1000000",Holidays!A:A)+19/24,"")</f>
        <v>45973.79167</v>
      </c>
      <c r="L751" s="59" t="str">
        <f t="shared" si="3"/>
        <v/>
      </c>
      <c r="M751" s="60"/>
      <c r="N751" s="61">
        <f t="shared" si="4"/>
        <v>160.1922432</v>
      </c>
      <c r="O751" s="63">
        <f>if(A751,_xlfn.WORKDAY.INTL(A751,O$5,"1000000",Holidays!A:A)+hour(A751)/24+MINUTE(A751)/1440,"")</f>
        <v>45973.57708</v>
      </c>
      <c r="P751" s="64" t="s">
        <v>2718</v>
      </c>
      <c r="R751" s="66">
        <f t="shared" si="5"/>
        <v>160.4068266</v>
      </c>
      <c r="S751" s="66"/>
      <c r="T751" s="66"/>
      <c r="U751" s="64">
        <f>if(O751,_xlfn.WORKDAY.INTL(O751,U$5,"1000000",Holidays!A:A)+hour(O751)/24+MINUTE(O751)/1440,"")</f>
        <v>45974.57708</v>
      </c>
      <c r="V751" s="64" t="str">
        <f t="shared" si="6"/>
        <v/>
      </c>
      <c r="W751" s="66"/>
      <c r="X751" s="66">
        <f t="shared" si="7"/>
        <v>159.4068266</v>
      </c>
      <c r="Y751" s="66"/>
      <c r="Z751" s="66"/>
      <c r="AA751" s="66"/>
      <c r="AB751" s="63"/>
      <c r="AC751" s="63"/>
      <c r="AD751" s="63"/>
      <c r="AE751" s="63"/>
      <c r="AF751" s="63"/>
      <c r="AG751" s="63"/>
      <c r="AH751" s="63" t="str">
        <f t="shared" si="14"/>
        <v/>
      </c>
      <c r="AI751" s="63" t="str">
        <f>if(AH751,_xlfn.workday.intl(int(AH751),0,"1000000",Holidays!A:A)+18/24,"")</f>
        <v/>
      </c>
      <c r="AJ751" s="64" t="str">
        <f t="shared" si="24"/>
        <v/>
      </c>
      <c r="AL751" s="66" t="str">
        <f t="shared" si="9"/>
        <v/>
      </c>
      <c r="AM751" s="66"/>
      <c r="AN751" s="63" t="str">
        <f>if(AJ751,if(and(hour(AJ751+AN$5)&gt;11,(hour(AJ751+AN$5)&lt;20)),AJ751+AN$5,_xlfn.workday.intl(int(AJ751),1,"1000000",Holidays!A:A)+hour(AJ751+AN$5-$B$1)/24+minute(AJ751)/1440),"")</f>
        <v/>
      </c>
      <c r="AO751" s="64" t="str">
        <f t="shared" si="15"/>
        <v/>
      </c>
      <c r="AQ751" s="66" t="str">
        <f t="shared" si="16"/>
        <v/>
      </c>
      <c r="AR751" s="66"/>
      <c r="AS751" s="63" t="str">
        <f>if(AJ751,if(and(hour(AJ751+AS$5)&gt;11,(hour(AJ751+AS$5)&lt;20)),AJ751+AS$5,_xlfn.workday.intl(int(AJ751),1,"1000000",Holidays!A:A)+hour(AJ751+AS$5-$B$1)/24+minute(AJ751)/1440),"")</f>
        <v/>
      </c>
      <c r="AT751" s="64" t="str">
        <f t="shared" si="21"/>
        <v/>
      </c>
      <c r="AV751" s="66" t="str">
        <f t="shared" si="25"/>
        <v/>
      </c>
      <c r="AW751" s="66"/>
      <c r="AX751" s="56"/>
    </row>
    <row r="752">
      <c r="A752" s="55">
        <v>45972.57851228009</v>
      </c>
      <c r="B752" s="56"/>
      <c r="C752" s="57"/>
      <c r="D752" s="57"/>
      <c r="E752" s="57"/>
      <c r="F752" s="57"/>
      <c r="G752" s="58">
        <f>if(A752,_xlfn.workday.intl(int(A752),1,"1000000",Holidays!A:A)+17/24,"")</f>
        <v>45973.70833</v>
      </c>
      <c r="H752" s="59" t="str">
        <f t="shared" si="23"/>
        <v/>
      </c>
      <c r="I752" s="60"/>
      <c r="J752" s="61">
        <f t="shared" si="2"/>
        <v>160.2755766</v>
      </c>
      <c r="K752" s="58">
        <f>if(G752,_xlfn.workday.intl(int(G752),0,"1000000",Holidays!A:A)+19/24,"")</f>
        <v>45973.79167</v>
      </c>
      <c r="L752" s="59" t="str">
        <f t="shared" si="3"/>
        <v/>
      </c>
      <c r="M752" s="60"/>
      <c r="N752" s="61">
        <f t="shared" si="4"/>
        <v>160.1922432</v>
      </c>
      <c r="O752" s="63">
        <f>if(A752,_xlfn.WORKDAY.INTL(A752,O$5,"1000000",Holidays!A:A)+hour(A752)/24+MINUTE(A752)/1440,"")</f>
        <v>45973.57847</v>
      </c>
      <c r="P752" s="64" t="s">
        <v>2718</v>
      </c>
      <c r="R752" s="66">
        <f t="shared" si="5"/>
        <v>160.4054377</v>
      </c>
      <c r="S752" s="66"/>
      <c r="T752" s="66"/>
      <c r="U752" s="64">
        <f>if(O752,_xlfn.WORKDAY.INTL(O752,U$5,"1000000",Holidays!A:A)+hour(O752)/24+MINUTE(O752)/1440,"")</f>
        <v>45974.57847</v>
      </c>
      <c r="V752" s="64" t="str">
        <f t="shared" si="6"/>
        <v/>
      </c>
      <c r="W752" s="66"/>
      <c r="X752" s="66">
        <f t="shared" si="7"/>
        <v>159.4054377</v>
      </c>
      <c r="Y752" s="66"/>
      <c r="Z752" s="66"/>
      <c r="AA752" s="66"/>
      <c r="AB752" s="63"/>
      <c r="AC752" s="63"/>
      <c r="AD752" s="63"/>
      <c r="AE752" s="63"/>
      <c r="AF752" s="63"/>
      <c r="AG752" s="63"/>
      <c r="AH752" s="63" t="str">
        <f t="shared" si="14"/>
        <v/>
      </c>
      <c r="AI752" s="63" t="str">
        <f>if(AH752,_xlfn.workday.intl(int(AH752),0,"1000000",Holidays!A:A)+18/24,"")</f>
        <v/>
      </c>
      <c r="AJ752" s="64" t="str">
        <f t="shared" si="24"/>
        <v/>
      </c>
      <c r="AL752" s="66" t="str">
        <f t="shared" si="9"/>
        <v/>
      </c>
      <c r="AM752" s="66"/>
      <c r="AN752" s="63" t="str">
        <f>if(AJ752,if(and(hour(AJ752+AN$5)&gt;11,(hour(AJ752+AN$5)&lt;20)),AJ752+AN$5,_xlfn.workday.intl(int(AJ752),1,"1000000",Holidays!A:A)+hour(AJ752+AN$5-$B$1)/24+minute(AJ752)/1440),"")</f>
        <v/>
      </c>
      <c r="AO752" s="64" t="str">
        <f t="shared" si="15"/>
        <v/>
      </c>
      <c r="AQ752" s="66" t="str">
        <f t="shared" si="16"/>
        <v/>
      </c>
      <c r="AR752" s="66"/>
      <c r="AS752" s="63" t="str">
        <f>if(AJ752,if(and(hour(AJ752+AS$5)&gt;11,(hour(AJ752+AS$5)&lt;20)),AJ752+AS$5,_xlfn.workday.intl(int(AJ752),1,"1000000",Holidays!A:A)+hour(AJ752+AS$5-$B$1)/24+minute(AJ752)/1440),"")</f>
        <v/>
      </c>
      <c r="AT752" s="64" t="str">
        <f t="shared" si="21"/>
        <v/>
      </c>
      <c r="AV752" s="66" t="str">
        <f t="shared" si="25"/>
        <v/>
      </c>
      <c r="AW752" s="66"/>
      <c r="AX752" s="56"/>
    </row>
    <row r="753">
      <c r="A753" s="55">
        <v>45972.57944231482</v>
      </c>
      <c r="B753" s="56"/>
      <c r="C753" s="57"/>
      <c r="D753" s="57"/>
      <c r="E753" s="57"/>
      <c r="F753" s="57"/>
      <c r="G753" s="58">
        <f>if(A753,_xlfn.workday.intl(int(A753),1,"1000000",Holidays!A:A)+17/24,"")</f>
        <v>45973.70833</v>
      </c>
      <c r="H753" s="59" t="str">
        <f t="shared" si="23"/>
        <v/>
      </c>
      <c r="I753" s="60"/>
      <c r="J753" s="61">
        <f t="shared" si="2"/>
        <v>160.2755766</v>
      </c>
      <c r="K753" s="58">
        <f>if(G753,_xlfn.workday.intl(int(G753),0,"1000000",Holidays!A:A)+19/24,"")</f>
        <v>45973.79167</v>
      </c>
      <c r="L753" s="59" t="str">
        <f t="shared" si="3"/>
        <v/>
      </c>
      <c r="M753" s="60"/>
      <c r="N753" s="61">
        <f t="shared" si="4"/>
        <v>160.1922432</v>
      </c>
      <c r="O753" s="63">
        <f>if(A753,_xlfn.WORKDAY.INTL(A753,O$5,"1000000",Holidays!A:A)+hour(A753)/24+MINUTE(A753)/1440,"")</f>
        <v>45973.57917</v>
      </c>
      <c r="P753" s="64" t="s">
        <v>2718</v>
      </c>
      <c r="R753" s="66">
        <f t="shared" si="5"/>
        <v>160.4047432</v>
      </c>
      <c r="S753" s="66"/>
      <c r="T753" s="66"/>
      <c r="U753" s="64">
        <f>if(O753,_xlfn.WORKDAY.INTL(O753,U$5,"1000000",Holidays!A:A)+hour(O753)/24+MINUTE(O753)/1440,"")</f>
        <v>45974.57917</v>
      </c>
      <c r="V753" s="64" t="str">
        <f t="shared" si="6"/>
        <v/>
      </c>
      <c r="W753" s="66"/>
      <c r="X753" s="66">
        <f t="shared" si="7"/>
        <v>159.4047432</v>
      </c>
      <c r="Y753" s="66"/>
      <c r="Z753" s="66"/>
      <c r="AA753" s="66"/>
      <c r="AB753" s="63"/>
      <c r="AC753" s="63"/>
      <c r="AD753" s="63"/>
      <c r="AE753" s="63"/>
      <c r="AF753" s="63"/>
      <c r="AG753" s="63"/>
      <c r="AH753" s="63" t="str">
        <f t="shared" si="14"/>
        <v/>
      </c>
      <c r="AI753" s="63" t="str">
        <f>if(AH753,_xlfn.workday.intl(int(AH753),0,"1000000",Holidays!A:A)+18/24,"")</f>
        <v/>
      </c>
      <c r="AJ753" s="64" t="str">
        <f t="shared" si="24"/>
        <v/>
      </c>
      <c r="AL753" s="66" t="str">
        <f t="shared" si="9"/>
        <v/>
      </c>
      <c r="AM753" s="66"/>
      <c r="AN753" s="63" t="str">
        <f>if(AJ753,if(and(hour(AJ753+AN$5)&gt;11,(hour(AJ753+AN$5)&lt;20)),AJ753+AN$5,_xlfn.workday.intl(int(AJ753),1,"1000000",Holidays!A:A)+hour(AJ753+AN$5-$B$1)/24+minute(AJ753)/1440),"")</f>
        <v/>
      </c>
      <c r="AO753" s="64" t="str">
        <f t="shared" si="15"/>
        <v/>
      </c>
      <c r="AQ753" s="66" t="str">
        <f t="shared" si="16"/>
        <v/>
      </c>
      <c r="AR753" s="66"/>
      <c r="AS753" s="63" t="str">
        <f>if(AJ753,if(and(hour(AJ753+AS$5)&gt;11,(hour(AJ753+AS$5)&lt;20)),AJ753+AS$5,_xlfn.workday.intl(int(AJ753),1,"1000000",Holidays!A:A)+hour(AJ753+AS$5-$B$1)/24+minute(AJ753)/1440),"")</f>
        <v/>
      </c>
      <c r="AT753" s="64" t="str">
        <f t="shared" si="21"/>
        <v/>
      </c>
      <c r="AV753" s="66" t="str">
        <f t="shared" si="25"/>
        <v/>
      </c>
      <c r="AW753" s="66"/>
      <c r="AX753" s="56"/>
    </row>
    <row r="754">
      <c r="A754" s="55">
        <v>45977.61698918982</v>
      </c>
      <c r="B754" s="56"/>
      <c r="C754" s="57"/>
      <c r="D754" s="57"/>
      <c r="E754" s="57"/>
      <c r="F754" s="57"/>
      <c r="G754" s="58">
        <f>if(A754,_xlfn.workday.intl(int(A754),1,"1000000",Holidays!A:A)+17/24,"")</f>
        <v>45979.70833</v>
      </c>
      <c r="H754" s="59" t="str">
        <f t="shared" si="23"/>
        <v/>
      </c>
      <c r="I754" s="60"/>
      <c r="J754" s="61">
        <f t="shared" si="2"/>
        <v>154.2755766</v>
      </c>
      <c r="K754" s="58">
        <f>if(G754,_xlfn.workday.intl(int(G754),0,"1000000",Holidays!A:A)+19/24,"")</f>
        <v>45979.79167</v>
      </c>
      <c r="L754" s="59" t="str">
        <f t="shared" si="3"/>
        <v/>
      </c>
      <c r="M754" s="60"/>
      <c r="N754" s="61">
        <f t="shared" si="4"/>
        <v>154.1922432</v>
      </c>
      <c r="O754" s="63">
        <f>if(A754,_xlfn.WORKDAY.INTL(A754,O$5,"1000000",Holidays!A:A)+hour(A754)/24+MINUTE(A754)/1440,"")</f>
        <v>45979.61667</v>
      </c>
      <c r="P754" s="64" t="s">
        <v>2718</v>
      </c>
      <c r="R754" s="66">
        <f t="shared" si="5"/>
        <v>154.3672432</v>
      </c>
      <c r="S754" s="66"/>
      <c r="T754" s="66"/>
      <c r="U754" s="64">
        <f>if(O754,_xlfn.WORKDAY.INTL(O754,U$5,"1000000",Holidays!A:A)+hour(O754)/24+MINUTE(O754)/1440,"")</f>
        <v>45980.61667</v>
      </c>
      <c r="V754" s="64" t="str">
        <f t="shared" si="6"/>
        <v/>
      </c>
      <c r="W754" s="66"/>
      <c r="X754" s="66">
        <f t="shared" si="7"/>
        <v>153.3672432</v>
      </c>
      <c r="Y754" s="66"/>
      <c r="Z754" s="66"/>
      <c r="AA754" s="66"/>
      <c r="AB754" s="63"/>
      <c r="AC754" s="63"/>
      <c r="AD754" s="63"/>
      <c r="AE754" s="63"/>
      <c r="AF754" s="63"/>
      <c r="AG754" s="63"/>
      <c r="AH754" s="63" t="str">
        <f t="shared" si="14"/>
        <v/>
      </c>
      <c r="AI754" s="63" t="str">
        <f>if(AH754,_xlfn.workday.intl(int(AH754),0,"1000000",Holidays!A:A)+18/24,"")</f>
        <v/>
      </c>
      <c r="AJ754" s="64" t="str">
        <f t="shared" si="24"/>
        <v/>
      </c>
      <c r="AL754" s="66" t="str">
        <f t="shared" si="9"/>
        <v/>
      </c>
      <c r="AM754" s="66"/>
      <c r="AN754" s="63" t="str">
        <f>if(AJ754,if(and(hour(AJ754+AN$5)&gt;11,(hour(AJ754+AN$5)&lt;20)),AJ754+AN$5,_xlfn.workday.intl(int(AJ754),1,"1000000",Holidays!A:A)+hour(AJ754+AN$5-$B$1)/24+minute(AJ754)/1440),"")</f>
        <v/>
      </c>
      <c r="AO754" s="64" t="str">
        <f t="shared" si="15"/>
        <v/>
      </c>
      <c r="AQ754" s="66" t="str">
        <f t="shared" si="16"/>
        <v/>
      </c>
      <c r="AR754" s="66"/>
      <c r="AS754" s="63" t="str">
        <f>if(AJ754,if(and(hour(AJ754+AS$5)&gt;11,(hour(AJ754+AS$5)&lt;20)),AJ754+AS$5,_xlfn.workday.intl(int(AJ754),1,"1000000",Holidays!A:A)+hour(AJ754+AS$5-$B$1)/24+minute(AJ754)/1440),"")</f>
        <v/>
      </c>
      <c r="AT754" s="64" t="str">
        <f t="shared" si="21"/>
        <v/>
      </c>
      <c r="AV754" s="66" t="str">
        <f t="shared" si="25"/>
        <v/>
      </c>
      <c r="AW754" s="66"/>
      <c r="AX754" s="56"/>
    </row>
    <row r="755">
      <c r="A755" s="55">
        <v>45977.61993747685</v>
      </c>
      <c r="B755" s="56"/>
      <c r="C755" s="57"/>
      <c r="D755" s="57"/>
      <c r="E755" s="57"/>
      <c r="F755" s="57"/>
      <c r="G755" s="58">
        <f>if(A755,_xlfn.workday.intl(int(A755),1,"1000000",Holidays!A:A)+17/24,"")</f>
        <v>45979.70833</v>
      </c>
      <c r="H755" s="59" t="str">
        <f t="shared" si="23"/>
        <v/>
      </c>
      <c r="I755" s="60"/>
      <c r="J755" s="61">
        <f t="shared" si="2"/>
        <v>154.2755766</v>
      </c>
      <c r="K755" s="58">
        <f>if(G755,_xlfn.workday.intl(int(G755),0,"1000000",Holidays!A:A)+19/24,"")</f>
        <v>45979.79167</v>
      </c>
      <c r="L755" s="59" t="str">
        <f t="shared" si="3"/>
        <v/>
      </c>
      <c r="M755" s="60"/>
      <c r="N755" s="61">
        <f t="shared" si="4"/>
        <v>154.1922432</v>
      </c>
      <c r="O755" s="63">
        <f>if(A755,_xlfn.WORKDAY.INTL(A755,O$5,"1000000",Holidays!A:A)+hour(A755)/24+MINUTE(A755)/1440,"")</f>
        <v>45979.61944</v>
      </c>
      <c r="P755" s="64" t="s">
        <v>2718</v>
      </c>
      <c r="R755" s="66">
        <f t="shared" si="5"/>
        <v>154.3644655</v>
      </c>
      <c r="S755" s="66"/>
      <c r="T755" s="66"/>
      <c r="U755" s="64">
        <f>if(O755,_xlfn.WORKDAY.INTL(O755,U$5,"1000000",Holidays!A:A)+hour(O755)/24+MINUTE(O755)/1440,"")</f>
        <v>45980.61944</v>
      </c>
      <c r="V755" s="64" t="str">
        <f t="shared" si="6"/>
        <v/>
      </c>
      <c r="W755" s="66"/>
      <c r="X755" s="66">
        <f t="shared" si="7"/>
        <v>153.3644655</v>
      </c>
      <c r="Y755" s="66"/>
      <c r="Z755" s="66"/>
      <c r="AA755" s="66"/>
      <c r="AB755" s="63"/>
      <c r="AC755" s="63"/>
      <c r="AD755" s="63"/>
      <c r="AE755" s="63"/>
      <c r="AF755" s="63"/>
      <c r="AG755" s="63"/>
      <c r="AH755" s="63" t="str">
        <f t="shared" si="14"/>
        <v/>
      </c>
      <c r="AI755" s="63" t="str">
        <f>if(AH755,_xlfn.workday.intl(int(AH755),0,"1000000",Holidays!A:A)+18/24,"")</f>
        <v/>
      </c>
      <c r="AJ755" s="64" t="str">
        <f t="shared" si="24"/>
        <v/>
      </c>
      <c r="AL755" s="66" t="str">
        <f t="shared" si="9"/>
        <v/>
      </c>
      <c r="AM755" s="66"/>
      <c r="AN755" s="63" t="str">
        <f>if(AJ755,if(and(hour(AJ755+AN$5)&gt;11,(hour(AJ755+AN$5)&lt;20)),AJ755+AN$5,_xlfn.workday.intl(int(AJ755),1,"1000000",Holidays!A:A)+hour(AJ755+AN$5-$B$1)/24+minute(AJ755)/1440),"")</f>
        <v/>
      </c>
      <c r="AO755" s="64" t="str">
        <f t="shared" si="15"/>
        <v/>
      </c>
      <c r="AQ755" s="66" t="str">
        <f t="shared" si="16"/>
        <v/>
      </c>
      <c r="AR755" s="66"/>
      <c r="AS755" s="63" t="str">
        <f>if(AJ755,if(and(hour(AJ755+AS$5)&gt;11,(hour(AJ755+AS$5)&lt;20)),AJ755+AS$5,_xlfn.workday.intl(int(AJ755),1,"1000000",Holidays!A:A)+hour(AJ755+AS$5-$B$1)/24+minute(AJ755)/1440),"")</f>
        <v/>
      </c>
      <c r="AT755" s="64" t="str">
        <f t="shared" si="21"/>
        <v/>
      </c>
      <c r="AV755" s="66" t="str">
        <f t="shared" si="25"/>
        <v/>
      </c>
      <c r="AW755" s="66"/>
      <c r="AX755" s="56"/>
    </row>
    <row r="756">
      <c r="A756" s="55">
        <v>45989.55548003472</v>
      </c>
      <c r="B756" s="56"/>
      <c r="C756" s="57"/>
      <c r="D756" s="57"/>
      <c r="E756" s="57"/>
      <c r="F756" s="57"/>
      <c r="G756" s="58">
        <f>if(A756,_xlfn.workday.intl(int(A756),1,"1000000",Holidays!A:A)+17/24,"")</f>
        <v>45990.70833</v>
      </c>
      <c r="H756" s="59" t="str">
        <f t="shared" si="23"/>
        <v/>
      </c>
      <c r="I756" s="60"/>
      <c r="J756" s="61">
        <f t="shared" si="2"/>
        <v>143.2755766</v>
      </c>
      <c r="K756" s="58">
        <f>if(G756,_xlfn.workday.intl(int(G756),0,"1000000",Holidays!A:A)+19/24,"")</f>
        <v>45990.79167</v>
      </c>
      <c r="L756" s="59" t="str">
        <f t="shared" si="3"/>
        <v/>
      </c>
      <c r="M756" s="60"/>
      <c r="N756" s="61">
        <f t="shared" si="4"/>
        <v>143.1922432</v>
      </c>
      <c r="O756" s="63">
        <f>if(A756,_xlfn.WORKDAY.INTL(A756,O$5,"1000000",Holidays!A:A)+hour(A756)/24+MINUTE(A756)/1440,"")</f>
        <v>45990.55486</v>
      </c>
      <c r="P756" s="64" t="s">
        <v>2718</v>
      </c>
      <c r="R756" s="66">
        <f t="shared" si="5"/>
        <v>143.4290488</v>
      </c>
      <c r="S756" s="66"/>
      <c r="T756" s="66"/>
      <c r="U756" s="64">
        <f>if(O756,_xlfn.WORKDAY.INTL(O756,U$5,"1000000",Holidays!A:A)+hour(O756)/24+MINUTE(O756)/1440,"")</f>
        <v>45991.55486</v>
      </c>
      <c r="V756" s="64" t="str">
        <f t="shared" si="6"/>
        <v/>
      </c>
      <c r="W756" s="66"/>
      <c r="X756" s="66">
        <f t="shared" si="7"/>
        <v>142.4290488</v>
      </c>
      <c r="Y756" s="66"/>
      <c r="Z756" s="66"/>
      <c r="AA756" s="66"/>
      <c r="AB756" s="63"/>
      <c r="AC756" s="63"/>
      <c r="AD756" s="63"/>
      <c r="AE756" s="63"/>
      <c r="AF756" s="63"/>
      <c r="AG756" s="63"/>
      <c r="AH756" s="63" t="str">
        <f t="shared" si="14"/>
        <v/>
      </c>
      <c r="AI756" s="63" t="str">
        <f>if(AH756,_xlfn.workday.intl(int(AH756),0,"1000000",Holidays!A:A)+18/24,"")</f>
        <v/>
      </c>
      <c r="AJ756" s="64" t="str">
        <f t="shared" si="24"/>
        <v/>
      </c>
      <c r="AL756" s="66" t="str">
        <f t="shared" si="9"/>
        <v/>
      </c>
      <c r="AM756" s="66"/>
      <c r="AN756" s="63" t="str">
        <f>if(AJ756,if(and(hour(AJ756+AN$5)&gt;11,(hour(AJ756+AN$5)&lt;20)),AJ756+AN$5,_xlfn.workday.intl(int(AJ756),1,"1000000",Holidays!A:A)+hour(AJ756+AN$5-$B$1)/24+minute(AJ756)/1440),"")</f>
        <v/>
      </c>
      <c r="AO756" s="64" t="str">
        <f t="shared" si="15"/>
        <v/>
      </c>
      <c r="AQ756" s="66" t="str">
        <f t="shared" si="16"/>
        <v/>
      </c>
      <c r="AR756" s="66"/>
      <c r="AS756" s="63" t="str">
        <f>if(AJ756,if(and(hour(AJ756+AS$5)&gt;11,(hour(AJ756+AS$5)&lt;20)),AJ756+AS$5,_xlfn.workday.intl(int(AJ756),1,"1000000",Holidays!A:A)+hour(AJ756+AS$5-$B$1)/24+minute(AJ756)/1440),"")</f>
        <v/>
      </c>
      <c r="AT756" s="64" t="str">
        <f t="shared" si="21"/>
        <v/>
      </c>
      <c r="AV756" s="66" t="str">
        <f t="shared" si="25"/>
        <v/>
      </c>
      <c r="AW756" s="66"/>
      <c r="AX756" s="56"/>
    </row>
    <row r="757">
      <c r="A757" s="55">
        <v>45989.55688300926</v>
      </c>
      <c r="B757" s="56"/>
      <c r="C757" s="57"/>
      <c r="D757" s="57"/>
      <c r="E757" s="57"/>
      <c r="F757" s="57"/>
      <c r="G757" s="58">
        <f>if(A757,_xlfn.workday.intl(int(A757),1,"1000000",Holidays!A:A)+17/24,"")</f>
        <v>45990.70833</v>
      </c>
      <c r="H757" s="59" t="str">
        <f t="shared" si="23"/>
        <v/>
      </c>
      <c r="I757" s="60"/>
      <c r="J757" s="61">
        <f t="shared" si="2"/>
        <v>143.2755766</v>
      </c>
      <c r="K757" s="58">
        <f>if(G757,_xlfn.workday.intl(int(G757),0,"1000000",Holidays!A:A)+19/24,"")</f>
        <v>45990.79167</v>
      </c>
      <c r="L757" s="59" t="str">
        <f t="shared" si="3"/>
        <v/>
      </c>
      <c r="M757" s="60"/>
      <c r="N757" s="61">
        <f t="shared" si="4"/>
        <v>143.1922432</v>
      </c>
      <c r="O757" s="63">
        <f>if(A757,_xlfn.WORKDAY.INTL(A757,O$5,"1000000",Holidays!A:A)+hour(A757)/24+MINUTE(A757)/1440,"")</f>
        <v>45990.55625</v>
      </c>
      <c r="P757" s="64" t="s">
        <v>2718</v>
      </c>
      <c r="R757" s="66">
        <f t="shared" si="5"/>
        <v>143.4276599</v>
      </c>
      <c r="S757" s="66"/>
      <c r="T757" s="66"/>
      <c r="U757" s="64">
        <f>if(O757,_xlfn.WORKDAY.INTL(O757,U$5,"1000000",Holidays!A:A)+hour(O757)/24+MINUTE(O757)/1440,"")</f>
        <v>45991.55625</v>
      </c>
      <c r="V757" s="64" t="str">
        <f t="shared" si="6"/>
        <v/>
      </c>
      <c r="W757" s="66"/>
      <c r="X757" s="66">
        <f t="shared" si="7"/>
        <v>142.4276599</v>
      </c>
      <c r="Y757" s="66"/>
      <c r="Z757" s="66"/>
      <c r="AA757" s="66"/>
      <c r="AB757" s="63"/>
      <c r="AC757" s="63"/>
      <c r="AD757" s="63"/>
      <c r="AE757" s="63"/>
      <c r="AF757" s="63"/>
      <c r="AG757" s="63"/>
      <c r="AH757" s="63" t="str">
        <f t="shared" si="14"/>
        <v/>
      </c>
      <c r="AI757" s="63" t="str">
        <f>if(AH757,_xlfn.workday.intl(int(AH757),0,"1000000",Holidays!A:A)+18/24,"")</f>
        <v/>
      </c>
      <c r="AJ757" s="64" t="str">
        <f t="shared" si="24"/>
        <v/>
      </c>
      <c r="AL757" s="66" t="str">
        <f t="shared" si="9"/>
        <v/>
      </c>
      <c r="AM757" s="66"/>
      <c r="AN757" s="63" t="str">
        <f>if(AJ757,if(and(hour(AJ757+AN$5)&gt;11,(hour(AJ757+AN$5)&lt;20)),AJ757+AN$5,_xlfn.workday.intl(int(AJ757),1,"1000000",Holidays!A:A)+hour(AJ757+AN$5-$B$1)/24+minute(AJ757)/1440),"")</f>
        <v/>
      </c>
      <c r="AO757" s="64" t="str">
        <f t="shared" si="15"/>
        <v/>
      </c>
      <c r="AQ757" s="66" t="str">
        <f t="shared" si="16"/>
        <v/>
      </c>
      <c r="AR757" s="66"/>
      <c r="AS757" s="63" t="str">
        <f>if(AJ757,if(and(hour(AJ757+AS$5)&gt;11,(hour(AJ757+AS$5)&lt;20)),AJ757+AS$5,_xlfn.workday.intl(int(AJ757),1,"1000000",Holidays!A:A)+hour(AJ757+AS$5-$B$1)/24+minute(AJ757)/1440),"")</f>
        <v/>
      </c>
      <c r="AT757" s="64" t="str">
        <f t="shared" si="21"/>
        <v/>
      </c>
      <c r="AV757" s="66" t="str">
        <f t="shared" si="25"/>
        <v/>
      </c>
      <c r="AW757" s="66"/>
      <c r="AX757" s="56"/>
    </row>
    <row r="758">
      <c r="A758" s="55">
        <v>46050.781717488426</v>
      </c>
      <c r="B758" s="56"/>
      <c r="C758" s="57"/>
      <c r="D758" s="57"/>
      <c r="E758" s="57"/>
      <c r="F758" s="57"/>
      <c r="G758" s="58">
        <f>if(A758,_xlfn.workday.intl(int(A758),1,"1000000",Holidays!A:A)+17/24,"")</f>
        <v>46051.70833</v>
      </c>
      <c r="H758" s="59" t="str">
        <f t="shared" si="23"/>
        <v/>
      </c>
      <c r="I758" s="60"/>
      <c r="J758" s="61">
        <f t="shared" si="2"/>
        <v>82.27557656</v>
      </c>
      <c r="K758" s="58">
        <f>if(G758,_xlfn.workday.intl(int(G758),0,"1000000",Holidays!A:A)+19/24,"")</f>
        <v>46051.79167</v>
      </c>
      <c r="L758" s="59" t="str">
        <f t="shared" si="3"/>
        <v/>
      </c>
      <c r="M758" s="60"/>
      <c r="N758" s="61">
        <f t="shared" si="4"/>
        <v>82.19224323</v>
      </c>
      <c r="O758" s="63">
        <f>if(A758,_xlfn.WORKDAY.INTL(A758,O$5,"1000000",Holidays!A:A)+hour(A758)/24+MINUTE(A758)/1440,"")</f>
        <v>46051.78125</v>
      </c>
      <c r="P758" s="64" t="s">
        <v>2718</v>
      </c>
      <c r="R758" s="66">
        <f t="shared" si="5"/>
        <v>82.2026599</v>
      </c>
      <c r="S758" s="66"/>
      <c r="T758" s="66"/>
      <c r="U758" s="64">
        <f>if(O758,_xlfn.WORKDAY.INTL(O758,U$5,"1000000",Holidays!A:A)+hour(O758)/24+MINUTE(O758)/1440,"")</f>
        <v>46052.78125</v>
      </c>
      <c r="V758" s="64" t="str">
        <f t="shared" si="6"/>
        <v/>
      </c>
      <c r="W758" s="66"/>
      <c r="X758" s="66">
        <f t="shared" si="7"/>
        <v>81.2026599</v>
      </c>
      <c r="Y758" s="66"/>
      <c r="Z758" s="66"/>
      <c r="AA758" s="66"/>
      <c r="AB758" s="63"/>
      <c r="AC758" s="63"/>
      <c r="AD758" s="63"/>
      <c r="AE758" s="63"/>
      <c r="AF758" s="63"/>
      <c r="AG758" s="63"/>
      <c r="AH758" s="63" t="str">
        <f t="shared" si="14"/>
        <v/>
      </c>
      <c r="AI758" s="63" t="str">
        <f>if(AH758,_xlfn.workday.intl(int(AH758),0,"1000000",Holidays!A:A)+18/24,"")</f>
        <v/>
      </c>
      <c r="AJ758" s="64" t="str">
        <f t="shared" si="24"/>
        <v/>
      </c>
      <c r="AL758" s="66" t="str">
        <f t="shared" si="9"/>
        <v/>
      </c>
      <c r="AM758" s="66"/>
      <c r="AN758" s="63" t="str">
        <f>if(AJ758,if(and(hour(AJ758+AN$5)&gt;11,(hour(AJ758+AN$5)&lt;20)),AJ758+AN$5,_xlfn.workday.intl(int(AJ758),1,"1000000",Holidays!A:A)+hour(AJ758+AN$5-$B$1)/24+minute(AJ758)/1440),"")</f>
        <v/>
      </c>
      <c r="AO758" s="64" t="str">
        <f t="shared" si="15"/>
        <v/>
      </c>
      <c r="AQ758" s="66" t="str">
        <f t="shared" si="16"/>
        <v/>
      </c>
      <c r="AR758" s="66"/>
      <c r="AS758" s="63" t="str">
        <f>if(AJ758,if(and(hour(AJ758+AS$5)&gt;11,(hour(AJ758+AS$5)&lt;20)),AJ758+AS$5,_xlfn.workday.intl(int(AJ758),1,"1000000",Holidays!A:A)+hour(AJ758+AS$5-$B$1)/24+minute(AJ758)/1440),"")</f>
        <v/>
      </c>
      <c r="AT758" s="64" t="str">
        <f t="shared" si="21"/>
        <v/>
      </c>
      <c r="AV758" s="66" t="str">
        <f t="shared" si="25"/>
        <v/>
      </c>
      <c r="AW758" s="66"/>
      <c r="AX758" s="56"/>
    </row>
    <row r="759">
      <c r="A759" s="55">
        <v>46050.79806152778</v>
      </c>
      <c r="B759" s="56"/>
      <c r="C759" s="57"/>
      <c r="D759" s="57"/>
      <c r="E759" s="57"/>
      <c r="F759" s="57"/>
      <c r="G759" s="58">
        <f>if(A759,_xlfn.workday.intl(int(A759),1,"1000000",Holidays!A:A)+17/24,"")</f>
        <v>46051.70833</v>
      </c>
      <c r="H759" s="59" t="str">
        <f t="shared" si="23"/>
        <v/>
      </c>
      <c r="I759" s="60"/>
      <c r="J759" s="61">
        <f t="shared" si="2"/>
        <v>82.27557656</v>
      </c>
      <c r="K759" s="58">
        <f>if(G759,_xlfn.workday.intl(int(G759),0,"1000000",Holidays!A:A)+19/24,"")</f>
        <v>46051.79167</v>
      </c>
      <c r="L759" s="59" t="str">
        <f t="shared" si="3"/>
        <v/>
      </c>
      <c r="M759" s="60"/>
      <c r="N759" s="61">
        <f t="shared" si="4"/>
        <v>82.19224323</v>
      </c>
      <c r="O759" s="63">
        <f>if(A759,_xlfn.WORKDAY.INTL(A759,O$5,"1000000",Holidays!A:A)+hour(A759)/24+MINUTE(A759)/1440,"")</f>
        <v>46051.79792</v>
      </c>
      <c r="P759" s="64" t="s">
        <v>2718</v>
      </c>
      <c r="R759" s="66">
        <f t="shared" si="5"/>
        <v>82.18599323</v>
      </c>
      <c r="S759" s="66"/>
      <c r="T759" s="66"/>
      <c r="U759" s="64">
        <f>if(O759,_xlfn.WORKDAY.INTL(O759,U$5,"1000000",Holidays!A:A)+hour(O759)/24+MINUTE(O759)/1440,"")</f>
        <v>46052.79792</v>
      </c>
      <c r="V759" s="64" t="str">
        <f t="shared" si="6"/>
        <v/>
      </c>
      <c r="W759" s="66"/>
      <c r="X759" s="66">
        <f t="shared" si="7"/>
        <v>81.18599323</v>
      </c>
      <c r="Y759" s="66"/>
      <c r="Z759" s="66"/>
      <c r="AA759" s="66"/>
      <c r="AB759" s="63"/>
      <c r="AC759" s="63"/>
      <c r="AD759" s="63"/>
      <c r="AE759" s="63"/>
      <c r="AF759" s="63"/>
      <c r="AG759" s="63"/>
      <c r="AH759" s="63" t="str">
        <f t="shared" si="14"/>
        <v/>
      </c>
      <c r="AI759" s="63" t="str">
        <f>if(AH759,_xlfn.workday.intl(int(AH759),0,"1000000",Holidays!A:A)+18/24,"")</f>
        <v/>
      </c>
      <c r="AJ759" s="64" t="str">
        <f t="shared" si="24"/>
        <v/>
      </c>
      <c r="AL759" s="66" t="str">
        <f t="shared" si="9"/>
        <v/>
      </c>
      <c r="AM759" s="66"/>
      <c r="AN759" s="63" t="str">
        <f>if(AJ759,if(and(hour(AJ759+AN$5)&gt;11,(hour(AJ759+AN$5)&lt;20)),AJ759+AN$5,_xlfn.workday.intl(int(AJ759),1,"1000000",Holidays!A:A)+hour(AJ759+AN$5-$B$1)/24+minute(AJ759)/1440),"")</f>
        <v/>
      </c>
      <c r="AO759" s="64" t="str">
        <f t="shared" si="15"/>
        <v/>
      </c>
      <c r="AQ759" s="66" t="str">
        <f t="shared" si="16"/>
        <v/>
      </c>
      <c r="AR759" s="66"/>
      <c r="AS759" s="63" t="str">
        <f>if(AJ759,if(and(hour(AJ759+AS$5)&gt;11,(hour(AJ759+AS$5)&lt;20)),AJ759+AS$5,_xlfn.workday.intl(int(AJ759),1,"1000000",Holidays!A:A)+hour(AJ759+AS$5-$B$1)/24+minute(AJ759)/1440),"")</f>
        <v/>
      </c>
      <c r="AT759" s="64" t="str">
        <f t="shared" si="21"/>
        <v/>
      </c>
      <c r="AV759" s="66" t="str">
        <f t="shared" si="25"/>
        <v/>
      </c>
      <c r="AW759" s="66"/>
      <c r="AX759" s="56"/>
    </row>
    <row r="760">
      <c r="A760" s="55">
        <v>46051.66056063658</v>
      </c>
      <c r="B760" s="56"/>
      <c r="C760" s="57"/>
      <c r="D760" s="57"/>
      <c r="E760" s="57"/>
      <c r="F760" s="57"/>
      <c r="G760" s="58">
        <f>if(A760,_xlfn.workday.intl(int(A760),1,"1000000",Holidays!A:A)+17/24,"")</f>
        <v>46052.70833</v>
      </c>
      <c r="H760" s="59" t="str">
        <f t="shared" si="23"/>
        <v/>
      </c>
      <c r="I760" s="60"/>
      <c r="J760" s="61">
        <f t="shared" si="2"/>
        <v>81.27557656</v>
      </c>
      <c r="K760" s="58">
        <f>if(G760,_xlfn.workday.intl(int(G760),0,"1000000",Holidays!A:A)+19/24,"")</f>
        <v>46052.79167</v>
      </c>
      <c r="L760" s="59" t="str">
        <f t="shared" si="3"/>
        <v/>
      </c>
      <c r="M760" s="60"/>
      <c r="N760" s="61">
        <f t="shared" si="4"/>
        <v>81.19224323</v>
      </c>
      <c r="O760" s="63">
        <f>if(A760,_xlfn.WORKDAY.INTL(A760,O$5,"1000000",Holidays!A:A)+hour(A760)/24+MINUTE(A760)/1440,"")</f>
        <v>46052.66042</v>
      </c>
      <c r="P760" s="64" t="s">
        <v>2718</v>
      </c>
      <c r="R760" s="66">
        <f t="shared" si="5"/>
        <v>81.32349323</v>
      </c>
      <c r="S760" s="66"/>
      <c r="T760" s="66"/>
      <c r="U760" s="64">
        <f>if(O760,_xlfn.WORKDAY.INTL(O760,U$5,"1000000",Holidays!A:A)+hour(O760)/24+MINUTE(O760)/1440,"")</f>
        <v>46053.66042</v>
      </c>
      <c r="V760" s="64" t="str">
        <f t="shared" si="6"/>
        <v/>
      </c>
      <c r="W760" s="66"/>
      <c r="X760" s="66">
        <f t="shared" si="7"/>
        <v>80.32349323</v>
      </c>
      <c r="Y760" s="66"/>
      <c r="Z760" s="66"/>
      <c r="AA760" s="66"/>
      <c r="AB760" s="63"/>
      <c r="AC760" s="63"/>
      <c r="AD760" s="63"/>
      <c r="AE760" s="63"/>
      <c r="AF760" s="63"/>
      <c r="AG760" s="63"/>
      <c r="AH760" s="63" t="str">
        <f t="shared" si="14"/>
        <v/>
      </c>
      <c r="AI760" s="63" t="str">
        <f>if(AH760,_xlfn.workday.intl(int(AH760),0,"1000000",Holidays!A:A)+18/24,"")</f>
        <v/>
      </c>
      <c r="AJ760" s="64" t="str">
        <f t="shared" si="24"/>
        <v/>
      </c>
      <c r="AL760" s="66" t="str">
        <f t="shared" si="9"/>
        <v/>
      </c>
      <c r="AM760" s="66"/>
      <c r="AN760" s="63" t="str">
        <f>if(AJ760,if(and(hour(AJ760+AN$5)&gt;11,(hour(AJ760+AN$5)&lt;20)),AJ760+AN$5,_xlfn.workday.intl(int(AJ760),1,"1000000",Holidays!A:A)+hour(AJ760+AN$5-$B$1)/24+minute(AJ760)/1440),"")</f>
        <v/>
      </c>
      <c r="AO760" s="64" t="str">
        <f t="shared" si="15"/>
        <v/>
      </c>
      <c r="AQ760" s="66" t="str">
        <f t="shared" si="16"/>
        <v/>
      </c>
      <c r="AR760" s="66"/>
      <c r="AS760" s="63" t="str">
        <f>if(AJ760,if(and(hour(AJ760+AS$5)&gt;11,(hour(AJ760+AS$5)&lt;20)),AJ760+AS$5,_xlfn.workday.intl(int(AJ760),1,"1000000",Holidays!A:A)+hour(AJ760+AS$5-$B$1)/24+minute(AJ760)/1440),"")</f>
        <v/>
      </c>
      <c r="AT760" s="64" t="str">
        <f t="shared" si="21"/>
        <v/>
      </c>
      <c r="AV760" s="66" t="str">
        <f t="shared" si="25"/>
        <v/>
      </c>
      <c r="AW760" s="66"/>
      <c r="AX760" s="56"/>
    </row>
    <row r="761">
      <c r="A761" s="55">
        <v>46051.662125243056</v>
      </c>
      <c r="B761" s="56"/>
      <c r="C761" s="57"/>
      <c r="D761" s="57"/>
      <c r="E761" s="57"/>
      <c r="F761" s="57"/>
      <c r="G761" s="58">
        <f>if(A761,_xlfn.workday.intl(int(A761),1,"1000000",Holidays!A:A)+17/24,"")</f>
        <v>46052.70833</v>
      </c>
      <c r="H761" s="59" t="str">
        <f t="shared" si="23"/>
        <v/>
      </c>
      <c r="I761" s="60"/>
      <c r="J761" s="61">
        <f t="shared" si="2"/>
        <v>81.27557656</v>
      </c>
      <c r="K761" s="58">
        <f>if(G761,_xlfn.workday.intl(int(G761),0,"1000000",Holidays!A:A)+19/24,"")</f>
        <v>46052.79167</v>
      </c>
      <c r="L761" s="59" t="str">
        <f t="shared" si="3"/>
        <v/>
      </c>
      <c r="M761" s="60"/>
      <c r="N761" s="61">
        <f t="shared" si="4"/>
        <v>81.19224323</v>
      </c>
      <c r="O761" s="63">
        <f>if(A761,_xlfn.WORKDAY.INTL(A761,O$5,"1000000",Holidays!A:A)+hour(A761)/24+MINUTE(A761)/1440,"")</f>
        <v>46052.66181</v>
      </c>
      <c r="P761" s="64" t="s">
        <v>2718</v>
      </c>
      <c r="R761" s="66">
        <f t="shared" si="5"/>
        <v>81.32210434</v>
      </c>
      <c r="S761" s="66"/>
      <c r="T761" s="66"/>
      <c r="U761" s="64">
        <f>if(O761,_xlfn.WORKDAY.INTL(O761,U$5,"1000000",Holidays!A:A)+hour(O761)/24+MINUTE(O761)/1440,"")</f>
        <v>46053.66181</v>
      </c>
      <c r="V761" s="64" t="str">
        <f t="shared" si="6"/>
        <v/>
      </c>
      <c r="W761" s="66"/>
      <c r="X761" s="66">
        <f t="shared" si="7"/>
        <v>80.32210434</v>
      </c>
      <c r="Y761" s="66"/>
      <c r="Z761" s="66"/>
      <c r="AA761" s="66"/>
      <c r="AB761" s="63"/>
      <c r="AC761" s="63"/>
      <c r="AD761" s="63"/>
      <c r="AE761" s="63"/>
      <c r="AF761" s="63"/>
      <c r="AG761" s="63"/>
      <c r="AH761" s="63" t="str">
        <f t="shared" si="14"/>
        <v/>
      </c>
      <c r="AI761" s="63" t="str">
        <f>if(AH761,_xlfn.workday.intl(int(AH761),0,"1000000",Holidays!A:A)+18/24,"")</f>
        <v/>
      </c>
      <c r="AJ761" s="64" t="str">
        <f t="shared" si="24"/>
        <v/>
      </c>
      <c r="AL761" s="66" t="str">
        <f t="shared" si="9"/>
        <v/>
      </c>
      <c r="AM761" s="66"/>
      <c r="AN761" s="63" t="str">
        <f>if(AJ761,if(and(hour(AJ761+AN$5)&gt;11,(hour(AJ761+AN$5)&lt;20)),AJ761+AN$5,_xlfn.workday.intl(int(AJ761),1,"1000000",Holidays!A:A)+hour(AJ761+AN$5-$B$1)/24+minute(AJ761)/1440),"")</f>
        <v/>
      </c>
      <c r="AO761" s="64" t="str">
        <f t="shared" si="15"/>
        <v/>
      </c>
      <c r="AQ761" s="66" t="str">
        <f t="shared" si="16"/>
        <v/>
      </c>
      <c r="AR761" s="66"/>
      <c r="AS761" s="63" t="str">
        <f>if(AJ761,if(and(hour(AJ761+AS$5)&gt;11,(hour(AJ761+AS$5)&lt;20)),AJ761+AS$5,_xlfn.workday.intl(int(AJ761),1,"1000000",Holidays!A:A)+hour(AJ761+AS$5-$B$1)/24+minute(AJ761)/1440),"")</f>
        <v/>
      </c>
      <c r="AT761" s="64" t="str">
        <f t="shared" si="21"/>
        <v/>
      </c>
      <c r="AV761" s="66" t="str">
        <f t="shared" si="25"/>
        <v/>
      </c>
      <c r="AW761" s="66"/>
      <c r="AX761" s="56"/>
    </row>
    <row r="762">
      <c r="A762" s="55">
        <v>46051.69956929398</v>
      </c>
      <c r="B762" s="56"/>
      <c r="C762" s="57"/>
      <c r="D762" s="57"/>
      <c r="E762" s="57"/>
      <c r="F762" s="57"/>
      <c r="G762" s="58">
        <f>if(A762,_xlfn.workday.intl(int(A762),1,"1000000",Holidays!A:A)+17/24,"")</f>
        <v>46052.70833</v>
      </c>
      <c r="H762" s="59" t="str">
        <f t="shared" si="23"/>
        <v/>
      </c>
      <c r="I762" s="60"/>
      <c r="J762" s="61">
        <f t="shared" si="2"/>
        <v>81.27557656</v>
      </c>
      <c r="K762" s="58">
        <f>if(G762,_xlfn.workday.intl(int(G762),0,"1000000",Holidays!A:A)+19/24,"")</f>
        <v>46052.79167</v>
      </c>
      <c r="L762" s="59" t="str">
        <f t="shared" si="3"/>
        <v/>
      </c>
      <c r="M762" s="60"/>
      <c r="N762" s="61">
        <f t="shared" si="4"/>
        <v>81.19224323</v>
      </c>
      <c r="O762" s="63">
        <f>if(A762,_xlfn.WORKDAY.INTL(A762,O$5,"1000000",Holidays!A:A)+hour(A762)/24+MINUTE(A762)/1440,"")</f>
        <v>46052.69931</v>
      </c>
      <c r="P762" s="64" t="s">
        <v>2718</v>
      </c>
      <c r="R762" s="66">
        <f t="shared" si="5"/>
        <v>81.28460434</v>
      </c>
      <c r="S762" s="66"/>
      <c r="T762" s="66"/>
      <c r="U762" s="64">
        <f>if(O762,_xlfn.WORKDAY.INTL(O762,U$5,"1000000",Holidays!A:A)+hour(O762)/24+MINUTE(O762)/1440,"")</f>
        <v>46053.69931</v>
      </c>
      <c r="V762" s="64" t="str">
        <f t="shared" si="6"/>
        <v/>
      </c>
      <c r="W762" s="66"/>
      <c r="X762" s="66">
        <f t="shared" si="7"/>
        <v>80.28460434</v>
      </c>
      <c r="Y762" s="66"/>
      <c r="Z762" s="66"/>
      <c r="AA762" s="66"/>
      <c r="AB762" s="63"/>
      <c r="AC762" s="63"/>
      <c r="AD762" s="63"/>
      <c r="AE762" s="63"/>
      <c r="AF762" s="63"/>
      <c r="AG762" s="63"/>
      <c r="AH762" s="63" t="str">
        <f t="shared" si="14"/>
        <v/>
      </c>
      <c r="AI762" s="63" t="str">
        <f>if(AH762,_xlfn.workday.intl(int(AH762),0,"1000000",Holidays!A:A)+18/24,"")</f>
        <v/>
      </c>
      <c r="AJ762" s="64" t="str">
        <f t="shared" si="24"/>
        <v/>
      </c>
      <c r="AL762" s="66" t="str">
        <f t="shared" si="9"/>
        <v/>
      </c>
      <c r="AM762" s="66"/>
      <c r="AN762" s="63" t="str">
        <f>if(AJ762,if(and(hour(AJ762+AN$5)&gt;11,(hour(AJ762+AN$5)&lt;20)),AJ762+AN$5,_xlfn.workday.intl(int(AJ762),1,"1000000",Holidays!A:A)+hour(AJ762+AN$5-$B$1)/24+minute(AJ762)/1440),"")</f>
        <v/>
      </c>
      <c r="AO762" s="64" t="str">
        <f t="shared" si="15"/>
        <v/>
      </c>
      <c r="AQ762" s="66" t="str">
        <f t="shared" si="16"/>
        <v/>
      </c>
      <c r="AR762" s="66"/>
      <c r="AS762" s="63" t="str">
        <f>if(AJ762,if(and(hour(AJ762+AS$5)&gt;11,(hour(AJ762+AS$5)&lt;20)),AJ762+AS$5,_xlfn.workday.intl(int(AJ762),1,"1000000",Holidays!A:A)+hour(AJ762+AS$5-$B$1)/24+minute(AJ762)/1440),"")</f>
        <v/>
      </c>
      <c r="AT762" s="64" t="str">
        <f t="shared" si="21"/>
        <v/>
      </c>
      <c r="AV762" s="66" t="str">
        <f t="shared" si="25"/>
        <v/>
      </c>
      <c r="AW762" s="66"/>
      <c r="AX762" s="56"/>
    </row>
    <row r="763">
      <c r="A763" s="55">
        <v>46051.70065262732</v>
      </c>
      <c r="B763" s="56"/>
      <c r="C763" s="57"/>
      <c r="D763" s="57"/>
      <c r="E763" s="57"/>
      <c r="F763" s="57"/>
      <c r="G763" s="58">
        <f>if(A763,_xlfn.workday.intl(int(A763),1,"1000000",Holidays!A:A)+17/24,"")</f>
        <v>46052.70833</v>
      </c>
      <c r="H763" s="59" t="str">
        <f t="shared" si="23"/>
        <v/>
      </c>
      <c r="I763" s="60"/>
      <c r="J763" s="61">
        <f t="shared" si="2"/>
        <v>81.27557656</v>
      </c>
      <c r="K763" s="58">
        <f>if(G763,_xlfn.workday.intl(int(G763),0,"1000000",Holidays!A:A)+19/24,"")</f>
        <v>46052.79167</v>
      </c>
      <c r="L763" s="59" t="str">
        <f t="shared" si="3"/>
        <v/>
      </c>
      <c r="M763" s="60"/>
      <c r="N763" s="61">
        <f t="shared" si="4"/>
        <v>81.19224323</v>
      </c>
      <c r="O763" s="63">
        <f>if(A763,_xlfn.WORKDAY.INTL(A763,O$5,"1000000",Holidays!A:A)+hour(A763)/24+MINUTE(A763)/1440,"")</f>
        <v>46052.7</v>
      </c>
      <c r="P763" s="64" t="s">
        <v>2718</v>
      </c>
      <c r="R763" s="66">
        <f t="shared" si="5"/>
        <v>81.2839099</v>
      </c>
      <c r="S763" s="66"/>
      <c r="T763" s="66"/>
      <c r="U763" s="64">
        <f>if(O763,_xlfn.WORKDAY.INTL(O763,U$5,"1000000",Holidays!A:A)+hour(O763)/24+MINUTE(O763)/1440,"")</f>
        <v>46053.7</v>
      </c>
      <c r="V763" s="64" t="str">
        <f t="shared" si="6"/>
        <v/>
      </c>
      <c r="W763" s="66"/>
      <c r="X763" s="66">
        <f t="shared" si="7"/>
        <v>80.2839099</v>
      </c>
      <c r="Y763" s="66"/>
      <c r="Z763" s="66"/>
      <c r="AA763" s="66"/>
      <c r="AB763" s="63"/>
      <c r="AC763" s="63"/>
      <c r="AD763" s="63"/>
      <c r="AE763" s="63"/>
      <c r="AF763" s="63"/>
      <c r="AG763" s="63"/>
      <c r="AH763" s="63" t="str">
        <f t="shared" si="14"/>
        <v/>
      </c>
      <c r="AI763" s="63" t="str">
        <f>if(AH763,_xlfn.workday.intl(int(AH763),0,"1000000",Holidays!A:A)+18/24,"")</f>
        <v/>
      </c>
      <c r="AJ763" s="64" t="str">
        <f t="shared" si="24"/>
        <v/>
      </c>
      <c r="AL763" s="66" t="str">
        <f t="shared" si="9"/>
        <v/>
      </c>
      <c r="AM763" s="66"/>
      <c r="AN763" s="63" t="str">
        <f>if(AJ763,if(and(hour(AJ763+AN$5)&gt;11,(hour(AJ763+AN$5)&lt;20)),AJ763+AN$5,_xlfn.workday.intl(int(AJ763),1,"1000000",Holidays!A:A)+hour(AJ763+AN$5-$B$1)/24+minute(AJ763)/1440),"")</f>
        <v/>
      </c>
      <c r="AO763" s="64" t="str">
        <f t="shared" si="15"/>
        <v/>
      </c>
      <c r="AQ763" s="66" t="str">
        <f t="shared" si="16"/>
        <v/>
      </c>
      <c r="AR763" s="66"/>
      <c r="AS763" s="63" t="str">
        <f>if(AJ763,if(and(hour(AJ763+AS$5)&gt;11,(hour(AJ763+AS$5)&lt;20)),AJ763+AS$5,_xlfn.workday.intl(int(AJ763),1,"1000000",Holidays!A:A)+hour(AJ763+AS$5-$B$1)/24+minute(AJ763)/1440),"")</f>
        <v/>
      </c>
      <c r="AT763" s="64" t="str">
        <f t="shared" si="21"/>
        <v/>
      </c>
      <c r="AV763" s="66" t="str">
        <f t="shared" si="25"/>
        <v/>
      </c>
      <c r="AW763" s="66"/>
      <c r="AX763" s="56"/>
    </row>
    <row r="764">
      <c r="A764" s="55">
        <v>46051.77481296296</v>
      </c>
      <c r="B764" s="56"/>
      <c r="C764" s="57"/>
      <c r="D764" s="57"/>
      <c r="E764" s="57"/>
      <c r="F764" s="57"/>
      <c r="G764" s="58">
        <f>if(A764,_xlfn.workday.intl(int(A764),1,"1000000",Holidays!A:A)+17/24,"")</f>
        <v>46052.70833</v>
      </c>
      <c r="H764" s="59" t="str">
        <f t="shared" si="23"/>
        <v/>
      </c>
      <c r="I764" s="60"/>
      <c r="J764" s="61">
        <f t="shared" si="2"/>
        <v>81.27557656</v>
      </c>
      <c r="K764" s="58">
        <f>if(G764,_xlfn.workday.intl(int(G764),0,"1000000",Holidays!A:A)+19/24,"")</f>
        <v>46052.79167</v>
      </c>
      <c r="L764" s="59" t="str">
        <f t="shared" si="3"/>
        <v/>
      </c>
      <c r="M764" s="60"/>
      <c r="N764" s="61">
        <f t="shared" si="4"/>
        <v>81.19224323</v>
      </c>
      <c r="O764" s="63">
        <f>if(A764,_xlfn.WORKDAY.INTL(A764,O$5,"1000000",Holidays!A:A)+hour(A764)/24+MINUTE(A764)/1440,"")</f>
        <v>46052.77431</v>
      </c>
      <c r="P764" s="64" t="s">
        <v>2718</v>
      </c>
      <c r="R764" s="66">
        <f t="shared" si="5"/>
        <v>81.20960434</v>
      </c>
      <c r="S764" s="66"/>
      <c r="T764" s="66"/>
      <c r="U764" s="64">
        <f>if(O764,_xlfn.WORKDAY.INTL(O764,U$5,"1000000",Holidays!A:A)+hour(O764)/24+MINUTE(O764)/1440,"")</f>
        <v>46053.77431</v>
      </c>
      <c r="V764" s="64" t="str">
        <f t="shared" si="6"/>
        <v/>
      </c>
      <c r="W764" s="66"/>
      <c r="X764" s="66">
        <f t="shared" si="7"/>
        <v>80.20960434</v>
      </c>
      <c r="Y764" s="66"/>
      <c r="Z764" s="66"/>
      <c r="AA764" s="66"/>
      <c r="AB764" s="63"/>
      <c r="AC764" s="63"/>
      <c r="AD764" s="63"/>
      <c r="AE764" s="63"/>
      <c r="AF764" s="63"/>
      <c r="AG764" s="63"/>
      <c r="AH764" s="63" t="str">
        <f t="shared" si="14"/>
        <v/>
      </c>
      <c r="AI764" s="63" t="str">
        <f>if(AH764,_xlfn.workday.intl(int(AH764),0,"1000000",Holidays!A:A)+18/24,"")</f>
        <v/>
      </c>
      <c r="AJ764" s="64" t="str">
        <f t="shared" si="24"/>
        <v/>
      </c>
      <c r="AL764" s="66" t="str">
        <f t="shared" si="9"/>
        <v/>
      </c>
      <c r="AM764" s="66"/>
      <c r="AN764" s="63" t="str">
        <f>if(AJ764,if(and(hour(AJ764+AN$5)&gt;11,(hour(AJ764+AN$5)&lt;20)),AJ764+AN$5,_xlfn.workday.intl(int(AJ764),1,"1000000",Holidays!A:A)+hour(AJ764+AN$5-$B$1)/24+minute(AJ764)/1440),"")</f>
        <v/>
      </c>
      <c r="AO764" s="64" t="str">
        <f t="shared" si="15"/>
        <v/>
      </c>
      <c r="AQ764" s="66" t="str">
        <f t="shared" si="16"/>
        <v/>
      </c>
      <c r="AR764" s="66"/>
      <c r="AS764" s="63" t="str">
        <f>if(AJ764,if(and(hour(AJ764+AS$5)&gt;11,(hour(AJ764+AS$5)&lt;20)),AJ764+AS$5,_xlfn.workday.intl(int(AJ764),1,"1000000",Holidays!A:A)+hour(AJ764+AS$5-$B$1)/24+minute(AJ764)/1440),"")</f>
        <v/>
      </c>
      <c r="AT764" s="64" t="str">
        <f t="shared" si="21"/>
        <v/>
      </c>
      <c r="AV764" s="66" t="str">
        <f t="shared" si="25"/>
        <v/>
      </c>
      <c r="AW764" s="66"/>
      <c r="AX764" s="56"/>
    </row>
    <row r="765">
      <c r="A765" s="55">
        <v>46051.77601505787</v>
      </c>
      <c r="B765" s="56"/>
      <c r="C765" s="57"/>
      <c r="D765" s="57"/>
      <c r="E765" s="57"/>
      <c r="F765" s="57"/>
      <c r="G765" s="58">
        <f>if(A765,_xlfn.workday.intl(int(A765),1,"1000000",Holidays!A:A)+17/24,"")</f>
        <v>46052.70833</v>
      </c>
      <c r="H765" s="59" t="str">
        <f t="shared" si="23"/>
        <v/>
      </c>
      <c r="I765" s="60"/>
      <c r="J765" s="61">
        <f t="shared" si="2"/>
        <v>81.27557656</v>
      </c>
      <c r="K765" s="58">
        <f>if(G765,_xlfn.workday.intl(int(G765),0,"1000000",Holidays!A:A)+19/24,"")</f>
        <v>46052.79167</v>
      </c>
      <c r="L765" s="59" t="str">
        <f t="shared" si="3"/>
        <v/>
      </c>
      <c r="M765" s="60"/>
      <c r="N765" s="61">
        <f t="shared" si="4"/>
        <v>81.19224323</v>
      </c>
      <c r="O765" s="63">
        <f>if(A765,_xlfn.WORKDAY.INTL(A765,O$5,"1000000",Holidays!A:A)+hour(A765)/24+MINUTE(A765)/1440,"")</f>
        <v>46052.77569</v>
      </c>
      <c r="P765" s="64" t="s">
        <v>2718</v>
      </c>
      <c r="R765" s="66">
        <f t="shared" si="5"/>
        <v>81.20821545</v>
      </c>
      <c r="S765" s="66"/>
      <c r="T765" s="66"/>
      <c r="U765" s="64">
        <f>if(O765,_xlfn.WORKDAY.INTL(O765,U$5,"1000000",Holidays!A:A)+hour(O765)/24+MINUTE(O765)/1440,"")</f>
        <v>46053.77569</v>
      </c>
      <c r="V765" s="64" t="str">
        <f t="shared" si="6"/>
        <v/>
      </c>
      <c r="W765" s="66"/>
      <c r="X765" s="66">
        <f t="shared" si="7"/>
        <v>80.20821545</v>
      </c>
      <c r="Y765" s="66"/>
      <c r="Z765" s="66"/>
      <c r="AA765" s="66"/>
      <c r="AB765" s="63"/>
      <c r="AC765" s="63"/>
      <c r="AD765" s="63"/>
      <c r="AE765" s="63"/>
      <c r="AF765" s="63"/>
      <c r="AG765" s="63"/>
      <c r="AH765" s="63" t="str">
        <f t="shared" si="14"/>
        <v/>
      </c>
      <c r="AI765" s="63" t="str">
        <f>if(AH765,_xlfn.workday.intl(int(AH765),0,"1000000",Holidays!A:A)+18/24,"")</f>
        <v/>
      </c>
      <c r="AJ765" s="64" t="str">
        <f t="shared" si="24"/>
        <v/>
      </c>
      <c r="AL765" s="66" t="str">
        <f t="shared" si="9"/>
        <v/>
      </c>
      <c r="AM765" s="66"/>
      <c r="AN765" s="63" t="str">
        <f>if(AJ765,if(and(hour(AJ765+AN$5)&gt;11,(hour(AJ765+AN$5)&lt;20)),AJ765+AN$5,_xlfn.workday.intl(int(AJ765),1,"1000000",Holidays!A:A)+hour(AJ765+AN$5-$B$1)/24+minute(AJ765)/1440),"")</f>
        <v/>
      </c>
      <c r="AO765" s="64" t="str">
        <f t="shared" si="15"/>
        <v/>
      </c>
      <c r="AQ765" s="66" t="str">
        <f t="shared" si="16"/>
        <v/>
      </c>
      <c r="AR765" s="66"/>
      <c r="AS765" s="63" t="str">
        <f>if(AJ765,if(and(hour(AJ765+AS$5)&gt;11,(hour(AJ765+AS$5)&lt;20)),AJ765+AS$5,_xlfn.workday.intl(int(AJ765),1,"1000000",Holidays!A:A)+hour(AJ765+AS$5-$B$1)/24+minute(AJ765)/1440),"")</f>
        <v/>
      </c>
      <c r="AT765" s="64" t="str">
        <f t="shared" si="21"/>
        <v/>
      </c>
      <c r="AV765" s="66" t="str">
        <f t="shared" si="25"/>
        <v/>
      </c>
      <c r="AW765" s="66"/>
      <c r="AX765" s="56"/>
    </row>
    <row r="766">
      <c r="A766" s="55">
        <v>46051.785749097224</v>
      </c>
      <c r="B766" s="56"/>
      <c r="C766" s="57"/>
      <c r="D766" s="57"/>
      <c r="E766" s="57"/>
      <c r="F766" s="57"/>
      <c r="G766" s="58">
        <f>if(A766,_xlfn.workday.intl(int(A766),1,"1000000",Holidays!A:A)+17/24,"")</f>
        <v>46052.70833</v>
      </c>
      <c r="H766" s="59" t="str">
        <f t="shared" si="23"/>
        <v/>
      </c>
      <c r="I766" s="60"/>
      <c r="J766" s="61">
        <f t="shared" si="2"/>
        <v>81.27557656</v>
      </c>
      <c r="K766" s="58">
        <f>if(G766,_xlfn.workday.intl(int(G766),0,"1000000",Holidays!A:A)+19/24,"")</f>
        <v>46052.79167</v>
      </c>
      <c r="L766" s="59" t="str">
        <f t="shared" si="3"/>
        <v/>
      </c>
      <c r="M766" s="60"/>
      <c r="N766" s="61">
        <f t="shared" si="4"/>
        <v>81.19224323</v>
      </c>
      <c r="O766" s="63">
        <f>if(A766,_xlfn.WORKDAY.INTL(A766,O$5,"1000000",Holidays!A:A)+hour(A766)/24+MINUTE(A766)/1440,"")</f>
        <v>46052.78542</v>
      </c>
      <c r="P766" s="64" t="s">
        <v>2718</v>
      </c>
      <c r="R766" s="66">
        <f t="shared" si="5"/>
        <v>81.19849323</v>
      </c>
      <c r="S766" s="66"/>
      <c r="T766" s="66"/>
      <c r="U766" s="64">
        <f>if(O766,_xlfn.WORKDAY.INTL(O766,U$5,"1000000",Holidays!A:A)+hour(O766)/24+MINUTE(O766)/1440,"")</f>
        <v>46053.78542</v>
      </c>
      <c r="V766" s="64" t="str">
        <f t="shared" si="6"/>
        <v/>
      </c>
      <c r="W766" s="66"/>
      <c r="X766" s="66">
        <f t="shared" si="7"/>
        <v>80.19849323</v>
      </c>
      <c r="Y766" s="66"/>
      <c r="Z766" s="66"/>
      <c r="AA766" s="66"/>
      <c r="AB766" s="63"/>
      <c r="AC766" s="63"/>
      <c r="AD766" s="63"/>
      <c r="AE766" s="63"/>
      <c r="AF766" s="63"/>
      <c r="AG766" s="63"/>
      <c r="AH766" s="63" t="str">
        <f t="shared" si="14"/>
        <v/>
      </c>
      <c r="AI766" s="63" t="str">
        <f>if(AH766,_xlfn.workday.intl(int(AH766),0,"1000000",Holidays!A:A)+18/24,"")</f>
        <v/>
      </c>
      <c r="AJ766" s="64" t="str">
        <f t="shared" si="24"/>
        <v/>
      </c>
      <c r="AL766" s="66" t="str">
        <f t="shared" si="9"/>
        <v/>
      </c>
      <c r="AM766" s="66"/>
      <c r="AN766" s="63" t="str">
        <f>if(AJ766,if(and(hour(AJ766+AN$5)&gt;11,(hour(AJ766+AN$5)&lt;20)),AJ766+AN$5,_xlfn.workday.intl(int(AJ766),1,"1000000",Holidays!A:A)+hour(AJ766+AN$5-$B$1)/24+minute(AJ766)/1440),"")</f>
        <v/>
      </c>
      <c r="AO766" s="64" t="str">
        <f t="shared" si="15"/>
        <v/>
      </c>
      <c r="AQ766" s="66" t="str">
        <f t="shared" si="16"/>
        <v/>
      </c>
      <c r="AR766" s="66"/>
      <c r="AS766" s="63" t="str">
        <f>if(AJ766,if(and(hour(AJ766+AS$5)&gt;11,(hour(AJ766+AS$5)&lt;20)),AJ766+AS$5,_xlfn.workday.intl(int(AJ766),1,"1000000",Holidays!A:A)+hour(AJ766+AS$5-$B$1)/24+minute(AJ766)/1440),"")</f>
        <v/>
      </c>
      <c r="AT766" s="64" t="str">
        <f t="shared" si="21"/>
        <v/>
      </c>
      <c r="AV766" s="66" t="str">
        <f t="shared" si="25"/>
        <v/>
      </c>
      <c r="AW766" s="66"/>
      <c r="AX766" s="56"/>
    </row>
    <row r="767">
      <c r="A767" s="55">
        <v>46053.78467376158</v>
      </c>
      <c r="B767" s="56"/>
      <c r="C767" s="57"/>
      <c r="D767" s="57"/>
      <c r="E767" s="57"/>
      <c r="F767" s="57"/>
      <c r="G767" s="58">
        <f>if(A767,_xlfn.workday.intl(int(A767),1,"1000000",Holidays!A:A)+17/24,"")</f>
        <v>46054.70833</v>
      </c>
      <c r="H767" s="59" t="str">
        <f t="shared" si="23"/>
        <v/>
      </c>
      <c r="I767" s="60"/>
      <c r="J767" s="61">
        <f t="shared" si="2"/>
        <v>79.27557656</v>
      </c>
      <c r="K767" s="58">
        <f>if(G767,_xlfn.workday.intl(int(G767),0,"1000000",Holidays!A:A)+19/24,"")</f>
        <v>46054.79167</v>
      </c>
      <c r="L767" s="59" t="str">
        <f t="shared" si="3"/>
        <v/>
      </c>
      <c r="M767" s="60"/>
      <c r="N767" s="61">
        <f t="shared" si="4"/>
        <v>79.19224323</v>
      </c>
      <c r="O767" s="63">
        <f>if(A767,_xlfn.WORKDAY.INTL(A767,O$5,"1000000",Holidays!A:A)+hour(A767)/24+MINUTE(A767)/1440,"")</f>
        <v>46054.78403</v>
      </c>
      <c r="P767" s="64" t="s">
        <v>2718</v>
      </c>
      <c r="R767" s="66">
        <f t="shared" si="5"/>
        <v>79.19988212</v>
      </c>
      <c r="S767" s="66"/>
      <c r="T767" s="66"/>
      <c r="U767" s="64">
        <f>if(O767,_xlfn.WORKDAY.INTL(O767,U$5,"1000000",Holidays!A:A)+hour(O767)/24+MINUTE(O767)/1440,"")</f>
        <v>46056.78403</v>
      </c>
      <c r="V767" s="64" t="str">
        <f t="shared" si="6"/>
        <v/>
      </c>
      <c r="W767" s="66"/>
      <c r="X767" s="66">
        <f t="shared" si="7"/>
        <v>77.19988212</v>
      </c>
      <c r="Y767" s="66"/>
      <c r="Z767" s="66"/>
      <c r="AA767" s="66"/>
      <c r="AB767" s="63"/>
      <c r="AC767" s="63"/>
      <c r="AD767" s="63"/>
      <c r="AE767" s="63"/>
      <c r="AF767" s="63"/>
      <c r="AG767" s="63"/>
      <c r="AH767" s="63" t="str">
        <f t="shared" si="14"/>
        <v/>
      </c>
      <c r="AI767" s="63" t="str">
        <f>if(AH767,_xlfn.workday.intl(int(AH767),0,"1000000",Holidays!A:A)+18/24,"")</f>
        <v/>
      </c>
      <c r="AJ767" s="64" t="str">
        <f t="shared" si="24"/>
        <v/>
      </c>
      <c r="AL767" s="66" t="str">
        <f t="shared" si="9"/>
        <v/>
      </c>
      <c r="AM767" s="66"/>
      <c r="AN767" s="63" t="str">
        <f>if(AJ767,if(and(hour(AJ767+AN$5)&gt;11,(hour(AJ767+AN$5)&lt;20)),AJ767+AN$5,_xlfn.workday.intl(int(AJ767),1,"1000000",Holidays!A:A)+hour(AJ767+AN$5-$B$1)/24+minute(AJ767)/1440),"")</f>
        <v/>
      </c>
      <c r="AO767" s="64" t="str">
        <f t="shared" si="15"/>
        <v/>
      </c>
      <c r="AQ767" s="66" t="str">
        <f t="shared" si="16"/>
        <v/>
      </c>
      <c r="AR767" s="66"/>
      <c r="AS767" s="63" t="str">
        <f>if(AJ767,if(and(hour(AJ767+AS$5)&gt;11,(hour(AJ767+AS$5)&lt;20)),AJ767+AS$5,_xlfn.workday.intl(int(AJ767),1,"1000000",Holidays!A:A)+hour(AJ767+AS$5-$B$1)/24+minute(AJ767)/1440),"")</f>
        <v/>
      </c>
      <c r="AT767" s="64" t="str">
        <f t="shared" si="21"/>
        <v/>
      </c>
      <c r="AV767" s="66" t="str">
        <f t="shared" si="25"/>
        <v/>
      </c>
      <c r="AW767" s="66"/>
      <c r="AX767" s="56"/>
    </row>
    <row r="768">
      <c r="A768" s="55">
        <v>46053.78603965278</v>
      </c>
      <c r="B768" s="56"/>
      <c r="C768" s="57"/>
      <c r="D768" s="57"/>
      <c r="E768" s="57"/>
      <c r="F768" s="57"/>
      <c r="G768" s="58">
        <f>if(A768,_xlfn.workday.intl(int(A768),1,"1000000",Holidays!A:A)+17/24,"")</f>
        <v>46054.70833</v>
      </c>
      <c r="H768" s="59" t="str">
        <f t="shared" si="23"/>
        <v/>
      </c>
      <c r="I768" s="60"/>
      <c r="J768" s="61">
        <f t="shared" si="2"/>
        <v>79.27557656</v>
      </c>
      <c r="K768" s="58">
        <f>if(G768,_xlfn.workday.intl(int(G768),0,"1000000",Holidays!A:A)+19/24,"")</f>
        <v>46054.79167</v>
      </c>
      <c r="L768" s="59" t="str">
        <f t="shared" si="3"/>
        <v/>
      </c>
      <c r="M768" s="60"/>
      <c r="N768" s="61">
        <f t="shared" si="4"/>
        <v>79.19224323</v>
      </c>
      <c r="O768" s="63">
        <f>if(A768,_xlfn.WORKDAY.INTL(A768,O$5,"1000000",Holidays!A:A)+hour(A768)/24+MINUTE(A768)/1440,"")</f>
        <v>46054.78542</v>
      </c>
      <c r="P768" s="64" t="s">
        <v>2718</v>
      </c>
      <c r="R768" s="66">
        <f t="shared" si="5"/>
        <v>79.19849323</v>
      </c>
      <c r="S768" s="66"/>
      <c r="T768" s="66"/>
      <c r="U768" s="64">
        <f>if(O768,_xlfn.WORKDAY.INTL(O768,U$5,"1000000",Holidays!A:A)+hour(O768)/24+MINUTE(O768)/1440,"")</f>
        <v>46056.78542</v>
      </c>
      <c r="V768" s="64" t="str">
        <f t="shared" si="6"/>
        <v/>
      </c>
      <c r="W768" s="66"/>
      <c r="X768" s="66">
        <f t="shared" si="7"/>
        <v>77.19849323</v>
      </c>
      <c r="Y768" s="66"/>
      <c r="Z768" s="66"/>
      <c r="AA768" s="66"/>
      <c r="AB768" s="63"/>
      <c r="AC768" s="63"/>
      <c r="AD768" s="63"/>
      <c r="AE768" s="63"/>
      <c r="AF768" s="63"/>
      <c r="AG768" s="63"/>
      <c r="AH768" s="63" t="str">
        <f t="shared" si="14"/>
        <v/>
      </c>
      <c r="AI768" s="63" t="str">
        <f>if(AH768,_xlfn.workday.intl(int(AH768),0,"1000000",Holidays!A:A)+18/24,"")</f>
        <v/>
      </c>
      <c r="AJ768" s="64" t="str">
        <f t="shared" si="24"/>
        <v/>
      </c>
      <c r="AL768" s="66" t="str">
        <f t="shared" si="9"/>
        <v/>
      </c>
      <c r="AM768" s="66"/>
      <c r="AN768" s="63" t="str">
        <f>if(AJ768,if(and(hour(AJ768+AN$5)&gt;11,(hour(AJ768+AN$5)&lt;20)),AJ768+AN$5,_xlfn.workday.intl(int(AJ768),1,"1000000",Holidays!A:A)+hour(AJ768+AN$5-$B$1)/24+minute(AJ768)/1440),"")</f>
        <v/>
      </c>
      <c r="AO768" s="64" t="str">
        <f t="shared" si="15"/>
        <v/>
      </c>
      <c r="AQ768" s="66" t="str">
        <f t="shared" si="16"/>
        <v/>
      </c>
      <c r="AR768" s="66"/>
      <c r="AS768" s="63" t="str">
        <f>if(AJ768,if(and(hour(AJ768+AS$5)&gt;11,(hour(AJ768+AS$5)&lt;20)),AJ768+AS$5,_xlfn.workday.intl(int(AJ768),1,"1000000",Holidays!A:A)+hour(AJ768+AS$5-$B$1)/24+minute(AJ768)/1440),"")</f>
        <v/>
      </c>
      <c r="AT768" s="64" t="str">
        <f t="shared" si="21"/>
        <v/>
      </c>
      <c r="AV768" s="66" t="str">
        <f t="shared" si="25"/>
        <v/>
      </c>
      <c r="AW768" s="66"/>
      <c r="AX768" s="56"/>
    </row>
    <row r="769">
      <c r="A769" s="55">
        <v>46053.789922916665</v>
      </c>
      <c r="B769" s="56"/>
      <c r="C769" s="57"/>
      <c r="D769" s="57"/>
      <c r="E769" s="57"/>
      <c r="F769" s="57"/>
      <c r="G769" s="58">
        <f>if(A769,_xlfn.workday.intl(int(A769),1,"1000000",Holidays!A:A)+17/24,"")</f>
        <v>46054.70833</v>
      </c>
      <c r="H769" s="59" t="str">
        <f t="shared" si="23"/>
        <v/>
      </c>
      <c r="I769" s="60"/>
      <c r="J769" s="61">
        <f t="shared" si="2"/>
        <v>79.27557656</v>
      </c>
      <c r="K769" s="58">
        <f>if(G769,_xlfn.workday.intl(int(G769),0,"1000000",Holidays!A:A)+19/24,"")</f>
        <v>46054.79167</v>
      </c>
      <c r="L769" s="59" t="str">
        <f t="shared" si="3"/>
        <v/>
      </c>
      <c r="M769" s="60"/>
      <c r="N769" s="61">
        <f t="shared" si="4"/>
        <v>79.19224323</v>
      </c>
      <c r="O769" s="63">
        <f>if(A769,_xlfn.WORKDAY.INTL(A769,O$5,"1000000",Holidays!A:A)+hour(A769)/24+MINUTE(A769)/1440,"")</f>
        <v>46054.78958</v>
      </c>
      <c r="P769" s="64" t="s">
        <v>2718</v>
      </c>
      <c r="R769" s="66">
        <f t="shared" si="5"/>
        <v>79.19432656</v>
      </c>
      <c r="S769" s="66"/>
      <c r="T769" s="66"/>
      <c r="U769" s="64">
        <f>if(O769,_xlfn.WORKDAY.INTL(O769,U$5,"1000000",Holidays!A:A)+hour(O769)/24+MINUTE(O769)/1440,"")</f>
        <v>46056.78958</v>
      </c>
      <c r="V769" s="64" t="str">
        <f t="shared" si="6"/>
        <v/>
      </c>
      <c r="W769" s="66"/>
      <c r="X769" s="66">
        <f t="shared" si="7"/>
        <v>77.19432656</v>
      </c>
      <c r="Y769" s="66"/>
      <c r="Z769" s="66"/>
      <c r="AA769" s="66"/>
      <c r="AB769" s="63"/>
      <c r="AC769" s="63"/>
      <c r="AD769" s="63"/>
      <c r="AE769" s="63"/>
      <c r="AF769" s="63"/>
      <c r="AG769" s="63"/>
      <c r="AH769" s="63" t="str">
        <f t="shared" si="14"/>
        <v/>
      </c>
      <c r="AI769" s="63" t="str">
        <f>if(AH769,_xlfn.workday.intl(int(AH769),0,"1000000",Holidays!A:A)+18/24,"")</f>
        <v/>
      </c>
      <c r="AJ769" s="64" t="str">
        <f t="shared" si="24"/>
        <v/>
      </c>
      <c r="AL769" s="66" t="str">
        <f t="shared" si="9"/>
        <v/>
      </c>
      <c r="AM769" s="66"/>
      <c r="AN769" s="63" t="str">
        <f>if(AJ769,if(and(hour(AJ769+AN$5)&gt;11,(hour(AJ769+AN$5)&lt;20)),AJ769+AN$5,_xlfn.workday.intl(int(AJ769),1,"1000000",Holidays!A:A)+hour(AJ769+AN$5-$B$1)/24+minute(AJ769)/1440),"")</f>
        <v/>
      </c>
      <c r="AO769" s="64" t="str">
        <f t="shared" si="15"/>
        <v/>
      </c>
      <c r="AQ769" s="66" t="str">
        <f t="shared" si="16"/>
        <v/>
      </c>
      <c r="AR769" s="66"/>
      <c r="AS769" s="63" t="str">
        <f>if(AJ769,if(and(hour(AJ769+AS$5)&gt;11,(hour(AJ769+AS$5)&lt;20)),AJ769+AS$5,_xlfn.workday.intl(int(AJ769),1,"1000000",Holidays!A:A)+hour(AJ769+AS$5-$B$1)/24+minute(AJ769)/1440),"")</f>
        <v/>
      </c>
      <c r="AT769" s="64" t="str">
        <f t="shared" si="21"/>
        <v/>
      </c>
      <c r="AV769" s="66" t="str">
        <f t="shared" si="25"/>
        <v/>
      </c>
      <c r="AW769" s="66"/>
      <c r="AX769" s="56"/>
    </row>
    <row r="770">
      <c r="A770" s="55">
        <v>46053.794895694446</v>
      </c>
      <c r="B770" s="56"/>
      <c r="C770" s="57"/>
      <c r="D770" s="57"/>
      <c r="E770" s="57"/>
      <c r="F770" s="57"/>
      <c r="G770" s="58">
        <f>if(A770,_xlfn.workday.intl(int(A770),1,"1000000",Holidays!A:A)+17/24,"")</f>
        <v>46054.70833</v>
      </c>
      <c r="H770" s="59" t="str">
        <f t="shared" si="23"/>
        <v/>
      </c>
      <c r="I770" s="60"/>
      <c r="J770" s="61">
        <f t="shared" si="2"/>
        <v>79.27557656</v>
      </c>
      <c r="K770" s="58">
        <f>if(G770,_xlfn.workday.intl(int(G770),0,"1000000",Holidays!A:A)+19/24,"")</f>
        <v>46054.79167</v>
      </c>
      <c r="L770" s="59" t="str">
        <f t="shared" si="3"/>
        <v/>
      </c>
      <c r="M770" s="60"/>
      <c r="N770" s="61">
        <f t="shared" si="4"/>
        <v>79.19224323</v>
      </c>
      <c r="O770" s="63">
        <f>if(A770,_xlfn.WORKDAY.INTL(A770,O$5,"1000000",Holidays!A:A)+hour(A770)/24+MINUTE(A770)/1440,"")</f>
        <v>46054.79444</v>
      </c>
      <c r="P770" s="64" t="s">
        <v>2718</v>
      </c>
      <c r="R770" s="66">
        <f t="shared" si="5"/>
        <v>79.18946545</v>
      </c>
      <c r="S770" s="66"/>
      <c r="T770" s="66"/>
      <c r="U770" s="64">
        <f>if(O770,_xlfn.WORKDAY.INTL(O770,U$5,"1000000",Holidays!A:A)+hour(O770)/24+MINUTE(O770)/1440,"")</f>
        <v>46056.79444</v>
      </c>
      <c r="V770" s="64" t="str">
        <f t="shared" si="6"/>
        <v/>
      </c>
      <c r="W770" s="66"/>
      <c r="X770" s="66">
        <f t="shared" si="7"/>
        <v>77.18946545</v>
      </c>
      <c r="Y770" s="66"/>
      <c r="Z770" s="66"/>
      <c r="AA770" s="66"/>
      <c r="AB770" s="63"/>
      <c r="AC770" s="63"/>
      <c r="AD770" s="63"/>
      <c r="AE770" s="63"/>
      <c r="AF770" s="63"/>
      <c r="AG770" s="63"/>
      <c r="AH770" s="63" t="str">
        <f t="shared" si="14"/>
        <v/>
      </c>
      <c r="AI770" s="63" t="str">
        <f>if(AH770,_xlfn.workday.intl(int(AH770),0,"1000000",Holidays!A:A)+18/24,"")</f>
        <v/>
      </c>
      <c r="AJ770" s="64" t="str">
        <f t="shared" si="24"/>
        <v/>
      </c>
      <c r="AL770" s="66" t="str">
        <f t="shared" si="9"/>
        <v/>
      </c>
      <c r="AM770" s="66"/>
      <c r="AN770" s="63" t="str">
        <f>if(AJ770,if(and(hour(AJ770+AN$5)&gt;11,(hour(AJ770+AN$5)&lt;20)),AJ770+AN$5,_xlfn.workday.intl(int(AJ770),1,"1000000",Holidays!A:A)+hour(AJ770+AN$5-$B$1)/24+minute(AJ770)/1440),"")</f>
        <v/>
      </c>
      <c r="AO770" s="64" t="str">
        <f t="shared" si="15"/>
        <v/>
      </c>
      <c r="AQ770" s="66" t="str">
        <f t="shared" si="16"/>
        <v/>
      </c>
      <c r="AR770" s="66"/>
      <c r="AS770" s="63" t="str">
        <f>if(AJ770,if(and(hour(AJ770+AS$5)&gt;11,(hour(AJ770+AS$5)&lt;20)),AJ770+AS$5,_xlfn.workday.intl(int(AJ770),1,"1000000",Holidays!A:A)+hour(AJ770+AS$5-$B$1)/24+minute(AJ770)/1440),"")</f>
        <v/>
      </c>
      <c r="AT770" s="64" t="str">
        <f t="shared" si="21"/>
        <v/>
      </c>
      <c r="AV770" s="66" t="str">
        <f t="shared" si="25"/>
        <v/>
      </c>
      <c r="AW770" s="66"/>
      <c r="AX770" s="56"/>
    </row>
    <row r="771">
      <c r="A771" s="55">
        <v>46054.6703527662</v>
      </c>
      <c r="B771" s="56"/>
      <c r="C771" s="57"/>
      <c r="D771" s="57"/>
      <c r="E771" s="57"/>
      <c r="F771" s="57"/>
      <c r="G771" s="58">
        <f>if(A771,_xlfn.workday.intl(int(A771),1,"1000000",Holidays!A:A)+17/24,"")</f>
        <v>46056.70833</v>
      </c>
      <c r="H771" s="59" t="str">
        <f t="shared" si="23"/>
        <v/>
      </c>
      <c r="I771" s="60"/>
      <c r="J771" s="61">
        <f t="shared" si="2"/>
        <v>77.27557656</v>
      </c>
      <c r="K771" s="58">
        <f>if(G771,_xlfn.workday.intl(int(G771),0,"1000000",Holidays!A:A)+19/24,"")</f>
        <v>46056.79167</v>
      </c>
      <c r="L771" s="59" t="str">
        <f t="shared" si="3"/>
        <v/>
      </c>
      <c r="M771" s="60"/>
      <c r="N771" s="61">
        <f t="shared" si="4"/>
        <v>77.19224323</v>
      </c>
      <c r="O771" s="63">
        <f>if(A771,_xlfn.WORKDAY.INTL(A771,O$5,"1000000",Holidays!A:A)+hour(A771)/24+MINUTE(A771)/1440,"")</f>
        <v>46056.67014</v>
      </c>
      <c r="P771" s="64" t="s">
        <v>2718</v>
      </c>
      <c r="R771" s="66">
        <f t="shared" si="5"/>
        <v>77.31377101</v>
      </c>
      <c r="S771" s="66"/>
      <c r="T771" s="66"/>
      <c r="U771" s="64">
        <f>if(O771,_xlfn.WORKDAY.INTL(O771,U$5,"1000000",Holidays!A:A)+hour(O771)/24+MINUTE(O771)/1440,"")</f>
        <v>46057.67014</v>
      </c>
      <c r="V771" s="64" t="str">
        <f t="shared" si="6"/>
        <v/>
      </c>
      <c r="W771" s="66"/>
      <c r="X771" s="66">
        <f t="shared" si="7"/>
        <v>76.31377101</v>
      </c>
      <c r="Y771" s="66"/>
      <c r="Z771" s="66"/>
      <c r="AA771" s="66"/>
      <c r="AB771" s="63"/>
      <c r="AC771" s="63"/>
      <c r="AD771" s="63"/>
      <c r="AE771" s="63"/>
      <c r="AF771" s="63"/>
      <c r="AG771" s="63"/>
      <c r="AH771" s="63" t="str">
        <f t="shared" si="14"/>
        <v/>
      </c>
      <c r="AI771" s="63" t="str">
        <f>if(AH771,_xlfn.workday.intl(int(AH771),0,"1000000",Holidays!A:A)+18/24,"")</f>
        <v/>
      </c>
      <c r="AJ771" s="64" t="str">
        <f t="shared" si="24"/>
        <v/>
      </c>
      <c r="AL771" s="66" t="str">
        <f t="shared" si="9"/>
        <v/>
      </c>
      <c r="AM771" s="66"/>
      <c r="AN771" s="63" t="str">
        <f>if(AJ771,if(and(hour(AJ771+AN$5)&gt;11,(hour(AJ771+AN$5)&lt;20)),AJ771+AN$5,_xlfn.workday.intl(int(AJ771),1,"1000000",Holidays!A:A)+hour(AJ771+AN$5-$B$1)/24+minute(AJ771)/1440),"")</f>
        <v/>
      </c>
      <c r="AO771" s="64" t="str">
        <f t="shared" si="15"/>
        <v/>
      </c>
      <c r="AQ771" s="66" t="str">
        <f t="shared" si="16"/>
        <v/>
      </c>
      <c r="AR771" s="66"/>
      <c r="AS771" s="63" t="str">
        <f>if(AJ771,if(and(hour(AJ771+AS$5)&gt;11,(hour(AJ771+AS$5)&lt;20)),AJ771+AS$5,_xlfn.workday.intl(int(AJ771),1,"1000000",Holidays!A:A)+hour(AJ771+AS$5-$B$1)/24+minute(AJ771)/1440),"")</f>
        <v/>
      </c>
      <c r="AT771" s="64" t="str">
        <f t="shared" si="21"/>
        <v/>
      </c>
      <c r="AV771" s="66" t="str">
        <f t="shared" si="25"/>
        <v/>
      </c>
      <c r="AW771" s="66"/>
      <c r="AX771" s="56"/>
    </row>
    <row r="772">
      <c r="A772" s="55">
        <v>46054.692187569446</v>
      </c>
      <c r="B772" s="56"/>
      <c r="C772" s="57"/>
      <c r="D772" s="57"/>
      <c r="E772" s="57"/>
      <c r="F772" s="57"/>
      <c r="G772" s="58">
        <f>if(A772,_xlfn.workday.intl(int(A772),1,"1000000",Holidays!A:A)+17/24,"")</f>
        <v>46056.70833</v>
      </c>
      <c r="H772" s="59" t="str">
        <f t="shared" si="23"/>
        <v/>
      </c>
      <c r="I772" s="60"/>
      <c r="J772" s="61">
        <f t="shared" si="2"/>
        <v>77.27557656</v>
      </c>
      <c r="K772" s="58">
        <f>if(G772,_xlfn.workday.intl(int(G772),0,"1000000",Holidays!A:A)+19/24,"")</f>
        <v>46056.79167</v>
      </c>
      <c r="L772" s="59" t="str">
        <f t="shared" si="3"/>
        <v/>
      </c>
      <c r="M772" s="60"/>
      <c r="N772" s="61">
        <f t="shared" si="4"/>
        <v>77.19224323</v>
      </c>
      <c r="O772" s="63">
        <f>if(A772,_xlfn.WORKDAY.INTL(A772,O$5,"1000000",Holidays!A:A)+hour(A772)/24+MINUTE(A772)/1440,"")</f>
        <v>46056.69167</v>
      </c>
      <c r="P772" s="64" t="s">
        <v>2718</v>
      </c>
      <c r="R772" s="66">
        <f t="shared" si="5"/>
        <v>77.29224323</v>
      </c>
      <c r="S772" s="66"/>
      <c r="T772" s="66"/>
      <c r="U772" s="64">
        <f>if(O772,_xlfn.WORKDAY.INTL(O772,U$5,"1000000",Holidays!A:A)+hour(O772)/24+MINUTE(O772)/1440,"")</f>
        <v>46057.69167</v>
      </c>
      <c r="V772" s="64" t="str">
        <f t="shared" si="6"/>
        <v/>
      </c>
      <c r="W772" s="66"/>
      <c r="X772" s="66">
        <f t="shared" si="7"/>
        <v>76.29224323</v>
      </c>
      <c r="Y772" s="66"/>
      <c r="Z772" s="66"/>
      <c r="AA772" s="66"/>
      <c r="AB772" s="63"/>
      <c r="AC772" s="63"/>
      <c r="AD772" s="63"/>
      <c r="AE772" s="63"/>
      <c r="AF772" s="63"/>
      <c r="AG772" s="63"/>
      <c r="AH772" s="63" t="str">
        <f t="shared" si="14"/>
        <v/>
      </c>
      <c r="AI772" s="63" t="str">
        <f>if(AH772,_xlfn.workday.intl(int(AH772),0,"1000000",Holidays!A:A)+18/24,"")</f>
        <v/>
      </c>
      <c r="AJ772" s="64" t="str">
        <f t="shared" si="24"/>
        <v/>
      </c>
      <c r="AL772" s="66" t="str">
        <f t="shared" si="9"/>
        <v/>
      </c>
      <c r="AM772" s="66"/>
      <c r="AN772" s="63" t="str">
        <f>if(AJ772,if(and(hour(AJ772+AN$5)&gt;11,(hour(AJ772+AN$5)&lt;20)),AJ772+AN$5,_xlfn.workday.intl(int(AJ772),1,"1000000",Holidays!A:A)+hour(AJ772+AN$5-$B$1)/24+minute(AJ772)/1440),"")</f>
        <v/>
      </c>
      <c r="AO772" s="64" t="str">
        <f t="shared" si="15"/>
        <v/>
      </c>
      <c r="AQ772" s="66" t="str">
        <f t="shared" si="16"/>
        <v/>
      </c>
      <c r="AR772" s="66"/>
      <c r="AS772" s="63" t="str">
        <f>if(AJ772,if(and(hour(AJ772+AS$5)&gt;11,(hour(AJ772+AS$5)&lt;20)),AJ772+AS$5,_xlfn.workday.intl(int(AJ772),1,"1000000",Holidays!A:A)+hour(AJ772+AS$5-$B$1)/24+minute(AJ772)/1440),"")</f>
        <v/>
      </c>
      <c r="AT772" s="64" t="str">
        <f t="shared" si="21"/>
        <v/>
      </c>
      <c r="AV772" s="66" t="str">
        <f t="shared" si="25"/>
        <v/>
      </c>
      <c r="AW772" s="66"/>
      <c r="AX772" s="56"/>
    </row>
    <row r="773">
      <c r="A773" s="55">
        <v>46054.694645717595</v>
      </c>
      <c r="B773" s="56"/>
      <c r="C773" s="57"/>
      <c r="D773" s="57"/>
      <c r="E773" s="57"/>
      <c r="F773" s="57"/>
      <c r="G773" s="58">
        <f>if(A773,_xlfn.workday.intl(int(A773),1,"1000000",Holidays!A:A)+17/24,"")</f>
        <v>46056.70833</v>
      </c>
      <c r="H773" s="59" t="str">
        <f t="shared" si="23"/>
        <v/>
      </c>
      <c r="I773" s="60"/>
      <c r="J773" s="61">
        <f t="shared" si="2"/>
        <v>77.27557656</v>
      </c>
      <c r="K773" s="58">
        <f>if(G773,_xlfn.workday.intl(int(G773),0,"1000000",Holidays!A:A)+19/24,"")</f>
        <v>46056.79167</v>
      </c>
      <c r="L773" s="59" t="str">
        <f t="shared" si="3"/>
        <v/>
      </c>
      <c r="M773" s="60"/>
      <c r="N773" s="61">
        <f t="shared" si="4"/>
        <v>77.19224323</v>
      </c>
      <c r="O773" s="63">
        <f>if(A773,_xlfn.WORKDAY.INTL(A773,O$5,"1000000",Holidays!A:A)+hour(A773)/24+MINUTE(A773)/1440,"")</f>
        <v>46056.69444</v>
      </c>
      <c r="P773" s="64" t="s">
        <v>2718</v>
      </c>
      <c r="R773" s="66">
        <f t="shared" si="5"/>
        <v>77.28946545</v>
      </c>
      <c r="S773" s="66"/>
      <c r="T773" s="66"/>
      <c r="U773" s="64">
        <f>if(O773,_xlfn.WORKDAY.INTL(O773,U$5,"1000000",Holidays!A:A)+hour(O773)/24+MINUTE(O773)/1440,"")</f>
        <v>46057.69444</v>
      </c>
      <c r="V773" s="64" t="str">
        <f t="shared" si="6"/>
        <v/>
      </c>
      <c r="W773" s="66"/>
      <c r="X773" s="66">
        <f t="shared" si="7"/>
        <v>76.28946545</v>
      </c>
      <c r="Y773" s="66"/>
      <c r="Z773" s="66"/>
      <c r="AA773" s="66"/>
      <c r="AB773" s="63"/>
      <c r="AC773" s="63"/>
      <c r="AD773" s="63"/>
      <c r="AE773" s="63"/>
      <c r="AF773" s="63"/>
      <c r="AG773" s="63"/>
      <c r="AH773" s="63" t="str">
        <f t="shared" si="14"/>
        <v/>
      </c>
      <c r="AI773" s="63" t="str">
        <f>if(AH773,_xlfn.workday.intl(int(AH773),0,"1000000",Holidays!A:A)+18/24,"")</f>
        <v/>
      </c>
      <c r="AJ773" s="64" t="str">
        <f t="shared" si="24"/>
        <v/>
      </c>
      <c r="AL773" s="66" t="str">
        <f t="shared" si="9"/>
        <v/>
      </c>
      <c r="AM773" s="66"/>
      <c r="AN773" s="63" t="str">
        <f>if(AJ773,if(and(hour(AJ773+AN$5)&gt;11,(hour(AJ773+AN$5)&lt;20)),AJ773+AN$5,_xlfn.workday.intl(int(AJ773),1,"1000000",Holidays!A:A)+hour(AJ773+AN$5-$B$1)/24+minute(AJ773)/1440),"")</f>
        <v/>
      </c>
      <c r="AO773" s="64" t="str">
        <f t="shared" si="15"/>
        <v/>
      </c>
      <c r="AQ773" s="66" t="str">
        <f t="shared" si="16"/>
        <v/>
      </c>
      <c r="AR773" s="66"/>
      <c r="AS773" s="63" t="str">
        <f>if(AJ773,if(and(hour(AJ773+AS$5)&gt;11,(hour(AJ773+AS$5)&lt;20)),AJ773+AS$5,_xlfn.workday.intl(int(AJ773),1,"1000000",Holidays!A:A)+hour(AJ773+AS$5-$B$1)/24+minute(AJ773)/1440),"")</f>
        <v/>
      </c>
      <c r="AT773" s="64" t="str">
        <f t="shared" si="21"/>
        <v/>
      </c>
      <c r="AV773" s="66" t="str">
        <f t="shared" si="25"/>
        <v/>
      </c>
      <c r="AW773" s="66"/>
      <c r="AX773" s="56"/>
    </row>
    <row r="774">
      <c r="A774" s="55">
        <v>46056.64485877314</v>
      </c>
      <c r="B774" s="56"/>
      <c r="C774" s="57"/>
      <c r="D774" s="57"/>
      <c r="E774" s="57"/>
      <c r="F774" s="57"/>
      <c r="G774" s="58">
        <f>if(A774,_xlfn.workday.intl(int(A774),1,"1000000",Holidays!A:A)+17/24,"")</f>
        <v>46057.70833</v>
      </c>
      <c r="H774" s="59" t="str">
        <f t="shared" si="23"/>
        <v/>
      </c>
      <c r="I774" s="60"/>
      <c r="J774" s="61">
        <f t="shared" si="2"/>
        <v>76.27557656</v>
      </c>
      <c r="K774" s="58">
        <f>if(G774,_xlfn.workday.intl(int(G774),0,"1000000",Holidays!A:A)+19/24,"")</f>
        <v>46057.79167</v>
      </c>
      <c r="L774" s="59" t="str">
        <f t="shared" si="3"/>
        <v/>
      </c>
      <c r="M774" s="60"/>
      <c r="N774" s="61">
        <f t="shared" si="4"/>
        <v>76.19224323</v>
      </c>
      <c r="O774" s="63">
        <f>if(A774,_xlfn.WORKDAY.INTL(A774,O$5,"1000000",Holidays!A:A)+hour(A774)/24+MINUTE(A774)/1440,"")</f>
        <v>46057.64444</v>
      </c>
      <c r="P774" s="64" t="s">
        <v>2718</v>
      </c>
      <c r="R774" s="66">
        <f t="shared" si="5"/>
        <v>76.33946545</v>
      </c>
      <c r="S774" s="66"/>
      <c r="T774" s="66"/>
      <c r="U774" s="64">
        <f>if(O774,_xlfn.WORKDAY.INTL(O774,U$5,"1000000",Holidays!A:A)+hour(O774)/24+MINUTE(O774)/1440,"")</f>
        <v>46058.64444</v>
      </c>
      <c r="V774" s="64" t="str">
        <f t="shared" si="6"/>
        <v/>
      </c>
      <c r="W774" s="66"/>
      <c r="X774" s="66">
        <f t="shared" si="7"/>
        <v>75.33946545</v>
      </c>
      <c r="Y774" s="66"/>
      <c r="Z774" s="66"/>
      <c r="AA774" s="66"/>
      <c r="AB774" s="63"/>
      <c r="AC774" s="63"/>
      <c r="AD774" s="63"/>
      <c r="AE774" s="63"/>
      <c r="AF774" s="63"/>
      <c r="AG774" s="63"/>
      <c r="AH774" s="63" t="str">
        <f t="shared" si="14"/>
        <v/>
      </c>
      <c r="AI774" s="63" t="str">
        <f>if(AH774,_xlfn.workday.intl(int(AH774),0,"1000000",Holidays!A:A)+18/24,"")</f>
        <v/>
      </c>
      <c r="AJ774" s="64" t="str">
        <f t="shared" si="24"/>
        <v/>
      </c>
      <c r="AL774" s="66" t="str">
        <f t="shared" si="9"/>
        <v/>
      </c>
      <c r="AM774" s="66"/>
      <c r="AN774" s="63" t="str">
        <f>if(AJ774,if(and(hour(AJ774+AN$5)&gt;11,(hour(AJ774+AN$5)&lt;20)),AJ774+AN$5,_xlfn.workday.intl(int(AJ774),1,"1000000",Holidays!A:A)+hour(AJ774+AN$5-$B$1)/24+minute(AJ774)/1440),"")</f>
        <v/>
      </c>
      <c r="AO774" s="64" t="str">
        <f t="shared" si="15"/>
        <v/>
      </c>
      <c r="AQ774" s="66" t="str">
        <f t="shared" si="16"/>
        <v/>
      </c>
      <c r="AR774" s="66"/>
      <c r="AS774" s="63" t="str">
        <f>if(AJ774,if(and(hour(AJ774+AS$5)&gt;11,(hour(AJ774+AS$5)&lt;20)),AJ774+AS$5,_xlfn.workday.intl(int(AJ774),1,"1000000",Holidays!A:A)+hour(AJ774+AS$5-$B$1)/24+minute(AJ774)/1440),"")</f>
        <v/>
      </c>
      <c r="AT774" s="64" t="str">
        <f t="shared" si="21"/>
        <v/>
      </c>
      <c r="AV774" s="66" t="str">
        <f t="shared" si="25"/>
        <v/>
      </c>
      <c r="AW774" s="66"/>
      <c r="AX774" s="56"/>
    </row>
    <row r="775">
      <c r="A775" s="55">
        <v>46061.690540462965</v>
      </c>
      <c r="B775" s="56"/>
      <c r="C775" s="57"/>
      <c r="D775" s="57"/>
      <c r="E775" s="57"/>
      <c r="F775" s="57"/>
      <c r="G775" s="58">
        <f>if(A775,_xlfn.workday.intl(int(A775),1,"1000000",Holidays!A:A)+17/24,"")</f>
        <v>46063.70833</v>
      </c>
      <c r="H775" s="59" t="str">
        <f t="shared" si="23"/>
        <v/>
      </c>
      <c r="I775" s="60"/>
      <c r="J775" s="61">
        <f t="shared" si="2"/>
        <v>70.27557656</v>
      </c>
      <c r="K775" s="58">
        <f>if(G775,_xlfn.workday.intl(int(G775),0,"1000000",Holidays!A:A)+19/24,"")</f>
        <v>46063.79167</v>
      </c>
      <c r="L775" s="59" t="str">
        <f t="shared" si="3"/>
        <v/>
      </c>
      <c r="M775" s="60"/>
      <c r="N775" s="61">
        <f t="shared" si="4"/>
        <v>70.19224323</v>
      </c>
      <c r="O775" s="63">
        <f>if(A775,_xlfn.WORKDAY.INTL(A775,O$5,"1000000",Holidays!A:A)+hour(A775)/24+MINUTE(A775)/1440,"")</f>
        <v>46063.69028</v>
      </c>
      <c r="P775" s="64" t="s">
        <v>2718</v>
      </c>
      <c r="R775" s="66">
        <f t="shared" si="5"/>
        <v>70.29363212</v>
      </c>
      <c r="S775" s="66"/>
      <c r="T775" s="66"/>
      <c r="U775" s="64">
        <f>if(O775,_xlfn.WORKDAY.INTL(O775,U$5,"1000000",Holidays!A:A)+hour(O775)/24+MINUTE(O775)/1440,"")</f>
        <v>46064.69028</v>
      </c>
      <c r="V775" s="64" t="str">
        <f t="shared" si="6"/>
        <v/>
      </c>
      <c r="W775" s="66"/>
      <c r="X775" s="66">
        <f t="shared" si="7"/>
        <v>69.29363212</v>
      </c>
      <c r="Y775" s="66"/>
      <c r="Z775" s="66"/>
      <c r="AA775" s="66"/>
      <c r="AB775" s="63"/>
      <c r="AC775" s="63"/>
      <c r="AD775" s="63"/>
      <c r="AE775" s="63"/>
      <c r="AF775" s="63"/>
      <c r="AG775" s="63"/>
      <c r="AH775" s="63" t="str">
        <f t="shared" si="14"/>
        <v/>
      </c>
      <c r="AI775" s="63" t="str">
        <f>if(AH775,_xlfn.workday.intl(int(AH775),0,"1000000",Holidays!A:A)+18/24,"")</f>
        <v/>
      </c>
      <c r="AJ775" s="64" t="str">
        <f t="shared" si="24"/>
        <v/>
      </c>
      <c r="AL775" s="66" t="str">
        <f t="shared" si="9"/>
        <v/>
      </c>
      <c r="AM775" s="66"/>
      <c r="AN775" s="63" t="str">
        <f>if(AJ775,if(and(hour(AJ775+AN$5)&gt;11,(hour(AJ775+AN$5)&lt;20)),AJ775+AN$5,_xlfn.workday.intl(int(AJ775),1,"1000000",Holidays!A:A)+hour(AJ775+AN$5-$B$1)/24+minute(AJ775)/1440),"")</f>
        <v/>
      </c>
      <c r="AO775" s="64" t="str">
        <f t="shared" si="15"/>
        <v/>
      </c>
      <c r="AQ775" s="66" t="str">
        <f t="shared" si="16"/>
        <v/>
      </c>
      <c r="AR775" s="66"/>
      <c r="AS775" s="63" t="str">
        <f>if(AJ775,if(and(hour(AJ775+AS$5)&gt;11,(hour(AJ775+AS$5)&lt;20)),AJ775+AS$5,_xlfn.workday.intl(int(AJ775),1,"1000000",Holidays!A:A)+hour(AJ775+AS$5-$B$1)/24+minute(AJ775)/1440),"")</f>
        <v/>
      </c>
      <c r="AT775" s="64" t="str">
        <f t="shared" si="21"/>
        <v/>
      </c>
      <c r="AV775" s="66" t="str">
        <f t="shared" si="25"/>
        <v/>
      </c>
      <c r="AW775" s="66"/>
      <c r="AX775" s="56"/>
    </row>
    <row r="776">
      <c r="A776" s="55">
        <v>46063.63829721065</v>
      </c>
      <c r="B776" s="56"/>
      <c r="C776" s="57"/>
      <c r="D776" s="57"/>
      <c r="E776" s="57"/>
      <c r="F776" s="57"/>
      <c r="G776" s="58">
        <f>if(A776,_xlfn.workday.intl(int(A776),1,"1000000",Holidays!A:A)+17/24,"")</f>
        <v>46064.70833</v>
      </c>
      <c r="H776" s="59" t="str">
        <f t="shared" si="23"/>
        <v/>
      </c>
      <c r="I776" s="60"/>
      <c r="J776" s="61">
        <f t="shared" si="2"/>
        <v>69.27557656</v>
      </c>
      <c r="K776" s="58">
        <f>if(G776,_xlfn.workday.intl(int(G776),0,"1000000",Holidays!A:A)+19/24,"")</f>
        <v>46064.79167</v>
      </c>
      <c r="L776" s="59" t="str">
        <f t="shared" si="3"/>
        <v/>
      </c>
      <c r="M776" s="60"/>
      <c r="N776" s="61">
        <f t="shared" si="4"/>
        <v>69.19224323</v>
      </c>
      <c r="O776" s="63">
        <f>if(A776,_xlfn.WORKDAY.INTL(A776,O$5,"1000000",Holidays!A:A)+hour(A776)/24+MINUTE(A776)/1440,"")</f>
        <v>46064.63819</v>
      </c>
      <c r="P776" s="64" t="s">
        <v>2718</v>
      </c>
      <c r="R776" s="66">
        <f t="shared" si="5"/>
        <v>69.34571545</v>
      </c>
      <c r="S776" s="66"/>
      <c r="T776" s="66"/>
      <c r="U776" s="64">
        <f>if(O776,_xlfn.WORKDAY.INTL(O776,U$5,"1000000",Holidays!A:A)+hour(O776)/24+MINUTE(O776)/1440,"")</f>
        <v>46065.63819</v>
      </c>
      <c r="V776" s="64" t="str">
        <f t="shared" si="6"/>
        <v/>
      </c>
      <c r="W776" s="66"/>
      <c r="X776" s="66">
        <f t="shared" si="7"/>
        <v>68.34571545</v>
      </c>
      <c r="Y776" s="66"/>
      <c r="Z776" s="66"/>
      <c r="AA776" s="66"/>
      <c r="AB776" s="63"/>
      <c r="AC776" s="63"/>
      <c r="AD776" s="63"/>
      <c r="AE776" s="63"/>
      <c r="AF776" s="63"/>
      <c r="AG776" s="63"/>
      <c r="AH776" s="63" t="str">
        <f t="shared" si="14"/>
        <v/>
      </c>
      <c r="AI776" s="63" t="str">
        <f>if(AH776,_xlfn.workday.intl(int(AH776),0,"1000000",Holidays!A:A)+18/24,"")</f>
        <v/>
      </c>
      <c r="AJ776" s="64" t="str">
        <f t="shared" si="24"/>
        <v/>
      </c>
      <c r="AL776" s="66" t="str">
        <f t="shared" si="9"/>
        <v/>
      </c>
      <c r="AM776" s="66"/>
      <c r="AN776" s="63" t="str">
        <f>if(AJ776,if(and(hour(AJ776+AN$5)&gt;11,(hour(AJ776+AN$5)&lt;20)),AJ776+AN$5,_xlfn.workday.intl(int(AJ776),1,"1000000",Holidays!A:A)+hour(AJ776+AN$5-$B$1)/24+minute(AJ776)/1440),"")</f>
        <v/>
      </c>
      <c r="AO776" s="64" t="str">
        <f t="shared" si="15"/>
        <v/>
      </c>
      <c r="AQ776" s="66" t="str">
        <f t="shared" si="16"/>
        <v/>
      </c>
      <c r="AR776" s="66"/>
      <c r="AS776" s="63" t="str">
        <f>if(AJ776,if(and(hour(AJ776+AS$5)&gt;11,(hour(AJ776+AS$5)&lt;20)),AJ776+AS$5,_xlfn.workday.intl(int(AJ776),1,"1000000",Holidays!A:A)+hour(AJ776+AS$5-$B$1)/24+minute(AJ776)/1440),"")</f>
        <v/>
      </c>
      <c r="AT776" s="64" t="str">
        <f t="shared" si="21"/>
        <v/>
      </c>
      <c r="AV776" s="66" t="str">
        <f t="shared" si="25"/>
        <v/>
      </c>
      <c r="AW776" s="66"/>
      <c r="AX776" s="56"/>
    </row>
    <row r="777">
      <c r="A777" s="55">
        <v>46063.68215496528</v>
      </c>
      <c r="B777" s="56"/>
      <c r="C777" s="57"/>
      <c r="D777" s="57"/>
      <c r="E777" s="57"/>
      <c r="F777" s="57"/>
      <c r="G777" s="58">
        <f>if(A777,_xlfn.workday.intl(int(A777),1,"1000000",Holidays!A:A)+17/24,"")</f>
        <v>46064.70833</v>
      </c>
      <c r="H777" s="59" t="str">
        <f t="shared" si="23"/>
        <v/>
      </c>
      <c r="I777" s="60"/>
      <c r="J777" s="61">
        <f t="shared" si="2"/>
        <v>69.27557656</v>
      </c>
      <c r="K777" s="58">
        <f>if(G777,_xlfn.workday.intl(int(G777),0,"1000000",Holidays!A:A)+19/24,"")</f>
        <v>46064.79167</v>
      </c>
      <c r="L777" s="59" t="str">
        <f t="shared" si="3"/>
        <v/>
      </c>
      <c r="M777" s="60"/>
      <c r="N777" s="61">
        <f t="shared" si="4"/>
        <v>69.19224323</v>
      </c>
      <c r="O777" s="63">
        <f>if(A777,_xlfn.WORKDAY.INTL(A777,O$5,"1000000",Holidays!A:A)+hour(A777)/24+MINUTE(A777)/1440,"")</f>
        <v>46064.68194</v>
      </c>
      <c r="P777" s="64" t="s">
        <v>2718</v>
      </c>
      <c r="R777" s="66">
        <f t="shared" si="5"/>
        <v>69.30196545</v>
      </c>
      <c r="S777" s="66"/>
      <c r="T777" s="66"/>
      <c r="U777" s="64">
        <f>if(O777,_xlfn.WORKDAY.INTL(O777,U$5,"1000000",Holidays!A:A)+hour(O777)/24+MINUTE(O777)/1440,"")</f>
        <v>46065.68194</v>
      </c>
      <c r="V777" s="64" t="str">
        <f t="shared" si="6"/>
        <v/>
      </c>
      <c r="W777" s="66"/>
      <c r="X777" s="66">
        <f t="shared" si="7"/>
        <v>68.30196545</v>
      </c>
      <c r="Y777" s="66"/>
      <c r="Z777" s="66"/>
      <c r="AA777" s="66"/>
      <c r="AB777" s="63"/>
      <c r="AC777" s="63"/>
      <c r="AD777" s="63"/>
      <c r="AE777" s="63"/>
      <c r="AF777" s="63"/>
      <c r="AG777" s="63"/>
      <c r="AH777" s="63" t="str">
        <f t="shared" si="14"/>
        <v/>
      </c>
      <c r="AI777" s="63" t="str">
        <f>if(AH777,_xlfn.workday.intl(int(AH777),0,"1000000",Holidays!A:A)+18/24,"")</f>
        <v/>
      </c>
      <c r="AJ777" s="64" t="str">
        <f t="shared" si="24"/>
        <v/>
      </c>
      <c r="AL777" s="66" t="str">
        <f t="shared" si="9"/>
        <v/>
      </c>
      <c r="AM777" s="66"/>
      <c r="AN777" s="63" t="str">
        <f>if(AJ777,if(and(hour(AJ777+AN$5)&gt;11,(hour(AJ777+AN$5)&lt;20)),AJ777+AN$5,_xlfn.workday.intl(int(AJ777),1,"1000000",Holidays!A:A)+hour(AJ777+AN$5-$B$1)/24+minute(AJ777)/1440),"")</f>
        <v/>
      </c>
      <c r="AO777" s="64" t="str">
        <f t="shared" si="15"/>
        <v/>
      </c>
      <c r="AQ777" s="66" t="str">
        <f t="shared" si="16"/>
        <v/>
      </c>
      <c r="AR777" s="66"/>
      <c r="AS777" s="63" t="str">
        <f>if(AJ777,if(and(hour(AJ777+AS$5)&gt;11,(hour(AJ777+AS$5)&lt;20)),AJ777+AS$5,_xlfn.workday.intl(int(AJ777),1,"1000000",Holidays!A:A)+hour(AJ777+AS$5-$B$1)/24+minute(AJ777)/1440),"")</f>
        <v/>
      </c>
      <c r="AT777" s="64" t="str">
        <f t="shared" si="21"/>
        <v/>
      </c>
      <c r="AV777" s="66" t="str">
        <f t="shared" si="25"/>
        <v/>
      </c>
      <c r="AW777" s="66"/>
      <c r="AX777" s="56"/>
    </row>
    <row r="778">
      <c r="A778" s="55">
        <v>46063.68331530092</v>
      </c>
      <c r="B778" s="56"/>
      <c r="C778" s="57"/>
      <c r="D778" s="57"/>
      <c r="E778" s="57"/>
      <c r="F778" s="57"/>
      <c r="G778" s="58">
        <f>if(A778,_xlfn.workday.intl(int(A778),1,"1000000",Holidays!A:A)+17/24,"")</f>
        <v>46064.70833</v>
      </c>
      <c r="H778" s="59" t="str">
        <f t="shared" si="23"/>
        <v/>
      </c>
      <c r="I778" s="60"/>
      <c r="J778" s="61">
        <f t="shared" si="2"/>
        <v>69.27557656</v>
      </c>
      <c r="K778" s="58">
        <f>if(G778,_xlfn.workday.intl(int(G778),0,"1000000",Holidays!A:A)+19/24,"")</f>
        <v>46064.79167</v>
      </c>
      <c r="L778" s="59" t="str">
        <f t="shared" si="3"/>
        <v/>
      </c>
      <c r="M778" s="60"/>
      <c r="N778" s="61">
        <f t="shared" si="4"/>
        <v>69.19224323</v>
      </c>
      <c r="O778" s="63">
        <f>if(A778,_xlfn.WORKDAY.INTL(A778,O$5,"1000000",Holidays!A:A)+hour(A778)/24+MINUTE(A778)/1440,"")</f>
        <v>46064.68264</v>
      </c>
      <c r="P778" s="64" t="s">
        <v>2718</v>
      </c>
      <c r="R778" s="66">
        <f t="shared" si="5"/>
        <v>69.30127101</v>
      </c>
      <c r="S778" s="66"/>
      <c r="T778" s="66"/>
      <c r="U778" s="64">
        <f>if(O778,_xlfn.WORKDAY.INTL(O778,U$5,"1000000",Holidays!A:A)+hour(O778)/24+MINUTE(O778)/1440,"")</f>
        <v>46065.68264</v>
      </c>
      <c r="V778" s="64" t="str">
        <f t="shared" si="6"/>
        <v/>
      </c>
      <c r="W778" s="66"/>
      <c r="X778" s="66">
        <f t="shared" si="7"/>
        <v>68.30127101</v>
      </c>
      <c r="Y778" s="66"/>
      <c r="Z778" s="66"/>
      <c r="AA778" s="66"/>
      <c r="AB778" s="63"/>
      <c r="AC778" s="63"/>
      <c r="AD778" s="63"/>
      <c r="AE778" s="63"/>
      <c r="AF778" s="63"/>
      <c r="AG778" s="63"/>
      <c r="AH778" s="63" t="str">
        <f t="shared" si="14"/>
        <v/>
      </c>
      <c r="AI778" s="63" t="str">
        <f>if(AH778,_xlfn.workday.intl(int(AH778),0,"1000000",Holidays!A:A)+18/24,"")</f>
        <v/>
      </c>
      <c r="AJ778" s="64" t="str">
        <f t="shared" si="24"/>
        <v/>
      </c>
      <c r="AL778" s="66" t="str">
        <f t="shared" si="9"/>
        <v/>
      </c>
      <c r="AM778" s="66"/>
      <c r="AN778" s="63" t="str">
        <f>if(AJ778,if(and(hour(AJ778+AN$5)&gt;11,(hour(AJ778+AN$5)&lt;20)),AJ778+AN$5,_xlfn.workday.intl(int(AJ778),1,"1000000",Holidays!A:A)+hour(AJ778+AN$5-$B$1)/24+minute(AJ778)/1440),"")</f>
        <v/>
      </c>
      <c r="AO778" s="64" t="str">
        <f t="shared" si="15"/>
        <v/>
      </c>
      <c r="AQ778" s="66" t="str">
        <f t="shared" si="16"/>
        <v/>
      </c>
      <c r="AR778" s="66"/>
      <c r="AS778" s="63" t="str">
        <f>if(AJ778,if(and(hour(AJ778+AS$5)&gt;11,(hour(AJ778+AS$5)&lt;20)),AJ778+AS$5,_xlfn.workday.intl(int(AJ778),1,"1000000",Holidays!A:A)+hour(AJ778+AS$5-$B$1)/24+minute(AJ778)/1440),"")</f>
        <v/>
      </c>
      <c r="AT778" s="64" t="str">
        <f t="shared" si="21"/>
        <v/>
      </c>
      <c r="AV778" s="66" t="str">
        <f t="shared" si="25"/>
        <v/>
      </c>
      <c r="AW778" s="66"/>
      <c r="AX778" s="56"/>
    </row>
    <row r="779">
      <c r="A779" s="55">
        <v>46063.730779074074</v>
      </c>
      <c r="B779" s="56"/>
      <c r="C779" s="57"/>
      <c r="D779" s="57"/>
      <c r="E779" s="57"/>
      <c r="F779" s="57"/>
      <c r="G779" s="58">
        <f>if(A779,_xlfn.workday.intl(int(A779),1,"1000000",Holidays!A:A)+17/24,"")</f>
        <v>46064.70833</v>
      </c>
      <c r="H779" s="59" t="str">
        <f t="shared" si="23"/>
        <v/>
      </c>
      <c r="I779" s="60"/>
      <c r="J779" s="61">
        <f t="shared" si="2"/>
        <v>69.27557656</v>
      </c>
      <c r="K779" s="58">
        <f>if(G779,_xlfn.workday.intl(int(G779),0,"1000000",Holidays!A:A)+19/24,"")</f>
        <v>46064.79167</v>
      </c>
      <c r="L779" s="59" t="str">
        <f t="shared" si="3"/>
        <v/>
      </c>
      <c r="M779" s="60"/>
      <c r="N779" s="61">
        <f t="shared" si="4"/>
        <v>69.19224323</v>
      </c>
      <c r="O779" s="63">
        <f>if(A779,_xlfn.WORKDAY.INTL(A779,O$5,"1000000",Holidays!A:A)+hour(A779)/24+MINUTE(A779)/1440,"")</f>
        <v>46064.73056</v>
      </c>
      <c r="P779" s="64" t="s">
        <v>2718</v>
      </c>
      <c r="R779" s="66">
        <f t="shared" si="5"/>
        <v>69.25335434</v>
      </c>
      <c r="S779" s="66"/>
      <c r="T779" s="66"/>
      <c r="U779" s="64">
        <f>if(O779,_xlfn.WORKDAY.INTL(O779,U$5,"1000000",Holidays!A:A)+hour(O779)/24+MINUTE(O779)/1440,"")</f>
        <v>46065.73056</v>
      </c>
      <c r="V779" s="64" t="str">
        <f t="shared" si="6"/>
        <v/>
      </c>
      <c r="W779" s="66"/>
      <c r="X779" s="66">
        <f t="shared" si="7"/>
        <v>68.25335434</v>
      </c>
      <c r="Y779" s="66"/>
      <c r="Z779" s="66"/>
      <c r="AA779" s="66"/>
      <c r="AB779" s="63"/>
      <c r="AC779" s="63"/>
      <c r="AD779" s="63"/>
      <c r="AE779" s="63"/>
      <c r="AF779" s="63"/>
      <c r="AG779" s="63"/>
      <c r="AH779" s="63" t="str">
        <f t="shared" si="14"/>
        <v/>
      </c>
      <c r="AI779" s="63" t="str">
        <f>if(AH779,_xlfn.workday.intl(int(AH779),0,"1000000",Holidays!A:A)+18/24,"")</f>
        <v/>
      </c>
      <c r="AJ779" s="64" t="str">
        <f t="shared" si="24"/>
        <v/>
      </c>
      <c r="AL779" s="66" t="str">
        <f t="shared" si="9"/>
        <v/>
      </c>
      <c r="AM779" s="66"/>
      <c r="AN779" s="63" t="str">
        <f>if(AJ779,if(and(hour(AJ779+AN$5)&gt;11,(hour(AJ779+AN$5)&lt;20)),AJ779+AN$5,_xlfn.workday.intl(int(AJ779),1,"1000000",Holidays!A:A)+hour(AJ779+AN$5-$B$1)/24+minute(AJ779)/1440),"")</f>
        <v/>
      </c>
      <c r="AO779" s="64" t="str">
        <f t="shared" si="15"/>
        <v/>
      </c>
      <c r="AQ779" s="66" t="str">
        <f t="shared" si="16"/>
        <v/>
      </c>
      <c r="AR779" s="66"/>
      <c r="AS779" s="63" t="str">
        <f>if(AJ779,if(and(hour(AJ779+AS$5)&gt;11,(hour(AJ779+AS$5)&lt;20)),AJ779+AS$5,_xlfn.workday.intl(int(AJ779),1,"1000000",Holidays!A:A)+hour(AJ779+AS$5-$B$1)/24+minute(AJ779)/1440),"")</f>
        <v/>
      </c>
      <c r="AT779" s="64" t="str">
        <f t="shared" si="21"/>
        <v/>
      </c>
      <c r="AV779" s="66" t="str">
        <f t="shared" si="25"/>
        <v/>
      </c>
      <c r="AW779" s="66"/>
      <c r="AX779" s="56"/>
    </row>
    <row r="780">
      <c r="A780" s="55">
        <v>46063.7380403125</v>
      </c>
      <c r="B780" s="56"/>
      <c r="C780" s="57"/>
      <c r="D780" s="57"/>
      <c r="E780" s="57"/>
      <c r="F780" s="57"/>
      <c r="G780" s="58">
        <f>if(A780,_xlfn.workday.intl(int(A780),1,"1000000",Holidays!A:A)+17/24,"")</f>
        <v>46064.70833</v>
      </c>
      <c r="H780" s="59" t="str">
        <f t="shared" si="23"/>
        <v/>
      </c>
      <c r="I780" s="60"/>
      <c r="J780" s="61">
        <f t="shared" si="2"/>
        <v>69.27557656</v>
      </c>
      <c r="K780" s="58">
        <f>if(G780,_xlfn.workday.intl(int(G780),0,"1000000",Holidays!A:A)+19/24,"")</f>
        <v>46064.79167</v>
      </c>
      <c r="L780" s="59" t="str">
        <f t="shared" si="3"/>
        <v/>
      </c>
      <c r="M780" s="60"/>
      <c r="N780" s="61">
        <f t="shared" si="4"/>
        <v>69.19224323</v>
      </c>
      <c r="O780" s="63">
        <f>if(A780,_xlfn.WORKDAY.INTL(A780,O$5,"1000000",Holidays!A:A)+hour(A780)/24+MINUTE(A780)/1440,"")</f>
        <v>46064.7375</v>
      </c>
      <c r="P780" s="64" t="s">
        <v>2718</v>
      </c>
      <c r="R780" s="66">
        <f t="shared" si="5"/>
        <v>69.2464099</v>
      </c>
      <c r="S780" s="66"/>
      <c r="T780" s="66"/>
      <c r="U780" s="64">
        <f>if(O780,_xlfn.WORKDAY.INTL(O780,U$5,"1000000",Holidays!A:A)+hour(O780)/24+MINUTE(O780)/1440,"")</f>
        <v>46065.7375</v>
      </c>
      <c r="V780" s="64" t="str">
        <f t="shared" si="6"/>
        <v/>
      </c>
      <c r="W780" s="66"/>
      <c r="X780" s="66">
        <f t="shared" si="7"/>
        <v>68.2464099</v>
      </c>
      <c r="Y780" s="66"/>
      <c r="Z780" s="66"/>
      <c r="AA780" s="66"/>
      <c r="AB780" s="63"/>
      <c r="AC780" s="63"/>
      <c r="AD780" s="63"/>
      <c r="AE780" s="63"/>
      <c r="AF780" s="63"/>
      <c r="AG780" s="63"/>
      <c r="AH780" s="63" t="str">
        <f t="shared" si="14"/>
        <v/>
      </c>
      <c r="AI780" s="63" t="str">
        <f>if(AH780,_xlfn.workday.intl(int(AH780),0,"1000000",Holidays!A:A)+18/24,"")</f>
        <v/>
      </c>
      <c r="AJ780" s="64" t="str">
        <f t="shared" si="24"/>
        <v/>
      </c>
      <c r="AL780" s="66" t="str">
        <f t="shared" si="9"/>
        <v/>
      </c>
      <c r="AM780" s="66"/>
      <c r="AN780" s="63" t="str">
        <f>if(AJ780,if(and(hour(AJ780+AN$5)&gt;11,(hour(AJ780+AN$5)&lt;20)),AJ780+AN$5,_xlfn.workday.intl(int(AJ780),1,"1000000",Holidays!A:A)+hour(AJ780+AN$5-$B$1)/24+minute(AJ780)/1440),"")</f>
        <v/>
      </c>
      <c r="AO780" s="64" t="str">
        <f t="shared" si="15"/>
        <v/>
      </c>
      <c r="AQ780" s="66" t="str">
        <f t="shared" si="16"/>
        <v/>
      </c>
      <c r="AR780" s="66"/>
      <c r="AS780" s="63" t="str">
        <f>if(AJ780,if(and(hour(AJ780+AS$5)&gt;11,(hour(AJ780+AS$5)&lt;20)),AJ780+AS$5,_xlfn.workday.intl(int(AJ780),1,"1000000",Holidays!A:A)+hour(AJ780+AS$5-$B$1)/24+minute(AJ780)/1440),"")</f>
        <v/>
      </c>
      <c r="AT780" s="64" t="str">
        <f t="shared" si="21"/>
        <v/>
      </c>
      <c r="AV780" s="66" t="str">
        <f t="shared" si="25"/>
        <v/>
      </c>
      <c r="AW780" s="66"/>
      <c r="AX780" s="56"/>
    </row>
    <row r="781">
      <c r="A781" s="55">
        <v>46063.74107421296</v>
      </c>
      <c r="B781" s="56"/>
      <c r="C781" s="57"/>
      <c r="D781" s="57"/>
      <c r="E781" s="57"/>
      <c r="F781" s="57"/>
      <c r="G781" s="58">
        <f>if(A781,_xlfn.workday.intl(int(A781),1,"1000000",Holidays!A:A)+17/24,"")</f>
        <v>46064.70833</v>
      </c>
      <c r="H781" s="59" t="str">
        <f t="shared" si="23"/>
        <v/>
      </c>
      <c r="I781" s="60"/>
      <c r="J781" s="61">
        <f t="shared" si="2"/>
        <v>69.27557656</v>
      </c>
      <c r="K781" s="58">
        <f>if(G781,_xlfn.workday.intl(int(G781),0,"1000000",Holidays!A:A)+19/24,"")</f>
        <v>46064.79167</v>
      </c>
      <c r="L781" s="59" t="str">
        <f t="shared" si="3"/>
        <v/>
      </c>
      <c r="M781" s="60"/>
      <c r="N781" s="61">
        <f t="shared" si="4"/>
        <v>69.19224323</v>
      </c>
      <c r="O781" s="63">
        <f>if(A781,_xlfn.WORKDAY.INTL(A781,O$5,"1000000",Holidays!A:A)+hour(A781)/24+MINUTE(A781)/1440,"")</f>
        <v>46064.74097</v>
      </c>
      <c r="P781" s="64" t="s">
        <v>2718</v>
      </c>
      <c r="R781" s="66">
        <f t="shared" si="5"/>
        <v>69.24293767</v>
      </c>
      <c r="S781" s="66"/>
      <c r="T781" s="66"/>
      <c r="U781" s="64">
        <f>if(O781,_xlfn.WORKDAY.INTL(O781,U$5,"1000000",Holidays!A:A)+hour(O781)/24+MINUTE(O781)/1440,"")</f>
        <v>46065.74097</v>
      </c>
      <c r="V781" s="64" t="str">
        <f t="shared" si="6"/>
        <v/>
      </c>
      <c r="W781" s="66"/>
      <c r="X781" s="66">
        <f t="shared" si="7"/>
        <v>68.24293767</v>
      </c>
      <c r="Y781" s="66"/>
      <c r="Z781" s="66"/>
      <c r="AA781" s="66"/>
      <c r="AB781" s="63"/>
      <c r="AC781" s="63"/>
      <c r="AD781" s="63"/>
      <c r="AE781" s="63"/>
      <c r="AF781" s="63"/>
      <c r="AG781" s="63"/>
      <c r="AH781" s="63" t="str">
        <f t="shared" si="14"/>
        <v/>
      </c>
      <c r="AI781" s="63" t="str">
        <f>if(AH781,_xlfn.workday.intl(int(AH781),0,"1000000",Holidays!A:A)+18/24,"")</f>
        <v/>
      </c>
      <c r="AJ781" s="64" t="str">
        <f t="shared" si="24"/>
        <v/>
      </c>
      <c r="AL781" s="66" t="str">
        <f t="shared" si="9"/>
        <v/>
      </c>
      <c r="AM781" s="66"/>
      <c r="AN781" s="63" t="str">
        <f>if(AJ781,if(and(hour(AJ781+AN$5)&gt;11,(hour(AJ781+AN$5)&lt;20)),AJ781+AN$5,_xlfn.workday.intl(int(AJ781),1,"1000000",Holidays!A:A)+hour(AJ781+AN$5-$B$1)/24+minute(AJ781)/1440),"")</f>
        <v/>
      </c>
      <c r="AO781" s="64" t="str">
        <f t="shared" si="15"/>
        <v/>
      </c>
      <c r="AQ781" s="66" t="str">
        <f t="shared" si="16"/>
        <v/>
      </c>
      <c r="AR781" s="66"/>
      <c r="AS781" s="63" t="str">
        <f>if(AJ781,if(and(hour(AJ781+AS$5)&gt;11,(hour(AJ781+AS$5)&lt;20)),AJ781+AS$5,_xlfn.workday.intl(int(AJ781),1,"1000000",Holidays!A:A)+hour(AJ781+AS$5-$B$1)/24+minute(AJ781)/1440),"")</f>
        <v/>
      </c>
      <c r="AT781" s="64" t="str">
        <f t="shared" si="21"/>
        <v/>
      </c>
      <c r="AV781" s="66" t="str">
        <f t="shared" si="25"/>
        <v/>
      </c>
      <c r="AW781" s="66"/>
      <c r="AX781" s="56"/>
    </row>
    <row r="782">
      <c r="A782" s="55">
        <v>46065.55628265046</v>
      </c>
      <c r="B782" s="56"/>
      <c r="C782" s="57"/>
      <c r="D782" s="57"/>
      <c r="E782" s="57"/>
      <c r="F782" s="57"/>
      <c r="G782" s="58">
        <f>if(A782,_xlfn.workday.intl(int(A782),1,"1000000",Holidays!A:A)+17/24,"")</f>
        <v>46066.70833</v>
      </c>
      <c r="H782" s="59" t="str">
        <f t="shared" si="23"/>
        <v/>
      </c>
      <c r="I782" s="60"/>
      <c r="J782" s="61">
        <f t="shared" si="2"/>
        <v>67.27557656</v>
      </c>
      <c r="K782" s="58">
        <f>if(G782,_xlfn.workday.intl(int(G782),0,"1000000",Holidays!A:A)+19/24,"")</f>
        <v>46066.79167</v>
      </c>
      <c r="L782" s="59" t="str">
        <f t="shared" si="3"/>
        <v/>
      </c>
      <c r="M782" s="60"/>
      <c r="N782" s="61">
        <f t="shared" si="4"/>
        <v>67.19224323</v>
      </c>
      <c r="O782" s="63">
        <f>if(A782,_xlfn.WORKDAY.INTL(A782,O$5,"1000000",Holidays!A:A)+hour(A782)/24+MINUTE(A782)/1440,"")</f>
        <v>46066.55625</v>
      </c>
      <c r="P782" s="64" t="s">
        <v>2718</v>
      </c>
      <c r="R782" s="66">
        <f t="shared" si="5"/>
        <v>67.4276599</v>
      </c>
      <c r="S782" s="66"/>
      <c r="T782" s="66"/>
      <c r="U782" s="64">
        <f>if(O782,_xlfn.WORKDAY.INTL(O782,U$5,"1000000",Holidays!A:A)+hour(O782)/24+MINUTE(O782)/1440,"")</f>
        <v>46067.55625</v>
      </c>
      <c r="V782" s="64" t="str">
        <f t="shared" si="6"/>
        <v/>
      </c>
      <c r="W782" s="66"/>
      <c r="X782" s="66">
        <f t="shared" si="7"/>
        <v>66.4276599</v>
      </c>
      <c r="Y782" s="66"/>
      <c r="Z782" s="66"/>
      <c r="AA782" s="66"/>
      <c r="AB782" s="63"/>
      <c r="AC782" s="63"/>
      <c r="AD782" s="63"/>
      <c r="AE782" s="63"/>
      <c r="AF782" s="63"/>
      <c r="AG782" s="63"/>
      <c r="AH782" s="63" t="str">
        <f t="shared" si="14"/>
        <v/>
      </c>
      <c r="AI782" s="63" t="str">
        <f>if(AH782,_xlfn.workday.intl(int(AH782),0,"1000000",Holidays!A:A)+18/24,"")</f>
        <v/>
      </c>
      <c r="AJ782" s="64" t="str">
        <f t="shared" si="24"/>
        <v/>
      </c>
      <c r="AL782" s="66" t="str">
        <f t="shared" si="9"/>
        <v/>
      </c>
      <c r="AM782" s="66"/>
      <c r="AN782" s="63" t="str">
        <f>if(AJ782,if(and(hour(AJ782+AN$5)&gt;11,(hour(AJ782+AN$5)&lt;20)),AJ782+AN$5,_xlfn.workday.intl(int(AJ782),1,"1000000",Holidays!A:A)+hour(AJ782+AN$5-$B$1)/24+minute(AJ782)/1440),"")</f>
        <v/>
      </c>
      <c r="AO782" s="64" t="str">
        <f t="shared" si="15"/>
        <v/>
      </c>
      <c r="AQ782" s="66" t="str">
        <f t="shared" si="16"/>
        <v/>
      </c>
      <c r="AR782" s="66"/>
      <c r="AS782" s="63" t="str">
        <f>if(AJ782,if(and(hour(AJ782+AS$5)&gt;11,(hour(AJ782+AS$5)&lt;20)),AJ782+AS$5,_xlfn.workday.intl(int(AJ782),1,"1000000",Holidays!A:A)+hour(AJ782+AS$5-$B$1)/24+minute(AJ782)/1440),"")</f>
        <v/>
      </c>
      <c r="AT782" s="64" t="str">
        <f t="shared" si="21"/>
        <v/>
      </c>
      <c r="AV782" s="66" t="str">
        <f t="shared" si="25"/>
        <v/>
      </c>
      <c r="AW782" s="66"/>
      <c r="AX782" s="56"/>
    </row>
    <row r="783">
      <c r="A783" s="55">
        <v>46066.673205983796</v>
      </c>
      <c r="B783" s="56"/>
      <c r="C783" s="57"/>
      <c r="D783" s="57"/>
      <c r="E783" s="57"/>
      <c r="F783" s="57"/>
      <c r="G783" s="58">
        <f>if(A783,_xlfn.workday.intl(int(A783),1,"1000000",Holidays!A:A)+17/24,"")</f>
        <v>46067.70833</v>
      </c>
      <c r="H783" s="59" t="str">
        <f t="shared" si="23"/>
        <v/>
      </c>
      <c r="I783" s="60"/>
      <c r="J783" s="61">
        <f t="shared" si="2"/>
        <v>66.27557656</v>
      </c>
      <c r="K783" s="58">
        <f>if(G783,_xlfn.workday.intl(int(G783),0,"1000000",Holidays!A:A)+19/24,"")</f>
        <v>46067.79167</v>
      </c>
      <c r="L783" s="59" t="str">
        <f t="shared" si="3"/>
        <v/>
      </c>
      <c r="M783" s="60"/>
      <c r="N783" s="61">
        <f t="shared" si="4"/>
        <v>66.19224323</v>
      </c>
      <c r="O783" s="63">
        <f>if(A783,_xlfn.WORKDAY.INTL(A783,O$5,"1000000",Holidays!A:A)+hour(A783)/24+MINUTE(A783)/1440,"")</f>
        <v>46067.67292</v>
      </c>
      <c r="P783" s="64" t="s">
        <v>2718</v>
      </c>
      <c r="R783" s="66">
        <f t="shared" si="5"/>
        <v>66.31099323</v>
      </c>
      <c r="S783" s="66"/>
      <c r="T783" s="66"/>
      <c r="U783" s="64">
        <f>if(O783,_xlfn.WORKDAY.INTL(O783,U$5,"1000000",Holidays!A:A)+hour(O783)/24+MINUTE(O783)/1440,"")</f>
        <v>46068.67292</v>
      </c>
      <c r="V783" s="64" t="str">
        <f t="shared" si="6"/>
        <v/>
      </c>
      <c r="W783" s="66"/>
      <c r="X783" s="66">
        <f t="shared" si="7"/>
        <v>65.31099323</v>
      </c>
      <c r="Y783" s="66"/>
      <c r="Z783" s="66"/>
      <c r="AA783" s="66"/>
      <c r="AB783" s="63"/>
      <c r="AC783" s="63"/>
      <c r="AD783" s="63"/>
      <c r="AE783" s="63"/>
      <c r="AF783" s="63"/>
      <c r="AG783" s="63"/>
      <c r="AH783" s="63" t="str">
        <f t="shared" si="14"/>
        <v/>
      </c>
      <c r="AI783" s="63" t="str">
        <f>if(AH783,_xlfn.workday.intl(int(AH783),0,"1000000",Holidays!A:A)+18/24,"")</f>
        <v/>
      </c>
      <c r="AJ783" s="64" t="str">
        <f t="shared" si="24"/>
        <v/>
      </c>
      <c r="AL783" s="66" t="str">
        <f t="shared" si="9"/>
        <v/>
      </c>
      <c r="AM783" s="66"/>
      <c r="AN783" s="63" t="str">
        <f>if(AJ783,if(and(hour(AJ783+AN$5)&gt;11,(hour(AJ783+AN$5)&lt;20)),AJ783+AN$5,_xlfn.workday.intl(int(AJ783),1,"1000000",Holidays!A:A)+hour(AJ783+AN$5-$B$1)/24+minute(AJ783)/1440),"")</f>
        <v/>
      </c>
      <c r="AO783" s="64" t="str">
        <f t="shared" si="15"/>
        <v/>
      </c>
      <c r="AQ783" s="66" t="str">
        <f t="shared" si="16"/>
        <v/>
      </c>
      <c r="AR783" s="66"/>
      <c r="AS783" s="63" t="str">
        <f>if(AJ783,if(and(hour(AJ783+AS$5)&gt;11,(hour(AJ783+AS$5)&lt;20)),AJ783+AS$5,_xlfn.workday.intl(int(AJ783),1,"1000000",Holidays!A:A)+hour(AJ783+AS$5-$B$1)/24+minute(AJ783)/1440),"")</f>
        <v/>
      </c>
      <c r="AT783" s="64" t="str">
        <f t="shared" si="21"/>
        <v/>
      </c>
      <c r="AV783" s="66" t="str">
        <f t="shared" si="25"/>
        <v/>
      </c>
      <c r="AW783" s="66"/>
      <c r="AX783" s="56"/>
    </row>
    <row r="784">
      <c r="A784" s="55">
        <v>46071.63034765046</v>
      </c>
      <c r="B784" s="56"/>
      <c r="C784" s="57"/>
      <c r="D784" s="57"/>
      <c r="E784" s="57"/>
      <c r="F784" s="57"/>
      <c r="G784" s="58">
        <f>if(A784,_xlfn.workday.intl(int(A784),1,"1000000",Holidays!A:A)+17/24,"")</f>
        <v>46072.70833</v>
      </c>
      <c r="H784" s="59" t="str">
        <f t="shared" si="23"/>
        <v/>
      </c>
      <c r="I784" s="60"/>
      <c r="J784" s="61">
        <f t="shared" si="2"/>
        <v>61.27557656</v>
      </c>
      <c r="K784" s="58">
        <f>if(G784,_xlfn.workday.intl(int(G784),0,"1000000",Holidays!A:A)+19/24,"")</f>
        <v>46072.79167</v>
      </c>
      <c r="L784" s="59" t="str">
        <f t="shared" si="3"/>
        <v/>
      </c>
      <c r="M784" s="60"/>
      <c r="N784" s="61">
        <f t="shared" si="4"/>
        <v>61.19224323</v>
      </c>
      <c r="O784" s="63">
        <f>if(A784,_xlfn.WORKDAY.INTL(A784,O$5,"1000000",Holidays!A:A)+hour(A784)/24+MINUTE(A784)/1440,"")</f>
        <v>46072.62986</v>
      </c>
      <c r="P784" s="64" t="s">
        <v>2718</v>
      </c>
      <c r="R784" s="66">
        <f t="shared" si="5"/>
        <v>61.35404878</v>
      </c>
      <c r="S784" s="66"/>
      <c r="T784" s="66"/>
      <c r="U784" s="64">
        <f>if(O784,_xlfn.WORKDAY.INTL(O784,U$5,"1000000",Holidays!A:A)+hour(O784)/24+MINUTE(O784)/1440,"")</f>
        <v>46073.62986</v>
      </c>
      <c r="V784" s="64" t="str">
        <f t="shared" si="6"/>
        <v/>
      </c>
      <c r="W784" s="66"/>
      <c r="X784" s="66">
        <f t="shared" si="7"/>
        <v>60.35404878</v>
      </c>
      <c r="Y784" s="66"/>
      <c r="Z784" s="66"/>
      <c r="AA784" s="66"/>
      <c r="AB784" s="63"/>
      <c r="AC784" s="63"/>
      <c r="AD784" s="63"/>
      <c r="AE784" s="63"/>
      <c r="AF784" s="63"/>
      <c r="AG784" s="63"/>
      <c r="AH784" s="63" t="str">
        <f t="shared" si="14"/>
        <v/>
      </c>
      <c r="AI784" s="63" t="str">
        <f>if(AH784,_xlfn.workday.intl(int(AH784),0,"1000000",Holidays!A:A)+18/24,"")</f>
        <v/>
      </c>
      <c r="AJ784" s="64" t="str">
        <f t="shared" si="24"/>
        <v/>
      </c>
      <c r="AL784" s="66" t="str">
        <f t="shared" si="9"/>
        <v/>
      </c>
      <c r="AM784" s="66"/>
      <c r="AN784" s="63" t="str">
        <f>if(AJ784,if(and(hour(AJ784+AN$5)&gt;11,(hour(AJ784+AN$5)&lt;20)),AJ784+AN$5,_xlfn.workday.intl(int(AJ784),1,"1000000",Holidays!A:A)+hour(AJ784+AN$5-$B$1)/24+minute(AJ784)/1440),"")</f>
        <v/>
      </c>
      <c r="AO784" s="64" t="str">
        <f t="shared" si="15"/>
        <v/>
      </c>
      <c r="AQ784" s="66" t="str">
        <f t="shared" si="16"/>
        <v/>
      </c>
      <c r="AR784" s="66"/>
      <c r="AS784" s="63" t="str">
        <f>if(AJ784,if(and(hour(AJ784+AS$5)&gt;11,(hour(AJ784+AS$5)&lt;20)),AJ784+AS$5,_xlfn.workday.intl(int(AJ784),1,"1000000",Holidays!A:A)+hour(AJ784+AS$5-$B$1)/24+minute(AJ784)/1440),"")</f>
        <v/>
      </c>
      <c r="AT784" s="64" t="str">
        <f t="shared" si="21"/>
        <v/>
      </c>
      <c r="AV784" s="66" t="str">
        <f t="shared" si="25"/>
        <v/>
      </c>
      <c r="AW784" s="66"/>
      <c r="AX784" s="56"/>
    </row>
    <row r="785">
      <c r="A785" s="55">
        <v>46071.63196976852</v>
      </c>
      <c r="B785" s="56"/>
      <c r="C785" s="57"/>
      <c r="D785" s="57"/>
      <c r="E785" s="57"/>
      <c r="F785" s="57"/>
      <c r="G785" s="58">
        <f>if(A785,_xlfn.workday.intl(int(A785),1,"1000000",Holidays!A:A)+17/24,"")</f>
        <v>46072.70833</v>
      </c>
      <c r="H785" s="59" t="str">
        <f t="shared" si="23"/>
        <v/>
      </c>
      <c r="I785" s="60"/>
      <c r="J785" s="61">
        <f t="shared" si="2"/>
        <v>61.27557656</v>
      </c>
      <c r="K785" s="58">
        <f>if(G785,_xlfn.workday.intl(int(G785),0,"1000000",Holidays!A:A)+19/24,"")</f>
        <v>46072.79167</v>
      </c>
      <c r="L785" s="59" t="str">
        <f t="shared" si="3"/>
        <v/>
      </c>
      <c r="M785" s="60"/>
      <c r="N785" s="61">
        <f t="shared" si="4"/>
        <v>61.19224323</v>
      </c>
      <c r="O785" s="63">
        <f>if(A785,_xlfn.WORKDAY.INTL(A785,O$5,"1000000",Holidays!A:A)+hour(A785)/24+MINUTE(A785)/1440,"")</f>
        <v>46072.63194</v>
      </c>
      <c r="P785" s="64" t="s">
        <v>2718</v>
      </c>
      <c r="R785" s="66">
        <f t="shared" si="5"/>
        <v>61.35196545</v>
      </c>
      <c r="S785" s="66"/>
      <c r="T785" s="66"/>
      <c r="U785" s="64">
        <f>if(O785,_xlfn.WORKDAY.INTL(O785,U$5,"1000000",Holidays!A:A)+hour(O785)/24+MINUTE(O785)/1440,"")</f>
        <v>46073.63194</v>
      </c>
      <c r="V785" s="64" t="str">
        <f t="shared" si="6"/>
        <v/>
      </c>
      <c r="W785" s="66"/>
      <c r="X785" s="66">
        <f t="shared" si="7"/>
        <v>60.35196545</v>
      </c>
      <c r="Y785" s="66"/>
      <c r="Z785" s="66"/>
      <c r="AA785" s="66"/>
      <c r="AB785" s="63"/>
      <c r="AC785" s="63"/>
      <c r="AD785" s="63"/>
      <c r="AE785" s="63"/>
      <c r="AF785" s="63"/>
      <c r="AG785" s="63"/>
      <c r="AH785" s="63" t="str">
        <f t="shared" si="14"/>
        <v/>
      </c>
      <c r="AI785" s="63" t="str">
        <f>if(AH785,_xlfn.workday.intl(int(AH785),0,"1000000",Holidays!A:A)+18/24,"")</f>
        <v/>
      </c>
      <c r="AJ785" s="64" t="str">
        <f t="shared" si="24"/>
        <v/>
      </c>
      <c r="AL785" s="66" t="str">
        <f t="shared" si="9"/>
        <v/>
      </c>
      <c r="AM785" s="66"/>
      <c r="AN785" s="63" t="str">
        <f>if(AJ785,if(and(hour(AJ785+AN$5)&gt;11,(hour(AJ785+AN$5)&lt;20)),AJ785+AN$5,_xlfn.workday.intl(int(AJ785),1,"1000000",Holidays!A:A)+hour(AJ785+AN$5-$B$1)/24+minute(AJ785)/1440),"")</f>
        <v/>
      </c>
      <c r="AO785" s="64" t="str">
        <f t="shared" si="15"/>
        <v/>
      </c>
      <c r="AQ785" s="66" t="str">
        <f t="shared" si="16"/>
        <v/>
      </c>
      <c r="AR785" s="66"/>
      <c r="AS785" s="63" t="str">
        <f>if(AJ785,if(and(hour(AJ785+AS$5)&gt;11,(hour(AJ785+AS$5)&lt;20)),AJ785+AS$5,_xlfn.workday.intl(int(AJ785),1,"1000000",Holidays!A:A)+hour(AJ785+AS$5-$B$1)/24+minute(AJ785)/1440),"")</f>
        <v/>
      </c>
      <c r="AT785" s="64" t="str">
        <f t="shared" si="21"/>
        <v/>
      </c>
      <c r="AV785" s="66" t="str">
        <f t="shared" si="25"/>
        <v/>
      </c>
      <c r="AW785" s="66"/>
      <c r="AX785" s="56"/>
    </row>
    <row r="786">
      <c r="A786" s="55">
        <v>46071.635500185184</v>
      </c>
      <c r="B786" s="56"/>
      <c r="C786" s="57"/>
      <c r="D786" s="57"/>
      <c r="E786" s="57"/>
      <c r="F786" s="57"/>
      <c r="G786" s="58">
        <f>if(A786,_xlfn.workday.intl(int(A786),1,"1000000",Holidays!A:A)+17/24,"")</f>
        <v>46072.70833</v>
      </c>
      <c r="H786" s="59" t="str">
        <f t="shared" si="23"/>
        <v/>
      </c>
      <c r="I786" s="60"/>
      <c r="J786" s="61">
        <f t="shared" si="2"/>
        <v>61.27557656</v>
      </c>
      <c r="K786" s="58">
        <f>if(G786,_xlfn.workday.intl(int(G786),0,"1000000",Holidays!A:A)+19/24,"")</f>
        <v>46072.79167</v>
      </c>
      <c r="L786" s="59" t="str">
        <f t="shared" si="3"/>
        <v/>
      </c>
      <c r="M786" s="60"/>
      <c r="N786" s="61">
        <f t="shared" si="4"/>
        <v>61.19224323</v>
      </c>
      <c r="O786" s="63">
        <f>if(A786,_xlfn.WORKDAY.INTL(A786,O$5,"1000000",Holidays!A:A)+hour(A786)/24+MINUTE(A786)/1440,"")</f>
        <v>46072.63542</v>
      </c>
      <c r="P786" s="64" t="s">
        <v>2718</v>
      </c>
      <c r="R786" s="66">
        <f t="shared" si="5"/>
        <v>61.34849323</v>
      </c>
      <c r="S786" s="66"/>
      <c r="T786" s="66"/>
      <c r="U786" s="64">
        <f>if(O786,_xlfn.WORKDAY.INTL(O786,U$5,"1000000",Holidays!A:A)+hour(O786)/24+MINUTE(O786)/1440,"")</f>
        <v>46073.63542</v>
      </c>
      <c r="V786" s="64" t="str">
        <f t="shared" si="6"/>
        <v/>
      </c>
      <c r="W786" s="66"/>
      <c r="X786" s="66">
        <f t="shared" si="7"/>
        <v>60.34849323</v>
      </c>
      <c r="Y786" s="66"/>
      <c r="Z786" s="66"/>
      <c r="AA786" s="66"/>
      <c r="AB786" s="63"/>
      <c r="AC786" s="63"/>
      <c r="AD786" s="63"/>
      <c r="AE786" s="63"/>
      <c r="AF786" s="63"/>
      <c r="AG786" s="63"/>
      <c r="AH786" s="63" t="str">
        <f t="shared" si="14"/>
        <v/>
      </c>
      <c r="AI786" s="63" t="str">
        <f>if(AH786,_xlfn.workday.intl(int(AH786),0,"1000000",Holidays!A:A)+18/24,"")</f>
        <v/>
      </c>
      <c r="AJ786" s="64" t="str">
        <f t="shared" si="24"/>
        <v/>
      </c>
      <c r="AL786" s="66" t="str">
        <f t="shared" si="9"/>
        <v/>
      </c>
      <c r="AM786" s="66"/>
      <c r="AN786" s="63" t="str">
        <f>if(AJ786,if(and(hour(AJ786+AN$5)&gt;11,(hour(AJ786+AN$5)&lt;20)),AJ786+AN$5,_xlfn.workday.intl(int(AJ786),1,"1000000",Holidays!A:A)+hour(AJ786+AN$5-$B$1)/24+minute(AJ786)/1440),"")</f>
        <v/>
      </c>
      <c r="AO786" s="64" t="str">
        <f t="shared" si="15"/>
        <v/>
      </c>
      <c r="AQ786" s="66" t="str">
        <f t="shared" si="16"/>
        <v/>
      </c>
      <c r="AR786" s="66"/>
      <c r="AS786" s="63" t="str">
        <f>if(AJ786,if(and(hour(AJ786+AS$5)&gt;11,(hour(AJ786+AS$5)&lt;20)),AJ786+AS$5,_xlfn.workday.intl(int(AJ786),1,"1000000",Holidays!A:A)+hour(AJ786+AS$5-$B$1)/24+minute(AJ786)/1440),"")</f>
        <v/>
      </c>
      <c r="AT786" s="64" t="str">
        <f t="shared" si="21"/>
        <v/>
      </c>
      <c r="AV786" s="66" t="str">
        <f t="shared" si="25"/>
        <v/>
      </c>
      <c r="AW786" s="66"/>
      <c r="AX786" s="56"/>
    </row>
    <row r="787">
      <c r="A787" s="55">
        <v>46071.651290740745</v>
      </c>
      <c r="B787" s="56"/>
      <c r="C787" s="57"/>
      <c r="D787" s="57"/>
      <c r="E787" s="57"/>
      <c r="F787" s="57"/>
      <c r="G787" s="58">
        <f>if(A787,_xlfn.workday.intl(int(A787),1,"1000000",Holidays!A:A)+17/24,"")</f>
        <v>46072.70833</v>
      </c>
      <c r="H787" s="59" t="str">
        <f t="shared" si="23"/>
        <v/>
      </c>
      <c r="I787" s="60"/>
      <c r="J787" s="61">
        <f t="shared" si="2"/>
        <v>61.27557656</v>
      </c>
      <c r="K787" s="58">
        <f>if(G787,_xlfn.workday.intl(int(G787),0,"1000000",Holidays!A:A)+19/24,"")</f>
        <v>46072.79167</v>
      </c>
      <c r="L787" s="59" t="str">
        <f t="shared" si="3"/>
        <v/>
      </c>
      <c r="M787" s="60"/>
      <c r="N787" s="61">
        <f t="shared" si="4"/>
        <v>61.19224323</v>
      </c>
      <c r="O787" s="63">
        <f>if(A787,_xlfn.WORKDAY.INTL(A787,O$5,"1000000",Holidays!A:A)+hour(A787)/24+MINUTE(A787)/1440,"")</f>
        <v>46072.65069</v>
      </c>
      <c r="P787" s="64" t="s">
        <v>2718</v>
      </c>
      <c r="R787" s="66">
        <f t="shared" si="5"/>
        <v>61.33321545</v>
      </c>
      <c r="S787" s="66"/>
      <c r="T787" s="66"/>
      <c r="U787" s="64">
        <f>if(O787,_xlfn.WORKDAY.INTL(O787,U$5,"1000000",Holidays!A:A)+hour(O787)/24+MINUTE(O787)/1440,"")</f>
        <v>46073.65069</v>
      </c>
      <c r="V787" s="64" t="str">
        <f t="shared" si="6"/>
        <v/>
      </c>
      <c r="W787" s="66"/>
      <c r="X787" s="66">
        <f t="shared" si="7"/>
        <v>60.33321545</v>
      </c>
      <c r="Y787" s="66"/>
      <c r="Z787" s="66"/>
      <c r="AA787" s="66"/>
      <c r="AB787" s="63"/>
      <c r="AC787" s="63"/>
      <c r="AD787" s="63"/>
      <c r="AE787" s="63"/>
      <c r="AF787" s="63"/>
      <c r="AG787" s="63"/>
      <c r="AH787" s="63" t="str">
        <f t="shared" si="14"/>
        <v/>
      </c>
      <c r="AI787" s="63" t="str">
        <f>if(AH787,_xlfn.workday.intl(int(AH787),0,"1000000",Holidays!A:A)+18/24,"")</f>
        <v/>
      </c>
      <c r="AJ787" s="64" t="str">
        <f t="shared" si="24"/>
        <v/>
      </c>
      <c r="AL787" s="66" t="str">
        <f t="shared" si="9"/>
        <v/>
      </c>
      <c r="AM787" s="66"/>
      <c r="AN787" s="63" t="str">
        <f>if(AJ787,if(and(hour(AJ787+AN$5)&gt;11,(hour(AJ787+AN$5)&lt;20)),AJ787+AN$5,_xlfn.workday.intl(int(AJ787),1,"1000000",Holidays!A:A)+hour(AJ787+AN$5-$B$1)/24+minute(AJ787)/1440),"")</f>
        <v/>
      </c>
      <c r="AO787" s="64" t="str">
        <f t="shared" si="15"/>
        <v/>
      </c>
      <c r="AQ787" s="66" t="str">
        <f t="shared" si="16"/>
        <v/>
      </c>
      <c r="AR787" s="66"/>
      <c r="AS787" s="63" t="str">
        <f>if(AJ787,if(and(hour(AJ787+AS$5)&gt;11,(hour(AJ787+AS$5)&lt;20)),AJ787+AS$5,_xlfn.workday.intl(int(AJ787),1,"1000000",Holidays!A:A)+hour(AJ787+AS$5-$B$1)/24+minute(AJ787)/1440),"")</f>
        <v/>
      </c>
      <c r="AT787" s="64" t="str">
        <f t="shared" si="21"/>
        <v/>
      </c>
      <c r="AV787" s="66" t="str">
        <f t="shared" si="25"/>
        <v/>
      </c>
      <c r="AW787" s="66"/>
      <c r="AX787" s="56"/>
    </row>
    <row r="788">
      <c r="A788" s="55">
        <v>46071.68975175926</v>
      </c>
      <c r="B788" s="56"/>
      <c r="C788" s="57"/>
      <c r="D788" s="57"/>
      <c r="E788" s="57"/>
      <c r="F788" s="57"/>
      <c r="G788" s="58">
        <f>if(A788,_xlfn.workday.intl(int(A788),1,"1000000",Holidays!A:A)+17/24,"")</f>
        <v>46072.70833</v>
      </c>
      <c r="H788" s="59" t="str">
        <f t="shared" si="23"/>
        <v/>
      </c>
      <c r="I788" s="60"/>
      <c r="J788" s="61">
        <f t="shared" si="2"/>
        <v>61.27557656</v>
      </c>
      <c r="K788" s="58">
        <f>if(G788,_xlfn.workday.intl(int(G788),0,"1000000",Holidays!A:A)+19/24,"")</f>
        <v>46072.79167</v>
      </c>
      <c r="L788" s="59" t="str">
        <f t="shared" si="3"/>
        <v/>
      </c>
      <c r="M788" s="60"/>
      <c r="N788" s="61">
        <f t="shared" si="4"/>
        <v>61.19224323</v>
      </c>
      <c r="O788" s="63">
        <f>if(A788,_xlfn.WORKDAY.INTL(A788,O$5,"1000000",Holidays!A:A)+hour(A788)/24+MINUTE(A788)/1440,"")</f>
        <v>46072.68958</v>
      </c>
      <c r="P788" s="64" t="s">
        <v>2718</v>
      </c>
      <c r="R788" s="66">
        <f t="shared" si="5"/>
        <v>61.29432656</v>
      </c>
      <c r="S788" s="66"/>
      <c r="T788" s="66"/>
      <c r="U788" s="64">
        <f>if(O788,_xlfn.WORKDAY.INTL(O788,U$5,"1000000",Holidays!A:A)+hour(O788)/24+MINUTE(O788)/1440,"")</f>
        <v>46073.68958</v>
      </c>
      <c r="V788" s="64" t="str">
        <f t="shared" si="6"/>
        <v/>
      </c>
      <c r="W788" s="66"/>
      <c r="X788" s="66">
        <f t="shared" si="7"/>
        <v>60.29432656</v>
      </c>
      <c r="Y788" s="66"/>
      <c r="Z788" s="66"/>
      <c r="AA788" s="66"/>
      <c r="AB788" s="63"/>
      <c r="AC788" s="63"/>
      <c r="AD788" s="63"/>
      <c r="AE788" s="63"/>
      <c r="AF788" s="63"/>
      <c r="AG788" s="63"/>
      <c r="AH788" s="63" t="str">
        <f t="shared" si="14"/>
        <v/>
      </c>
      <c r="AI788" s="63" t="str">
        <f>if(AH788,_xlfn.workday.intl(int(AH788),0,"1000000",Holidays!A:A)+18/24,"")</f>
        <v/>
      </c>
      <c r="AJ788" s="64" t="str">
        <f t="shared" si="24"/>
        <v/>
      </c>
      <c r="AL788" s="66" t="str">
        <f t="shared" si="9"/>
        <v/>
      </c>
      <c r="AM788" s="66"/>
      <c r="AN788" s="63" t="str">
        <f>if(AJ788,if(and(hour(AJ788+AN$5)&gt;11,(hour(AJ788+AN$5)&lt;20)),AJ788+AN$5,_xlfn.workday.intl(int(AJ788),1,"1000000",Holidays!A:A)+hour(AJ788+AN$5-$B$1)/24+minute(AJ788)/1440),"")</f>
        <v/>
      </c>
      <c r="AO788" s="64" t="str">
        <f t="shared" si="15"/>
        <v/>
      </c>
      <c r="AQ788" s="66" t="str">
        <f t="shared" si="16"/>
        <v/>
      </c>
      <c r="AR788" s="66"/>
      <c r="AS788" s="63" t="str">
        <f>if(AJ788,if(and(hour(AJ788+AS$5)&gt;11,(hour(AJ788+AS$5)&lt;20)),AJ788+AS$5,_xlfn.workday.intl(int(AJ788),1,"1000000",Holidays!A:A)+hour(AJ788+AS$5-$B$1)/24+minute(AJ788)/1440),"")</f>
        <v/>
      </c>
      <c r="AT788" s="64" t="str">
        <f t="shared" si="21"/>
        <v/>
      </c>
      <c r="AV788" s="66" t="str">
        <f t="shared" si="25"/>
        <v/>
      </c>
      <c r="AW788" s="66"/>
      <c r="AX788" s="56"/>
    </row>
    <row r="789">
      <c r="A789" s="55">
        <v>46071.69072321759</v>
      </c>
      <c r="B789" s="56"/>
      <c r="C789" s="57"/>
      <c r="D789" s="57"/>
      <c r="E789" s="57"/>
      <c r="F789" s="57"/>
      <c r="G789" s="58">
        <f>if(A789,_xlfn.workday.intl(int(A789),1,"1000000",Holidays!A:A)+17/24,"")</f>
        <v>46072.70833</v>
      </c>
      <c r="H789" s="59" t="str">
        <f t="shared" si="23"/>
        <v/>
      </c>
      <c r="I789" s="60"/>
      <c r="J789" s="61">
        <f t="shared" si="2"/>
        <v>61.27557656</v>
      </c>
      <c r="K789" s="58">
        <f>if(G789,_xlfn.workday.intl(int(G789),0,"1000000",Holidays!A:A)+19/24,"")</f>
        <v>46072.79167</v>
      </c>
      <c r="L789" s="59" t="str">
        <f t="shared" si="3"/>
        <v/>
      </c>
      <c r="M789" s="60"/>
      <c r="N789" s="61">
        <f t="shared" si="4"/>
        <v>61.19224323</v>
      </c>
      <c r="O789" s="63">
        <f>if(A789,_xlfn.WORKDAY.INTL(A789,O$5,"1000000",Holidays!A:A)+hour(A789)/24+MINUTE(A789)/1440,"")</f>
        <v>46072.69028</v>
      </c>
      <c r="P789" s="64" t="s">
        <v>2718</v>
      </c>
      <c r="R789" s="66">
        <f t="shared" si="5"/>
        <v>61.29363212</v>
      </c>
      <c r="S789" s="66"/>
      <c r="T789" s="66"/>
      <c r="U789" s="64">
        <f>if(O789,_xlfn.WORKDAY.INTL(O789,U$5,"1000000",Holidays!A:A)+hour(O789)/24+MINUTE(O789)/1440,"")</f>
        <v>46073.69028</v>
      </c>
      <c r="V789" s="64" t="str">
        <f t="shared" si="6"/>
        <v/>
      </c>
      <c r="W789" s="66"/>
      <c r="X789" s="66">
        <f t="shared" si="7"/>
        <v>60.29363212</v>
      </c>
      <c r="Y789" s="66"/>
      <c r="Z789" s="66"/>
      <c r="AA789" s="66"/>
      <c r="AB789" s="63"/>
      <c r="AC789" s="63"/>
      <c r="AD789" s="63"/>
      <c r="AE789" s="63"/>
      <c r="AF789" s="63"/>
      <c r="AG789" s="63"/>
      <c r="AH789" s="63" t="str">
        <f t="shared" si="14"/>
        <v/>
      </c>
      <c r="AI789" s="63" t="str">
        <f>if(AH789,_xlfn.workday.intl(int(AH789),0,"1000000",Holidays!A:A)+18/24,"")</f>
        <v/>
      </c>
      <c r="AJ789" s="64" t="str">
        <f t="shared" si="24"/>
        <v/>
      </c>
      <c r="AL789" s="66" t="str">
        <f t="shared" si="9"/>
        <v/>
      </c>
      <c r="AM789" s="66"/>
      <c r="AN789" s="63" t="str">
        <f>if(AJ789,if(and(hour(AJ789+AN$5)&gt;11,(hour(AJ789+AN$5)&lt;20)),AJ789+AN$5,_xlfn.workday.intl(int(AJ789),1,"1000000",Holidays!A:A)+hour(AJ789+AN$5-$B$1)/24+minute(AJ789)/1440),"")</f>
        <v/>
      </c>
      <c r="AO789" s="64" t="str">
        <f t="shared" si="15"/>
        <v/>
      </c>
      <c r="AQ789" s="66" t="str">
        <f t="shared" si="16"/>
        <v/>
      </c>
      <c r="AR789" s="66"/>
      <c r="AS789" s="63" t="str">
        <f>if(AJ789,if(and(hour(AJ789+AS$5)&gt;11,(hour(AJ789+AS$5)&lt;20)),AJ789+AS$5,_xlfn.workday.intl(int(AJ789),1,"1000000",Holidays!A:A)+hour(AJ789+AS$5-$B$1)/24+minute(AJ789)/1440),"")</f>
        <v/>
      </c>
      <c r="AT789" s="64" t="str">
        <f t="shared" si="21"/>
        <v/>
      </c>
      <c r="AV789" s="66" t="str">
        <f t="shared" si="25"/>
        <v/>
      </c>
      <c r="AW789" s="66"/>
      <c r="AX789" s="56"/>
    </row>
    <row r="790">
      <c r="A790" s="55">
        <v>46071.69227767361</v>
      </c>
      <c r="B790" s="56"/>
      <c r="C790" s="57"/>
      <c r="D790" s="57"/>
      <c r="E790" s="57"/>
      <c r="F790" s="57"/>
      <c r="G790" s="58">
        <f>if(A790,_xlfn.workday.intl(int(A790),1,"1000000",Holidays!A:A)+17/24,"")</f>
        <v>46072.70833</v>
      </c>
      <c r="H790" s="59" t="str">
        <f t="shared" si="23"/>
        <v/>
      </c>
      <c r="I790" s="60"/>
      <c r="J790" s="61">
        <f t="shared" si="2"/>
        <v>61.27557656</v>
      </c>
      <c r="K790" s="58">
        <f>if(G790,_xlfn.workday.intl(int(G790),0,"1000000",Holidays!A:A)+19/24,"")</f>
        <v>46072.79167</v>
      </c>
      <c r="L790" s="59" t="str">
        <f t="shared" si="3"/>
        <v/>
      </c>
      <c r="M790" s="60"/>
      <c r="N790" s="61">
        <f t="shared" si="4"/>
        <v>61.19224323</v>
      </c>
      <c r="O790" s="63">
        <f>if(A790,_xlfn.WORKDAY.INTL(A790,O$5,"1000000",Holidays!A:A)+hour(A790)/24+MINUTE(A790)/1440,"")</f>
        <v>46072.69167</v>
      </c>
      <c r="P790" s="64" t="s">
        <v>2718</v>
      </c>
      <c r="R790" s="66">
        <f t="shared" si="5"/>
        <v>61.29224323</v>
      </c>
      <c r="S790" s="66"/>
      <c r="T790" s="66"/>
      <c r="U790" s="64">
        <f>if(O790,_xlfn.WORKDAY.INTL(O790,U$5,"1000000",Holidays!A:A)+hour(O790)/24+MINUTE(O790)/1440,"")</f>
        <v>46073.69167</v>
      </c>
      <c r="V790" s="64" t="str">
        <f t="shared" si="6"/>
        <v/>
      </c>
      <c r="W790" s="66"/>
      <c r="X790" s="66">
        <f t="shared" si="7"/>
        <v>60.29224323</v>
      </c>
      <c r="Y790" s="66"/>
      <c r="Z790" s="66"/>
      <c r="AA790" s="66"/>
      <c r="AB790" s="63"/>
      <c r="AC790" s="63"/>
      <c r="AD790" s="63"/>
      <c r="AE790" s="63"/>
      <c r="AF790" s="63"/>
      <c r="AG790" s="63"/>
      <c r="AH790" s="63" t="str">
        <f t="shared" si="14"/>
        <v/>
      </c>
      <c r="AI790" s="63" t="str">
        <f>if(AH790,_xlfn.workday.intl(int(AH790),0,"1000000",Holidays!A:A)+18/24,"")</f>
        <v/>
      </c>
      <c r="AJ790" s="64" t="str">
        <f t="shared" si="24"/>
        <v/>
      </c>
      <c r="AL790" s="66" t="str">
        <f t="shared" si="9"/>
        <v/>
      </c>
      <c r="AM790" s="66"/>
      <c r="AN790" s="63" t="str">
        <f>if(AJ790,if(and(hour(AJ790+AN$5)&gt;11,(hour(AJ790+AN$5)&lt;20)),AJ790+AN$5,_xlfn.workday.intl(int(AJ790),1,"1000000",Holidays!A:A)+hour(AJ790+AN$5-$B$1)/24+minute(AJ790)/1440),"")</f>
        <v/>
      </c>
      <c r="AO790" s="64" t="str">
        <f t="shared" si="15"/>
        <v/>
      </c>
      <c r="AQ790" s="66" t="str">
        <f t="shared" si="16"/>
        <v/>
      </c>
      <c r="AR790" s="66"/>
      <c r="AS790" s="63" t="str">
        <f>if(AJ790,if(and(hour(AJ790+AS$5)&gt;11,(hour(AJ790+AS$5)&lt;20)),AJ790+AS$5,_xlfn.workday.intl(int(AJ790),1,"1000000",Holidays!A:A)+hour(AJ790+AS$5-$B$1)/24+minute(AJ790)/1440),"")</f>
        <v/>
      </c>
      <c r="AT790" s="64" t="str">
        <f t="shared" si="21"/>
        <v/>
      </c>
      <c r="AV790" s="66" t="str">
        <f t="shared" si="25"/>
        <v/>
      </c>
      <c r="AW790" s="66"/>
      <c r="AX790" s="56"/>
    </row>
    <row r="791">
      <c r="A791" s="55">
        <v>46071.69413215278</v>
      </c>
      <c r="B791" s="56"/>
      <c r="C791" s="57"/>
      <c r="D791" s="57"/>
      <c r="E791" s="57"/>
      <c r="F791" s="57"/>
      <c r="G791" s="58">
        <f>if(A791,_xlfn.workday.intl(int(A791),1,"1000000",Holidays!A:A)+17/24,"")</f>
        <v>46072.70833</v>
      </c>
      <c r="H791" s="59" t="str">
        <f t="shared" si="23"/>
        <v/>
      </c>
      <c r="I791" s="60"/>
      <c r="J791" s="61">
        <f t="shared" si="2"/>
        <v>61.27557656</v>
      </c>
      <c r="K791" s="58">
        <f>if(G791,_xlfn.workday.intl(int(G791),0,"1000000",Holidays!A:A)+19/24,"")</f>
        <v>46072.79167</v>
      </c>
      <c r="L791" s="59" t="str">
        <f t="shared" si="3"/>
        <v/>
      </c>
      <c r="M791" s="60"/>
      <c r="N791" s="61">
        <f t="shared" si="4"/>
        <v>61.19224323</v>
      </c>
      <c r="O791" s="63">
        <f>if(A791,_xlfn.WORKDAY.INTL(A791,O$5,"1000000",Holidays!A:A)+hour(A791)/24+MINUTE(A791)/1440,"")</f>
        <v>46072.69375</v>
      </c>
      <c r="P791" s="64" t="s">
        <v>2718</v>
      </c>
      <c r="R791" s="66">
        <f t="shared" si="5"/>
        <v>61.2901599</v>
      </c>
      <c r="S791" s="66"/>
      <c r="T791" s="66"/>
      <c r="U791" s="64">
        <f>if(O791,_xlfn.WORKDAY.INTL(O791,U$5,"1000000",Holidays!A:A)+hour(O791)/24+MINUTE(O791)/1440,"")</f>
        <v>46073.69375</v>
      </c>
      <c r="V791" s="64" t="str">
        <f t="shared" si="6"/>
        <v/>
      </c>
      <c r="W791" s="66"/>
      <c r="X791" s="66">
        <f t="shared" si="7"/>
        <v>60.2901599</v>
      </c>
      <c r="Y791" s="66"/>
      <c r="Z791" s="66"/>
      <c r="AA791" s="66"/>
      <c r="AB791" s="63"/>
      <c r="AC791" s="63"/>
      <c r="AD791" s="63"/>
      <c r="AE791" s="63"/>
      <c r="AF791" s="63"/>
      <c r="AG791" s="63"/>
      <c r="AH791" s="63" t="str">
        <f t="shared" si="14"/>
        <v/>
      </c>
      <c r="AI791" s="63" t="str">
        <f>if(AH791,_xlfn.workday.intl(int(AH791),0,"1000000",Holidays!A:A)+18/24,"")</f>
        <v/>
      </c>
      <c r="AJ791" s="64" t="str">
        <f t="shared" si="24"/>
        <v/>
      </c>
      <c r="AL791" s="66" t="str">
        <f t="shared" si="9"/>
        <v/>
      </c>
      <c r="AM791" s="66"/>
      <c r="AN791" s="63" t="str">
        <f>if(AJ791,if(and(hour(AJ791+AN$5)&gt;11,(hour(AJ791+AN$5)&lt;20)),AJ791+AN$5,_xlfn.workday.intl(int(AJ791),1,"1000000",Holidays!A:A)+hour(AJ791+AN$5-$B$1)/24+minute(AJ791)/1440),"")</f>
        <v/>
      </c>
      <c r="AO791" s="64" t="str">
        <f t="shared" si="15"/>
        <v/>
      </c>
      <c r="AQ791" s="66" t="str">
        <f t="shared" si="16"/>
        <v/>
      </c>
      <c r="AR791" s="66"/>
      <c r="AS791" s="63" t="str">
        <f>if(AJ791,if(and(hour(AJ791+AS$5)&gt;11,(hour(AJ791+AS$5)&lt;20)),AJ791+AS$5,_xlfn.workday.intl(int(AJ791),1,"1000000",Holidays!A:A)+hour(AJ791+AS$5-$B$1)/24+minute(AJ791)/1440),"")</f>
        <v/>
      </c>
      <c r="AT791" s="64" t="str">
        <f t="shared" si="21"/>
        <v/>
      </c>
      <c r="AV791" s="66" t="str">
        <f t="shared" si="25"/>
        <v/>
      </c>
      <c r="AW791" s="66"/>
      <c r="AX791" s="56"/>
    </row>
    <row r="792">
      <c r="A792" s="55">
        <v>46071.696692488425</v>
      </c>
      <c r="B792" s="56"/>
      <c r="C792" s="57"/>
      <c r="D792" s="57"/>
      <c r="E792" s="57"/>
      <c r="F792" s="57"/>
      <c r="G792" s="58">
        <f>if(A792,_xlfn.workday.intl(int(A792),1,"1000000",Holidays!A:A)+17/24,"")</f>
        <v>46072.70833</v>
      </c>
      <c r="H792" s="59" t="str">
        <f t="shared" si="23"/>
        <v/>
      </c>
      <c r="I792" s="60"/>
      <c r="J792" s="61">
        <f t="shared" si="2"/>
        <v>61.27557656</v>
      </c>
      <c r="K792" s="58">
        <f>if(G792,_xlfn.workday.intl(int(G792),0,"1000000",Holidays!A:A)+19/24,"")</f>
        <v>46072.79167</v>
      </c>
      <c r="L792" s="59" t="str">
        <f t="shared" si="3"/>
        <v/>
      </c>
      <c r="M792" s="60"/>
      <c r="N792" s="61">
        <f t="shared" si="4"/>
        <v>61.19224323</v>
      </c>
      <c r="O792" s="63">
        <f>if(A792,_xlfn.WORKDAY.INTL(A792,O$5,"1000000",Holidays!A:A)+hour(A792)/24+MINUTE(A792)/1440,"")</f>
        <v>46072.69653</v>
      </c>
      <c r="P792" s="64" t="s">
        <v>2718</v>
      </c>
      <c r="R792" s="66">
        <f t="shared" si="5"/>
        <v>61.28738212</v>
      </c>
      <c r="S792" s="66"/>
      <c r="T792" s="66"/>
      <c r="U792" s="64">
        <f>if(O792,_xlfn.WORKDAY.INTL(O792,U$5,"1000000",Holidays!A:A)+hour(O792)/24+MINUTE(O792)/1440,"")</f>
        <v>46073.69653</v>
      </c>
      <c r="V792" s="64" t="str">
        <f t="shared" si="6"/>
        <v/>
      </c>
      <c r="W792" s="66"/>
      <c r="X792" s="66">
        <f t="shared" si="7"/>
        <v>60.28738212</v>
      </c>
      <c r="Y792" s="66"/>
      <c r="Z792" s="66"/>
      <c r="AA792" s="66"/>
      <c r="AB792" s="63"/>
      <c r="AC792" s="63"/>
      <c r="AD792" s="63"/>
      <c r="AE792" s="63"/>
      <c r="AF792" s="63"/>
      <c r="AG792" s="63"/>
      <c r="AH792" s="63" t="str">
        <f t="shared" si="14"/>
        <v/>
      </c>
      <c r="AI792" s="63" t="str">
        <f>if(AH792,_xlfn.workday.intl(int(AH792),0,"1000000",Holidays!A:A)+18/24,"")</f>
        <v/>
      </c>
      <c r="AJ792" s="64" t="str">
        <f t="shared" si="24"/>
        <v/>
      </c>
      <c r="AL792" s="66" t="str">
        <f t="shared" si="9"/>
        <v/>
      </c>
      <c r="AM792" s="66"/>
      <c r="AN792" s="63" t="str">
        <f>if(AJ792,if(and(hour(AJ792+AN$5)&gt;11,(hour(AJ792+AN$5)&lt;20)),AJ792+AN$5,_xlfn.workday.intl(int(AJ792),1,"1000000",Holidays!A:A)+hour(AJ792+AN$5-$B$1)/24+minute(AJ792)/1440),"")</f>
        <v/>
      </c>
      <c r="AO792" s="64" t="str">
        <f t="shared" si="15"/>
        <v/>
      </c>
      <c r="AQ792" s="66" t="str">
        <f t="shared" si="16"/>
        <v/>
      </c>
      <c r="AR792" s="66"/>
      <c r="AS792" s="63" t="str">
        <f>if(AJ792,if(and(hour(AJ792+AS$5)&gt;11,(hour(AJ792+AS$5)&lt;20)),AJ792+AS$5,_xlfn.workday.intl(int(AJ792),1,"1000000",Holidays!A:A)+hour(AJ792+AS$5-$B$1)/24+minute(AJ792)/1440),"")</f>
        <v/>
      </c>
      <c r="AT792" s="64" t="str">
        <f t="shared" si="21"/>
        <v/>
      </c>
      <c r="AV792" s="66" t="str">
        <f t="shared" si="25"/>
        <v/>
      </c>
      <c r="AW792" s="66"/>
      <c r="AX792" s="56"/>
    </row>
    <row r="793">
      <c r="A793" s="55">
        <v>46071.69731023148</v>
      </c>
      <c r="B793" s="56"/>
      <c r="C793" s="57"/>
      <c r="D793" s="57"/>
      <c r="E793" s="57"/>
      <c r="F793" s="57"/>
      <c r="G793" s="58">
        <f>if(A793,_xlfn.workday.intl(int(A793),1,"1000000",Holidays!A:A)+17/24,"")</f>
        <v>46072.70833</v>
      </c>
      <c r="H793" s="59" t="str">
        <f t="shared" si="23"/>
        <v/>
      </c>
      <c r="I793" s="60"/>
      <c r="J793" s="61">
        <f t="shared" si="2"/>
        <v>61.27557656</v>
      </c>
      <c r="K793" s="58">
        <f>if(G793,_xlfn.workday.intl(int(G793),0,"1000000",Holidays!A:A)+19/24,"")</f>
        <v>46072.79167</v>
      </c>
      <c r="L793" s="59" t="str">
        <f t="shared" si="3"/>
        <v/>
      </c>
      <c r="M793" s="60"/>
      <c r="N793" s="61">
        <f t="shared" si="4"/>
        <v>61.19224323</v>
      </c>
      <c r="O793" s="63">
        <f>if(A793,_xlfn.WORKDAY.INTL(A793,O$5,"1000000",Holidays!A:A)+hour(A793)/24+MINUTE(A793)/1440,"")</f>
        <v>46072.69722</v>
      </c>
      <c r="P793" s="64" t="s">
        <v>2718</v>
      </c>
      <c r="R793" s="66">
        <f t="shared" si="5"/>
        <v>61.28668767</v>
      </c>
      <c r="S793" s="66"/>
      <c r="T793" s="66"/>
      <c r="U793" s="64">
        <f>if(O793,_xlfn.WORKDAY.INTL(O793,U$5,"1000000",Holidays!A:A)+hour(O793)/24+MINUTE(O793)/1440,"")</f>
        <v>46073.69722</v>
      </c>
      <c r="V793" s="64" t="str">
        <f t="shared" si="6"/>
        <v/>
      </c>
      <c r="W793" s="66"/>
      <c r="X793" s="66">
        <f t="shared" si="7"/>
        <v>60.28668767</v>
      </c>
      <c r="Y793" s="66"/>
      <c r="Z793" s="66"/>
      <c r="AA793" s="66"/>
      <c r="AB793" s="63"/>
      <c r="AC793" s="63"/>
      <c r="AD793" s="63"/>
      <c r="AE793" s="63"/>
      <c r="AF793" s="63"/>
      <c r="AG793" s="63"/>
      <c r="AH793" s="63" t="str">
        <f t="shared" si="14"/>
        <v/>
      </c>
      <c r="AI793" s="63" t="str">
        <f>if(AH793,_xlfn.workday.intl(int(AH793),0,"1000000",Holidays!A:A)+18/24,"")</f>
        <v/>
      </c>
      <c r="AJ793" s="64" t="str">
        <f t="shared" si="24"/>
        <v/>
      </c>
      <c r="AL793" s="66" t="str">
        <f t="shared" si="9"/>
        <v/>
      </c>
      <c r="AM793" s="66"/>
      <c r="AN793" s="63" t="str">
        <f>if(AJ793,if(and(hour(AJ793+AN$5)&gt;11,(hour(AJ793+AN$5)&lt;20)),AJ793+AN$5,_xlfn.workday.intl(int(AJ793),1,"1000000",Holidays!A:A)+hour(AJ793+AN$5-$B$1)/24+minute(AJ793)/1440),"")</f>
        <v/>
      </c>
      <c r="AO793" s="64" t="str">
        <f t="shared" si="15"/>
        <v/>
      </c>
      <c r="AQ793" s="66" t="str">
        <f t="shared" si="16"/>
        <v/>
      </c>
      <c r="AR793" s="66"/>
      <c r="AS793" s="63" t="str">
        <f>if(AJ793,if(and(hour(AJ793+AS$5)&gt;11,(hour(AJ793+AS$5)&lt;20)),AJ793+AS$5,_xlfn.workday.intl(int(AJ793),1,"1000000",Holidays!A:A)+hour(AJ793+AS$5-$B$1)/24+minute(AJ793)/1440),"")</f>
        <v/>
      </c>
      <c r="AT793" s="64" t="str">
        <f t="shared" si="21"/>
        <v/>
      </c>
      <c r="AV793" s="66" t="str">
        <f t="shared" si="25"/>
        <v/>
      </c>
      <c r="AW793" s="66"/>
      <c r="AX793" s="56"/>
    </row>
    <row r="794">
      <c r="A794" s="55">
        <v>46071.698398831024</v>
      </c>
      <c r="B794" s="56"/>
      <c r="C794" s="57"/>
      <c r="D794" s="57"/>
      <c r="E794" s="57"/>
      <c r="F794" s="57"/>
      <c r="G794" s="58">
        <f>if(A794,_xlfn.workday.intl(int(A794),1,"1000000",Holidays!A:A)+17/24,"")</f>
        <v>46072.70833</v>
      </c>
      <c r="H794" s="59" t="str">
        <f t="shared" si="23"/>
        <v/>
      </c>
      <c r="I794" s="60"/>
      <c r="J794" s="61">
        <f t="shared" si="2"/>
        <v>61.27557656</v>
      </c>
      <c r="K794" s="58">
        <f>if(G794,_xlfn.workday.intl(int(G794),0,"1000000",Holidays!A:A)+19/24,"")</f>
        <v>46072.79167</v>
      </c>
      <c r="L794" s="59" t="str">
        <f t="shared" si="3"/>
        <v/>
      </c>
      <c r="M794" s="60"/>
      <c r="N794" s="61">
        <f t="shared" si="4"/>
        <v>61.19224323</v>
      </c>
      <c r="O794" s="63">
        <f>if(A794,_xlfn.WORKDAY.INTL(A794,O$5,"1000000",Holidays!A:A)+hour(A794)/24+MINUTE(A794)/1440,"")</f>
        <v>46072.69792</v>
      </c>
      <c r="P794" s="64" t="s">
        <v>2718</v>
      </c>
      <c r="R794" s="66">
        <f t="shared" si="5"/>
        <v>61.28599323</v>
      </c>
      <c r="S794" s="66"/>
      <c r="T794" s="66"/>
      <c r="U794" s="64">
        <f>if(O794,_xlfn.WORKDAY.INTL(O794,U$5,"1000000",Holidays!A:A)+hour(O794)/24+MINUTE(O794)/1440,"")</f>
        <v>46073.69792</v>
      </c>
      <c r="V794" s="64" t="str">
        <f t="shared" si="6"/>
        <v/>
      </c>
      <c r="W794" s="66"/>
      <c r="X794" s="66">
        <f t="shared" si="7"/>
        <v>60.28599323</v>
      </c>
      <c r="Y794" s="66"/>
      <c r="Z794" s="66"/>
      <c r="AA794" s="66"/>
      <c r="AB794" s="63"/>
      <c r="AC794" s="63"/>
      <c r="AD794" s="63"/>
      <c r="AE794" s="63"/>
      <c r="AF794" s="63"/>
      <c r="AG794" s="63"/>
      <c r="AH794" s="63" t="str">
        <f t="shared" si="14"/>
        <v/>
      </c>
      <c r="AI794" s="63" t="str">
        <f>if(AH794,_xlfn.workday.intl(int(AH794),0,"1000000",Holidays!A:A)+18/24,"")</f>
        <v/>
      </c>
      <c r="AJ794" s="64" t="str">
        <f t="shared" si="24"/>
        <v/>
      </c>
      <c r="AL794" s="66" t="str">
        <f t="shared" si="9"/>
        <v/>
      </c>
      <c r="AM794" s="66"/>
      <c r="AN794" s="63" t="str">
        <f>if(AJ794,if(and(hour(AJ794+AN$5)&gt;11,(hour(AJ794+AN$5)&lt;20)),AJ794+AN$5,_xlfn.workday.intl(int(AJ794),1,"1000000",Holidays!A:A)+hour(AJ794+AN$5-$B$1)/24+minute(AJ794)/1440),"")</f>
        <v/>
      </c>
      <c r="AO794" s="64" t="str">
        <f t="shared" si="15"/>
        <v/>
      </c>
      <c r="AQ794" s="66" t="str">
        <f t="shared" si="16"/>
        <v/>
      </c>
      <c r="AR794" s="66"/>
      <c r="AS794" s="63" t="str">
        <f>if(AJ794,if(and(hour(AJ794+AS$5)&gt;11,(hour(AJ794+AS$5)&lt;20)),AJ794+AS$5,_xlfn.workday.intl(int(AJ794),1,"1000000",Holidays!A:A)+hour(AJ794+AS$5-$B$1)/24+minute(AJ794)/1440),"")</f>
        <v/>
      </c>
      <c r="AT794" s="64" t="str">
        <f t="shared" si="21"/>
        <v/>
      </c>
      <c r="AV794" s="66" t="str">
        <f t="shared" si="25"/>
        <v/>
      </c>
      <c r="AW794" s="66"/>
      <c r="AX794" s="56"/>
    </row>
    <row r="795">
      <c r="A795" s="55">
        <v>46071.69970346065</v>
      </c>
      <c r="B795" s="56"/>
      <c r="C795" s="57"/>
      <c r="D795" s="57"/>
      <c r="E795" s="57"/>
      <c r="F795" s="57"/>
      <c r="G795" s="58">
        <f>if(A795,_xlfn.workday.intl(int(A795),1,"1000000",Holidays!A:A)+17/24,"")</f>
        <v>46072.70833</v>
      </c>
      <c r="H795" s="59" t="str">
        <f t="shared" si="23"/>
        <v/>
      </c>
      <c r="I795" s="60"/>
      <c r="J795" s="61">
        <f t="shared" si="2"/>
        <v>61.27557656</v>
      </c>
      <c r="K795" s="58">
        <f>if(G795,_xlfn.workday.intl(int(G795),0,"1000000",Holidays!A:A)+19/24,"")</f>
        <v>46072.79167</v>
      </c>
      <c r="L795" s="59" t="str">
        <f t="shared" si="3"/>
        <v/>
      </c>
      <c r="M795" s="60"/>
      <c r="N795" s="61">
        <f t="shared" si="4"/>
        <v>61.19224323</v>
      </c>
      <c r="O795" s="63">
        <f>if(A795,_xlfn.WORKDAY.INTL(A795,O$5,"1000000",Holidays!A:A)+hour(A795)/24+MINUTE(A795)/1440,"")</f>
        <v>46072.69931</v>
      </c>
      <c r="P795" s="64" t="s">
        <v>2718</v>
      </c>
      <c r="R795" s="66">
        <f t="shared" si="5"/>
        <v>61.28460434</v>
      </c>
      <c r="S795" s="66"/>
      <c r="T795" s="66"/>
      <c r="U795" s="64">
        <f>if(O795,_xlfn.WORKDAY.INTL(O795,U$5,"1000000",Holidays!A:A)+hour(O795)/24+MINUTE(O795)/1440,"")</f>
        <v>46073.69931</v>
      </c>
      <c r="V795" s="64" t="str">
        <f t="shared" si="6"/>
        <v/>
      </c>
      <c r="W795" s="66"/>
      <c r="X795" s="66">
        <f t="shared" si="7"/>
        <v>60.28460434</v>
      </c>
      <c r="Y795" s="66"/>
      <c r="Z795" s="66"/>
      <c r="AA795" s="66"/>
      <c r="AB795" s="63"/>
      <c r="AC795" s="63"/>
      <c r="AD795" s="63"/>
      <c r="AE795" s="63"/>
      <c r="AF795" s="63"/>
      <c r="AG795" s="63"/>
      <c r="AH795" s="63" t="str">
        <f t="shared" si="14"/>
        <v/>
      </c>
      <c r="AI795" s="63" t="str">
        <f>if(AH795,_xlfn.workday.intl(int(AH795),0,"1000000",Holidays!A:A)+18/24,"")</f>
        <v/>
      </c>
      <c r="AJ795" s="64" t="str">
        <f t="shared" si="24"/>
        <v/>
      </c>
      <c r="AL795" s="66" t="str">
        <f t="shared" si="9"/>
        <v/>
      </c>
      <c r="AM795" s="66"/>
      <c r="AN795" s="63" t="str">
        <f>if(AJ795,if(and(hour(AJ795+AN$5)&gt;11,(hour(AJ795+AN$5)&lt;20)),AJ795+AN$5,_xlfn.workday.intl(int(AJ795),1,"1000000",Holidays!A:A)+hour(AJ795+AN$5-$B$1)/24+minute(AJ795)/1440),"")</f>
        <v/>
      </c>
      <c r="AO795" s="64" t="str">
        <f t="shared" si="15"/>
        <v/>
      </c>
      <c r="AQ795" s="66" t="str">
        <f t="shared" si="16"/>
        <v/>
      </c>
      <c r="AR795" s="66"/>
      <c r="AS795" s="63" t="str">
        <f>if(AJ795,if(and(hour(AJ795+AS$5)&gt;11,(hour(AJ795+AS$5)&lt;20)),AJ795+AS$5,_xlfn.workday.intl(int(AJ795),1,"1000000",Holidays!A:A)+hour(AJ795+AS$5-$B$1)/24+minute(AJ795)/1440),"")</f>
        <v/>
      </c>
      <c r="AT795" s="64" t="str">
        <f t="shared" si="21"/>
        <v/>
      </c>
      <c r="AV795" s="66" t="str">
        <f t="shared" si="25"/>
        <v/>
      </c>
      <c r="AW795" s="66"/>
      <c r="AX795" s="56"/>
    </row>
    <row r="796">
      <c r="A796" s="55">
        <v>46071.725750937505</v>
      </c>
      <c r="B796" s="56"/>
      <c r="C796" s="57"/>
      <c r="D796" s="57"/>
      <c r="E796" s="57"/>
      <c r="F796" s="57"/>
      <c r="G796" s="58">
        <f>if(A796,_xlfn.workday.intl(int(A796),1,"1000000",Holidays!A:A)+17/24,"")</f>
        <v>46072.70833</v>
      </c>
      <c r="H796" s="59" t="str">
        <f t="shared" si="23"/>
        <v/>
      </c>
      <c r="I796" s="60"/>
      <c r="J796" s="61">
        <f t="shared" si="2"/>
        <v>61.27557656</v>
      </c>
      <c r="K796" s="58">
        <f>if(G796,_xlfn.workday.intl(int(G796),0,"1000000",Holidays!A:A)+19/24,"")</f>
        <v>46072.79167</v>
      </c>
      <c r="L796" s="59" t="str">
        <f t="shared" si="3"/>
        <v/>
      </c>
      <c r="M796" s="60"/>
      <c r="N796" s="61">
        <f t="shared" si="4"/>
        <v>61.19224323</v>
      </c>
      <c r="O796" s="63">
        <f>if(A796,_xlfn.WORKDAY.INTL(A796,O$5,"1000000",Holidays!A:A)+hour(A796)/24+MINUTE(A796)/1440,"")</f>
        <v>46072.72569</v>
      </c>
      <c r="P796" s="64" t="s">
        <v>2718</v>
      </c>
      <c r="R796" s="66">
        <f t="shared" si="5"/>
        <v>61.25821545</v>
      </c>
      <c r="S796" s="66"/>
      <c r="T796" s="66"/>
      <c r="U796" s="64">
        <f>if(O796,_xlfn.WORKDAY.INTL(O796,U$5,"1000000",Holidays!A:A)+hour(O796)/24+MINUTE(O796)/1440,"")</f>
        <v>46073.72569</v>
      </c>
      <c r="V796" s="64" t="str">
        <f t="shared" si="6"/>
        <v/>
      </c>
      <c r="W796" s="66"/>
      <c r="X796" s="66">
        <f t="shared" si="7"/>
        <v>60.25821545</v>
      </c>
      <c r="Y796" s="66"/>
      <c r="Z796" s="66"/>
      <c r="AA796" s="66"/>
      <c r="AB796" s="63"/>
      <c r="AC796" s="63"/>
      <c r="AD796" s="63"/>
      <c r="AE796" s="63"/>
      <c r="AF796" s="63"/>
      <c r="AG796" s="63"/>
      <c r="AH796" s="63" t="str">
        <f t="shared" si="14"/>
        <v/>
      </c>
      <c r="AI796" s="63" t="str">
        <f>if(AH796,_xlfn.workday.intl(int(AH796),0,"1000000",Holidays!A:A)+18/24,"")</f>
        <v/>
      </c>
      <c r="AJ796" s="64" t="str">
        <f t="shared" si="24"/>
        <v/>
      </c>
      <c r="AL796" s="66" t="str">
        <f t="shared" si="9"/>
        <v/>
      </c>
      <c r="AM796" s="66"/>
      <c r="AN796" s="63" t="str">
        <f>if(AJ796,if(and(hour(AJ796+AN$5)&gt;11,(hour(AJ796+AN$5)&lt;20)),AJ796+AN$5,_xlfn.workday.intl(int(AJ796),1,"1000000",Holidays!A:A)+hour(AJ796+AN$5-$B$1)/24+minute(AJ796)/1440),"")</f>
        <v/>
      </c>
      <c r="AO796" s="64" t="str">
        <f t="shared" si="15"/>
        <v/>
      </c>
      <c r="AQ796" s="66" t="str">
        <f t="shared" si="16"/>
        <v/>
      </c>
      <c r="AR796" s="66"/>
      <c r="AS796" s="63" t="str">
        <f>if(AJ796,if(and(hour(AJ796+AS$5)&gt;11,(hour(AJ796+AS$5)&lt;20)),AJ796+AS$5,_xlfn.workday.intl(int(AJ796),1,"1000000",Holidays!A:A)+hour(AJ796+AS$5-$B$1)/24+minute(AJ796)/1440),"")</f>
        <v/>
      </c>
      <c r="AT796" s="64" t="str">
        <f t="shared" si="21"/>
        <v/>
      </c>
      <c r="AV796" s="66" t="str">
        <f t="shared" si="25"/>
        <v/>
      </c>
      <c r="AW796" s="66"/>
      <c r="AX796" s="56"/>
    </row>
    <row r="797">
      <c r="A797" s="55">
        <v>46072.62718079861</v>
      </c>
      <c r="B797" s="56"/>
      <c r="C797" s="57"/>
      <c r="D797" s="57"/>
      <c r="E797" s="57"/>
      <c r="F797" s="57"/>
      <c r="G797" s="58">
        <f>if(A797,_xlfn.workday.intl(int(A797),1,"1000000",Holidays!A:A)+17/24,"")</f>
        <v>46073.70833</v>
      </c>
      <c r="H797" s="59" t="str">
        <f t="shared" si="23"/>
        <v/>
      </c>
      <c r="I797" s="60"/>
      <c r="J797" s="61">
        <f t="shared" si="2"/>
        <v>60.27557656</v>
      </c>
      <c r="K797" s="58">
        <f>if(G797,_xlfn.workday.intl(int(G797),0,"1000000",Holidays!A:A)+19/24,"")</f>
        <v>46073.79167</v>
      </c>
      <c r="L797" s="59" t="str">
        <f t="shared" si="3"/>
        <v/>
      </c>
      <c r="M797" s="60"/>
      <c r="N797" s="61">
        <f t="shared" si="4"/>
        <v>60.19224323</v>
      </c>
      <c r="O797" s="63">
        <f>if(A797,_xlfn.WORKDAY.INTL(A797,O$5,"1000000",Holidays!A:A)+hour(A797)/24+MINUTE(A797)/1440,"")</f>
        <v>46073.62708</v>
      </c>
      <c r="P797" s="64" t="s">
        <v>2718</v>
      </c>
      <c r="R797" s="66">
        <f t="shared" si="5"/>
        <v>60.35682656</v>
      </c>
      <c r="S797" s="66"/>
      <c r="T797" s="66"/>
      <c r="U797" s="64">
        <f>if(O797,_xlfn.WORKDAY.INTL(O797,U$5,"1000000",Holidays!A:A)+hour(O797)/24+MINUTE(O797)/1440,"")</f>
        <v>46074.62708</v>
      </c>
      <c r="V797" s="64" t="str">
        <f t="shared" si="6"/>
        <v/>
      </c>
      <c r="W797" s="66"/>
      <c r="X797" s="66">
        <f t="shared" si="7"/>
        <v>59.35682656</v>
      </c>
      <c r="Y797" s="66"/>
      <c r="Z797" s="66"/>
      <c r="AA797" s="66"/>
      <c r="AB797" s="63"/>
      <c r="AC797" s="63"/>
      <c r="AD797" s="63"/>
      <c r="AE797" s="63"/>
      <c r="AF797" s="63"/>
      <c r="AG797" s="63"/>
      <c r="AH797" s="63" t="str">
        <f t="shared" si="14"/>
        <v/>
      </c>
      <c r="AI797" s="63" t="str">
        <f>if(AH797,_xlfn.workday.intl(int(AH797),0,"1000000",Holidays!A:A)+18/24,"")</f>
        <v/>
      </c>
      <c r="AJ797" s="64" t="str">
        <f t="shared" si="24"/>
        <v/>
      </c>
      <c r="AL797" s="66" t="str">
        <f t="shared" si="9"/>
        <v/>
      </c>
      <c r="AM797" s="66"/>
      <c r="AN797" s="63" t="str">
        <f>if(AJ797,if(and(hour(AJ797+AN$5)&gt;11,(hour(AJ797+AN$5)&lt;20)),AJ797+AN$5,_xlfn.workday.intl(int(AJ797),1,"1000000",Holidays!A:A)+hour(AJ797+AN$5-$B$1)/24+minute(AJ797)/1440),"")</f>
        <v/>
      </c>
      <c r="AO797" s="64" t="str">
        <f t="shared" si="15"/>
        <v/>
      </c>
      <c r="AQ797" s="66" t="str">
        <f t="shared" si="16"/>
        <v/>
      </c>
      <c r="AR797" s="66"/>
      <c r="AS797" s="63" t="str">
        <f>if(AJ797,if(and(hour(AJ797+AS$5)&gt;11,(hour(AJ797+AS$5)&lt;20)),AJ797+AS$5,_xlfn.workday.intl(int(AJ797),1,"1000000",Holidays!A:A)+hour(AJ797+AS$5-$B$1)/24+minute(AJ797)/1440),"")</f>
        <v/>
      </c>
      <c r="AT797" s="64" t="str">
        <f t="shared" si="21"/>
        <v/>
      </c>
      <c r="AV797" s="66" t="str">
        <f t="shared" si="25"/>
        <v/>
      </c>
      <c r="AW797" s="66"/>
      <c r="AX797" s="56"/>
    </row>
    <row r="798">
      <c r="A798" s="55">
        <v>46073.57575837963</v>
      </c>
      <c r="B798" s="56"/>
      <c r="C798" s="57"/>
      <c r="D798" s="57"/>
      <c r="E798" s="57"/>
      <c r="F798" s="57"/>
      <c r="G798" s="58">
        <f>if(A798,_xlfn.workday.intl(int(A798),1,"1000000",Holidays!A:A)+17/24,"")</f>
        <v>46074.70833</v>
      </c>
      <c r="H798" s="59" t="str">
        <f t="shared" si="23"/>
        <v/>
      </c>
      <c r="I798" s="60"/>
      <c r="J798" s="61">
        <f t="shared" si="2"/>
        <v>59.27557656</v>
      </c>
      <c r="K798" s="58">
        <f>if(G798,_xlfn.workday.intl(int(G798),0,"1000000",Holidays!A:A)+19/24,"")</f>
        <v>46074.79167</v>
      </c>
      <c r="L798" s="59" t="str">
        <f t="shared" si="3"/>
        <v/>
      </c>
      <c r="M798" s="60"/>
      <c r="N798" s="61">
        <f t="shared" si="4"/>
        <v>59.19224323</v>
      </c>
      <c r="O798" s="63">
        <f>if(A798,_xlfn.WORKDAY.INTL(A798,O$5,"1000000",Holidays!A:A)+hour(A798)/24+MINUTE(A798)/1440,"")</f>
        <v>46074.57569</v>
      </c>
      <c r="P798" s="64" t="s">
        <v>2718</v>
      </c>
      <c r="R798" s="66">
        <f t="shared" si="5"/>
        <v>59.40821545</v>
      </c>
      <c r="S798" s="66"/>
      <c r="T798" s="66"/>
      <c r="U798" s="64">
        <f>if(O798,_xlfn.WORKDAY.INTL(O798,U$5,"1000000",Holidays!A:A)+hour(O798)/24+MINUTE(O798)/1440,"")</f>
        <v>46075.57569</v>
      </c>
      <c r="V798" s="64" t="str">
        <f t="shared" si="6"/>
        <v/>
      </c>
      <c r="W798" s="66"/>
      <c r="X798" s="66">
        <f t="shared" si="7"/>
        <v>58.40821545</v>
      </c>
      <c r="Y798" s="66"/>
      <c r="Z798" s="66"/>
      <c r="AA798" s="66"/>
      <c r="AB798" s="63"/>
      <c r="AC798" s="63"/>
      <c r="AD798" s="63"/>
      <c r="AE798" s="63"/>
      <c r="AF798" s="63"/>
      <c r="AG798" s="63"/>
      <c r="AH798" s="63" t="str">
        <f t="shared" si="14"/>
        <v/>
      </c>
      <c r="AI798" s="63" t="str">
        <f>if(AH798,_xlfn.workday.intl(int(AH798),0,"1000000",Holidays!A:A)+18/24,"")</f>
        <v/>
      </c>
      <c r="AJ798" s="64" t="str">
        <f t="shared" si="24"/>
        <v/>
      </c>
      <c r="AL798" s="66" t="str">
        <f t="shared" si="9"/>
        <v/>
      </c>
      <c r="AM798" s="66"/>
      <c r="AN798" s="63" t="str">
        <f>if(AJ798,if(and(hour(AJ798+AN$5)&gt;11,(hour(AJ798+AN$5)&lt;20)),AJ798+AN$5,_xlfn.workday.intl(int(AJ798),1,"1000000",Holidays!A:A)+hour(AJ798+AN$5-$B$1)/24+minute(AJ798)/1440),"")</f>
        <v/>
      </c>
      <c r="AO798" s="64" t="str">
        <f t="shared" si="15"/>
        <v/>
      </c>
      <c r="AQ798" s="66" t="str">
        <f t="shared" si="16"/>
        <v/>
      </c>
      <c r="AR798" s="66"/>
      <c r="AS798" s="63" t="str">
        <f>if(AJ798,if(and(hour(AJ798+AS$5)&gt;11,(hour(AJ798+AS$5)&lt;20)),AJ798+AS$5,_xlfn.workday.intl(int(AJ798),1,"1000000",Holidays!A:A)+hour(AJ798+AS$5-$B$1)/24+minute(AJ798)/1440),"")</f>
        <v/>
      </c>
      <c r="AT798" s="64" t="str">
        <f t="shared" si="21"/>
        <v/>
      </c>
      <c r="AV798" s="66" t="str">
        <f t="shared" si="25"/>
        <v/>
      </c>
      <c r="AW798" s="66"/>
      <c r="AX798" s="56"/>
    </row>
    <row r="799">
      <c r="A799" s="55">
        <v>46073.57648481481</v>
      </c>
      <c r="B799" s="56"/>
      <c r="C799" s="57"/>
      <c r="D799" s="57"/>
      <c r="E799" s="57"/>
      <c r="F799" s="57"/>
      <c r="G799" s="58">
        <f>if(A799,_xlfn.workday.intl(int(A799),1,"1000000",Holidays!A:A)+17/24,"")</f>
        <v>46074.70833</v>
      </c>
      <c r="H799" s="59" t="str">
        <f t="shared" si="23"/>
        <v/>
      </c>
      <c r="I799" s="60"/>
      <c r="J799" s="61">
        <f t="shared" si="2"/>
        <v>59.27557656</v>
      </c>
      <c r="K799" s="58">
        <f>if(G799,_xlfn.workday.intl(int(G799),0,"1000000",Holidays!A:A)+19/24,"")</f>
        <v>46074.79167</v>
      </c>
      <c r="L799" s="59" t="str">
        <f t="shared" si="3"/>
        <v/>
      </c>
      <c r="M799" s="60"/>
      <c r="N799" s="61">
        <f t="shared" si="4"/>
        <v>59.19224323</v>
      </c>
      <c r="O799" s="63">
        <f>if(A799,_xlfn.WORKDAY.INTL(A799,O$5,"1000000",Holidays!A:A)+hour(A799)/24+MINUTE(A799)/1440,"")</f>
        <v>46074.57639</v>
      </c>
      <c r="P799" s="64" t="s">
        <v>2718</v>
      </c>
      <c r="R799" s="66">
        <f t="shared" si="5"/>
        <v>59.40752101</v>
      </c>
      <c r="S799" s="66"/>
      <c r="T799" s="66"/>
      <c r="U799" s="64">
        <f>if(O799,_xlfn.WORKDAY.INTL(O799,U$5,"1000000",Holidays!A:A)+hour(O799)/24+MINUTE(O799)/1440,"")</f>
        <v>46075.57639</v>
      </c>
      <c r="V799" s="64" t="str">
        <f t="shared" si="6"/>
        <v/>
      </c>
      <c r="W799" s="66"/>
      <c r="X799" s="66">
        <f t="shared" si="7"/>
        <v>58.40752101</v>
      </c>
      <c r="Y799" s="66"/>
      <c r="Z799" s="66"/>
      <c r="AA799" s="66"/>
      <c r="AB799" s="63"/>
      <c r="AC799" s="63"/>
      <c r="AD799" s="63"/>
      <c r="AE799" s="63"/>
      <c r="AF799" s="63"/>
      <c r="AG799" s="63"/>
      <c r="AH799" s="63" t="str">
        <f t="shared" si="14"/>
        <v/>
      </c>
      <c r="AI799" s="63" t="str">
        <f>if(AH799,_xlfn.workday.intl(int(AH799),0,"1000000",Holidays!A:A)+18/24,"")</f>
        <v/>
      </c>
      <c r="AJ799" s="64" t="str">
        <f t="shared" si="24"/>
        <v/>
      </c>
      <c r="AL799" s="66" t="str">
        <f t="shared" si="9"/>
        <v/>
      </c>
      <c r="AM799" s="66"/>
      <c r="AN799" s="63" t="str">
        <f>if(AJ799,if(and(hour(AJ799+AN$5)&gt;11,(hour(AJ799+AN$5)&lt;20)),AJ799+AN$5,_xlfn.workday.intl(int(AJ799),1,"1000000",Holidays!A:A)+hour(AJ799+AN$5-$B$1)/24+minute(AJ799)/1440),"")</f>
        <v/>
      </c>
      <c r="AO799" s="64" t="str">
        <f t="shared" si="15"/>
        <v/>
      </c>
      <c r="AQ799" s="66" t="str">
        <f t="shared" si="16"/>
        <v/>
      </c>
      <c r="AR799" s="66"/>
      <c r="AS799" s="63" t="str">
        <f>if(AJ799,if(and(hour(AJ799+AS$5)&gt;11,(hour(AJ799+AS$5)&lt;20)),AJ799+AS$5,_xlfn.workday.intl(int(AJ799),1,"1000000",Holidays!A:A)+hour(AJ799+AS$5-$B$1)/24+minute(AJ799)/1440),"")</f>
        <v/>
      </c>
      <c r="AT799" s="64" t="str">
        <f t="shared" si="21"/>
        <v/>
      </c>
      <c r="AV799" s="66" t="str">
        <f t="shared" si="25"/>
        <v/>
      </c>
      <c r="AW799" s="66"/>
      <c r="AX799" s="56"/>
    </row>
    <row r="800">
      <c r="A800" s="55">
        <v>46073.57792833333</v>
      </c>
      <c r="B800" s="56"/>
      <c r="C800" s="57"/>
      <c r="D800" s="57"/>
      <c r="E800" s="57"/>
      <c r="F800" s="57"/>
      <c r="G800" s="58">
        <f>if(A800,_xlfn.workday.intl(int(A800),1,"1000000",Holidays!A:A)+17/24,"")</f>
        <v>46074.70833</v>
      </c>
      <c r="H800" s="59" t="str">
        <f t="shared" si="23"/>
        <v/>
      </c>
      <c r="I800" s="60"/>
      <c r="J800" s="61">
        <f t="shared" si="2"/>
        <v>59.27557656</v>
      </c>
      <c r="K800" s="58">
        <f>if(G800,_xlfn.workday.intl(int(G800),0,"1000000",Holidays!A:A)+19/24,"")</f>
        <v>46074.79167</v>
      </c>
      <c r="L800" s="59" t="str">
        <f t="shared" si="3"/>
        <v/>
      </c>
      <c r="M800" s="60"/>
      <c r="N800" s="61">
        <f t="shared" si="4"/>
        <v>59.19224323</v>
      </c>
      <c r="O800" s="63">
        <f>if(A800,_xlfn.WORKDAY.INTL(A800,O$5,"1000000",Holidays!A:A)+hour(A800)/24+MINUTE(A800)/1440,"")</f>
        <v>46074.57778</v>
      </c>
      <c r="P800" s="64" t="s">
        <v>2718</v>
      </c>
      <c r="R800" s="66">
        <f t="shared" si="5"/>
        <v>59.40613212</v>
      </c>
      <c r="S800" s="66"/>
      <c r="T800" s="66"/>
      <c r="U800" s="64">
        <f>if(O800,_xlfn.WORKDAY.INTL(O800,U$5,"1000000",Holidays!A:A)+hour(O800)/24+MINUTE(O800)/1440,"")</f>
        <v>46075.57778</v>
      </c>
      <c r="V800" s="64" t="str">
        <f t="shared" si="6"/>
        <v/>
      </c>
      <c r="W800" s="66"/>
      <c r="X800" s="66">
        <f t="shared" si="7"/>
        <v>58.40613212</v>
      </c>
      <c r="Y800" s="66"/>
      <c r="Z800" s="66"/>
      <c r="AA800" s="66"/>
      <c r="AB800" s="63"/>
      <c r="AC800" s="63"/>
      <c r="AD800" s="63"/>
      <c r="AE800" s="63"/>
      <c r="AF800" s="63"/>
      <c r="AG800" s="63"/>
      <c r="AH800" s="63" t="str">
        <f t="shared" si="14"/>
        <v/>
      </c>
      <c r="AI800" s="63" t="str">
        <f>if(AH800,_xlfn.workday.intl(int(AH800),0,"1000000",Holidays!A:A)+18/24,"")</f>
        <v/>
      </c>
      <c r="AJ800" s="64" t="str">
        <f t="shared" si="24"/>
        <v/>
      </c>
      <c r="AL800" s="66" t="str">
        <f t="shared" si="9"/>
        <v/>
      </c>
      <c r="AM800" s="66"/>
      <c r="AN800" s="63" t="str">
        <f>if(AJ800,if(and(hour(AJ800+AN$5)&gt;11,(hour(AJ800+AN$5)&lt;20)),AJ800+AN$5,_xlfn.workday.intl(int(AJ800),1,"1000000",Holidays!A:A)+hour(AJ800+AN$5-$B$1)/24+minute(AJ800)/1440),"")</f>
        <v/>
      </c>
      <c r="AO800" s="64" t="str">
        <f t="shared" si="15"/>
        <v/>
      </c>
      <c r="AQ800" s="66" t="str">
        <f t="shared" si="16"/>
        <v/>
      </c>
      <c r="AR800" s="66"/>
      <c r="AS800" s="63" t="str">
        <f>if(AJ800,if(and(hour(AJ800+AS$5)&gt;11,(hour(AJ800+AS$5)&lt;20)),AJ800+AS$5,_xlfn.workday.intl(int(AJ800),1,"1000000",Holidays!A:A)+hour(AJ800+AS$5-$B$1)/24+minute(AJ800)/1440),"")</f>
        <v/>
      </c>
      <c r="AT800" s="64" t="str">
        <f t="shared" si="21"/>
        <v/>
      </c>
      <c r="AV800" s="66" t="str">
        <f t="shared" si="25"/>
        <v/>
      </c>
      <c r="AW800" s="66"/>
      <c r="AX800" s="56"/>
    </row>
    <row r="801">
      <c r="A801" s="55">
        <v>46073.774147013886</v>
      </c>
      <c r="B801" s="56"/>
      <c r="C801" s="57"/>
      <c r="D801" s="57"/>
      <c r="E801" s="57"/>
      <c r="F801" s="57"/>
      <c r="G801" s="58">
        <f>if(A801,_xlfn.workday.intl(int(A801),1,"1000000",Holidays!A:A)+17/24,"")</f>
        <v>46074.70833</v>
      </c>
      <c r="H801" s="59" t="str">
        <f t="shared" si="23"/>
        <v/>
      </c>
      <c r="I801" s="60"/>
      <c r="J801" s="61">
        <f t="shared" si="2"/>
        <v>59.27557656</v>
      </c>
      <c r="K801" s="58">
        <f>if(G801,_xlfn.workday.intl(int(G801),0,"1000000",Holidays!A:A)+19/24,"")</f>
        <v>46074.79167</v>
      </c>
      <c r="L801" s="59" t="str">
        <f t="shared" si="3"/>
        <v/>
      </c>
      <c r="M801" s="60"/>
      <c r="N801" s="61">
        <f t="shared" si="4"/>
        <v>59.19224323</v>
      </c>
      <c r="O801" s="63">
        <f>if(A801,_xlfn.WORKDAY.INTL(A801,O$5,"1000000",Holidays!A:A)+hour(A801)/24+MINUTE(A801)/1440,"")</f>
        <v>46074.77361</v>
      </c>
      <c r="P801" s="64" t="s">
        <v>2718</v>
      </c>
      <c r="R801" s="66">
        <f t="shared" si="5"/>
        <v>59.21029878</v>
      </c>
      <c r="S801" s="66"/>
      <c r="T801" s="66"/>
      <c r="U801" s="64">
        <f>if(O801,_xlfn.WORKDAY.INTL(O801,U$5,"1000000",Holidays!A:A)+hour(O801)/24+MINUTE(O801)/1440,"")</f>
        <v>46075.77361</v>
      </c>
      <c r="V801" s="64" t="str">
        <f t="shared" si="6"/>
        <v/>
      </c>
      <c r="W801" s="66"/>
      <c r="X801" s="66">
        <f t="shared" si="7"/>
        <v>58.21029878</v>
      </c>
      <c r="Y801" s="66"/>
      <c r="Z801" s="66"/>
      <c r="AA801" s="66"/>
      <c r="AB801" s="63"/>
      <c r="AC801" s="63"/>
      <c r="AD801" s="63"/>
      <c r="AE801" s="63"/>
      <c r="AF801" s="63"/>
      <c r="AG801" s="63"/>
      <c r="AH801" s="63" t="str">
        <f t="shared" si="14"/>
        <v/>
      </c>
      <c r="AI801" s="63" t="str">
        <f>if(AH801,_xlfn.workday.intl(int(AH801),0,"1000000",Holidays!A:A)+18/24,"")</f>
        <v/>
      </c>
      <c r="AJ801" s="64" t="str">
        <f t="shared" si="24"/>
        <v/>
      </c>
      <c r="AL801" s="66" t="str">
        <f t="shared" si="9"/>
        <v/>
      </c>
      <c r="AM801" s="66"/>
      <c r="AN801" s="63" t="str">
        <f>if(AJ801,if(and(hour(AJ801+AN$5)&gt;11,(hour(AJ801+AN$5)&lt;20)),AJ801+AN$5,_xlfn.workday.intl(int(AJ801),1,"1000000",Holidays!A:A)+hour(AJ801+AN$5-$B$1)/24+minute(AJ801)/1440),"")</f>
        <v/>
      </c>
      <c r="AO801" s="64" t="str">
        <f t="shared" si="15"/>
        <v/>
      </c>
      <c r="AQ801" s="66" t="str">
        <f t="shared" si="16"/>
        <v/>
      </c>
      <c r="AR801" s="66"/>
      <c r="AS801" s="63" t="str">
        <f>if(AJ801,if(and(hour(AJ801+AS$5)&gt;11,(hour(AJ801+AS$5)&lt;20)),AJ801+AS$5,_xlfn.workday.intl(int(AJ801),1,"1000000",Holidays!A:A)+hour(AJ801+AS$5-$B$1)/24+minute(AJ801)/1440),"")</f>
        <v/>
      </c>
      <c r="AT801" s="64" t="str">
        <f t="shared" si="21"/>
        <v/>
      </c>
      <c r="AV801" s="66" t="str">
        <f t="shared" si="25"/>
        <v/>
      </c>
      <c r="AW801" s="66"/>
      <c r="AX801" s="56"/>
    </row>
    <row r="802">
      <c r="A802" s="55">
        <v>46073.77521769676</v>
      </c>
      <c r="B802" s="56"/>
      <c r="C802" s="57"/>
      <c r="D802" s="57"/>
      <c r="E802" s="57"/>
      <c r="F802" s="57"/>
      <c r="G802" s="58">
        <f>if(A802,_xlfn.workday.intl(int(A802),1,"1000000",Holidays!A:A)+17/24,"")</f>
        <v>46074.70833</v>
      </c>
      <c r="H802" s="59" t="str">
        <f t="shared" si="23"/>
        <v/>
      </c>
      <c r="I802" s="60"/>
      <c r="J802" s="61">
        <f t="shared" si="2"/>
        <v>59.27557656</v>
      </c>
      <c r="K802" s="58">
        <f>if(G802,_xlfn.workday.intl(int(G802),0,"1000000",Holidays!A:A)+19/24,"")</f>
        <v>46074.79167</v>
      </c>
      <c r="L802" s="59" t="str">
        <f t="shared" si="3"/>
        <v/>
      </c>
      <c r="M802" s="60"/>
      <c r="N802" s="61">
        <f t="shared" si="4"/>
        <v>59.19224323</v>
      </c>
      <c r="O802" s="63">
        <f>if(A802,_xlfn.WORKDAY.INTL(A802,O$5,"1000000",Holidays!A:A)+hour(A802)/24+MINUTE(A802)/1440,"")</f>
        <v>46074.775</v>
      </c>
      <c r="P802" s="64" t="s">
        <v>2718</v>
      </c>
      <c r="R802" s="66">
        <f t="shared" si="5"/>
        <v>59.2089099</v>
      </c>
      <c r="S802" s="66"/>
      <c r="T802" s="66"/>
      <c r="U802" s="64">
        <f>if(O802,_xlfn.WORKDAY.INTL(O802,U$5,"1000000",Holidays!A:A)+hour(O802)/24+MINUTE(O802)/1440,"")</f>
        <v>46075.775</v>
      </c>
      <c r="V802" s="64" t="str">
        <f t="shared" si="6"/>
        <v/>
      </c>
      <c r="W802" s="66"/>
      <c r="X802" s="66">
        <f t="shared" si="7"/>
        <v>58.2089099</v>
      </c>
      <c r="Y802" s="66"/>
      <c r="Z802" s="66"/>
      <c r="AA802" s="66"/>
      <c r="AB802" s="63"/>
      <c r="AC802" s="63"/>
      <c r="AD802" s="63"/>
      <c r="AE802" s="63"/>
      <c r="AF802" s="63"/>
      <c r="AG802" s="63"/>
      <c r="AH802" s="63" t="str">
        <f t="shared" si="14"/>
        <v/>
      </c>
      <c r="AI802" s="63" t="str">
        <f>if(AH802,_xlfn.workday.intl(int(AH802),0,"1000000",Holidays!A:A)+18/24,"")</f>
        <v/>
      </c>
      <c r="AJ802" s="64" t="str">
        <f t="shared" si="24"/>
        <v/>
      </c>
      <c r="AL802" s="66" t="str">
        <f t="shared" si="9"/>
        <v/>
      </c>
      <c r="AM802" s="66"/>
      <c r="AN802" s="63" t="str">
        <f>if(AJ802,if(and(hour(AJ802+AN$5)&gt;11,(hour(AJ802+AN$5)&lt;20)),AJ802+AN$5,_xlfn.workday.intl(int(AJ802),1,"1000000",Holidays!A:A)+hour(AJ802+AN$5-$B$1)/24+minute(AJ802)/1440),"")</f>
        <v/>
      </c>
      <c r="AO802" s="64" t="str">
        <f t="shared" si="15"/>
        <v/>
      </c>
      <c r="AQ802" s="66" t="str">
        <f t="shared" si="16"/>
        <v/>
      </c>
      <c r="AR802" s="66"/>
      <c r="AS802" s="63" t="str">
        <f>if(AJ802,if(and(hour(AJ802+AS$5)&gt;11,(hour(AJ802+AS$5)&lt;20)),AJ802+AS$5,_xlfn.workday.intl(int(AJ802),1,"1000000",Holidays!A:A)+hour(AJ802+AS$5-$B$1)/24+minute(AJ802)/1440),"")</f>
        <v/>
      </c>
      <c r="AT802" s="64" t="str">
        <f t="shared" si="21"/>
        <v/>
      </c>
      <c r="AV802" s="66" t="str">
        <f t="shared" si="25"/>
        <v/>
      </c>
      <c r="AW802" s="66"/>
      <c r="AX802" s="56"/>
    </row>
    <row r="803">
      <c r="A803" s="55">
        <v>46073.776224699075</v>
      </c>
      <c r="B803" s="56"/>
      <c r="C803" s="57"/>
      <c r="D803" s="57"/>
      <c r="E803" s="57"/>
      <c r="F803" s="57"/>
      <c r="G803" s="58">
        <f>if(A803,_xlfn.workday.intl(int(A803),1,"1000000",Holidays!A:A)+17/24,"")</f>
        <v>46074.70833</v>
      </c>
      <c r="H803" s="59" t="str">
        <f t="shared" si="23"/>
        <v/>
      </c>
      <c r="I803" s="60"/>
      <c r="J803" s="61">
        <f t="shared" si="2"/>
        <v>59.27557656</v>
      </c>
      <c r="K803" s="58">
        <f>if(G803,_xlfn.workday.intl(int(G803),0,"1000000",Holidays!A:A)+19/24,"")</f>
        <v>46074.79167</v>
      </c>
      <c r="L803" s="59" t="str">
        <f t="shared" si="3"/>
        <v/>
      </c>
      <c r="M803" s="60"/>
      <c r="N803" s="61">
        <f t="shared" si="4"/>
        <v>59.19224323</v>
      </c>
      <c r="O803" s="63">
        <f>if(A803,_xlfn.WORKDAY.INTL(A803,O$5,"1000000",Holidays!A:A)+hour(A803)/24+MINUTE(A803)/1440,"")</f>
        <v>46074.77569</v>
      </c>
      <c r="P803" s="64" t="s">
        <v>2718</v>
      </c>
      <c r="R803" s="66">
        <f t="shared" si="5"/>
        <v>59.20821545</v>
      </c>
      <c r="S803" s="66"/>
      <c r="T803" s="66"/>
      <c r="U803" s="64">
        <f>if(O803,_xlfn.WORKDAY.INTL(O803,U$5,"1000000",Holidays!A:A)+hour(O803)/24+MINUTE(O803)/1440,"")</f>
        <v>46075.77569</v>
      </c>
      <c r="V803" s="64" t="str">
        <f t="shared" si="6"/>
        <v/>
      </c>
      <c r="W803" s="66"/>
      <c r="X803" s="66">
        <f t="shared" si="7"/>
        <v>58.20821545</v>
      </c>
      <c r="Y803" s="66"/>
      <c r="Z803" s="66"/>
      <c r="AA803" s="66"/>
      <c r="AB803" s="63"/>
      <c r="AC803" s="63"/>
      <c r="AD803" s="63"/>
      <c r="AE803" s="63"/>
      <c r="AF803" s="63"/>
      <c r="AG803" s="63"/>
      <c r="AH803" s="63" t="str">
        <f t="shared" si="14"/>
        <v/>
      </c>
      <c r="AI803" s="63" t="str">
        <f>if(AH803,_xlfn.workday.intl(int(AH803),0,"1000000",Holidays!A:A)+18/24,"")</f>
        <v/>
      </c>
      <c r="AJ803" s="64" t="str">
        <f t="shared" si="24"/>
        <v/>
      </c>
      <c r="AL803" s="66" t="str">
        <f t="shared" si="9"/>
        <v/>
      </c>
      <c r="AM803" s="66"/>
      <c r="AN803" s="63" t="str">
        <f>if(AJ803,if(and(hour(AJ803+AN$5)&gt;11,(hour(AJ803+AN$5)&lt;20)),AJ803+AN$5,_xlfn.workday.intl(int(AJ803),1,"1000000",Holidays!A:A)+hour(AJ803+AN$5-$B$1)/24+minute(AJ803)/1440),"")</f>
        <v/>
      </c>
      <c r="AO803" s="64" t="str">
        <f t="shared" si="15"/>
        <v/>
      </c>
      <c r="AQ803" s="66" t="str">
        <f t="shared" si="16"/>
        <v/>
      </c>
      <c r="AR803" s="66"/>
      <c r="AS803" s="63" t="str">
        <f>if(AJ803,if(and(hour(AJ803+AS$5)&gt;11,(hour(AJ803+AS$5)&lt;20)),AJ803+AS$5,_xlfn.workday.intl(int(AJ803),1,"1000000",Holidays!A:A)+hour(AJ803+AS$5-$B$1)/24+minute(AJ803)/1440),"")</f>
        <v/>
      </c>
      <c r="AT803" s="64" t="str">
        <f t="shared" si="21"/>
        <v/>
      </c>
      <c r="AV803" s="66" t="str">
        <f t="shared" si="25"/>
        <v/>
      </c>
      <c r="AW803" s="66"/>
      <c r="AX803" s="56"/>
    </row>
    <row r="804">
      <c r="A804" s="55">
        <v>46073.777313645835</v>
      </c>
      <c r="B804" s="56"/>
      <c r="C804" s="57"/>
      <c r="D804" s="57"/>
      <c r="E804" s="57"/>
      <c r="F804" s="57"/>
      <c r="G804" s="58">
        <f>if(A804,_xlfn.workday.intl(int(A804),1,"1000000",Holidays!A:A)+17/24,"")</f>
        <v>46074.70833</v>
      </c>
      <c r="H804" s="59" t="str">
        <f t="shared" si="23"/>
        <v/>
      </c>
      <c r="I804" s="60"/>
      <c r="J804" s="61">
        <f t="shared" si="2"/>
        <v>59.27557656</v>
      </c>
      <c r="K804" s="58">
        <f>if(G804,_xlfn.workday.intl(int(G804),0,"1000000",Holidays!A:A)+19/24,"")</f>
        <v>46074.79167</v>
      </c>
      <c r="L804" s="59" t="str">
        <f t="shared" si="3"/>
        <v/>
      </c>
      <c r="M804" s="60"/>
      <c r="N804" s="61">
        <f t="shared" si="4"/>
        <v>59.19224323</v>
      </c>
      <c r="O804" s="63">
        <f>if(A804,_xlfn.WORKDAY.INTL(A804,O$5,"1000000",Holidays!A:A)+hour(A804)/24+MINUTE(A804)/1440,"")</f>
        <v>46074.77708</v>
      </c>
      <c r="P804" s="64" t="s">
        <v>2718</v>
      </c>
      <c r="R804" s="66">
        <f t="shared" si="5"/>
        <v>59.20682656</v>
      </c>
      <c r="S804" s="66"/>
      <c r="T804" s="66"/>
      <c r="U804" s="64">
        <f>if(O804,_xlfn.WORKDAY.INTL(O804,U$5,"1000000",Holidays!A:A)+hour(O804)/24+MINUTE(O804)/1440,"")</f>
        <v>46075.77708</v>
      </c>
      <c r="V804" s="64" t="str">
        <f t="shared" si="6"/>
        <v/>
      </c>
      <c r="W804" s="66"/>
      <c r="X804" s="66">
        <f t="shared" si="7"/>
        <v>58.20682656</v>
      </c>
      <c r="Y804" s="66"/>
      <c r="Z804" s="66"/>
      <c r="AA804" s="66"/>
      <c r="AB804" s="63"/>
      <c r="AC804" s="63"/>
      <c r="AD804" s="63"/>
      <c r="AE804" s="63"/>
      <c r="AF804" s="63"/>
      <c r="AG804" s="63"/>
      <c r="AH804" s="63" t="str">
        <f t="shared" si="14"/>
        <v/>
      </c>
      <c r="AI804" s="63" t="str">
        <f>if(AH804,_xlfn.workday.intl(int(AH804),0,"1000000",Holidays!A:A)+18/24,"")</f>
        <v/>
      </c>
      <c r="AJ804" s="64" t="str">
        <f t="shared" si="24"/>
        <v/>
      </c>
      <c r="AL804" s="66" t="str">
        <f t="shared" si="9"/>
        <v/>
      </c>
      <c r="AM804" s="66"/>
      <c r="AN804" s="63" t="str">
        <f>if(AJ804,if(and(hour(AJ804+AN$5)&gt;11,(hour(AJ804+AN$5)&lt;20)),AJ804+AN$5,_xlfn.workday.intl(int(AJ804),1,"1000000",Holidays!A:A)+hour(AJ804+AN$5-$B$1)/24+minute(AJ804)/1440),"")</f>
        <v/>
      </c>
      <c r="AO804" s="64" t="str">
        <f t="shared" si="15"/>
        <v/>
      </c>
      <c r="AQ804" s="66" t="str">
        <f t="shared" si="16"/>
        <v/>
      </c>
      <c r="AR804" s="66"/>
      <c r="AS804" s="63" t="str">
        <f>if(AJ804,if(and(hour(AJ804+AS$5)&gt;11,(hour(AJ804+AS$5)&lt;20)),AJ804+AS$5,_xlfn.workday.intl(int(AJ804),1,"1000000",Holidays!A:A)+hour(AJ804+AS$5-$B$1)/24+minute(AJ804)/1440),"")</f>
        <v/>
      </c>
      <c r="AT804" s="64" t="str">
        <f t="shared" si="21"/>
        <v/>
      </c>
      <c r="AV804" s="66" t="str">
        <f t="shared" si="25"/>
        <v/>
      </c>
      <c r="AW804" s="66"/>
      <c r="AX804" s="56"/>
    </row>
    <row r="805">
      <c r="A805" s="55">
        <v>46073.77790539352</v>
      </c>
      <c r="B805" s="56"/>
      <c r="C805" s="57"/>
      <c r="D805" s="57"/>
      <c r="E805" s="57"/>
      <c r="F805" s="57"/>
      <c r="G805" s="58">
        <f>if(A805,_xlfn.workday.intl(int(A805),1,"1000000",Holidays!A:A)+17/24,"")</f>
        <v>46074.70833</v>
      </c>
      <c r="H805" s="59" t="str">
        <f t="shared" si="23"/>
        <v/>
      </c>
      <c r="I805" s="60"/>
      <c r="J805" s="61">
        <f t="shared" si="2"/>
        <v>59.27557656</v>
      </c>
      <c r="K805" s="58">
        <f>if(G805,_xlfn.workday.intl(int(G805),0,"1000000",Holidays!A:A)+19/24,"")</f>
        <v>46074.79167</v>
      </c>
      <c r="L805" s="59" t="str">
        <f t="shared" si="3"/>
        <v/>
      </c>
      <c r="M805" s="60"/>
      <c r="N805" s="61">
        <f t="shared" si="4"/>
        <v>59.19224323</v>
      </c>
      <c r="O805" s="63">
        <f>if(A805,_xlfn.WORKDAY.INTL(A805,O$5,"1000000",Holidays!A:A)+hour(A805)/24+MINUTE(A805)/1440,"")</f>
        <v>46074.77778</v>
      </c>
      <c r="P805" s="64" t="s">
        <v>2718</v>
      </c>
      <c r="R805" s="66">
        <f t="shared" si="5"/>
        <v>59.20613212</v>
      </c>
      <c r="S805" s="66"/>
      <c r="T805" s="66"/>
      <c r="U805" s="64">
        <f>if(O805,_xlfn.WORKDAY.INTL(O805,U$5,"1000000",Holidays!A:A)+hour(O805)/24+MINUTE(O805)/1440,"")</f>
        <v>46075.77778</v>
      </c>
      <c r="V805" s="64" t="str">
        <f t="shared" si="6"/>
        <v/>
      </c>
      <c r="W805" s="66"/>
      <c r="X805" s="66">
        <f t="shared" si="7"/>
        <v>58.20613212</v>
      </c>
      <c r="Y805" s="66"/>
      <c r="Z805" s="66"/>
      <c r="AA805" s="66"/>
      <c r="AB805" s="63"/>
      <c r="AC805" s="63"/>
      <c r="AD805" s="63"/>
      <c r="AE805" s="63"/>
      <c r="AF805" s="63"/>
      <c r="AG805" s="63"/>
      <c r="AH805" s="63" t="str">
        <f t="shared" si="14"/>
        <v/>
      </c>
      <c r="AI805" s="63" t="str">
        <f>if(AH805,_xlfn.workday.intl(int(AH805),0,"1000000",Holidays!A:A)+18/24,"")</f>
        <v/>
      </c>
      <c r="AJ805" s="64" t="str">
        <f t="shared" si="24"/>
        <v/>
      </c>
      <c r="AL805" s="66" t="str">
        <f t="shared" si="9"/>
        <v/>
      </c>
      <c r="AM805" s="66"/>
      <c r="AN805" s="63" t="str">
        <f>if(AJ805,if(and(hour(AJ805+AN$5)&gt;11,(hour(AJ805+AN$5)&lt;20)),AJ805+AN$5,_xlfn.workday.intl(int(AJ805),1,"1000000",Holidays!A:A)+hour(AJ805+AN$5-$B$1)/24+minute(AJ805)/1440),"")</f>
        <v/>
      </c>
      <c r="AO805" s="64" t="str">
        <f t="shared" si="15"/>
        <v/>
      </c>
      <c r="AQ805" s="66" t="str">
        <f t="shared" si="16"/>
        <v/>
      </c>
      <c r="AR805" s="66"/>
      <c r="AS805" s="63" t="str">
        <f>if(AJ805,if(and(hour(AJ805+AS$5)&gt;11,(hour(AJ805+AS$5)&lt;20)),AJ805+AS$5,_xlfn.workday.intl(int(AJ805),1,"1000000",Holidays!A:A)+hour(AJ805+AS$5-$B$1)/24+minute(AJ805)/1440),"")</f>
        <v/>
      </c>
      <c r="AT805" s="64" t="str">
        <f t="shared" si="21"/>
        <v/>
      </c>
      <c r="AV805" s="66" t="str">
        <f t="shared" si="25"/>
        <v/>
      </c>
      <c r="AW805" s="66"/>
      <c r="AX805" s="56"/>
    </row>
    <row r="806">
      <c r="A806" s="55">
        <v>46074.75605697917</v>
      </c>
      <c r="B806" s="56"/>
      <c r="C806" s="57"/>
      <c r="D806" s="57"/>
      <c r="E806" s="57"/>
      <c r="F806" s="57"/>
      <c r="G806" s="58">
        <f>if(A806,_xlfn.workday.intl(int(A806),1,"1000000",Holidays!A:A)+17/24,"")</f>
        <v>46075.70833</v>
      </c>
      <c r="H806" s="59" t="str">
        <f t="shared" si="23"/>
        <v/>
      </c>
      <c r="I806" s="60"/>
      <c r="J806" s="61">
        <f t="shared" si="2"/>
        <v>58.27557656</v>
      </c>
      <c r="K806" s="58">
        <f>if(G806,_xlfn.workday.intl(int(G806),0,"1000000",Holidays!A:A)+19/24,"")</f>
        <v>46075.79167</v>
      </c>
      <c r="L806" s="59" t="str">
        <f t="shared" si="3"/>
        <v/>
      </c>
      <c r="M806" s="60"/>
      <c r="N806" s="61">
        <f t="shared" si="4"/>
        <v>58.19224323</v>
      </c>
      <c r="O806" s="63">
        <f>if(A806,_xlfn.WORKDAY.INTL(A806,O$5,"1000000",Holidays!A:A)+hour(A806)/24+MINUTE(A806)/1440,"")</f>
        <v>46075.75556</v>
      </c>
      <c r="P806" s="64" t="s">
        <v>2718</v>
      </c>
      <c r="R806" s="66">
        <f t="shared" si="5"/>
        <v>58.22835434</v>
      </c>
      <c r="S806" s="66"/>
      <c r="T806" s="66"/>
      <c r="U806" s="64">
        <f>if(O806,_xlfn.WORKDAY.INTL(O806,U$5,"1000000",Holidays!A:A)+hour(O806)/24+MINUTE(O806)/1440,"")</f>
        <v>46077.75556</v>
      </c>
      <c r="V806" s="64" t="str">
        <f t="shared" si="6"/>
        <v/>
      </c>
      <c r="W806" s="66"/>
      <c r="X806" s="66">
        <f t="shared" si="7"/>
        <v>56.22835434</v>
      </c>
      <c r="Y806" s="66"/>
      <c r="Z806" s="66"/>
      <c r="AA806" s="66"/>
      <c r="AB806" s="63"/>
      <c r="AC806" s="63"/>
      <c r="AD806" s="63"/>
      <c r="AE806" s="63"/>
      <c r="AF806" s="63"/>
      <c r="AG806" s="63"/>
      <c r="AH806" s="63" t="str">
        <f t="shared" si="14"/>
        <v/>
      </c>
      <c r="AI806" s="63" t="str">
        <f>if(AH806,_xlfn.workday.intl(int(AH806),0,"1000000",Holidays!A:A)+18/24,"")</f>
        <v/>
      </c>
      <c r="AJ806" s="64" t="str">
        <f t="shared" si="24"/>
        <v/>
      </c>
      <c r="AL806" s="66" t="str">
        <f t="shared" si="9"/>
        <v/>
      </c>
      <c r="AM806" s="66"/>
      <c r="AN806" s="63" t="str">
        <f>if(AJ806,if(and(hour(AJ806+AN$5)&gt;11,(hour(AJ806+AN$5)&lt;20)),AJ806+AN$5,_xlfn.workday.intl(int(AJ806),1,"1000000",Holidays!A:A)+hour(AJ806+AN$5-$B$1)/24+minute(AJ806)/1440),"")</f>
        <v/>
      </c>
      <c r="AO806" s="64" t="str">
        <f t="shared" si="15"/>
        <v/>
      </c>
      <c r="AQ806" s="66" t="str">
        <f t="shared" si="16"/>
        <v/>
      </c>
      <c r="AR806" s="66"/>
      <c r="AS806" s="63" t="str">
        <f>if(AJ806,if(and(hour(AJ806+AS$5)&gt;11,(hour(AJ806+AS$5)&lt;20)),AJ806+AS$5,_xlfn.workday.intl(int(AJ806),1,"1000000",Holidays!A:A)+hour(AJ806+AS$5-$B$1)/24+minute(AJ806)/1440),"")</f>
        <v/>
      </c>
      <c r="AT806" s="64" t="str">
        <f t="shared" si="21"/>
        <v/>
      </c>
      <c r="AV806" s="66" t="str">
        <f t="shared" si="25"/>
        <v/>
      </c>
      <c r="AW806" s="66"/>
      <c r="AX806" s="56"/>
    </row>
    <row r="807">
      <c r="A807" s="55">
        <v>46074.75696460648</v>
      </c>
      <c r="B807" s="56"/>
      <c r="C807" s="57"/>
      <c r="D807" s="57"/>
      <c r="E807" s="57"/>
      <c r="F807" s="57"/>
      <c r="G807" s="58">
        <f>if(A807,_xlfn.workday.intl(int(A807),1,"1000000",Holidays!A:A)+17/24,"")</f>
        <v>46075.70833</v>
      </c>
      <c r="H807" s="59" t="str">
        <f t="shared" si="23"/>
        <v/>
      </c>
      <c r="I807" s="60"/>
      <c r="J807" s="61">
        <f t="shared" si="2"/>
        <v>58.27557656</v>
      </c>
      <c r="K807" s="58">
        <f>if(G807,_xlfn.workday.intl(int(G807),0,"1000000",Holidays!A:A)+19/24,"")</f>
        <v>46075.79167</v>
      </c>
      <c r="L807" s="59" t="str">
        <f t="shared" si="3"/>
        <v/>
      </c>
      <c r="M807" s="60"/>
      <c r="N807" s="61">
        <f t="shared" si="4"/>
        <v>58.19224323</v>
      </c>
      <c r="O807" s="63">
        <f>if(A807,_xlfn.WORKDAY.INTL(A807,O$5,"1000000",Holidays!A:A)+hour(A807)/24+MINUTE(A807)/1440,"")</f>
        <v>46075.75694</v>
      </c>
      <c r="P807" s="64" t="s">
        <v>2718</v>
      </c>
      <c r="R807" s="66">
        <f t="shared" si="5"/>
        <v>58.22696545</v>
      </c>
      <c r="S807" s="66"/>
      <c r="T807" s="66"/>
      <c r="U807" s="64">
        <f>if(O807,_xlfn.WORKDAY.INTL(O807,U$5,"1000000",Holidays!A:A)+hour(O807)/24+MINUTE(O807)/1440,"")</f>
        <v>46077.75694</v>
      </c>
      <c r="V807" s="64" t="str">
        <f t="shared" si="6"/>
        <v/>
      </c>
      <c r="W807" s="66"/>
      <c r="X807" s="66">
        <f t="shared" si="7"/>
        <v>56.22696545</v>
      </c>
      <c r="Y807" s="66"/>
      <c r="Z807" s="66"/>
      <c r="AA807" s="66"/>
      <c r="AB807" s="63"/>
      <c r="AC807" s="63"/>
      <c r="AD807" s="63"/>
      <c r="AE807" s="63"/>
      <c r="AF807" s="63"/>
      <c r="AG807" s="63"/>
      <c r="AH807" s="63" t="str">
        <f t="shared" si="14"/>
        <v/>
      </c>
      <c r="AI807" s="63" t="str">
        <f>if(AH807,_xlfn.workday.intl(int(AH807),0,"1000000",Holidays!A:A)+18/24,"")</f>
        <v/>
      </c>
      <c r="AJ807" s="64" t="str">
        <f t="shared" si="24"/>
        <v/>
      </c>
      <c r="AL807" s="66" t="str">
        <f t="shared" si="9"/>
        <v/>
      </c>
      <c r="AM807" s="66"/>
      <c r="AN807" s="63" t="str">
        <f>if(AJ807,if(and(hour(AJ807+AN$5)&gt;11,(hour(AJ807+AN$5)&lt;20)),AJ807+AN$5,_xlfn.workday.intl(int(AJ807),1,"1000000",Holidays!A:A)+hour(AJ807+AN$5-$B$1)/24+minute(AJ807)/1440),"")</f>
        <v/>
      </c>
      <c r="AO807" s="64" t="str">
        <f t="shared" si="15"/>
        <v/>
      </c>
      <c r="AQ807" s="66" t="str">
        <f t="shared" si="16"/>
        <v/>
      </c>
      <c r="AR807" s="66"/>
      <c r="AS807" s="63" t="str">
        <f>if(AJ807,if(and(hour(AJ807+AS$5)&gt;11,(hour(AJ807+AS$5)&lt;20)),AJ807+AS$5,_xlfn.workday.intl(int(AJ807),1,"1000000",Holidays!A:A)+hour(AJ807+AS$5-$B$1)/24+minute(AJ807)/1440),"")</f>
        <v/>
      </c>
      <c r="AT807" s="64" t="str">
        <f t="shared" si="21"/>
        <v/>
      </c>
      <c r="AV807" s="66" t="str">
        <f t="shared" si="25"/>
        <v/>
      </c>
      <c r="AW807" s="66"/>
      <c r="AX807" s="56"/>
    </row>
    <row r="808">
      <c r="A808" s="55">
        <v>46077.67712719907</v>
      </c>
      <c r="B808" s="56"/>
      <c r="C808" s="57"/>
      <c r="D808" s="57"/>
      <c r="E808" s="57"/>
      <c r="F808" s="57"/>
      <c r="G808" s="58">
        <f>if(A808,_xlfn.workday.intl(int(A808),1,"1000000",Holidays!A:A)+17/24,"")</f>
        <v>46078.70833</v>
      </c>
      <c r="H808" s="59" t="str">
        <f t="shared" si="23"/>
        <v/>
      </c>
      <c r="I808" s="60"/>
      <c r="J808" s="61">
        <f t="shared" si="2"/>
        <v>55.27557656</v>
      </c>
      <c r="K808" s="58">
        <f>if(G808,_xlfn.workday.intl(int(G808),0,"1000000",Holidays!A:A)+19/24,"")</f>
        <v>46078.79167</v>
      </c>
      <c r="L808" s="59" t="str">
        <f t="shared" si="3"/>
        <v/>
      </c>
      <c r="M808" s="60"/>
      <c r="N808" s="61">
        <f t="shared" si="4"/>
        <v>55.19224323</v>
      </c>
      <c r="O808" s="63">
        <f>if(A808,_xlfn.WORKDAY.INTL(A808,O$5,"1000000",Holidays!A:A)+hour(A808)/24+MINUTE(A808)/1440,"")</f>
        <v>46078.67708</v>
      </c>
      <c r="P808" s="64" t="s">
        <v>2718</v>
      </c>
      <c r="R808" s="66">
        <f t="shared" si="5"/>
        <v>55.30682656</v>
      </c>
      <c r="S808" s="66"/>
      <c r="T808" s="66"/>
      <c r="U808" s="64">
        <f>if(O808,_xlfn.WORKDAY.INTL(O808,U$5,"1000000",Holidays!A:A)+hour(O808)/24+MINUTE(O808)/1440,"")</f>
        <v>46079.67708</v>
      </c>
      <c r="V808" s="64" t="str">
        <f t="shared" si="6"/>
        <v/>
      </c>
      <c r="W808" s="66"/>
      <c r="X808" s="66">
        <f t="shared" si="7"/>
        <v>54.30682656</v>
      </c>
      <c r="Y808" s="66"/>
      <c r="Z808" s="66"/>
      <c r="AA808" s="66"/>
      <c r="AB808" s="63"/>
      <c r="AC808" s="63"/>
      <c r="AD808" s="63"/>
      <c r="AE808" s="63"/>
      <c r="AF808" s="63"/>
      <c r="AG808" s="63"/>
      <c r="AH808" s="63" t="str">
        <f t="shared" si="14"/>
        <v/>
      </c>
      <c r="AI808" s="63" t="str">
        <f>if(AH808,_xlfn.workday.intl(int(AH808),0,"1000000",Holidays!A:A)+18/24,"")</f>
        <v/>
      </c>
      <c r="AJ808" s="64" t="str">
        <f t="shared" si="24"/>
        <v/>
      </c>
      <c r="AL808" s="66" t="str">
        <f t="shared" si="9"/>
        <v/>
      </c>
      <c r="AM808" s="66"/>
      <c r="AN808" s="63" t="str">
        <f>if(AJ808,if(and(hour(AJ808+AN$5)&gt;11,(hour(AJ808+AN$5)&lt;20)),AJ808+AN$5,_xlfn.workday.intl(int(AJ808),1,"1000000",Holidays!A:A)+hour(AJ808+AN$5-$B$1)/24+minute(AJ808)/1440),"")</f>
        <v/>
      </c>
      <c r="AO808" s="64" t="str">
        <f t="shared" si="15"/>
        <v/>
      </c>
      <c r="AQ808" s="66" t="str">
        <f t="shared" si="16"/>
        <v/>
      </c>
      <c r="AR808" s="66"/>
      <c r="AS808" s="63" t="str">
        <f>if(AJ808,if(and(hour(AJ808+AS$5)&gt;11,(hour(AJ808+AS$5)&lt;20)),AJ808+AS$5,_xlfn.workday.intl(int(AJ808),1,"1000000",Holidays!A:A)+hour(AJ808+AS$5-$B$1)/24+minute(AJ808)/1440),"")</f>
        <v/>
      </c>
      <c r="AT808" s="64" t="str">
        <f t="shared" si="21"/>
        <v/>
      </c>
      <c r="AV808" s="66" t="str">
        <f t="shared" si="25"/>
        <v/>
      </c>
      <c r="AW808" s="66"/>
      <c r="AX808" s="56"/>
    </row>
    <row r="809">
      <c r="A809" s="55">
        <v>46077.67798118056</v>
      </c>
      <c r="B809" s="56"/>
      <c r="C809" s="57"/>
      <c r="D809" s="57"/>
      <c r="E809" s="57"/>
      <c r="F809" s="57"/>
      <c r="G809" s="58">
        <f>if(A809,_xlfn.workday.intl(int(A809),1,"1000000",Holidays!A:A)+17/24,"")</f>
        <v>46078.70833</v>
      </c>
      <c r="H809" s="59" t="str">
        <f t="shared" si="23"/>
        <v/>
      </c>
      <c r="I809" s="60"/>
      <c r="J809" s="61">
        <f t="shared" si="2"/>
        <v>55.27557656</v>
      </c>
      <c r="K809" s="58">
        <f>if(G809,_xlfn.workday.intl(int(G809),0,"1000000",Holidays!A:A)+19/24,"")</f>
        <v>46078.79167</v>
      </c>
      <c r="L809" s="59" t="str">
        <f t="shared" si="3"/>
        <v/>
      </c>
      <c r="M809" s="60"/>
      <c r="N809" s="61">
        <f t="shared" si="4"/>
        <v>55.19224323</v>
      </c>
      <c r="O809" s="63">
        <f>if(A809,_xlfn.WORKDAY.INTL(A809,O$5,"1000000",Holidays!A:A)+hour(A809)/24+MINUTE(A809)/1440,"")</f>
        <v>46078.67778</v>
      </c>
      <c r="P809" s="64" t="s">
        <v>2718</v>
      </c>
      <c r="R809" s="66">
        <f t="shared" si="5"/>
        <v>55.30613212</v>
      </c>
      <c r="S809" s="66"/>
      <c r="T809" s="66"/>
      <c r="U809" s="64">
        <f>if(O809,_xlfn.WORKDAY.INTL(O809,U$5,"1000000",Holidays!A:A)+hour(O809)/24+MINUTE(O809)/1440,"")</f>
        <v>46079.67778</v>
      </c>
      <c r="V809" s="64" t="str">
        <f t="shared" si="6"/>
        <v/>
      </c>
      <c r="W809" s="66"/>
      <c r="X809" s="66">
        <f t="shared" si="7"/>
        <v>54.30613212</v>
      </c>
      <c r="Y809" s="66"/>
      <c r="Z809" s="66"/>
      <c r="AA809" s="66"/>
      <c r="AB809" s="63"/>
      <c r="AC809" s="63"/>
      <c r="AD809" s="63"/>
      <c r="AE809" s="63"/>
      <c r="AF809" s="63"/>
      <c r="AG809" s="63"/>
      <c r="AH809" s="63" t="str">
        <f t="shared" si="14"/>
        <v/>
      </c>
      <c r="AI809" s="63" t="str">
        <f>if(AH809,_xlfn.workday.intl(int(AH809),0,"1000000",Holidays!A:A)+18/24,"")</f>
        <v/>
      </c>
      <c r="AJ809" s="64" t="str">
        <f t="shared" si="24"/>
        <v/>
      </c>
      <c r="AL809" s="66" t="str">
        <f t="shared" si="9"/>
        <v/>
      </c>
      <c r="AM809" s="66"/>
      <c r="AN809" s="63" t="str">
        <f>if(AJ809,if(and(hour(AJ809+AN$5)&gt;11,(hour(AJ809+AN$5)&lt;20)),AJ809+AN$5,_xlfn.workday.intl(int(AJ809),1,"1000000",Holidays!A:A)+hour(AJ809+AN$5-$B$1)/24+minute(AJ809)/1440),"")</f>
        <v/>
      </c>
      <c r="AO809" s="64" t="str">
        <f t="shared" si="15"/>
        <v/>
      </c>
      <c r="AQ809" s="66" t="str">
        <f t="shared" si="16"/>
        <v/>
      </c>
      <c r="AR809" s="66"/>
      <c r="AS809" s="63" t="str">
        <f>if(AJ809,if(and(hour(AJ809+AS$5)&gt;11,(hour(AJ809+AS$5)&lt;20)),AJ809+AS$5,_xlfn.workday.intl(int(AJ809),1,"1000000",Holidays!A:A)+hour(AJ809+AS$5-$B$1)/24+minute(AJ809)/1440),"")</f>
        <v/>
      </c>
      <c r="AT809" s="64" t="str">
        <f t="shared" si="21"/>
        <v/>
      </c>
      <c r="AV809" s="66" t="str">
        <f t="shared" si="25"/>
        <v/>
      </c>
      <c r="AW809" s="66"/>
      <c r="AX809" s="56"/>
    </row>
    <row r="810">
      <c r="A810" s="55">
        <v>46077.679128703705</v>
      </c>
      <c r="B810" s="56"/>
      <c r="C810" s="57"/>
      <c r="D810" s="57"/>
      <c r="E810" s="57"/>
      <c r="F810" s="57"/>
      <c r="G810" s="58">
        <f>if(A810,_xlfn.workday.intl(int(A810),1,"1000000",Holidays!A:A)+17/24,"")</f>
        <v>46078.70833</v>
      </c>
      <c r="H810" s="59" t="str">
        <f t="shared" si="23"/>
        <v/>
      </c>
      <c r="I810" s="60"/>
      <c r="J810" s="61">
        <f t="shared" si="2"/>
        <v>55.27557656</v>
      </c>
      <c r="K810" s="58">
        <f>if(G810,_xlfn.workday.intl(int(G810),0,"1000000",Holidays!A:A)+19/24,"")</f>
        <v>46078.79167</v>
      </c>
      <c r="L810" s="59" t="str">
        <f t="shared" si="3"/>
        <v/>
      </c>
      <c r="M810" s="60"/>
      <c r="N810" s="61">
        <f t="shared" si="4"/>
        <v>55.19224323</v>
      </c>
      <c r="O810" s="63">
        <f>if(A810,_xlfn.WORKDAY.INTL(A810,O$5,"1000000",Holidays!A:A)+hour(A810)/24+MINUTE(A810)/1440,"")</f>
        <v>46078.67847</v>
      </c>
      <c r="P810" s="64" t="s">
        <v>2718</v>
      </c>
      <c r="R810" s="66">
        <f t="shared" si="5"/>
        <v>55.30543767</v>
      </c>
      <c r="S810" s="66"/>
      <c r="T810" s="66"/>
      <c r="U810" s="64">
        <f>if(O810,_xlfn.WORKDAY.INTL(O810,U$5,"1000000",Holidays!A:A)+hour(O810)/24+MINUTE(O810)/1440,"")</f>
        <v>46079.67847</v>
      </c>
      <c r="V810" s="64" t="str">
        <f t="shared" si="6"/>
        <v/>
      </c>
      <c r="W810" s="66"/>
      <c r="X810" s="66">
        <f t="shared" si="7"/>
        <v>54.30543767</v>
      </c>
      <c r="Y810" s="66"/>
      <c r="Z810" s="66"/>
      <c r="AA810" s="66"/>
      <c r="AB810" s="63"/>
      <c r="AC810" s="63"/>
      <c r="AD810" s="63"/>
      <c r="AE810" s="63"/>
      <c r="AF810" s="63"/>
      <c r="AG810" s="63"/>
      <c r="AH810" s="63" t="str">
        <f t="shared" si="14"/>
        <v/>
      </c>
      <c r="AI810" s="63" t="str">
        <f>if(AH810,_xlfn.workday.intl(int(AH810),0,"1000000",Holidays!A:A)+18/24,"")</f>
        <v/>
      </c>
      <c r="AJ810" s="64" t="str">
        <f t="shared" si="24"/>
        <v/>
      </c>
      <c r="AL810" s="66" t="str">
        <f t="shared" si="9"/>
        <v/>
      </c>
      <c r="AM810" s="66"/>
      <c r="AN810" s="63" t="str">
        <f>if(AJ810,if(and(hour(AJ810+AN$5)&gt;11,(hour(AJ810+AN$5)&lt;20)),AJ810+AN$5,_xlfn.workday.intl(int(AJ810),1,"1000000",Holidays!A:A)+hour(AJ810+AN$5-$B$1)/24+minute(AJ810)/1440),"")</f>
        <v/>
      </c>
      <c r="AO810" s="64" t="str">
        <f t="shared" si="15"/>
        <v/>
      </c>
      <c r="AQ810" s="66" t="str">
        <f t="shared" si="16"/>
        <v/>
      </c>
      <c r="AR810" s="66"/>
      <c r="AS810" s="63" t="str">
        <f>if(AJ810,if(and(hour(AJ810+AS$5)&gt;11,(hour(AJ810+AS$5)&lt;20)),AJ810+AS$5,_xlfn.workday.intl(int(AJ810),1,"1000000",Holidays!A:A)+hour(AJ810+AS$5-$B$1)/24+minute(AJ810)/1440),"")</f>
        <v/>
      </c>
      <c r="AT810" s="64" t="str">
        <f t="shared" si="21"/>
        <v/>
      </c>
      <c r="AV810" s="66" t="str">
        <f t="shared" si="25"/>
        <v/>
      </c>
      <c r="AW810" s="66"/>
      <c r="AX810" s="56"/>
    </row>
    <row r="811">
      <c r="A811" s="55">
        <v>46077.70127006945</v>
      </c>
      <c r="B811" s="56"/>
      <c r="C811" s="57"/>
      <c r="D811" s="57"/>
      <c r="E811" s="57"/>
      <c r="F811" s="57"/>
      <c r="G811" s="58">
        <f>if(A811,_xlfn.workday.intl(int(A811),1,"1000000",Holidays!A:A)+17/24,"")</f>
        <v>46078.70833</v>
      </c>
      <c r="H811" s="59" t="str">
        <f t="shared" si="23"/>
        <v/>
      </c>
      <c r="I811" s="60"/>
      <c r="J811" s="61">
        <f t="shared" si="2"/>
        <v>55.27557656</v>
      </c>
      <c r="K811" s="58">
        <f>if(G811,_xlfn.workday.intl(int(G811),0,"1000000",Holidays!A:A)+19/24,"")</f>
        <v>46078.79167</v>
      </c>
      <c r="L811" s="59" t="str">
        <f t="shared" si="3"/>
        <v/>
      </c>
      <c r="M811" s="60"/>
      <c r="N811" s="61">
        <f t="shared" si="4"/>
        <v>55.19224323</v>
      </c>
      <c r="O811" s="63">
        <f>if(A811,_xlfn.WORKDAY.INTL(A811,O$5,"1000000",Holidays!A:A)+hour(A811)/24+MINUTE(A811)/1440,"")</f>
        <v>46078.70069</v>
      </c>
      <c r="P811" s="64" t="s">
        <v>2718</v>
      </c>
      <c r="R811" s="66">
        <f t="shared" si="5"/>
        <v>55.28321545</v>
      </c>
      <c r="S811" s="66"/>
      <c r="T811" s="66"/>
      <c r="U811" s="64">
        <f>if(O811,_xlfn.WORKDAY.INTL(O811,U$5,"1000000",Holidays!A:A)+hour(O811)/24+MINUTE(O811)/1440,"")</f>
        <v>46079.70069</v>
      </c>
      <c r="V811" s="64" t="str">
        <f t="shared" si="6"/>
        <v/>
      </c>
      <c r="W811" s="66"/>
      <c r="X811" s="66">
        <f t="shared" si="7"/>
        <v>54.28321545</v>
      </c>
      <c r="Y811" s="66"/>
      <c r="Z811" s="66"/>
      <c r="AA811" s="66"/>
      <c r="AB811" s="63"/>
      <c r="AC811" s="63"/>
      <c r="AD811" s="63"/>
      <c r="AE811" s="63"/>
      <c r="AF811" s="63"/>
      <c r="AG811" s="63"/>
      <c r="AH811" s="63" t="str">
        <f t="shared" si="14"/>
        <v/>
      </c>
      <c r="AI811" s="63" t="str">
        <f>if(AH811,_xlfn.workday.intl(int(AH811),0,"1000000",Holidays!A:A)+18/24,"")</f>
        <v/>
      </c>
      <c r="AJ811" s="64" t="str">
        <f t="shared" si="24"/>
        <v/>
      </c>
      <c r="AL811" s="66" t="str">
        <f t="shared" si="9"/>
        <v/>
      </c>
      <c r="AM811" s="66"/>
      <c r="AN811" s="63" t="str">
        <f>if(AJ811,if(and(hour(AJ811+AN$5)&gt;11,(hour(AJ811+AN$5)&lt;20)),AJ811+AN$5,_xlfn.workday.intl(int(AJ811),1,"1000000",Holidays!A:A)+hour(AJ811+AN$5-$B$1)/24+minute(AJ811)/1440),"")</f>
        <v/>
      </c>
      <c r="AO811" s="64" t="str">
        <f t="shared" si="15"/>
        <v/>
      </c>
      <c r="AQ811" s="66" t="str">
        <f t="shared" si="16"/>
        <v/>
      </c>
      <c r="AR811" s="66"/>
      <c r="AS811" s="63" t="str">
        <f>if(AJ811,if(and(hour(AJ811+AS$5)&gt;11,(hour(AJ811+AS$5)&lt;20)),AJ811+AS$5,_xlfn.workday.intl(int(AJ811),1,"1000000",Holidays!A:A)+hour(AJ811+AS$5-$B$1)/24+minute(AJ811)/1440),"")</f>
        <v/>
      </c>
      <c r="AT811" s="64" t="str">
        <f t="shared" si="21"/>
        <v/>
      </c>
      <c r="AV811" s="66" t="str">
        <f t="shared" si="25"/>
        <v/>
      </c>
      <c r="AW811" s="66"/>
      <c r="AX811" s="56"/>
    </row>
    <row r="812">
      <c r="A812" s="55">
        <v>46077.70210005787</v>
      </c>
      <c r="B812" s="56"/>
      <c r="C812" s="57"/>
      <c r="D812" s="57"/>
      <c r="E812" s="57"/>
      <c r="F812" s="57"/>
      <c r="G812" s="58">
        <f>if(A812,_xlfn.workday.intl(int(A812),1,"1000000",Holidays!A:A)+17/24,"")</f>
        <v>46078.70833</v>
      </c>
      <c r="H812" s="59" t="str">
        <f t="shared" si="23"/>
        <v/>
      </c>
      <c r="I812" s="60"/>
      <c r="J812" s="61">
        <f t="shared" si="2"/>
        <v>55.27557656</v>
      </c>
      <c r="K812" s="58">
        <f>if(G812,_xlfn.workday.intl(int(G812),0,"1000000",Holidays!A:A)+19/24,"")</f>
        <v>46078.79167</v>
      </c>
      <c r="L812" s="59" t="str">
        <f t="shared" si="3"/>
        <v/>
      </c>
      <c r="M812" s="60"/>
      <c r="N812" s="61">
        <f t="shared" si="4"/>
        <v>55.19224323</v>
      </c>
      <c r="O812" s="63">
        <f>if(A812,_xlfn.WORKDAY.INTL(A812,O$5,"1000000",Holidays!A:A)+hour(A812)/24+MINUTE(A812)/1440,"")</f>
        <v>46078.70208</v>
      </c>
      <c r="P812" s="64" t="s">
        <v>2718</v>
      </c>
      <c r="R812" s="66">
        <f t="shared" si="5"/>
        <v>55.28182656</v>
      </c>
      <c r="S812" s="66"/>
      <c r="T812" s="66"/>
      <c r="U812" s="64">
        <f>if(O812,_xlfn.WORKDAY.INTL(O812,U$5,"1000000",Holidays!A:A)+hour(O812)/24+MINUTE(O812)/1440,"")</f>
        <v>46079.70208</v>
      </c>
      <c r="V812" s="64" t="str">
        <f t="shared" si="6"/>
        <v/>
      </c>
      <c r="W812" s="66"/>
      <c r="X812" s="66">
        <f t="shared" si="7"/>
        <v>54.28182656</v>
      </c>
      <c r="Y812" s="66"/>
      <c r="Z812" s="66"/>
      <c r="AA812" s="66"/>
      <c r="AB812" s="63"/>
      <c r="AC812" s="63"/>
      <c r="AD812" s="63"/>
      <c r="AE812" s="63"/>
      <c r="AF812" s="63"/>
      <c r="AG812" s="63"/>
      <c r="AH812" s="63" t="str">
        <f t="shared" si="14"/>
        <v/>
      </c>
      <c r="AI812" s="63" t="str">
        <f>if(AH812,_xlfn.workday.intl(int(AH812),0,"1000000",Holidays!A:A)+18/24,"")</f>
        <v/>
      </c>
      <c r="AJ812" s="64" t="str">
        <f t="shared" si="24"/>
        <v/>
      </c>
      <c r="AL812" s="66" t="str">
        <f t="shared" si="9"/>
        <v/>
      </c>
      <c r="AM812" s="66"/>
      <c r="AN812" s="63" t="str">
        <f>if(AJ812,if(and(hour(AJ812+AN$5)&gt;11,(hour(AJ812+AN$5)&lt;20)),AJ812+AN$5,_xlfn.workday.intl(int(AJ812),1,"1000000",Holidays!A:A)+hour(AJ812+AN$5-$B$1)/24+minute(AJ812)/1440),"")</f>
        <v/>
      </c>
      <c r="AO812" s="64" t="str">
        <f t="shared" si="15"/>
        <v/>
      </c>
      <c r="AQ812" s="66" t="str">
        <f t="shared" si="16"/>
        <v/>
      </c>
      <c r="AR812" s="66"/>
      <c r="AS812" s="63" t="str">
        <f>if(AJ812,if(and(hour(AJ812+AS$5)&gt;11,(hour(AJ812+AS$5)&lt;20)),AJ812+AS$5,_xlfn.workday.intl(int(AJ812),1,"1000000",Holidays!A:A)+hour(AJ812+AS$5-$B$1)/24+minute(AJ812)/1440),"")</f>
        <v/>
      </c>
      <c r="AT812" s="64" t="str">
        <f t="shared" si="21"/>
        <v/>
      </c>
      <c r="AV812" s="66" t="str">
        <f t="shared" si="25"/>
        <v/>
      </c>
      <c r="AW812" s="66"/>
      <c r="AX812" s="56"/>
    </row>
    <row r="813">
      <c r="A813" s="55">
        <v>46077.70312690972</v>
      </c>
      <c r="B813" s="56"/>
      <c r="C813" s="57"/>
      <c r="D813" s="57"/>
      <c r="E813" s="57"/>
      <c r="F813" s="57"/>
      <c r="G813" s="58">
        <f>if(A813,_xlfn.workday.intl(int(A813),1,"1000000",Holidays!A:A)+17/24,"")</f>
        <v>46078.70833</v>
      </c>
      <c r="H813" s="59" t="str">
        <f t="shared" si="23"/>
        <v/>
      </c>
      <c r="I813" s="60"/>
      <c r="J813" s="61">
        <f t="shared" si="2"/>
        <v>55.27557656</v>
      </c>
      <c r="K813" s="58">
        <f>if(G813,_xlfn.workday.intl(int(G813),0,"1000000",Holidays!A:A)+19/24,"")</f>
        <v>46078.79167</v>
      </c>
      <c r="L813" s="59" t="str">
        <f t="shared" si="3"/>
        <v/>
      </c>
      <c r="M813" s="60"/>
      <c r="N813" s="61">
        <f t="shared" si="4"/>
        <v>55.19224323</v>
      </c>
      <c r="O813" s="63">
        <f>if(A813,_xlfn.WORKDAY.INTL(A813,O$5,"1000000",Holidays!A:A)+hour(A813)/24+MINUTE(A813)/1440,"")</f>
        <v>46078.70278</v>
      </c>
      <c r="P813" s="64" t="s">
        <v>2718</v>
      </c>
      <c r="R813" s="66">
        <f t="shared" si="5"/>
        <v>55.28113212</v>
      </c>
      <c r="S813" s="66"/>
      <c r="T813" s="66"/>
      <c r="U813" s="64">
        <f>if(O813,_xlfn.WORKDAY.INTL(O813,U$5,"1000000",Holidays!A:A)+hour(O813)/24+MINUTE(O813)/1440,"")</f>
        <v>46079.70278</v>
      </c>
      <c r="V813" s="64" t="str">
        <f t="shared" si="6"/>
        <v/>
      </c>
      <c r="W813" s="66"/>
      <c r="X813" s="66">
        <f t="shared" si="7"/>
        <v>54.28113212</v>
      </c>
      <c r="Y813" s="66"/>
      <c r="Z813" s="66"/>
      <c r="AA813" s="66"/>
      <c r="AB813" s="63"/>
      <c r="AC813" s="63"/>
      <c r="AD813" s="63"/>
      <c r="AE813" s="63"/>
      <c r="AF813" s="63"/>
      <c r="AG813" s="63"/>
      <c r="AH813" s="63" t="str">
        <f t="shared" si="14"/>
        <v/>
      </c>
      <c r="AI813" s="63" t="str">
        <f>if(AH813,_xlfn.workday.intl(int(AH813),0,"1000000",Holidays!A:A)+18/24,"")</f>
        <v/>
      </c>
      <c r="AJ813" s="64" t="str">
        <f t="shared" si="24"/>
        <v/>
      </c>
      <c r="AL813" s="66" t="str">
        <f t="shared" si="9"/>
        <v/>
      </c>
      <c r="AM813" s="66"/>
      <c r="AN813" s="63" t="str">
        <f>if(AJ813,if(and(hour(AJ813+AN$5)&gt;11,(hour(AJ813+AN$5)&lt;20)),AJ813+AN$5,_xlfn.workday.intl(int(AJ813),1,"1000000",Holidays!A:A)+hour(AJ813+AN$5-$B$1)/24+minute(AJ813)/1440),"")</f>
        <v/>
      </c>
      <c r="AO813" s="64" t="str">
        <f t="shared" si="15"/>
        <v/>
      </c>
      <c r="AQ813" s="66" t="str">
        <f t="shared" si="16"/>
        <v/>
      </c>
      <c r="AR813" s="66"/>
      <c r="AS813" s="63" t="str">
        <f>if(AJ813,if(and(hour(AJ813+AS$5)&gt;11,(hour(AJ813+AS$5)&lt;20)),AJ813+AS$5,_xlfn.workday.intl(int(AJ813),1,"1000000",Holidays!A:A)+hour(AJ813+AS$5-$B$1)/24+minute(AJ813)/1440),"")</f>
        <v/>
      </c>
      <c r="AT813" s="64" t="str">
        <f t="shared" si="21"/>
        <v/>
      </c>
      <c r="AV813" s="66" t="str">
        <f t="shared" si="25"/>
        <v/>
      </c>
      <c r="AW813" s="66"/>
      <c r="AX813" s="56"/>
    </row>
    <row r="814">
      <c r="A814" s="55">
        <v>46077.70426412037</v>
      </c>
      <c r="B814" s="56"/>
      <c r="C814" s="57"/>
      <c r="D814" s="57"/>
      <c r="E814" s="57"/>
      <c r="F814" s="57"/>
      <c r="G814" s="58">
        <f>if(A814,_xlfn.workday.intl(int(A814),1,"1000000",Holidays!A:A)+17/24,"")</f>
        <v>46078.70833</v>
      </c>
      <c r="H814" s="59" t="str">
        <f t="shared" si="23"/>
        <v/>
      </c>
      <c r="I814" s="60"/>
      <c r="J814" s="61">
        <f t="shared" si="2"/>
        <v>55.27557656</v>
      </c>
      <c r="K814" s="58">
        <f>if(G814,_xlfn.workday.intl(int(G814),0,"1000000",Holidays!A:A)+19/24,"")</f>
        <v>46078.79167</v>
      </c>
      <c r="L814" s="59" t="str">
        <f t="shared" si="3"/>
        <v/>
      </c>
      <c r="M814" s="60"/>
      <c r="N814" s="61">
        <f t="shared" si="4"/>
        <v>55.19224323</v>
      </c>
      <c r="O814" s="63">
        <f>if(A814,_xlfn.WORKDAY.INTL(A814,O$5,"1000000",Holidays!A:A)+hour(A814)/24+MINUTE(A814)/1440,"")</f>
        <v>46078.70417</v>
      </c>
      <c r="P814" s="64" t="s">
        <v>2718</v>
      </c>
      <c r="R814" s="66">
        <f t="shared" si="5"/>
        <v>55.27974323</v>
      </c>
      <c r="S814" s="66"/>
      <c r="T814" s="66"/>
      <c r="U814" s="64">
        <f>if(O814,_xlfn.WORKDAY.INTL(O814,U$5,"1000000",Holidays!A:A)+hour(O814)/24+MINUTE(O814)/1440,"")</f>
        <v>46079.70417</v>
      </c>
      <c r="V814" s="64" t="str">
        <f t="shared" si="6"/>
        <v/>
      </c>
      <c r="W814" s="66"/>
      <c r="X814" s="66">
        <f t="shared" si="7"/>
        <v>54.27974323</v>
      </c>
      <c r="Y814" s="66"/>
      <c r="Z814" s="66"/>
      <c r="AA814" s="66"/>
      <c r="AB814" s="63"/>
      <c r="AC814" s="63"/>
      <c r="AD814" s="63"/>
      <c r="AE814" s="63"/>
      <c r="AF814" s="63"/>
      <c r="AG814" s="63"/>
      <c r="AH814" s="63" t="str">
        <f t="shared" si="14"/>
        <v/>
      </c>
      <c r="AI814" s="63" t="str">
        <f>if(AH814,_xlfn.workday.intl(int(AH814),0,"1000000",Holidays!A:A)+18/24,"")</f>
        <v/>
      </c>
      <c r="AJ814" s="64" t="str">
        <f t="shared" si="24"/>
        <v/>
      </c>
      <c r="AL814" s="66" t="str">
        <f t="shared" si="9"/>
        <v/>
      </c>
      <c r="AM814" s="66"/>
      <c r="AN814" s="63" t="str">
        <f>if(AJ814,if(and(hour(AJ814+AN$5)&gt;11,(hour(AJ814+AN$5)&lt;20)),AJ814+AN$5,_xlfn.workday.intl(int(AJ814),1,"1000000",Holidays!A:A)+hour(AJ814+AN$5-$B$1)/24+minute(AJ814)/1440),"")</f>
        <v/>
      </c>
      <c r="AO814" s="64" t="str">
        <f t="shared" si="15"/>
        <v/>
      </c>
      <c r="AQ814" s="66" t="str">
        <f t="shared" si="16"/>
        <v/>
      </c>
      <c r="AR814" s="66"/>
      <c r="AS814" s="63" t="str">
        <f>if(AJ814,if(and(hour(AJ814+AS$5)&gt;11,(hour(AJ814+AS$5)&lt;20)),AJ814+AS$5,_xlfn.workday.intl(int(AJ814),1,"1000000",Holidays!A:A)+hour(AJ814+AS$5-$B$1)/24+minute(AJ814)/1440),"")</f>
        <v/>
      </c>
      <c r="AT814" s="64" t="str">
        <f t="shared" si="21"/>
        <v/>
      </c>
      <c r="AV814" s="66" t="str">
        <f t="shared" si="25"/>
        <v/>
      </c>
      <c r="AW814" s="66"/>
      <c r="AX814" s="56"/>
    </row>
    <row r="815">
      <c r="A815" s="55">
        <v>46077.71280695601</v>
      </c>
      <c r="B815" s="56"/>
      <c r="C815" s="57"/>
      <c r="D815" s="57"/>
      <c r="E815" s="57"/>
      <c r="F815" s="57"/>
      <c r="G815" s="58">
        <f>if(A815,_xlfn.workday.intl(int(A815),1,"1000000",Holidays!A:A)+17/24,"")</f>
        <v>46078.70833</v>
      </c>
      <c r="H815" s="59" t="str">
        <f t="shared" si="23"/>
        <v/>
      </c>
      <c r="I815" s="60"/>
      <c r="J815" s="61">
        <f t="shared" si="2"/>
        <v>55.27557656</v>
      </c>
      <c r="K815" s="58">
        <f>if(G815,_xlfn.workday.intl(int(G815),0,"1000000",Holidays!A:A)+19/24,"")</f>
        <v>46078.79167</v>
      </c>
      <c r="L815" s="59" t="str">
        <f t="shared" si="3"/>
        <v/>
      </c>
      <c r="M815" s="60"/>
      <c r="N815" s="61">
        <f t="shared" si="4"/>
        <v>55.19224323</v>
      </c>
      <c r="O815" s="63">
        <f>if(A815,_xlfn.WORKDAY.INTL(A815,O$5,"1000000",Holidays!A:A)+hour(A815)/24+MINUTE(A815)/1440,"")</f>
        <v>46078.7125</v>
      </c>
      <c r="P815" s="64" t="s">
        <v>2718</v>
      </c>
      <c r="R815" s="66">
        <f t="shared" si="5"/>
        <v>55.2714099</v>
      </c>
      <c r="S815" s="66"/>
      <c r="T815" s="66"/>
      <c r="U815" s="64">
        <f>if(O815,_xlfn.WORKDAY.INTL(O815,U$5,"1000000",Holidays!A:A)+hour(O815)/24+MINUTE(O815)/1440,"")</f>
        <v>46079.7125</v>
      </c>
      <c r="V815" s="64" t="str">
        <f t="shared" si="6"/>
        <v/>
      </c>
      <c r="W815" s="66"/>
      <c r="X815" s="66">
        <f t="shared" si="7"/>
        <v>54.2714099</v>
      </c>
      <c r="Y815" s="66"/>
      <c r="Z815" s="66"/>
      <c r="AA815" s="66"/>
      <c r="AB815" s="63"/>
      <c r="AC815" s="63"/>
      <c r="AD815" s="63"/>
      <c r="AE815" s="63"/>
      <c r="AF815" s="63"/>
      <c r="AG815" s="63"/>
      <c r="AH815" s="63" t="str">
        <f t="shared" si="14"/>
        <v/>
      </c>
      <c r="AI815" s="63" t="str">
        <f>if(AH815,_xlfn.workday.intl(int(AH815),0,"1000000",Holidays!A:A)+18/24,"")</f>
        <v/>
      </c>
      <c r="AJ815" s="64" t="str">
        <f t="shared" si="24"/>
        <v/>
      </c>
      <c r="AL815" s="66" t="str">
        <f t="shared" si="9"/>
        <v/>
      </c>
      <c r="AM815" s="66"/>
      <c r="AN815" s="63" t="str">
        <f>if(AJ815,if(and(hour(AJ815+AN$5)&gt;11,(hour(AJ815+AN$5)&lt;20)),AJ815+AN$5,_xlfn.workday.intl(int(AJ815),1,"1000000",Holidays!A:A)+hour(AJ815+AN$5-$B$1)/24+minute(AJ815)/1440),"")</f>
        <v/>
      </c>
      <c r="AO815" s="64" t="str">
        <f t="shared" si="15"/>
        <v/>
      </c>
      <c r="AQ815" s="66" t="str">
        <f t="shared" si="16"/>
        <v/>
      </c>
      <c r="AR815" s="66"/>
      <c r="AS815" s="63" t="str">
        <f>if(AJ815,if(and(hour(AJ815+AS$5)&gt;11,(hour(AJ815+AS$5)&lt;20)),AJ815+AS$5,_xlfn.workday.intl(int(AJ815),1,"1000000",Holidays!A:A)+hour(AJ815+AS$5-$B$1)/24+minute(AJ815)/1440),"")</f>
        <v/>
      </c>
      <c r="AT815" s="64" t="str">
        <f t="shared" si="21"/>
        <v/>
      </c>
      <c r="AV815" s="66" t="str">
        <f t="shared" si="25"/>
        <v/>
      </c>
      <c r="AW815" s="66"/>
      <c r="AX815" s="56"/>
    </row>
    <row r="816">
      <c r="A816" s="55">
        <v>46080.6064849074</v>
      </c>
      <c r="B816" s="56"/>
      <c r="C816" s="57"/>
      <c r="D816" s="57"/>
      <c r="E816" s="57"/>
      <c r="F816" s="57"/>
      <c r="G816" s="58">
        <f>if(A816,_xlfn.workday.intl(int(A816),1,"1000000",Holidays!A:A)+17/24,"")</f>
        <v>46081.70833</v>
      </c>
      <c r="H816" s="59" t="str">
        <f t="shared" si="23"/>
        <v/>
      </c>
      <c r="I816" s="60"/>
      <c r="J816" s="61">
        <f t="shared" si="2"/>
        <v>52.27557656</v>
      </c>
      <c r="K816" s="58">
        <f>if(G816,_xlfn.workday.intl(int(G816),0,"1000000",Holidays!A:A)+19/24,"")</f>
        <v>46081.79167</v>
      </c>
      <c r="L816" s="59" t="str">
        <f t="shared" si="3"/>
        <v/>
      </c>
      <c r="M816" s="60"/>
      <c r="N816" s="61">
        <f t="shared" si="4"/>
        <v>52.19224323</v>
      </c>
      <c r="O816" s="63">
        <f>if(A816,_xlfn.WORKDAY.INTL(A816,O$5,"1000000",Holidays!A:A)+hour(A816)/24+MINUTE(A816)/1440,"")</f>
        <v>46081.60625</v>
      </c>
      <c r="P816" s="64" t="s">
        <v>2718</v>
      </c>
      <c r="R816" s="66">
        <f t="shared" si="5"/>
        <v>52.3776599</v>
      </c>
      <c r="S816" s="66"/>
      <c r="T816" s="66"/>
      <c r="U816" s="64">
        <f>if(O816,_xlfn.WORKDAY.INTL(O816,U$5,"1000000",Holidays!A:A)+hour(O816)/24+MINUTE(O816)/1440,"")</f>
        <v>46082.60625</v>
      </c>
      <c r="V816" s="64" t="str">
        <f t="shared" si="6"/>
        <v/>
      </c>
      <c r="W816" s="66"/>
      <c r="X816" s="66">
        <f t="shared" si="7"/>
        <v>51.3776599</v>
      </c>
      <c r="Y816" s="66"/>
      <c r="Z816" s="66"/>
      <c r="AA816" s="66"/>
      <c r="AB816" s="63"/>
      <c r="AC816" s="63"/>
      <c r="AD816" s="63"/>
      <c r="AE816" s="63"/>
      <c r="AF816" s="63"/>
      <c r="AG816" s="63"/>
      <c r="AH816" s="63" t="str">
        <f t="shared" si="14"/>
        <v/>
      </c>
      <c r="AI816" s="63" t="str">
        <f>if(AH816,_xlfn.workday.intl(int(AH816),0,"1000000",Holidays!A:A)+18/24,"")</f>
        <v/>
      </c>
      <c r="AJ816" s="64" t="str">
        <f t="shared" si="24"/>
        <v/>
      </c>
      <c r="AL816" s="66" t="str">
        <f t="shared" si="9"/>
        <v/>
      </c>
      <c r="AM816" s="66"/>
      <c r="AN816" s="63" t="str">
        <f>if(AJ816,if(and(hour(AJ816+AN$5)&gt;11,(hour(AJ816+AN$5)&lt;20)),AJ816+AN$5,_xlfn.workday.intl(int(AJ816),1,"1000000",Holidays!A:A)+hour(AJ816+AN$5-$B$1)/24+minute(AJ816)/1440),"")</f>
        <v/>
      </c>
      <c r="AO816" s="64" t="str">
        <f t="shared" si="15"/>
        <v/>
      </c>
      <c r="AQ816" s="66" t="str">
        <f t="shared" si="16"/>
        <v/>
      </c>
      <c r="AR816" s="66"/>
      <c r="AS816" s="63" t="str">
        <f>if(AJ816,if(and(hour(AJ816+AS$5)&gt;11,(hour(AJ816+AS$5)&lt;20)),AJ816+AS$5,_xlfn.workday.intl(int(AJ816),1,"1000000",Holidays!A:A)+hour(AJ816+AS$5-$B$1)/24+minute(AJ816)/1440),"")</f>
        <v/>
      </c>
      <c r="AT816" s="64" t="str">
        <f t="shared" si="21"/>
        <v/>
      </c>
      <c r="AV816" s="66" t="str">
        <f t="shared" si="25"/>
        <v/>
      </c>
      <c r="AW816" s="66"/>
      <c r="AX816" s="56"/>
    </row>
    <row r="817">
      <c r="A817" s="55">
        <v>46080.60799247686</v>
      </c>
      <c r="B817" s="56"/>
      <c r="C817" s="57"/>
      <c r="D817" s="57"/>
      <c r="E817" s="57"/>
      <c r="F817" s="57"/>
      <c r="G817" s="58">
        <f>if(A817,_xlfn.workday.intl(int(A817),1,"1000000",Holidays!A:A)+17/24,"")</f>
        <v>46081.70833</v>
      </c>
      <c r="H817" s="59" t="str">
        <f t="shared" si="23"/>
        <v/>
      </c>
      <c r="I817" s="60"/>
      <c r="J817" s="61">
        <f t="shared" si="2"/>
        <v>52.27557656</v>
      </c>
      <c r="K817" s="58">
        <f>if(G817,_xlfn.workday.intl(int(G817),0,"1000000",Holidays!A:A)+19/24,"")</f>
        <v>46081.79167</v>
      </c>
      <c r="L817" s="59" t="str">
        <f t="shared" si="3"/>
        <v/>
      </c>
      <c r="M817" s="60"/>
      <c r="N817" s="61">
        <f t="shared" si="4"/>
        <v>52.19224323</v>
      </c>
      <c r="O817" s="63">
        <f>if(A817,_xlfn.WORKDAY.INTL(A817,O$5,"1000000",Holidays!A:A)+hour(A817)/24+MINUTE(A817)/1440,"")</f>
        <v>46081.60764</v>
      </c>
      <c r="P817" s="64" t="s">
        <v>2718</v>
      </c>
      <c r="R817" s="66">
        <f t="shared" si="5"/>
        <v>52.37627101</v>
      </c>
      <c r="S817" s="66"/>
      <c r="T817" s="66"/>
      <c r="U817" s="64">
        <f>if(O817,_xlfn.WORKDAY.INTL(O817,U$5,"1000000",Holidays!A:A)+hour(O817)/24+MINUTE(O817)/1440,"")</f>
        <v>46082.60764</v>
      </c>
      <c r="V817" s="64" t="str">
        <f t="shared" si="6"/>
        <v/>
      </c>
      <c r="W817" s="66"/>
      <c r="X817" s="66">
        <f t="shared" si="7"/>
        <v>51.37627101</v>
      </c>
      <c r="Y817" s="66"/>
      <c r="Z817" s="66"/>
      <c r="AA817" s="66"/>
      <c r="AB817" s="63"/>
      <c r="AC817" s="63"/>
      <c r="AD817" s="63"/>
      <c r="AE817" s="63"/>
      <c r="AF817" s="63"/>
      <c r="AG817" s="63"/>
      <c r="AH817" s="63" t="str">
        <f t="shared" si="14"/>
        <v/>
      </c>
      <c r="AI817" s="63" t="str">
        <f>if(AH817,_xlfn.workday.intl(int(AH817),0,"1000000",Holidays!A:A)+18/24,"")</f>
        <v/>
      </c>
      <c r="AJ817" s="64" t="str">
        <f t="shared" si="24"/>
        <v/>
      </c>
      <c r="AL817" s="66" t="str">
        <f t="shared" si="9"/>
        <v/>
      </c>
      <c r="AM817" s="66"/>
      <c r="AN817" s="63" t="str">
        <f>if(AJ817,if(and(hour(AJ817+AN$5)&gt;11,(hour(AJ817+AN$5)&lt;20)),AJ817+AN$5,_xlfn.workday.intl(int(AJ817),1,"1000000",Holidays!A:A)+hour(AJ817+AN$5-$B$1)/24+minute(AJ817)/1440),"")</f>
        <v/>
      </c>
      <c r="AO817" s="64" t="str">
        <f t="shared" si="15"/>
        <v/>
      </c>
      <c r="AQ817" s="66" t="str">
        <f t="shared" si="16"/>
        <v/>
      </c>
      <c r="AR817" s="66"/>
      <c r="AS817" s="63" t="str">
        <f>if(AJ817,if(and(hour(AJ817+AS$5)&gt;11,(hour(AJ817+AS$5)&lt;20)),AJ817+AS$5,_xlfn.workday.intl(int(AJ817),1,"1000000",Holidays!A:A)+hour(AJ817+AS$5-$B$1)/24+minute(AJ817)/1440),"")</f>
        <v/>
      </c>
      <c r="AT817" s="64" t="str">
        <f t="shared" si="21"/>
        <v/>
      </c>
      <c r="AV817" s="66" t="str">
        <f t="shared" si="25"/>
        <v/>
      </c>
      <c r="AW817" s="66"/>
      <c r="AX817" s="56"/>
    </row>
    <row r="818">
      <c r="A818" s="55">
        <v>46080.612097708334</v>
      </c>
      <c r="B818" s="56"/>
      <c r="C818" s="57"/>
      <c r="D818" s="57"/>
      <c r="E818" s="57"/>
      <c r="F818" s="57"/>
      <c r="G818" s="58">
        <f>if(A818,_xlfn.workday.intl(int(A818),1,"1000000",Holidays!A:A)+17/24,"")</f>
        <v>46081.70833</v>
      </c>
      <c r="H818" s="59" t="str">
        <f t="shared" si="23"/>
        <v/>
      </c>
      <c r="I818" s="60"/>
      <c r="J818" s="61">
        <f t="shared" si="2"/>
        <v>52.27557656</v>
      </c>
      <c r="K818" s="58">
        <f>if(G818,_xlfn.workday.intl(int(G818),0,"1000000",Holidays!A:A)+19/24,"")</f>
        <v>46081.79167</v>
      </c>
      <c r="L818" s="59" t="str">
        <f t="shared" si="3"/>
        <v/>
      </c>
      <c r="M818" s="60"/>
      <c r="N818" s="61">
        <f t="shared" si="4"/>
        <v>52.19224323</v>
      </c>
      <c r="O818" s="63">
        <f>if(A818,_xlfn.WORKDAY.INTL(A818,O$5,"1000000",Holidays!A:A)+hour(A818)/24+MINUTE(A818)/1440,"")</f>
        <v>46081.61181</v>
      </c>
      <c r="P818" s="64" t="s">
        <v>2718</v>
      </c>
      <c r="R818" s="66">
        <f t="shared" si="5"/>
        <v>52.37210434</v>
      </c>
      <c r="S818" s="66"/>
      <c r="T818" s="66"/>
      <c r="U818" s="64">
        <f>if(O818,_xlfn.WORKDAY.INTL(O818,U$5,"1000000",Holidays!A:A)+hour(O818)/24+MINUTE(O818)/1440,"")</f>
        <v>46082.61181</v>
      </c>
      <c r="V818" s="64" t="str">
        <f t="shared" si="6"/>
        <v/>
      </c>
      <c r="W818" s="66"/>
      <c r="X818" s="66">
        <f t="shared" si="7"/>
        <v>51.37210434</v>
      </c>
      <c r="Y818" s="66"/>
      <c r="Z818" s="66"/>
      <c r="AA818" s="66"/>
      <c r="AB818" s="63"/>
      <c r="AC818" s="63"/>
      <c r="AD818" s="63"/>
      <c r="AE818" s="63"/>
      <c r="AF818" s="63"/>
      <c r="AG818" s="63"/>
      <c r="AH818" s="63" t="str">
        <f t="shared" si="14"/>
        <v/>
      </c>
      <c r="AI818" s="63" t="str">
        <f>if(AH818,_xlfn.workday.intl(int(AH818),0,"1000000",Holidays!A:A)+18/24,"")</f>
        <v/>
      </c>
      <c r="AJ818" s="64" t="str">
        <f t="shared" si="24"/>
        <v/>
      </c>
      <c r="AL818" s="66" t="str">
        <f t="shared" si="9"/>
        <v/>
      </c>
      <c r="AM818" s="66"/>
      <c r="AN818" s="63" t="str">
        <f>if(AJ818,if(and(hour(AJ818+AN$5)&gt;11,(hour(AJ818+AN$5)&lt;20)),AJ818+AN$5,_xlfn.workday.intl(int(AJ818),1,"1000000",Holidays!A:A)+hour(AJ818+AN$5-$B$1)/24+minute(AJ818)/1440),"")</f>
        <v/>
      </c>
      <c r="AO818" s="64" t="str">
        <f t="shared" si="15"/>
        <v/>
      </c>
      <c r="AQ818" s="66" t="str">
        <f t="shared" si="16"/>
        <v/>
      </c>
      <c r="AR818" s="66"/>
      <c r="AS818" s="63" t="str">
        <f>if(AJ818,if(and(hour(AJ818+AS$5)&gt;11,(hour(AJ818+AS$5)&lt;20)),AJ818+AS$5,_xlfn.workday.intl(int(AJ818),1,"1000000",Holidays!A:A)+hour(AJ818+AS$5-$B$1)/24+minute(AJ818)/1440),"")</f>
        <v/>
      </c>
      <c r="AT818" s="64" t="str">
        <f t="shared" si="21"/>
        <v/>
      </c>
      <c r="AV818" s="66" t="str">
        <f t="shared" si="25"/>
        <v/>
      </c>
      <c r="AW818" s="66"/>
      <c r="AX818" s="56"/>
    </row>
    <row r="819">
      <c r="A819" s="55">
        <v>46080.613229305556</v>
      </c>
      <c r="B819" s="56"/>
      <c r="C819" s="57"/>
      <c r="D819" s="57"/>
      <c r="E819" s="57"/>
      <c r="F819" s="57"/>
      <c r="G819" s="58">
        <f>if(A819,_xlfn.workday.intl(int(A819),1,"1000000",Holidays!A:A)+17/24,"")</f>
        <v>46081.70833</v>
      </c>
      <c r="H819" s="59" t="str">
        <f t="shared" si="23"/>
        <v/>
      </c>
      <c r="I819" s="60"/>
      <c r="J819" s="61">
        <f t="shared" si="2"/>
        <v>52.27557656</v>
      </c>
      <c r="K819" s="58">
        <f>if(G819,_xlfn.workday.intl(int(G819),0,"1000000",Holidays!A:A)+19/24,"")</f>
        <v>46081.79167</v>
      </c>
      <c r="L819" s="59" t="str">
        <f t="shared" si="3"/>
        <v/>
      </c>
      <c r="M819" s="60"/>
      <c r="N819" s="61">
        <f t="shared" si="4"/>
        <v>52.19224323</v>
      </c>
      <c r="O819" s="63">
        <f>if(A819,_xlfn.WORKDAY.INTL(A819,O$5,"1000000",Holidays!A:A)+hour(A819)/24+MINUTE(A819)/1440,"")</f>
        <v>46081.61319</v>
      </c>
      <c r="P819" s="64" t="s">
        <v>2718</v>
      </c>
      <c r="R819" s="66">
        <f t="shared" si="5"/>
        <v>52.37071545</v>
      </c>
      <c r="S819" s="66"/>
      <c r="T819" s="66"/>
      <c r="U819" s="64">
        <f>if(O819,_xlfn.WORKDAY.INTL(O819,U$5,"1000000",Holidays!A:A)+hour(O819)/24+MINUTE(O819)/1440,"")</f>
        <v>46082.61319</v>
      </c>
      <c r="V819" s="64" t="str">
        <f t="shared" si="6"/>
        <v/>
      </c>
      <c r="W819" s="66"/>
      <c r="X819" s="66">
        <f t="shared" si="7"/>
        <v>51.37071545</v>
      </c>
      <c r="Y819" s="66"/>
      <c r="Z819" s="66"/>
      <c r="AA819" s="66"/>
      <c r="AB819" s="63"/>
      <c r="AC819" s="63"/>
      <c r="AD819" s="63"/>
      <c r="AE819" s="63"/>
      <c r="AF819" s="63"/>
      <c r="AG819" s="63"/>
      <c r="AH819" s="63" t="str">
        <f t="shared" si="14"/>
        <v/>
      </c>
      <c r="AI819" s="63" t="str">
        <f>if(AH819,_xlfn.workday.intl(int(AH819),0,"1000000",Holidays!A:A)+18/24,"")</f>
        <v/>
      </c>
      <c r="AJ819" s="64" t="str">
        <f t="shared" si="24"/>
        <v/>
      </c>
      <c r="AL819" s="66" t="str">
        <f t="shared" si="9"/>
        <v/>
      </c>
      <c r="AM819" s="66"/>
      <c r="AN819" s="63" t="str">
        <f>if(AJ819,if(and(hour(AJ819+AN$5)&gt;11,(hour(AJ819+AN$5)&lt;20)),AJ819+AN$5,_xlfn.workday.intl(int(AJ819),1,"1000000",Holidays!A:A)+hour(AJ819+AN$5-$B$1)/24+minute(AJ819)/1440),"")</f>
        <v/>
      </c>
      <c r="AO819" s="64" t="str">
        <f t="shared" si="15"/>
        <v/>
      </c>
      <c r="AQ819" s="66" t="str">
        <f t="shared" si="16"/>
        <v/>
      </c>
      <c r="AR819" s="66"/>
      <c r="AS819" s="63" t="str">
        <f>if(AJ819,if(and(hour(AJ819+AS$5)&gt;11,(hour(AJ819+AS$5)&lt;20)),AJ819+AS$5,_xlfn.workday.intl(int(AJ819),1,"1000000",Holidays!A:A)+hour(AJ819+AS$5-$B$1)/24+minute(AJ819)/1440),"")</f>
        <v/>
      </c>
      <c r="AT819" s="64" t="str">
        <f t="shared" si="21"/>
        <v/>
      </c>
      <c r="AV819" s="66" t="str">
        <f t="shared" si="25"/>
        <v/>
      </c>
      <c r="AW819" s="66"/>
      <c r="AX819" s="56"/>
    </row>
    <row r="820">
      <c r="A820" s="55">
        <v>46080.644814189814</v>
      </c>
      <c r="B820" s="56"/>
      <c r="C820" s="57"/>
      <c r="D820" s="57"/>
      <c r="E820" s="57"/>
      <c r="F820" s="57"/>
      <c r="G820" s="58">
        <f>if(A820,_xlfn.workday.intl(int(A820),1,"1000000",Holidays!A:A)+17/24,"")</f>
        <v>46081.70833</v>
      </c>
      <c r="H820" s="59" t="str">
        <f t="shared" si="23"/>
        <v/>
      </c>
      <c r="I820" s="60"/>
      <c r="J820" s="61">
        <f t="shared" si="2"/>
        <v>52.27557656</v>
      </c>
      <c r="K820" s="58">
        <f>if(G820,_xlfn.workday.intl(int(G820),0,"1000000",Holidays!A:A)+19/24,"")</f>
        <v>46081.79167</v>
      </c>
      <c r="L820" s="59" t="str">
        <f t="shared" si="3"/>
        <v/>
      </c>
      <c r="M820" s="60"/>
      <c r="N820" s="61">
        <f t="shared" si="4"/>
        <v>52.19224323</v>
      </c>
      <c r="O820" s="63">
        <f>if(A820,_xlfn.WORKDAY.INTL(A820,O$5,"1000000",Holidays!A:A)+hour(A820)/24+MINUTE(A820)/1440,"")</f>
        <v>46081.64444</v>
      </c>
      <c r="P820" s="64" t="s">
        <v>2718</v>
      </c>
      <c r="R820" s="66">
        <f t="shared" si="5"/>
        <v>52.33946545</v>
      </c>
      <c r="S820" s="66"/>
      <c r="T820" s="66"/>
      <c r="U820" s="64">
        <f>if(O820,_xlfn.WORKDAY.INTL(O820,U$5,"1000000",Holidays!A:A)+hour(O820)/24+MINUTE(O820)/1440,"")</f>
        <v>46082.64444</v>
      </c>
      <c r="V820" s="64" t="str">
        <f t="shared" si="6"/>
        <v/>
      </c>
      <c r="W820" s="66"/>
      <c r="X820" s="66">
        <f t="shared" si="7"/>
        <v>51.33946545</v>
      </c>
      <c r="Y820" s="66"/>
      <c r="Z820" s="66"/>
      <c r="AA820" s="66"/>
      <c r="AB820" s="63"/>
      <c r="AC820" s="63"/>
      <c r="AD820" s="63"/>
      <c r="AE820" s="63"/>
      <c r="AF820" s="63"/>
      <c r="AG820" s="63"/>
      <c r="AH820" s="63" t="str">
        <f t="shared" si="14"/>
        <v/>
      </c>
      <c r="AI820" s="63" t="str">
        <f>if(AH820,_xlfn.workday.intl(int(AH820),0,"1000000",Holidays!A:A)+18/24,"")</f>
        <v/>
      </c>
      <c r="AJ820" s="64" t="str">
        <f t="shared" si="24"/>
        <v/>
      </c>
      <c r="AL820" s="66" t="str">
        <f t="shared" si="9"/>
        <v/>
      </c>
      <c r="AM820" s="66"/>
      <c r="AN820" s="63" t="str">
        <f>if(AJ820,if(and(hour(AJ820+AN$5)&gt;11,(hour(AJ820+AN$5)&lt;20)),AJ820+AN$5,_xlfn.workday.intl(int(AJ820),1,"1000000",Holidays!A:A)+hour(AJ820+AN$5-$B$1)/24+minute(AJ820)/1440),"")</f>
        <v/>
      </c>
      <c r="AO820" s="64" t="str">
        <f t="shared" si="15"/>
        <v/>
      </c>
      <c r="AQ820" s="66" t="str">
        <f t="shared" si="16"/>
        <v/>
      </c>
      <c r="AR820" s="66"/>
      <c r="AS820" s="63" t="str">
        <f>if(AJ820,if(and(hour(AJ820+AS$5)&gt;11,(hour(AJ820+AS$5)&lt;20)),AJ820+AS$5,_xlfn.workday.intl(int(AJ820),1,"1000000",Holidays!A:A)+hour(AJ820+AS$5-$B$1)/24+minute(AJ820)/1440),"")</f>
        <v/>
      </c>
      <c r="AT820" s="64" t="str">
        <f t="shared" si="21"/>
        <v/>
      </c>
      <c r="AV820" s="66" t="str">
        <f t="shared" si="25"/>
        <v/>
      </c>
      <c r="AW820" s="66"/>
      <c r="AX820" s="56"/>
    </row>
    <row r="821">
      <c r="A821" s="55">
        <v>46080.71246012731</v>
      </c>
      <c r="B821" s="56"/>
      <c r="C821" s="57"/>
      <c r="D821" s="57"/>
      <c r="E821" s="57"/>
      <c r="F821" s="57"/>
      <c r="G821" s="58">
        <f>if(A821,_xlfn.workday.intl(int(A821),1,"1000000",Holidays!A:A)+17/24,"")</f>
        <v>46081.70833</v>
      </c>
      <c r="H821" s="59" t="str">
        <f t="shared" si="23"/>
        <v/>
      </c>
      <c r="I821" s="60"/>
      <c r="J821" s="61">
        <f t="shared" si="2"/>
        <v>52.27557656</v>
      </c>
      <c r="K821" s="58">
        <f>if(G821,_xlfn.workday.intl(int(G821),0,"1000000",Holidays!A:A)+19/24,"")</f>
        <v>46081.79167</v>
      </c>
      <c r="L821" s="59" t="str">
        <f t="shared" si="3"/>
        <v/>
      </c>
      <c r="M821" s="60"/>
      <c r="N821" s="61">
        <f t="shared" si="4"/>
        <v>52.19224323</v>
      </c>
      <c r="O821" s="63">
        <f>if(A821,_xlfn.WORKDAY.INTL(A821,O$5,"1000000",Holidays!A:A)+hour(A821)/24+MINUTE(A821)/1440,"")</f>
        <v>46081.71181</v>
      </c>
      <c r="P821" s="64" t="s">
        <v>2718</v>
      </c>
      <c r="R821" s="66">
        <f t="shared" si="5"/>
        <v>52.27210434</v>
      </c>
      <c r="S821" s="66"/>
      <c r="T821" s="66"/>
      <c r="U821" s="64">
        <f>if(O821,_xlfn.WORKDAY.INTL(O821,U$5,"1000000",Holidays!A:A)+hour(O821)/24+MINUTE(O821)/1440,"")</f>
        <v>46082.71181</v>
      </c>
      <c r="V821" s="64" t="str">
        <f t="shared" si="6"/>
        <v/>
      </c>
      <c r="W821" s="66"/>
      <c r="X821" s="66">
        <f t="shared" si="7"/>
        <v>51.27210434</v>
      </c>
      <c r="Y821" s="66"/>
      <c r="Z821" s="66"/>
      <c r="AA821" s="66"/>
      <c r="AB821" s="63"/>
      <c r="AC821" s="63"/>
      <c r="AD821" s="63"/>
      <c r="AE821" s="63"/>
      <c r="AF821" s="63"/>
      <c r="AG821" s="63"/>
      <c r="AH821" s="63" t="str">
        <f t="shared" si="14"/>
        <v/>
      </c>
      <c r="AI821" s="63" t="str">
        <f>if(AH821,_xlfn.workday.intl(int(AH821),0,"1000000",Holidays!A:A)+18/24,"")</f>
        <v/>
      </c>
      <c r="AJ821" s="64" t="str">
        <f t="shared" si="24"/>
        <v/>
      </c>
      <c r="AL821" s="66" t="str">
        <f t="shared" si="9"/>
        <v/>
      </c>
      <c r="AM821" s="66"/>
      <c r="AN821" s="63" t="str">
        <f>if(AJ821,if(and(hour(AJ821+AN$5)&gt;11,(hour(AJ821+AN$5)&lt;20)),AJ821+AN$5,_xlfn.workday.intl(int(AJ821),1,"1000000",Holidays!A:A)+hour(AJ821+AN$5-$B$1)/24+minute(AJ821)/1440),"")</f>
        <v/>
      </c>
      <c r="AO821" s="64" t="str">
        <f t="shared" si="15"/>
        <v/>
      </c>
      <c r="AQ821" s="66" t="str">
        <f t="shared" si="16"/>
        <v/>
      </c>
      <c r="AR821" s="66"/>
      <c r="AS821" s="63" t="str">
        <f>if(AJ821,if(and(hour(AJ821+AS$5)&gt;11,(hour(AJ821+AS$5)&lt;20)),AJ821+AS$5,_xlfn.workday.intl(int(AJ821),1,"1000000",Holidays!A:A)+hour(AJ821+AS$5-$B$1)/24+minute(AJ821)/1440),"")</f>
        <v/>
      </c>
      <c r="AT821" s="64" t="str">
        <f t="shared" si="21"/>
        <v/>
      </c>
      <c r="AV821" s="66" t="str">
        <f t="shared" si="25"/>
        <v/>
      </c>
      <c r="AW821" s="66"/>
      <c r="AX821" s="56"/>
    </row>
    <row r="822">
      <c r="A822" s="55">
        <v>46080.713202743056</v>
      </c>
      <c r="B822" s="56"/>
      <c r="C822" s="57"/>
      <c r="D822" s="57"/>
      <c r="E822" s="57"/>
      <c r="F822" s="57"/>
      <c r="G822" s="58">
        <f>if(A822,_xlfn.workday.intl(int(A822),1,"1000000",Holidays!A:A)+17/24,"")</f>
        <v>46081.70833</v>
      </c>
      <c r="H822" s="59" t="str">
        <f t="shared" si="23"/>
        <v/>
      </c>
      <c r="I822" s="60"/>
      <c r="J822" s="61">
        <f t="shared" si="2"/>
        <v>52.27557656</v>
      </c>
      <c r="K822" s="58">
        <f>if(G822,_xlfn.workday.intl(int(G822),0,"1000000",Holidays!A:A)+19/24,"")</f>
        <v>46081.79167</v>
      </c>
      <c r="L822" s="59" t="str">
        <f t="shared" si="3"/>
        <v/>
      </c>
      <c r="M822" s="60"/>
      <c r="N822" s="61">
        <f t="shared" si="4"/>
        <v>52.19224323</v>
      </c>
      <c r="O822" s="63">
        <f>if(A822,_xlfn.WORKDAY.INTL(A822,O$5,"1000000",Holidays!A:A)+hour(A822)/24+MINUTE(A822)/1440,"")</f>
        <v>46081.71319</v>
      </c>
      <c r="P822" s="64" t="s">
        <v>2718</v>
      </c>
      <c r="R822" s="66">
        <f t="shared" si="5"/>
        <v>52.27071545</v>
      </c>
      <c r="S822" s="66"/>
      <c r="T822" s="66"/>
      <c r="U822" s="64">
        <f>if(O822,_xlfn.WORKDAY.INTL(O822,U$5,"1000000",Holidays!A:A)+hour(O822)/24+MINUTE(O822)/1440,"")</f>
        <v>46082.71319</v>
      </c>
      <c r="V822" s="64" t="str">
        <f t="shared" si="6"/>
        <v/>
      </c>
      <c r="W822" s="66"/>
      <c r="X822" s="66">
        <f t="shared" si="7"/>
        <v>51.27071545</v>
      </c>
      <c r="Y822" s="66"/>
      <c r="Z822" s="66"/>
      <c r="AA822" s="66"/>
      <c r="AB822" s="63"/>
      <c r="AC822" s="63"/>
      <c r="AD822" s="63"/>
      <c r="AE822" s="63"/>
      <c r="AF822" s="63"/>
      <c r="AG822" s="63"/>
      <c r="AH822" s="63" t="str">
        <f t="shared" si="14"/>
        <v/>
      </c>
      <c r="AI822" s="63" t="str">
        <f>if(AH822,_xlfn.workday.intl(int(AH822),0,"1000000",Holidays!A:A)+18/24,"")</f>
        <v/>
      </c>
      <c r="AJ822" s="64" t="str">
        <f t="shared" si="24"/>
        <v/>
      </c>
      <c r="AL822" s="66" t="str">
        <f t="shared" si="9"/>
        <v/>
      </c>
      <c r="AM822" s="66"/>
      <c r="AN822" s="63" t="str">
        <f>if(AJ822,if(and(hour(AJ822+AN$5)&gt;11,(hour(AJ822+AN$5)&lt;20)),AJ822+AN$5,_xlfn.workday.intl(int(AJ822),1,"1000000",Holidays!A:A)+hour(AJ822+AN$5-$B$1)/24+minute(AJ822)/1440),"")</f>
        <v/>
      </c>
      <c r="AO822" s="64" t="str">
        <f t="shared" si="15"/>
        <v/>
      </c>
      <c r="AQ822" s="66" t="str">
        <f t="shared" si="16"/>
        <v/>
      </c>
      <c r="AR822" s="66"/>
      <c r="AS822" s="63" t="str">
        <f>if(AJ822,if(and(hour(AJ822+AS$5)&gt;11,(hour(AJ822+AS$5)&lt;20)),AJ822+AS$5,_xlfn.workday.intl(int(AJ822),1,"1000000",Holidays!A:A)+hour(AJ822+AS$5-$B$1)/24+minute(AJ822)/1440),"")</f>
        <v/>
      </c>
      <c r="AT822" s="64" t="str">
        <f t="shared" si="21"/>
        <v/>
      </c>
      <c r="AV822" s="66" t="str">
        <f t="shared" si="25"/>
        <v/>
      </c>
      <c r="AW822" s="66"/>
      <c r="AX822" s="56"/>
    </row>
    <row r="823">
      <c r="A823" s="55">
        <v>46080.71532631945</v>
      </c>
      <c r="B823" s="56"/>
      <c r="C823" s="57"/>
      <c r="D823" s="57"/>
      <c r="E823" s="57"/>
      <c r="F823" s="57"/>
      <c r="G823" s="58">
        <f>if(A823,_xlfn.workday.intl(int(A823),1,"1000000",Holidays!A:A)+17/24,"")</f>
        <v>46081.70833</v>
      </c>
      <c r="H823" s="59" t="str">
        <f t="shared" si="23"/>
        <v/>
      </c>
      <c r="I823" s="60"/>
      <c r="J823" s="61">
        <f t="shared" si="2"/>
        <v>52.27557656</v>
      </c>
      <c r="K823" s="58">
        <f>if(G823,_xlfn.workday.intl(int(G823),0,"1000000",Holidays!A:A)+19/24,"")</f>
        <v>46081.79167</v>
      </c>
      <c r="L823" s="59" t="str">
        <f t="shared" si="3"/>
        <v/>
      </c>
      <c r="M823" s="60"/>
      <c r="N823" s="61">
        <f t="shared" si="4"/>
        <v>52.19224323</v>
      </c>
      <c r="O823" s="63">
        <f>if(A823,_xlfn.WORKDAY.INTL(A823,O$5,"1000000",Holidays!A:A)+hour(A823)/24+MINUTE(A823)/1440,"")</f>
        <v>46081.71528</v>
      </c>
      <c r="P823" s="64" t="s">
        <v>2718</v>
      </c>
      <c r="R823" s="66">
        <f t="shared" si="5"/>
        <v>52.26863212</v>
      </c>
      <c r="S823" s="66"/>
      <c r="T823" s="66"/>
      <c r="U823" s="64">
        <f>if(O823,_xlfn.WORKDAY.INTL(O823,U$5,"1000000",Holidays!A:A)+hour(O823)/24+MINUTE(O823)/1440,"")</f>
        <v>46082.71528</v>
      </c>
      <c r="V823" s="64" t="str">
        <f t="shared" si="6"/>
        <v/>
      </c>
      <c r="W823" s="66"/>
      <c r="X823" s="66">
        <f t="shared" si="7"/>
        <v>51.26863212</v>
      </c>
      <c r="Y823" s="66"/>
      <c r="Z823" s="66"/>
      <c r="AA823" s="66"/>
      <c r="AB823" s="63"/>
      <c r="AC823" s="63"/>
      <c r="AD823" s="63"/>
      <c r="AE823" s="63"/>
      <c r="AF823" s="63"/>
      <c r="AG823" s="63"/>
      <c r="AH823" s="63" t="str">
        <f t="shared" si="14"/>
        <v/>
      </c>
      <c r="AI823" s="63" t="str">
        <f>if(AH823,_xlfn.workday.intl(int(AH823),0,"1000000",Holidays!A:A)+18/24,"")</f>
        <v/>
      </c>
      <c r="AJ823" s="64" t="str">
        <f t="shared" si="24"/>
        <v/>
      </c>
      <c r="AL823" s="66" t="str">
        <f t="shared" si="9"/>
        <v/>
      </c>
      <c r="AM823" s="66"/>
      <c r="AN823" s="63" t="str">
        <f>if(AJ823,if(and(hour(AJ823+AN$5)&gt;11,(hour(AJ823+AN$5)&lt;20)),AJ823+AN$5,_xlfn.workday.intl(int(AJ823),1,"1000000",Holidays!A:A)+hour(AJ823+AN$5-$B$1)/24+minute(AJ823)/1440),"")</f>
        <v/>
      </c>
      <c r="AO823" s="64" t="str">
        <f t="shared" si="15"/>
        <v/>
      </c>
      <c r="AQ823" s="66" t="str">
        <f t="shared" si="16"/>
        <v/>
      </c>
      <c r="AR823" s="66"/>
      <c r="AS823" s="63" t="str">
        <f>if(AJ823,if(and(hour(AJ823+AS$5)&gt;11,(hour(AJ823+AS$5)&lt;20)),AJ823+AS$5,_xlfn.workday.intl(int(AJ823),1,"1000000",Holidays!A:A)+hour(AJ823+AS$5-$B$1)/24+minute(AJ823)/1440),"")</f>
        <v/>
      </c>
      <c r="AT823" s="64" t="str">
        <f t="shared" si="21"/>
        <v/>
      </c>
      <c r="AV823" s="66" t="str">
        <f t="shared" si="25"/>
        <v/>
      </c>
      <c r="AW823" s="66"/>
      <c r="AX823" s="56"/>
    </row>
    <row r="824">
      <c r="A824" s="55">
        <v>46101.660624571756</v>
      </c>
      <c r="B824" s="56"/>
      <c r="C824" s="57"/>
      <c r="D824" s="57"/>
      <c r="E824" s="57"/>
      <c r="F824" s="57"/>
      <c r="G824" s="58">
        <f>if(A824,_xlfn.workday.intl(int(A824),1,"1000000",Holidays!A:A)+17/24,"")</f>
        <v>46102.70833</v>
      </c>
      <c r="H824" s="59" t="str">
        <f t="shared" si="23"/>
        <v/>
      </c>
      <c r="I824" s="60"/>
      <c r="J824" s="61">
        <f t="shared" si="2"/>
        <v>31.27557656</v>
      </c>
      <c r="K824" s="58">
        <f>if(G824,_xlfn.workday.intl(int(G824),0,"1000000",Holidays!A:A)+19/24,"")</f>
        <v>46102.79167</v>
      </c>
      <c r="L824" s="59" t="str">
        <f t="shared" si="3"/>
        <v/>
      </c>
      <c r="M824" s="60"/>
      <c r="N824" s="61">
        <f t="shared" si="4"/>
        <v>31.19224323</v>
      </c>
      <c r="O824" s="63">
        <f>if(A824,_xlfn.WORKDAY.INTL(A824,O$5,"1000000",Holidays!A:A)+hour(A824)/24+MINUTE(A824)/1440,"")</f>
        <v>46102.66042</v>
      </c>
      <c r="P824" s="64" t="s">
        <v>2718</v>
      </c>
      <c r="R824" s="66">
        <f t="shared" si="5"/>
        <v>31.32349323</v>
      </c>
      <c r="S824" s="66"/>
      <c r="T824" s="66"/>
      <c r="U824" s="64">
        <f>if(O824,_xlfn.WORKDAY.INTL(O824,U$5,"1000000",Holidays!A:A)+hour(O824)/24+MINUTE(O824)/1440,"")</f>
        <v>46103.66042</v>
      </c>
      <c r="V824" s="64" t="str">
        <f t="shared" si="6"/>
        <v/>
      </c>
      <c r="W824" s="66"/>
      <c r="X824" s="66">
        <f t="shared" si="7"/>
        <v>30.32349323</v>
      </c>
      <c r="Y824" s="66"/>
      <c r="Z824" s="66"/>
      <c r="AA824" s="66"/>
      <c r="AB824" s="63"/>
      <c r="AC824" s="63"/>
      <c r="AD824" s="63"/>
      <c r="AE824" s="63"/>
      <c r="AF824" s="63"/>
      <c r="AG824" s="63"/>
      <c r="AH824" s="63" t="str">
        <f t="shared" si="14"/>
        <v/>
      </c>
      <c r="AI824" s="63" t="str">
        <f>if(AH824,_xlfn.workday.intl(int(AH824),0,"1000000",Holidays!A:A)+18/24,"")</f>
        <v/>
      </c>
      <c r="AJ824" s="64" t="str">
        <f t="shared" si="24"/>
        <v/>
      </c>
      <c r="AL824" s="66" t="str">
        <f t="shared" si="9"/>
        <v/>
      </c>
      <c r="AM824" s="66"/>
      <c r="AN824" s="63" t="str">
        <f>if(AJ824,if(and(hour(AJ824+AN$5)&gt;11,(hour(AJ824+AN$5)&lt;20)),AJ824+AN$5,_xlfn.workday.intl(int(AJ824),1,"1000000",Holidays!A:A)+hour(AJ824+AN$5-$B$1)/24+minute(AJ824)/1440),"")</f>
        <v/>
      </c>
      <c r="AO824" s="64" t="str">
        <f t="shared" si="15"/>
        <v/>
      </c>
      <c r="AQ824" s="66" t="str">
        <f t="shared" si="16"/>
        <v/>
      </c>
      <c r="AR824" s="66"/>
      <c r="AS824" s="63" t="str">
        <f>if(AJ824,if(and(hour(AJ824+AS$5)&gt;11,(hour(AJ824+AS$5)&lt;20)),AJ824+AS$5,_xlfn.workday.intl(int(AJ824),1,"1000000",Holidays!A:A)+hour(AJ824+AS$5-$B$1)/24+minute(AJ824)/1440),"")</f>
        <v/>
      </c>
      <c r="AT824" s="64" t="str">
        <f t="shared" si="21"/>
        <v/>
      </c>
      <c r="AV824" s="66" t="str">
        <f t="shared" si="25"/>
        <v/>
      </c>
      <c r="AW824" s="66"/>
      <c r="AX824" s="56"/>
    </row>
    <row r="825">
      <c r="A825" s="55">
        <v>46101.66182459491</v>
      </c>
      <c r="B825" s="56"/>
      <c r="C825" s="57"/>
      <c r="D825" s="57"/>
      <c r="E825" s="57"/>
      <c r="F825" s="57"/>
      <c r="G825" s="58">
        <f>if(A825,_xlfn.workday.intl(int(A825),1,"1000000",Holidays!A:A)+17/24,"")</f>
        <v>46102.70833</v>
      </c>
      <c r="H825" s="59" t="str">
        <f t="shared" si="23"/>
        <v/>
      </c>
      <c r="I825" s="60"/>
      <c r="J825" s="61">
        <f t="shared" si="2"/>
        <v>31.27557656</v>
      </c>
      <c r="K825" s="58">
        <f>if(G825,_xlfn.workday.intl(int(G825),0,"1000000",Holidays!A:A)+19/24,"")</f>
        <v>46102.79167</v>
      </c>
      <c r="L825" s="59" t="str">
        <f t="shared" si="3"/>
        <v/>
      </c>
      <c r="M825" s="60"/>
      <c r="N825" s="61">
        <f t="shared" si="4"/>
        <v>31.19224323</v>
      </c>
      <c r="O825" s="63">
        <f>if(A825,_xlfn.WORKDAY.INTL(A825,O$5,"1000000",Holidays!A:A)+hour(A825)/24+MINUTE(A825)/1440,"")</f>
        <v>46102.66181</v>
      </c>
      <c r="P825" s="64" t="s">
        <v>2718</v>
      </c>
      <c r="R825" s="66">
        <f t="shared" si="5"/>
        <v>31.32210434</v>
      </c>
      <c r="S825" s="66"/>
      <c r="T825" s="66"/>
      <c r="U825" s="64">
        <f>if(O825,_xlfn.WORKDAY.INTL(O825,U$5,"1000000",Holidays!A:A)+hour(O825)/24+MINUTE(O825)/1440,"")</f>
        <v>46103.66181</v>
      </c>
      <c r="V825" s="64" t="str">
        <f t="shared" si="6"/>
        <v/>
      </c>
      <c r="W825" s="66"/>
      <c r="X825" s="66">
        <f t="shared" si="7"/>
        <v>30.32210434</v>
      </c>
      <c r="Y825" s="66"/>
      <c r="Z825" s="66"/>
      <c r="AA825" s="66"/>
      <c r="AB825" s="63"/>
      <c r="AC825" s="63"/>
      <c r="AD825" s="63"/>
      <c r="AE825" s="63"/>
      <c r="AF825" s="63"/>
      <c r="AG825" s="63"/>
      <c r="AH825" s="63" t="str">
        <f t="shared" si="14"/>
        <v/>
      </c>
      <c r="AI825" s="63" t="str">
        <f>if(AH825,_xlfn.workday.intl(int(AH825),0,"1000000",Holidays!A:A)+18/24,"")</f>
        <v/>
      </c>
      <c r="AJ825" s="64" t="str">
        <f t="shared" si="24"/>
        <v/>
      </c>
      <c r="AL825" s="66" t="str">
        <f t="shared" si="9"/>
        <v/>
      </c>
      <c r="AM825" s="66"/>
      <c r="AN825" s="63" t="str">
        <f>if(AJ825,if(and(hour(AJ825+AN$5)&gt;11,(hour(AJ825+AN$5)&lt;20)),AJ825+AN$5,_xlfn.workday.intl(int(AJ825),1,"1000000",Holidays!A:A)+hour(AJ825+AN$5-$B$1)/24+minute(AJ825)/1440),"")</f>
        <v/>
      </c>
      <c r="AO825" s="64" t="str">
        <f t="shared" si="15"/>
        <v/>
      </c>
      <c r="AQ825" s="66" t="str">
        <f t="shared" si="16"/>
        <v/>
      </c>
      <c r="AR825" s="66"/>
      <c r="AS825" s="63" t="str">
        <f>if(AJ825,if(and(hour(AJ825+AS$5)&gt;11,(hour(AJ825+AS$5)&lt;20)),AJ825+AS$5,_xlfn.workday.intl(int(AJ825),1,"1000000",Holidays!A:A)+hour(AJ825+AS$5-$B$1)/24+minute(AJ825)/1440),"")</f>
        <v/>
      </c>
      <c r="AT825" s="64" t="str">
        <f t="shared" si="21"/>
        <v/>
      </c>
      <c r="AV825" s="66" t="str">
        <f t="shared" si="25"/>
        <v/>
      </c>
      <c r="AW825" s="66"/>
      <c r="AX825" s="56"/>
    </row>
    <row r="826">
      <c r="A826" s="55">
        <v>46101.66322503472</v>
      </c>
      <c r="B826" s="56"/>
      <c r="C826" s="57"/>
      <c r="D826" s="57"/>
      <c r="E826" s="57"/>
      <c r="F826" s="57"/>
      <c r="G826" s="58">
        <f>if(A826,_xlfn.workday.intl(int(A826),1,"1000000",Holidays!A:A)+17/24,"")</f>
        <v>46102.70833</v>
      </c>
      <c r="H826" s="59" t="str">
        <f t="shared" si="23"/>
        <v/>
      </c>
      <c r="I826" s="60"/>
      <c r="J826" s="61">
        <f t="shared" si="2"/>
        <v>31.27557656</v>
      </c>
      <c r="K826" s="58">
        <f>if(G826,_xlfn.workday.intl(int(G826),0,"1000000",Holidays!A:A)+19/24,"")</f>
        <v>46102.79167</v>
      </c>
      <c r="L826" s="59" t="str">
        <f t="shared" si="3"/>
        <v/>
      </c>
      <c r="M826" s="60"/>
      <c r="N826" s="61">
        <f t="shared" si="4"/>
        <v>31.19224323</v>
      </c>
      <c r="O826" s="63">
        <f>if(A826,_xlfn.WORKDAY.INTL(A826,O$5,"1000000",Holidays!A:A)+hour(A826)/24+MINUTE(A826)/1440,"")</f>
        <v>46102.66319</v>
      </c>
      <c r="P826" s="64" t="s">
        <v>2718</v>
      </c>
      <c r="R826" s="66">
        <f t="shared" si="5"/>
        <v>31.32071545</v>
      </c>
      <c r="S826" s="66"/>
      <c r="T826" s="66"/>
      <c r="U826" s="64">
        <f>if(O826,_xlfn.WORKDAY.INTL(O826,U$5,"1000000",Holidays!A:A)+hour(O826)/24+MINUTE(O826)/1440,"")</f>
        <v>46103.66319</v>
      </c>
      <c r="V826" s="64" t="str">
        <f t="shared" si="6"/>
        <v/>
      </c>
      <c r="W826" s="66"/>
      <c r="X826" s="66">
        <f t="shared" si="7"/>
        <v>30.32071545</v>
      </c>
      <c r="Y826" s="66"/>
      <c r="Z826" s="66"/>
      <c r="AA826" s="66"/>
      <c r="AB826" s="63"/>
      <c r="AC826" s="63"/>
      <c r="AD826" s="63"/>
      <c r="AE826" s="63"/>
      <c r="AF826" s="63"/>
      <c r="AG826" s="63"/>
      <c r="AH826" s="63" t="str">
        <f t="shared" si="14"/>
        <v/>
      </c>
      <c r="AI826" s="63" t="str">
        <f>if(AH826,_xlfn.workday.intl(int(AH826),0,"1000000",Holidays!A:A)+18/24,"")</f>
        <v/>
      </c>
      <c r="AJ826" s="64" t="str">
        <f t="shared" si="24"/>
        <v/>
      </c>
      <c r="AL826" s="66" t="str">
        <f t="shared" si="9"/>
        <v/>
      </c>
      <c r="AM826" s="66"/>
      <c r="AN826" s="63" t="str">
        <f>if(AJ826,if(and(hour(AJ826+AN$5)&gt;11,(hour(AJ826+AN$5)&lt;20)),AJ826+AN$5,_xlfn.workday.intl(int(AJ826),1,"1000000",Holidays!A:A)+hour(AJ826+AN$5-$B$1)/24+minute(AJ826)/1440),"")</f>
        <v/>
      </c>
      <c r="AO826" s="64" t="str">
        <f t="shared" si="15"/>
        <v/>
      </c>
      <c r="AQ826" s="66" t="str">
        <f t="shared" si="16"/>
        <v/>
      </c>
      <c r="AR826" s="66"/>
      <c r="AS826" s="63" t="str">
        <f>if(AJ826,if(and(hour(AJ826+AS$5)&gt;11,(hour(AJ826+AS$5)&lt;20)),AJ826+AS$5,_xlfn.workday.intl(int(AJ826),1,"1000000",Holidays!A:A)+hour(AJ826+AS$5-$B$1)/24+minute(AJ826)/1440),"")</f>
        <v/>
      </c>
      <c r="AT826" s="64" t="str">
        <f t="shared" si="21"/>
        <v/>
      </c>
      <c r="AV826" s="66" t="str">
        <f t="shared" si="25"/>
        <v/>
      </c>
      <c r="AW826" s="66"/>
      <c r="AX826" s="56"/>
    </row>
    <row r="827">
      <c r="A827" s="55">
        <v>46101.66571261574</v>
      </c>
      <c r="B827" s="56"/>
      <c r="C827" s="57"/>
      <c r="D827" s="57"/>
      <c r="E827" s="57"/>
      <c r="F827" s="57"/>
      <c r="G827" s="58">
        <f>if(A827,_xlfn.workday.intl(int(A827),1,"1000000",Holidays!A:A)+17/24,"")</f>
        <v>46102.70833</v>
      </c>
      <c r="H827" s="59" t="str">
        <f t="shared" si="23"/>
        <v/>
      </c>
      <c r="I827" s="60"/>
      <c r="J827" s="61">
        <f t="shared" si="2"/>
        <v>31.27557656</v>
      </c>
      <c r="K827" s="58">
        <f>if(G827,_xlfn.workday.intl(int(G827),0,"1000000",Holidays!A:A)+19/24,"")</f>
        <v>46102.79167</v>
      </c>
      <c r="L827" s="59" t="str">
        <f t="shared" si="3"/>
        <v/>
      </c>
      <c r="M827" s="60"/>
      <c r="N827" s="61">
        <f t="shared" si="4"/>
        <v>31.19224323</v>
      </c>
      <c r="O827" s="63">
        <f>if(A827,_xlfn.WORKDAY.INTL(A827,O$5,"1000000",Holidays!A:A)+hour(A827)/24+MINUTE(A827)/1440,"")</f>
        <v>46102.66528</v>
      </c>
      <c r="P827" s="64" t="s">
        <v>2718</v>
      </c>
      <c r="R827" s="66">
        <f t="shared" si="5"/>
        <v>31.31863212</v>
      </c>
      <c r="S827" s="66"/>
      <c r="T827" s="66"/>
      <c r="U827" s="64">
        <f>if(O827,_xlfn.WORKDAY.INTL(O827,U$5,"1000000",Holidays!A:A)+hour(O827)/24+MINUTE(O827)/1440,"")</f>
        <v>46103.66528</v>
      </c>
      <c r="V827" s="64" t="str">
        <f t="shared" si="6"/>
        <v/>
      </c>
      <c r="W827" s="66"/>
      <c r="X827" s="66">
        <f t="shared" si="7"/>
        <v>30.31863212</v>
      </c>
      <c r="Y827" s="66"/>
      <c r="Z827" s="66"/>
      <c r="AA827" s="66"/>
      <c r="AB827" s="63"/>
      <c r="AC827" s="63"/>
      <c r="AD827" s="63"/>
      <c r="AE827" s="63"/>
      <c r="AF827" s="63"/>
      <c r="AG827" s="63"/>
      <c r="AH827" s="63" t="str">
        <f t="shared" si="14"/>
        <v/>
      </c>
      <c r="AI827" s="63" t="str">
        <f>if(AH827,_xlfn.workday.intl(int(AH827),0,"1000000",Holidays!A:A)+18/24,"")</f>
        <v/>
      </c>
      <c r="AJ827" s="64" t="str">
        <f t="shared" si="24"/>
        <v/>
      </c>
      <c r="AL827" s="66" t="str">
        <f t="shared" si="9"/>
        <v/>
      </c>
      <c r="AM827" s="66"/>
      <c r="AN827" s="63" t="str">
        <f>if(AJ827,if(and(hour(AJ827+AN$5)&gt;11,(hour(AJ827+AN$5)&lt;20)),AJ827+AN$5,_xlfn.workday.intl(int(AJ827),1,"1000000",Holidays!A:A)+hour(AJ827+AN$5-$B$1)/24+minute(AJ827)/1440),"")</f>
        <v/>
      </c>
      <c r="AO827" s="64" t="str">
        <f t="shared" si="15"/>
        <v/>
      </c>
      <c r="AQ827" s="66" t="str">
        <f t="shared" si="16"/>
        <v/>
      </c>
      <c r="AR827" s="66"/>
      <c r="AS827" s="63" t="str">
        <f>if(AJ827,if(and(hour(AJ827+AS$5)&gt;11,(hour(AJ827+AS$5)&lt;20)),AJ827+AS$5,_xlfn.workday.intl(int(AJ827),1,"1000000",Holidays!A:A)+hour(AJ827+AS$5-$B$1)/24+minute(AJ827)/1440),"")</f>
        <v/>
      </c>
      <c r="AT827" s="64" t="str">
        <f t="shared" si="21"/>
        <v/>
      </c>
      <c r="AV827" s="66" t="str">
        <f t="shared" si="25"/>
        <v/>
      </c>
      <c r="AW827" s="66"/>
      <c r="AX827" s="56"/>
    </row>
    <row r="828">
      <c r="A828" s="55">
        <v>46101.66664472222</v>
      </c>
      <c r="B828" s="56"/>
      <c r="C828" s="57"/>
      <c r="D828" s="57"/>
      <c r="E828" s="57"/>
      <c r="F828" s="57"/>
      <c r="G828" s="58">
        <f>if(A828,_xlfn.workday.intl(int(A828),1,"1000000",Holidays!A:A)+17/24,"")</f>
        <v>46102.70833</v>
      </c>
      <c r="H828" s="59" t="str">
        <f t="shared" si="23"/>
        <v/>
      </c>
      <c r="I828" s="60"/>
      <c r="J828" s="61">
        <f t="shared" si="2"/>
        <v>31.27557656</v>
      </c>
      <c r="K828" s="58">
        <f>if(G828,_xlfn.workday.intl(int(G828),0,"1000000",Holidays!A:A)+19/24,"")</f>
        <v>46102.79167</v>
      </c>
      <c r="L828" s="59" t="str">
        <f t="shared" si="3"/>
        <v/>
      </c>
      <c r="M828" s="60"/>
      <c r="N828" s="61">
        <f t="shared" si="4"/>
        <v>31.19224323</v>
      </c>
      <c r="O828" s="63">
        <f>if(A828,_xlfn.WORKDAY.INTL(A828,O$5,"1000000",Holidays!A:A)+hour(A828)/24+MINUTE(A828)/1440,"")</f>
        <v>46102.66597</v>
      </c>
      <c r="P828" s="64" t="s">
        <v>2718</v>
      </c>
      <c r="R828" s="66">
        <f t="shared" si="5"/>
        <v>31.31793767</v>
      </c>
      <c r="S828" s="66"/>
      <c r="T828" s="66"/>
      <c r="U828" s="64">
        <f>if(O828,_xlfn.WORKDAY.INTL(O828,U$5,"1000000",Holidays!A:A)+hour(O828)/24+MINUTE(O828)/1440,"")</f>
        <v>46103.66597</v>
      </c>
      <c r="V828" s="64" t="str">
        <f t="shared" si="6"/>
        <v/>
      </c>
      <c r="W828" s="66"/>
      <c r="X828" s="66">
        <f t="shared" si="7"/>
        <v>30.31793767</v>
      </c>
      <c r="Y828" s="66"/>
      <c r="Z828" s="66"/>
      <c r="AA828" s="66"/>
      <c r="AB828" s="63"/>
      <c r="AC828" s="63"/>
      <c r="AD828" s="63"/>
      <c r="AE828" s="63"/>
      <c r="AF828" s="63"/>
      <c r="AG828" s="63"/>
      <c r="AH828" s="63" t="str">
        <f t="shared" si="14"/>
        <v/>
      </c>
      <c r="AI828" s="63" t="str">
        <f>if(AH828,_xlfn.workday.intl(int(AH828),0,"1000000",Holidays!A:A)+18/24,"")</f>
        <v/>
      </c>
      <c r="AJ828" s="64" t="str">
        <f t="shared" si="24"/>
        <v/>
      </c>
      <c r="AL828" s="66" t="str">
        <f t="shared" si="9"/>
        <v/>
      </c>
      <c r="AM828" s="66"/>
      <c r="AN828" s="63" t="str">
        <f>if(AJ828,if(and(hour(AJ828+AN$5)&gt;11,(hour(AJ828+AN$5)&lt;20)),AJ828+AN$5,_xlfn.workday.intl(int(AJ828),1,"1000000",Holidays!A:A)+hour(AJ828+AN$5-$B$1)/24+minute(AJ828)/1440),"")</f>
        <v/>
      </c>
      <c r="AO828" s="64" t="str">
        <f t="shared" si="15"/>
        <v/>
      </c>
      <c r="AQ828" s="66" t="str">
        <f t="shared" si="16"/>
        <v/>
      </c>
      <c r="AR828" s="66"/>
      <c r="AS828" s="63" t="str">
        <f>if(AJ828,if(and(hour(AJ828+AS$5)&gt;11,(hour(AJ828+AS$5)&lt;20)),AJ828+AS$5,_xlfn.workday.intl(int(AJ828),1,"1000000",Holidays!A:A)+hour(AJ828+AS$5-$B$1)/24+minute(AJ828)/1440),"")</f>
        <v/>
      </c>
      <c r="AT828" s="64" t="str">
        <f t="shared" si="21"/>
        <v/>
      </c>
      <c r="AV828" s="66" t="str">
        <f t="shared" si="25"/>
        <v/>
      </c>
      <c r="AW828" s="66"/>
      <c r="AX828" s="56"/>
    </row>
    <row r="829">
      <c r="A829" s="55">
        <v>46101.66945747685</v>
      </c>
      <c r="B829" s="56"/>
      <c r="C829" s="57"/>
      <c r="D829" s="57"/>
      <c r="E829" s="57"/>
      <c r="F829" s="57"/>
      <c r="G829" s="58">
        <f>if(A829,_xlfn.workday.intl(int(A829),1,"1000000",Holidays!A:A)+17/24,"")</f>
        <v>46102.70833</v>
      </c>
      <c r="H829" s="59" t="str">
        <f t="shared" si="23"/>
        <v/>
      </c>
      <c r="I829" s="60"/>
      <c r="J829" s="61">
        <f t="shared" si="2"/>
        <v>31.27557656</v>
      </c>
      <c r="K829" s="58">
        <f>if(G829,_xlfn.workday.intl(int(G829),0,"1000000",Holidays!A:A)+19/24,"")</f>
        <v>46102.79167</v>
      </c>
      <c r="L829" s="59" t="str">
        <f t="shared" si="3"/>
        <v/>
      </c>
      <c r="M829" s="60"/>
      <c r="N829" s="61">
        <f t="shared" si="4"/>
        <v>31.19224323</v>
      </c>
      <c r="O829" s="63">
        <f>if(A829,_xlfn.WORKDAY.INTL(A829,O$5,"1000000",Holidays!A:A)+hour(A829)/24+MINUTE(A829)/1440,"")</f>
        <v>46102.66944</v>
      </c>
      <c r="P829" s="64" t="s">
        <v>2718</v>
      </c>
      <c r="R829" s="66">
        <f t="shared" si="5"/>
        <v>31.31446545</v>
      </c>
      <c r="S829" s="66"/>
      <c r="T829" s="66"/>
      <c r="U829" s="64">
        <f>if(O829,_xlfn.WORKDAY.INTL(O829,U$5,"1000000",Holidays!A:A)+hour(O829)/24+MINUTE(O829)/1440,"")</f>
        <v>46103.66944</v>
      </c>
      <c r="V829" s="64" t="str">
        <f t="shared" si="6"/>
        <v/>
      </c>
      <c r="W829" s="66"/>
      <c r="X829" s="66">
        <f t="shared" si="7"/>
        <v>30.31446545</v>
      </c>
      <c r="Y829" s="66"/>
      <c r="Z829" s="66"/>
      <c r="AA829" s="66"/>
      <c r="AB829" s="63"/>
      <c r="AC829" s="63"/>
      <c r="AD829" s="63"/>
      <c r="AE829" s="63"/>
      <c r="AF829" s="63"/>
      <c r="AG829" s="63"/>
      <c r="AH829" s="63" t="str">
        <f t="shared" si="14"/>
        <v/>
      </c>
      <c r="AI829" s="63" t="str">
        <f>if(AH829,_xlfn.workday.intl(int(AH829),0,"1000000",Holidays!A:A)+18/24,"")</f>
        <v/>
      </c>
      <c r="AJ829" s="64" t="str">
        <f t="shared" si="24"/>
        <v/>
      </c>
      <c r="AL829" s="66" t="str">
        <f t="shared" si="9"/>
        <v/>
      </c>
      <c r="AM829" s="66"/>
      <c r="AN829" s="63" t="str">
        <f>if(AJ829,if(and(hour(AJ829+AN$5)&gt;11,(hour(AJ829+AN$5)&lt;20)),AJ829+AN$5,_xlfn.workday.intl(int(AJ829),1,"1000000",Holidays!A:A)+hour(AJ829+AN$5-$B$1)/24+minute(AJ829)/1440),"")</f>
        <v/>
      </c>
      <c r="AO829" s="64" t="str">
        <f t="shared" si="15"/>
        <v/>
      </c>
      <c r="AQ829" s="66" t="str">
        <f t="shared" si="16"/>
        <v/>
      </c>
      <c r="AR829" s="66"/>
      <c r="AS829" s="63" t="str">
        <f>if(AJ829,if(and(hour(AJ829+AS$5)&gt;11,(hour(AJ829+AS$5)&lt;20)),AJ829+AS$5,_xlfn.workday.intl(int(AJ829),1,"1000000",Holidays!A:A)+hour(AJ829+AS$5-$B$1)/24+minute(AJ829)/1440),"")</f>
        <v/>
      </c>
      <c r="AT829" s="64" t="str">
        <f t="shared" si="21"/>
        <v/>
      </c>
      <c r="AV829" s="66" t="str">
        <f t="shared" si="25"/>
        <v/>
      </c>
      <c r="AW829" s="66"/>
      <c r="AX829" s="56"/>
    </row>
    <row r="830">
      <c r="A830" s="55">
        <v>46101.67047327546</v>
      </c>
      <c r="B830" s="56"/>
      <c r="C830" s="57"/>
      <c r="D830" s="57"/>
      <c r="E830" s="57"/>
      <c r="F830" s="57"/>
      <c r="G830" s="58">
        <f>if(A830,_xlfn.workday.intl(int(A830),1,"1000000",Holidays!A:A)+17/24,"")</f>
        <v>46102.70833</v>
      </c>
      <c r="H830" s="59" t="str">
        <f t="shared" si="23"/>
        <v/>
      </c>
      <c r="I830" s="60"/>
      <c r="J830" s="61">
        <f t="shared" si="2"/>
        <v>31.27557656</v>
      </c>
      <c r="K830" s="58">
        <f>if(G830,_xlfn.workday.intl(int(G830),0,"1000000",Holidays!A:A)+19/24,"")</f>
        <v>46102.79167</v>
      </c>
      <c r="L830" s="59" t="str">
        <f t="shared" si="3"/>
        <v/>
      </c>
      <c r="M830" s="60"/>
      <c r="N830" s="61">
        <f t="shared" si="4"/>
        <v>31.19224323</v>
      </c>
      <c r="O830" s="63">
        <f>if(A830,_xlfn.WORKDAY.INTL(A830,O$5,"1000000",Holidays!A:A)+hour(A830)/24+MINUTE(A830)/1440,"")</f>
        <v>46102.67014</v>
      </c>
      <c r="P830" s="64" t="s">
        <v>2718</v>
      </c>
      <c r="R830" s="66">
        <f t="shared" si="5"/>
        <v>31.31377101</v>
      </c>
      <c r="S830" s="66"/>
      <c r="T830" s="66"/>
      <c r="U830" s="64">
        <f>if(O830,_xlfn.WORKDAY.INTL(O830,U$5,"1000000",Holidays!A:A)+hour(O830)/24+MINUTE(O830)/1440,"")</f>
        <v>46103.67014</v>
      </c>
      <c r="V830" s="64" t="str">
        <f t="shared" si="6"/>
        <v/>
      </c>
      <c r="W830" s="66"/>
      <c r="X830" s="66">
        <f t="shared" si="7"/>
        <v>30.31377101</v>
      </c>
      <c r="Y830" s="66"/>
      <c r="Z830" s="66"/>
      <c r="AA830" s="66"/>
      <c r="AB830" s="63"/>
      <c r="AC830" s="63"/>
      <c r="AD830" s="63"/>
      <c r="AE830" s="63"/>
      <c r="AF830" s="63"/>
      <c r="AG830" s="63"/>
      <c r="AH830" s="63" t="str">
        <f t="shared" si="14"/>
        <v/>
      </c>
      <c r="AI830" s="63" t="str">
        <f>if(AH830,_xlfn.workday.intl(int(AH830),0,"1000000",Holidays!A:A)+18/24,"")</f>
        <v/>
      </c>
      <c r="AJ830" s="64" t="str">
        <f t="shared" si="24"/>
        <v/>
      </c>
      <c r="AL830" s="66" t="str">
        <f t="shared" si="9"/>
        <v/>
      </c>
      <c r="AM830" s="66"/>
      <c r="AN830" s="63" t="str">
        <f>if(AJ830,if(and(hour(AJ830+AN$5)&gt;11,(hour(AJ830+AN$5)&lt;20)),AJ830+AN$5,_xlfn.workday.intl(int(AJ830),1,"1000000",Holidays!A:A)+hour(AJ830+AN$5-$B$1)/24+minute(AJ830)/1440),"")</f>
        <v/>
      </c>
      <c r="AO830" s="64" t="str">
        <f t="shared" si="15"/>
        <v/>
      </c>
      <c r="AQ830" s="66" t="str">
        <f t="shared" si="16"/>
        <v/>
      </c>
      <c r="AR830" s="66"/>
      <c r="AS830" s="63" t="str">
        <f>if(AJ830,if(and(hour(AJ830+AS$5)&gt;11,(hour(AJ830+AS$5)&lt;20)),AJ830+AS$5,_xlfn.workday.intl(int(AJ830),1,"1000000",Holidays!A:A)+hour(AJ830+AS$5-$B$1)/24+minute(AJ830)/1440),"")</f>
        <v/>
      </c>
      <c r="AT830" s="64" t="str">
        <f t="shared" si="21"/>
        <v/>
      </c>
      <c r="AV830" s="66" t="str">
        <f t="shared" si="25"/>
        <v/>
      </c>
      <c r="AW830" s="66"/>
      <c r="AX830" s="56"/>
    </row>
    <row r="831">
      <c r="A831" s="55">
        <v>46101.672076840274</v>
      </c>
      <c r="B831" s="56"/>
      <c r="C831" s="57"/>
      <c r="D831" s="57"/>
      <c r="E831" s="57"/>
      <c r="F831" s="57"/>
      <c r="G831" s="58">
        <f>if(A831,_xlfn.workday.intl(int(A831),1,"1000000",Holidays!A:A)+17/24,"")</f>
        <v>46102.70833</v>
      </c>
      <c r="H831" s="59" t="str">
        <f t="shared" si="23"/>
        <v/>
      </c>
      <c r="I831" s="60"/>
      <c r="J831" s="61">
        <f t="shared" si="2"/>
        <v>31.27557656</v>
      </c>
      <c r="K831" s="58">
        <f>if(G831,_xlfn.workday.intl(int(G831),0,"1000000",Holidays!A:A)+19/24,"")</f>
        <v>46102.79167</v>
      </c>
      <c r="L831" s="59" t="str">
        <f t="shared" si="3"/>
        <v/>
      </c>
      <c r="M831" s="60"/>
      <c r="N831" s="61">
        <f t="shared" si="4"/>
        <v>31.19224323</v>
      </c>
      <c r="O831" s="63">
        <f>if(A831,_xlfn.WORKDAY.INTL(A831,O$5,"1000000",Holidays!A:A)+hour(A831)/24+MINUTE(A831)/1440,"")</f>
        <v>46102.67153</v>
      </c>
      <c r="P831" s="64" t="s">
        <v>2718</v>
      </c>
      <c r="R831" s="66">
        <f t="shared" si="5"/>
        <v>31.31238212</v>
      </c>
      <c r="S831" s="66"/>
      <c r="T831" s="66"/>
      <c r="U831" s="64">
        <f>if(O831,_xlfn.WORKDAY.INTL(O831,U$5,"1000000",Holidays!A:A)+hour(O831)/24+MINUTE(O831)/1440,"")</f>
        <v>46103.67153</v>
      </c>
      <c r="V831" s="64" t="str">
        <f t="shared" si="6"/>
        <v/>
      </c>
      <c r="W831" s="66"/>
      <c r="X831" s="66">
        <f t="shared" si="7"/>
        <v>30.31238212</v>
      </c>
      <c r="Y831" s="66"/>
      <c r="Z831" s="66"/>
      <c r="AA831" s="66"/>
      <c r="AB831" s="63"/>
      <c r="AC831" s="63"/>
      <c r="AD831" s="63"/>
      <c r="AE831" s="63"/>
      <c r="AF831" s="63"/>
      <c r="AG831" s="63"/>
      <c r="AH831" s="63" t="str">
        <f t="shared" si="14"/>
        <v/>
      </c>
      <c r="AI831" s="63" t="str">
        <f>if(AH831,_xlfn.workday.intl(int(AH831),0,"1000000",Holidays!A:A)+18/24,"")</f>
        <v/>
      </c>
      <c r="AJ831" s="64" t="str">
        <f t="shared" si="24"/>
        <v/>
      </c>
      <c r="AL831" s="66" t="str">
        <f t="shared" si="9"/>
        <v/>
      </c>
      <c r="AM831" s="66"/>
      <c r="AN831" s="63" t="str">
        <f>if(AJ831,if(and(hour(AJ831+AN$5)&gt;11,(hour(AJ831+AN$5)&lt;20)),AJ831+AN$5,_xlfn.workday.intl(int(AJ831),1,"1000000",Holidays!A:A)+hour(AJ831+AN$5-$B$1)/24+minute(AJ831)/1440),"")</f>
        <v/>
      </c>
      <c r="AO831" s="64" t="str">
        <f t="shared" si="15"/>
        <v/>
      </c>
      <c r="AQ831" s="66" t="str">
        <f t="shared" si="16"/>
        <v/>
      </c>
      <c r="AR831" s="66"/>
      <c r="AS831" s="63" t="str">
        <f>if(AJ831,if(and(hour(AJ831+AS$5)&gt;11,(hour(AJ831+AS$5)&lt;20)),AJ831+AS$5,_xlfn.workday.intl(int(AJ831),1,"1000000",Holidays!A:A)+hour(AJ831+AS$5-$B$1)/24+minute(AJ831)/1440),"")</f>
        <v/>
      </c>
      <c r="AT831" s="64" t="str">
        <f t="shared" si="21"/>
        <v/>
      </c>
      <c r="AV831" s="66" t="str">
        <f t="shared" si="25"/>
        <v/>
      </c>
      <c r="AW831" s="66"/>
      <c r="AX831" s="56"/>
    </row>
    <row r="832">
      <c r="A832" s="55">
        <v>46101.67282074074</v>
      </c>
      <c r="B832" s="56"/>
      <c r="C832" s="57"/>
      <c r="D832" s="57"/>
      <c r="E832" s="57"/>
      <c r="F832" s="57"/>
      <c r="G832" s="58">
        <f>if(A832,_xlfn.workday.intl(int(A832),1,"1000000",Holidays!A:A)+17/24,"")</f>
        <v>46102.70833</v>
      </c>
      <c r="H832" s="59" t="str">
        <f t="shared" si="23"/>
        <v/>
      </c>
      <c r="I832" s="60"/>
      <c r="J832" s="61">
        <f t="shared" si="2"/>
        <v>31.27557656</v>
      </c>
      <c r="K832" s="58">
        <f>if(G832,_xlfn.workday.intl(int(G832),0,"1000000",Holidays!A:A)+19/24,"")</f>
        <v>46102.79167</v>
      </c>
      <c r="L832" s="59" t="str">
        <f t="shared" si="3"/>
        <v/>
      </c>
      <c r="M832" s="60"/>
      <c r="N832" s="61">
        <f t="shared" si="4"/>
        <v>31.19224323</v>
      </c>
      <c r="O832" s="63">
        <f>if(A832,_xlfn.WORKDAY.INTL(A832,O$5,"1000000",Holidays!A:A)+hour(A832)/24+MINUTE(A832)/1440,"")</f>
        <v>46102.67222</v>
      </c>
      <c r="P832" s="64" t="s">
        <v>2718</v>
      </c>
      <c r="R832" s="66">
        <f t="shared" si="5"/>
        <v>31.31168767</v>
      </c>
      <c r="S832" s="66"/>
      <c r="T832" s="66"/>
      <c r="U832" s="64">
        <f>if(O832,_xlfn.WORKDAY.INTL(O832,U$5,"1000000",Holidays!A:A)+hour(O832)/24+MINUTE(O832)/1440,"")</f>
        <v>46103.67222</v>
      </c>
      <c r="V832" s="64" t="str">
        <f t="shared" si="6"/>
        <v/>
      </c>
      <c r="W832" s="66"/>
      <c r="X832" s="66">
        <f t="shared" si="7"/>
        <v>30.31168767</v>
      </c>
      <c r="Y832" s="66"/>
      <c r="Z832" s="66"/>
      <c r="AA832" s="66"/>
      <c r="AB832" s="63"/>
      <c r="AC832" s="63"/>
      <c r="AD832" s="63"/>
      <c r="AE832" s="63"/>
      <c r="AF832" s="63"/>
      <c r="AG832" s="63"/>
      <c r="AH832" s="63" t="str">
        <f t="shared" si="14"/>
        <v/>
      </c>
      <c r="AI832" s="63" t="str">
        <f>if(AH832,_xlfn.workday.intl(int(AH832),0,"1000000",Holidays!A:A)+18/24,"")</f>
        <v/>
      </c>
      <c r="AJ832" s="64" t="str">
        <f t="shared" si="24"/>
        <v/>
      </c>
      <c r="AL832" s="66" t="str">
        <f t="shared" si="9"/>
        <v/>
      </c>
      <c r="AM832" s="66"/>
      <c r="AN832" s="63" t="str">
        <f>if(AJ832,if(and(hour(AJ832+AN$5)&gt;11,(hour(AJ832+AN$5)&lt;20)),AJ832+AN$5,_xlfn.workday.intl(int(AJ832),1,"1000000",Holidays!A:A)+hour(AJ832+AN$5-$B$1)/24+minute(AJ832)/1440),"")</f>
        <v/>
      </c>
      <c r="AO832" s="64" t="str">
        <f t="shared" si="15"/>
        <v/>
      </c>
      <c r="AQ832" s="66" t="str">
        <f t="shared" si="16"/>
        <v/>
      </c>
      <c r="AR832" s="66"/>
      <c r="AS832" s="63" t="str">
        <f>if(AJ832,if(and(hour(AJ832+AS$5)&gt;11,(hour(AJ832+AS$5)&lt;20)),AJ832+AS$5,_xlfn.workday.intl(int(AJ832),1,"1000000",Holidays!A:A)+hour(AJ832+AS$5-$B$1)/24+minute(AJ832)/1440),"")</f>
        <v/>
      </c>
      <c r="AT832" s="64" t="str">
        <f t="shared" si="21"/>
        <v/>
      </c>
      <c r="AV832" s="66" t="str">
        <f t="shared" si="25"/>
        <v/>
      </c>
      <c r="AW832" s="66"/>
      <c r="AX832" s="56"/>
    </row>
    <row r="833">
      <c r="A833" s="55">
        <v>46101.67404405093</v>
      </c>
      <c r="B833" s="56"/>
      <c r="C833" s="57"/>
      <c r="D833" s="57"/>
      <c r="E833" s="57"/>
      <c r="F833" s="57"/>
      <c r="G833" s="58">
        <f>if(A833,_xlfn.workday.intl(int(A833),1,"1000000",Holidays!A:A)+17/24,"")</f>
        <v>46102.70833</v>
      </c>
      <c r="H833" s="59" t="str">
        <f t="shared" si="23"/>
        <v/>
      </c>
      <c r="I833" s="60"/>
      <c r="J833" s="61">
        <f t="shared" si="2"/>
        <v>31.27557656</v>
      </c>
      <c r="K833" s="58">
        <f>if(G833,_xlfn.workday.intl(int(G833),0,"1000000",Holidays!A:A)+19/24,"")</f>
        <v>46102.79167</v>
      </c>
      <c r="L833" s="59" t="str">
        <f t="shared" si="3"/>
        <v/>
      </c>
      <c r="M833" s="60"/>
      <c r="N833" s="61">
        <f t="shared" si="4"/>
        <v>31.19224323</v>
      </c>
      <c r="O833" s="63">
        <f>if(A833,_xlfn.WORKDAY.INTL(A833,O$5,"1000000",Holidays!A:A)+hour(A833)/24+MINUTE(A833)/1440,"")</f>
        <v>46102.67361</v>
      </c>
      <c r="P833" s="64" t="s">
        <v>2718</v>
      </c>
      <c r="R833" s="66">
        <f t="shared" si="5"/>
        <v>31.31029878</v>
      </c>
      <c r="S833" s="66"/>
      <c r="T833" s="66"/>
      <c r="U833" s="64">
        <f>if(O833,_xlfn.WORKDAY.INTL(O833,U$5,"1000000",Holidays!A:A)+hour(O833)/24+MINUTE(O833)/1440,"")</f>
        <v>46103.67361</v>
      </c>
      <c r="V833" s="64" t="str">
        <f t="shared" si="6"/>
        <v/>
      </c>
      <c r="W833" s="66"/>
      <c r="X833" s="66">
        <f t="shared" si="7"/>
        <v>30.31029878</v>
      </c>
      <c r="Y833" s="66"/>
      <c r="Z833" s="66"/>
      <c r="AA833" s="66"/>
      <c r="AB833" s="63"/>
      <c r="AC833" s="63"/>
      <c r="AD833" s="63"/>
      <c r="AE833" s="63"/>
      <c r="AF833" s="63"/>
      <c r="AG833" s="63"/>
      <c r="AH833" s="63" t="str">
        <f t="shared" si="14"/>
        <v/>
      </c>
      <c r="AI833" s="63" t="str">
        <f>if(AH833,_xlfn.workday.intl(int(AH833),0,"1000000",Holidays!A:A)+18/24,"")</f>
        <v/>
      </c>
      <c r="AJ833" s="64" t="str">
        <f t="shared" si="24"/>
        <v/>
      </c>
      <c r="AL833" s="66" t="str">
        <f t="shared" si="9"/>
        <v/>
      </c>
      <c r="AM833" s="66"/>
      <c r="AN833" s="63" t="str">
        <f>if(AJ833,if(and(hour(AJ833+AN$5)&gt;11,(hour(AJ833+AN$5)&lt;20)),AJ833+AN$5,_xlfn.workday.intl(int(AJ833),1,"1000000",Holidays!A:A)+hour(AJ833+AN$5-$B$1)/24+minute(AJ833)/1440),"")</f>
        <v/>
      </c>
      <c r="AO833" s="64" t="str">
        <f t="shared" si="15"/>
        <v/>
      </c>
      <c r="AQ833" s="66" t="str">
        <f t="shared" si="16"/>
        <v/>
      </c>
      <c r="AR833" s="66"/>
      <c r="AS833" s="63" t="str">
        <f>if(AJ833,if(and(hour(AJ833+AS$5)&gt;11,(hour(AJ833+AS$5)&lt;20)),AJ833+AS$5,_xlfn.workday.intl(int(AJ833),1,"1000000",Holidays!A:A)+hour(AJ833+AS$5-$B$1)/24+minute(AJ833)/1440),"")</f>
        <v/>
      </c>
      <c r="AT833" s="64" t="str">
        <f t="shared" si="21"/>
        <v/>
      </c>
      <c r="AV833" s="66" t="str">
        <f t="shared" si="25"/>
        <v/>
      </c>
      <c r="AW833" s="66"/>
      <c r="AX833" s="56"/>
    </row>
    <row r="834">
      <c r="A834" s="55">
        <v>46101.687543912034</v>
      </c>
      <c r="B834" s="56"/>
      <c r="C834" s="57"/>
      <c r="D834" s="57"/>
      <c r="E834" s="57"/>
      <c r="F834" s="57"/>
      <c r="G834" s="58">
        <f>if(A834,_xlfn.workday.intl(int(A834),1,"1000000",Holidays!A:A)+17/24,"")</f>
        <v>46102.70833</v>
      </c>
      <c r="H834" s="59" t="str">
        <f t="shared" si="23"/>
        <v/>
      </c>
      <c r="I834" s="60"/>
      <c r="J834" s="61">
        <f t="shared" si="2"/>
        <v>31.27557656</v>
      </c>
      <c r="K834" s="58">
        <f>if(G834,_xlfn.workday.intl(int(G834),0,"1000000",Holidays!A:A)+19/24,"")</f>
        <v>46102.79167</v>
      </c>
      <c r="L834" s="59" t="str">
        <f t="shared" si="3"/>
        <v/>
      </c>
      <c r="M834" s="60"/>
      <c r="N834" s="61">
        <f t="shared" si="4"/>
        <v>31.19224323</v>
      </c>
      <c r="O834" s="63">
        <f>if(A834,_xlfn.WORKDAY.INTL(A834,O$5,"1000000",Holidays!A:A)+hour(A834)/24+MINUTE(A834)/1440,"")</f>
        <v>46102.6875</v>
      </c>
      <c r="P834" s="64" t="s">
        <v>2718</v>
      </c>
      <c r="R834" s="66">
        <f t="shared" si="5"/>
        <v>31.2964099</v>
      </c>
      <c r="S834" s="66"/>
      <c r="T834" s="66"/>
      <c r="U834" s="64">
        <f>if(O834,_xlfn.WORKDAY.INTL(O834,U$5,"1000000",Holidays!A:A)+hour(O834)/24+MINUTE(O834)/1440,"")</f>
        <v>46103.6875</v>
      </c>
      <c r="V834" s="64" t="str">
        <f t="shared" si="6"/>
        <v/>
      </c>
      <c r="W834" s="66"/>
      <c r="X834" s="66">
        <f t="shared" si="7"/>
        <v>30.2964099</v>
      </c>
      <c r="Y834" s="66"/>
      <c r="Z834" s="66"/>
      <c r="AA834" s="66"/>
      <c r="AB834" s="63"/>
      <c r="AC834" s="63"/>
      <c r="AD834" s="63"/>
      <c r="AE834" s="63"/>
      <c r="AF834" s="63"/>
      <c r="AG834" s="63"/>
      <c r="AH834" s="63" t="str">
        <f t="shared" si="14"/>
        <v/>
      </c>
      <c r="AI834" s="63" t="str">
        <f>if(AH834,_xlfn.workday.intl(int(AH834),0,"1000000",Holidays!A:A)+18/24,"")</f>
        <v/>
      </c>
      <c r="AJ834" s="64" t="str">
        <f t="shared" si="24"/>
        <v/>
      </c>
      <c r="AL834" s="66" t="str">
        <f t="shared" si="9"/>
        <v/>
      </c>
      <c r="AM834" s="66"/>
      <c r="AN834" s="63" t="str">
        <f>if(AJ834,if(and(hour(AJ834+AN$5)&gt;11,(hour(AJ834+AN$5)&lt;20)),AJ834+AN$5,_xlfn.workday.intl(int(AJ834),1,"1000000",Holidays!A:A)+hour(AJ834+AN$5-$B$1)/24+minute(AJ834)/1440),"")</f>
        <v/>
      </c>
      <c r="AO834" s="64" t="str">
        <f t="shared" si="15"/>
        <v/>
      </c>
      <c r="AQ834" s="66" t="str">
        <f t="shared" si="16"/>
        <v/>
      </c>
      <c r="AR834" s="66"/>
      <c r="AS834" s="63" t="str">
        <f>if(AJ834,if(and(hour(AJ834+AS$5)&gt;11,(hour(AJ834+AS$5)&lt;20)),AJ834+AS$5,_xlfn.workday.intl(int(AJ834),1,"1000000",Holidays!A:A)+hour(AJ834+AS$5-$B$1)/24+minute(AJ834)/1440),"")</f>
        <v/>
      </c>
      <c r="AT834" s="64" t="str">
        <f t="shared" si="21"/>
        <v/>
      </c>
      <c r="AV834" s="66" t="str">
        <f t="shared" si="25"/>
        <v/>
      </c>
      <c r="AW834" s="66"/>
      <c r="AX834" s="56"/>
    </row>
    <row r="835">
      <c r="A835" s="55">
        <v>46101.689569988426</v>
      </c>
      <c r="B835" s="56"/>
      <c r="C835" s="57"/>
      <c r="D835" s="57"/>
      <c r="E835" s="57"/>
      <c r="F835" s="57"/>
      <c r="G835" s="58">
        <f>if(A835,_xlfn.workday.intl(int(A835),1,"1000000",Holidays!A:A)+17/24,"")</f>
        <v>46102.70833</v>
      </c>
      <c r="H835" s="59" t="str">
        <f t="shared" si="23"/>
        <v/>
      </c>
      <c r="I835" s="60"/>
      <c r="J835" s="61">
        <f t="shared" si="2"/>
        <v>31.27557656</v>
      </c>
      <c r="K835" s="58">
        <f>if(G835,_xlfn.workday.intl(int(G835),0,"1000000",Holidays!A:A)+19/24,"")</f>
        <v>46102.79167</v>
      </c>
      <c r="L835" s="59" t="str">
        <f t="shared" si="3"/>
        <v/>
      </c>
      <c r="M835" s="60"/>
      <c r="N835" s="61">
        <f t="shared" si="4"/>
        <v>31.19224323</v>
      </c>
      <c r="O835" s="63">
        <f>if(A835,_xlfn.WORKDAY.INTL(A835,O$5,"1000000",Holidays!A:A)+hour(A835)/24+MINUTE(A835)/1440,"")</f>
        <v>46102.68889</v>
      </c>
      <c r="P835" s="64" t="s">
        <v>2718</v>
      </c>
      <c r="R835" s="66">
        <f t="shared" si="5"/>
        <v>31.29502101</v>
      </c>
      <c r="S835" s="66"/>
      <c r="T835" s="66"/>
      <c r="U835" s="64">
        <f>if(O835,_xlfn.WORKDAY.INTL(O835,U$5,"1000000",Holidays!A:A)+hour(O835)/24+MINUTE(O835)/1440,"")</f>
        <v>46103.68889</v>
      </c>
      <c r="V835" s="64" t="str">
        <f t="shared" si="6"/>
        <v/>
      </c>
      <c r="W835" s="66"/>
      <c r="X835" s="66">
        <f t="shared" si="7"/>
        <v>30.29502101</v>
      </c>
      <c r="Y835" s="66"/>
      <c r="Z835" s="66"/>
      <c r="AA835" s="66"/>
      <c r="AB835" s="63"/>
      <c r="AC835" s="63"/>
      <c r="AD835" s="63"/>
      <c r="AE835" s="63"/>
      <c r="AF835" s="63"/>
      <c r="AG835" s="63"/>
      <c r="AH835" s="63" t="str">
        <f t="shared" si="14"/>
        <v/>
      </c>
      <c r="AI835" s="63" t="str">
        <f>if(AH835,_xlfn.workday.intl(int(AH835),0,"1000000",Holidays!A:A)+18/24,"")</f>
        <v/>
      </c>
      <c r="AJ835" s="64" t="str">
        <f t="shared" si="24"/>
        <v/>
      </c>
      <c r="AL835" s="66" t="str">
        <f t="shared" si="9"/>
        <v/>
      </c>
      <c r="AM835" s="66"/>
      <c r="AN835" s="63" t="str">
        <f>if(AJ835,if(and(hour(AJ835+AN$5)&gt;11,(hour(AJ835+AN$5)&lt;20)),AJ835+AN$5,_xlfn.workday.intl(int(AJ835),1,"1000000",Holidays!A:A)+hour(AJ835+AN$5-$B$1)/24+minute(AJ835)/1440),"")</f>
        <v/>
      </c>
      <c r="AO835" s="64" t="str">
        <f t="shared" si="15"/>
        <v/>
      </c>
      <c r="AQ835" s="66" t="str">
        <f t="shared" si="16"/>
        <v/>
      </c>
      <c r="AR835" s="66"/>
      <c r="AS835" s="63" t="str">
        <f>if(AJ835,if(and(hour(AJ835+AS$5)&gt;11,(hour(AJ835+AS$5)&lt;20)),AJ835+AS$5,_xlfn.workday.intl(int(AJ835),1,"1000000",Holidays!A:A)+hour(AJ835+AS$5-$B$1)/24+minute(AJ835)/1440),"")</f>
        <v/>
      </c>
      <c r="AT835" s="64" t="str">
        <f t="shared" si="21"/>
        <v/>
      </c>
      <c r="AV835" s="66" t="str">
        <f t="shared" si="25"/>
        <v/>
      </c>
      <c r="AW835" s="66"/>
      <c r="AX835" s="56"/>
    </row>
    <row r="836">
      <c r="A836" s="55">
        <v>46101.691383819445</v>
      </c>
      <c r="B836" s="56"/>
      <c r="C836" s="57"/>
      <c r="D836" s="57"/>
      <c r="E836" s="57"/>
      <c r="F836" s="57"/>
      <c r="G836" s="58">
        <f>if(A836,_xlfn.workday.intl(int(A836),1,"1000000",Holidays!A:A)+17/24,"")</f>
        <v>46102.70833</v>
      </c>
      <c r="H836" s="59" t="str">
        <f t="shared" si="23"/>
        <v/>
      </c>
      <c r="I836" s="60"/>
      <c r="J836" s="61">
        <f t="shared" si="2"/>
        <v>31.27557656</v>
      </c>
      <c r="K836" s="58">
        <f>if(G836,_xlfn.workday.intl(int(G836),0,"1000000",Holidays!A:A)+19/24,"")</f>
        <v>46102.79167</v>
      </c>
      <c r="L836" s="59" t="str">
        <f t="shared" si="3"/>
        <v/>
      </c>
      <c r="M836" s="60"/>
      <c r="N836" s="61">
        <f t="shared" si="4"/>
        <v>31.19224323</v>
      </c>
      <c r="O836" s="63">
        <f>if(A836,_xlfn.WORKDAY.INTL(A836,O$5,"1000000",Holidays!A:A)+hour(A836)/24+MINUTE(A836)/1440,"")</f>
        <v>46102.69097</v>
      </c>
      <c r="P836" s="64" t="s">
        <v>2718</v>
      </c>
      <c r="R836" s="66">
        <f t="shared" si="5"/>
        <v>31.29293767</v>
      </c>
      <c r="S836" s="66"/>
      <c r="T836" s="66"/>
      <c r="U836" s="64">
        <f>if(O836,_xlfn.WORKDAY.INTL(O836,U$5,"1000000",Holidays!A:A)+hour(O836)/24+MINUTE(O836)/1440,"")</f>
        <v>46103.69097</v>
      </c>
      <c r="V836" s="64" t="str">
        <f t="shared" si="6"/>
        <v/>
      </c>
      <c r="W836" s="66"/>
      <c r="X836" s="66">
        <f t="shared" si="7"/>
        <v>30.29293767</v>
      </c>
      <c r="Y836" s="66"/>
      <c r="Z836" s="66"/>
      <c r="AA836" s="66"/>
      <c r="AB836" s="63"/>
      <c r="AC836" s="63"/>
      <c r="AD836" s="63"/>
      <c r="AE836" s="63"/>
      <c r="AF836" s="63"/>
      <c r="AG836" s="63"/>
      <c r="AH836" s="63" t="str">
        <f t="shared" si="14"/>
        <v/>
      </c>
      <c r="AI836" s="63" t="str">
        <f>if(AH836,_xlfn.workday.intl(int(AH836),0,"1000000",Holidays!A:A)+18/24,"")</f>
        <v/>
      </c>
      <c r="AJ836" s="64" t="str">
        <f t="shared" si="24"/>
        <v/>
      </c>
      <c r="AL836" s="66" t="str">
        <f t="shared" si="9"/>
        <v/>
      </c>
      <c r="AM836" s="66"/>
      <c r="AN836" s="63" t="str">
        <f>if(AJ836,if(and(hour(AJ836+AN$5)&gt;11,(hour(AJ836+AN$5)&lt;20)),AJ836+AN$5,_xlfn.workday.intl(int(AJ836),1,"1000000",Holidays!A:A)+hour(AJ836+AN$5-$B$1)/24+minute(AJ836)/1440),"")</f>
        <v/>
      </c>
      <c r="AO836" s="64" t="str">
        <f t="shared" si="15"/>
        <v/>
      </c>
      <c r="AQ836" s="66" t="str">
        <f t="shared" si="16"/>
        <v/>
      </c>
      <c r="AR836" s="66"/>
      <c r="AS836" s="63" t="str">
        <f>if(AJ836,if(and(hour(AJ836+AS$5)&gt;11,(hour(AJ836+AS$5)&lt;20)),AJ836+AS$5,_xlfn.workday.intl(int(AJ836),1,"1000000",Holidays!A:A)+hour(AJ836+AS$5-$B$1)/24+minute(AJ836)/1440),"")</f>
        <v/>
      </c>
      <c r="AT836" s="64" t="str">
        <f t="shared" si="21"/>
        <v/>
      </c>
      <c r="AV836" s="66" t="str">
        <f t="shared" si="25"/>
        <v/>
      </c>
      <c r="AW836" s="66"/>
      <c r="AX836" s="56"/>
    </row>
    <row r="837">
      <c r="A837" s="55">
        <v>46101.69250564815</v>
      </c>
      <c r="B837" s="56"/>
      <c r="C837" s="57"/>
      <c r="D837" s="57"/>
      <c r="E837" s="57"/>
      <c r="F837" s="57"/>
      <c r="G837" s="58">
        <f>if(A837,_xlfn.workday.intl(int(A837),1,"1000000",Holidays!A:A)+17/24,"")</f>
        <v>46102.70833</v>
      </c>
      <c r="H837" s="59" t="str">
        <f t="shared" si="23"/>
        <v/>
      </c>
      <c r="I837" s="60"/>
      <c r="J837" s="61">
        <f t="shared" si="2"/>
        <v>31.27557656</v>
      </c>
      <c r="K837" s="58">
        <f>if(G837,_xlfn.workday.intl(int(G837),0,"1000000",Holidays!A:A)+19/24,"")</f>
        <v>46102.79167</v>
      </c>
      <c r="L837" s="59" t="str">
        <f t="shared" si="3"/>
        <v/>
      </c>
      <c r="M837" s="60"/>
      <c r="N837" s="61">
        <f t="shared" si="4"/>
        <v>31.19224323</v>
      </c>
      <c r="O837" s="63">
        <f>if(A837,_xlfn.WORKDAY.INTL(A837,O$5,"1000000",Holidays!A:A)+hour(A837)/24+MINUTE(A837)/1440,"")</f>
        <v>46102.69236</v>
      </c>
      <c r="P837" s="64" t="s">
        <v>2718</v>
      </c>
      <c r="R837" s="66">
        <f t="shared" si="5"/>
        <v>31.29154878</v>
      </c>
      <c r="S837" s="66"/>
      <c r="T837" s="66"/>
      <c r="U837" s="64">
        <f>if(O837,_xlfn.WORKDAY.INTL(O837,U$5,"1000000",Holidays!A:A)+hour(O837)/24+MINUTE(O837)/1440,"")</f>
        <v>46103.69236</v>
      </c>
      <c r="V837" s="64" t="str">
        <f t="shared" si="6"/>
        <v/>
      </c>
      <c r="W837" s="66"/>
      <c r="X837" s="66">
        <f t="shared" si="7"/>
        <v>30.29154878</v>
      </c>
      <c r="Y837" s="66"/>
      <c r="Z837" s="66"/>
      <c r="AA837" s="66"/>
      <c r="AB837" s="63"/>
      <c r="AC837" s="63"/>
      <c r="AD837" s="63"/>
      <c r="AE837" s="63"/>
      <c r="AF837" s="63"/>
      <c r="AG837" s="63"/>
      <c r="AH837" s="63" t="str">
        <f t="shared" si="14"/>
        <v/>
      </c>
      <c r="AI837" s="63" t="str">
        <f>if(AH837,_xlfn.workday.intl(int(AH837),0,"1000000",Holidays!A:A)+18/24,"")</f>
        <v/>
      </c>
      <c r="AJ837" s="64" t="str">
        <f t="shared" si="24"/>
        <v/>
      </c>
      <c r="AL837" s="66" t="str">
        <f t="shared" si="9"/>
        <v/>
      </c>
      <c r="AM837" s="66"/>
      <c r="AN837" s="63" t="str">
        <f>if(AJ837,if(and(hour(AJ837+AN$5)&gt;11,(hour(AJ837+AN$5)&lt;20)),AJ837+AN$5,_xlfn.workday.intl(int(AJ837),1,"1000000",Holidays!A:A)+hour(AJ837+AN$5-$B$1)/24+minute(AJ837)/1440),"")</f>
        <v/>
      </c>
      <c r="AO837" s="64" t="str">
        <f t="shared" si="15"/>
        <v/>
      </c>
      <c r="AQ837" s="66" t="str">
        <f t="shared" si="16"/>
        <v/>
      </c>
      <c r="AR837" s="66"/>
      <c r="AS837" s="63" t="str">
        <f>if(AJ837,if(and(hour(AJ837+AS$5)&gt;11,(hour(AJ837+AS$5)&lt;20)),AJ837+AS$5,_xlfn.workday.intl(int(AJ837),1,"1000000",Holidays!A:A)+hour(AJ837+AS$5-$B$1)/24+minute(AJ837)/1440),"")</f>
        <v/>
      </c>
      <c r="AT837" s="64" t="str">
        <f t="shared" si="21"/>
        <v/>
      </c>
      <c r="AV837" s="66" t="str">
        <f t="shared" si="25"/>
        <v/>
      </c>
      <c r="AW837" s="66"/>
      <c r="AX837" s="56"/>
    </row>
    <row r="838">
      <c r="A838" s="55">
        <v>46101.695504131945</v>
      </c>
      <c r="B838" s="56"/>
      <c r="C838" s="57"/>
      <c r="D838" s="57"/>
      <c r="E838" s="57"/>
      <c r="F838" s="57"/>
      <c r="G838" s="58">
        <f>if(A838,_xlfn.workday.intl(int(A838),1,"1000000",Holidays!A:A)+17/24,"")</f>
        <v>46102.70833</v>
      </c>
      <c r="H838" s="59" t="str">
        <f t="shared" si="23"/>
        <v/>
      </c>
      <c r="I838" s="60"/>
      <c r="J838" s="61">
        <f t="shared" si="2"/>
        <v>31.27557656</v>
      </c>
      <c r="K838" s="58">
        <f>if(G838,_xlfn.workday.intl(int(G838),0,"1000000",Holidays!A:A)+19/24,"")</f>
        <v>46102.79167</v>
      </c>
      <c r="L838" s="59" t="str">
        <f t="shared" si="3"/>
        <v/>
      </c>
      <c r="M838" s="60"/>
      <c r="N838" s="61">
        <f t="shared" si="4"/>
        <v>31.19224323</v>
      </c>
      <c r="O838" s="63">
        <f>if(A838,_xlfn.WORKDAY.INTL(A838,O$5,"1000000",Holidays!A:A)+hour(A838)/24+MINUTE(A838)/1440,"")</f>
        <v>46102.69514</v>
      </c>
      <c r="P838" s="64" t="s">
        <v>2718</v>
      </c>
      <c r="R838" s="66">
        <f t="shared" si="5"/>
        <v>31.28877101</v>
      </c>
      <c r="S838" s="66"/>
      <c r="T838" s="66"/>
      <c r="U838" s="64">
        <f>if(O838,_xlfn.WORKDAY.INTL(O838,U$5,"1000000",Holidays!A:A)+hour(O838)/24+MINUTE(O838)/1440,"")</f>
        <v>46103.69514</v>
      </c>
      <c r="V838" s="64" t="str">
        <f t="shared" si="6"/>
        <v/>
      </c>
      <c r="W838" s="66"/>
      <c r="X838" s="66">
        <f t="shared" si="7"/>
        <v>30.28877101</v>
      </c>
      <c r="Y838" s="66"/>
      <c r="Z838" s="66"/>
      <c r="AA838" s="66"/>
      <c r="AB838" s="63"/>
      <c r="AC838" s="63"/>
      <c r="AD838" s="63"/>
      <c r="AE838" s="63"/>
      <c r="AF838" s="63"/>
      <c r="AG838" s="63"/>
      <c r="AH838" s="63" t="str">
        <f t="shared" si="14"/>
        <v/>
      </c>
      <c r="AI838" s="63" t="str">
        <f>if(AH838,_xlfn.workday.intl(int(AH838),0,"1000000",Holidays!A:A)+18/24,"")</f>
        <v/>
      </c>
      <c r="AJ838" s="64" t="str">
        <f t="shared" si="24"/>
        <v/>
      </c>
      <c r="AL838" s="66" t="str">
        <f t="shared" si="9"/>
        <v/>
      </c>
      <c r="AM838" s="66"/>
      <c r="AN838" s="63" t="str">
        <f>if(AJ838,if(and(hour(AJ838+AN$5)&gt;11,(hour(AJ838+AN$5)&lt;20)),AJ838+AN$5,_xlfn.workday.intl(int(AJ838),1,"1000000",Holidays!A:A)+hour(AJ838+AN$5-$B$1)/24+minute(AJ838)/1440),"")</f>
        <v/>
      </c>
      <c r="AO838" s="64" t="str">
        <f t="shared" si="15"/>
        <v/>
      </c>
      <c r="AQ838" s="66" t="str">
        <f t="shared" si="16"/>
        <v/>
      </c>
      <c r="AR838" s="66"/>
      <c r="AS838" s="63" t="str">
        <f>if(AJ838,if(and(hour(AJ838+AS$5)&gt;11,(hour(AJ838+AS$5)&lt;20)),AJ838+AS$5,_xlfn.workday.intl(int(AJ838),1,"1000000",Holidays!A:A)+hour(AJ838+AS$5-$B$1)/24+minute(AJ838)/1440),"")</f>
        <v/>
      </c>
      <c r="AT838" s="64" t="str">
        <f t="shared" si="21"/>
        <v/>
      </c>
      <c r="AV838" s="66" t="str">
        <f t="shared" si="25"/>
        <v/>
      </c>
      <c r="AW838" s="66"/>
      <c r="AX838" s="56"/>
    </row>
    <row r="839">
      <c r="A839" s="55">
        <v>46103.54792748843</v>
      </c>
      <c r="B839" s="56"/>
      <c r="C839" s="57"/>
      <c r="D839" s="57"/>
      <c r="E839" s="57"/>
      <c r="F839" s="57"/>
      <c r="G839" s="58">
        <f>if(A839,_xlfn.workday.intl(int(A839),1,"1000000",Holidays!A:A)+17/24,"")</f>
        <v>46105.70833</v>
      </c>
      <c r="H839" s="59" t="str">
        <f t="shared" si="23"/>
        <v/>
      </c>
      <c r="I839" s="60"/>
      <c r="J839" s="61">
        <f t="shared" si="2"/>
        <v>28.27557656</v>
      </c>
      <c r="K839" s="58">
        <f>if(G839,_xlfn.workday.intl(int(G839),0,"1000000",Holidays!A:A)+19/24,"")</f>
        <v>46105.79167</v>
      </c>
      <c r="L839" s="59" t="str">
        <f t="shared" si="3"/>
        <v/>
      </c>
      <c r="M839" s="60"/>
      <c r="N839" s="61">
        <f t="shared" si="4"/>
        <v>28.19224323</v>
      </c>
      <c r="O839" s="63">
        <f>if(A839,_xlfn.WORKDAY.INTL(A839,O$5,"1000000",Holidays!A:A)+hour(A839)/24+MINUTE(A839)/1440,"")</f>
        <v>46105.54792</v>
      </c>
      <c r="P839" s="64" t="s">
        <v>2718</v>
      </c>
      <c r="R839" s="66">
        <f t="shared" si="5"/>
        <v>28.43599323</v>
      </c>
      <c r="S839" s="66"/>
      <c r="T839" s="66"/>
      <c r="U839" s="64">
        <f>if(O839,_xlfn.WORKDAY.INTL(O839,U$5,"1000000",Holidays!A:A)+hour(O839)/24+MINUTE(O839)/1440,"")</f>
        <v>46106.54792</v>
      </c>
      <c r="V839" s="64" t="str">
        <f t="shared" si="6"/>
        <v/>
      </c>
      <c r="W839" s="66"/>
      <c r="X839" s="66">
        <f t="shared" si="7"/>
        <v>27.43599323</v>
      </c>
      <c r="Y839" s="66"/>
      <c r="Z839" s="66"/>
      <c r="AA839" s="66"/>
      <c r="AB839" s="63"/>
      <c r="AC839" s="63"/>
      <c r="AD839" s="63"/>
      <c r="AE839" s="63"/>
      <c r="AF839" s="63"/>
      <c r="AG839" s="63"/>
      <c r="AH839" s="63" t="str">
        <f t="shared" si="14"/>
        <v/>
      </c>
      <c r="AI839" s="63" t="str">
        <f>if(AH839,_xlfn.workday.intl(int(AH839),0,"1000000",Holidays!A:A)+18/24,"")</f>
        <v/>
      </c>
      <c r="AJ839" s="64" t="str">
        <f t="shared" si="24"/>
        <v/>
      </c>
      <c r="AL839" s="66" t="str">
        <f t="shared" si="9"/>
        <v/>
      </c>
      <c r="AM839" s="66"/>
      <c r="AN839" s="63" t="str">
        <f>if(AJ839,if(and(hour(AJ839+AN$5)&gt;11,(hour(AJ839+AN$5)&lt;20)),AJ839+AN$5,_xlfn.workday.intl(int(AJ839),1,"1000000",Holidays!A:A)+hour(AJ839+AN$5-$B$1)/24+minute(AJ839)/1440),"")</f>
        <v/>
      </c>
      <c r="AO839" s="64" t="str">
        <f t="shared" si="15"/>
        <v/>
      </c>
      <c r="AQ839" s="66" t="str">
        <f t="shared" si="16"/>
        <v/>
      </c>
      <c r="AR839" s="66"/>
      <c r="AS839" s="63" t="str">
        <f>if(AJ839,if(and(hour(AJ839+AS$5)&gt;11,(hour(AJ839+AS$5)&lt;20)),AJ839+AS$5,_xlfn.workday.intl(int(AJ839),1,"1000000",Holidays!A:A)+hour(AJ839+AS$5-$B$1)/24+minute(AJ839)/1440),"")</f>
        <v/>
      </c>
      <c r="AT839" s="64" t="str">
        <f t="shared" si="21"/>
        <v/>
      </c>
      <c r="AV839" s="66" t="str">
        <f t="shared" si="25"/>
        <v/>
      </c>
      <c r="AW839" s="66"/>
      <c r="AX839" s="56"/>
    </row>
    <row r="840">
      <c r="A840" s="55">
        <v>46103.549601238425</v>
      </c>
      <c r="B840" s="56"/>
      <c r="C840" s="57"/>
      <c r="D840" s="57"/>
      <c r="E840" s="57"/>
      <c r="F840" s="57"/>
      <c r="G840" s="58">
        <f>if(A840,_xlfn.workday.intl(int(A840),1,"1000000",Holidays!A:A)+17/24,"")</f>
        <v>46105.70833</v>
      </c>
      <c r="H840" s="59" t="str">
        <f t="shared" si="23"/>
        <v/>
      </c>
      <c r="I840" s="60"/>
      <c r="J840" s="61">
        <f t="shared" si="2"/>
        <v>28.27557656</v>
      </c>
      <c r="K840" s="58">
        <f>if(G840,_xlfn.workday.intl(int(G840),0,"1000000",Holidays!A:A)+19/24,"")</f>
        <v>46105.79167</v>
      </c>
      <c r="L840" s="59" t="str">
        <f t="shared" si="3"/>
        <v/>
      </c>
      <c r="M840" s="60"/>
      <c r="N840" s="61">
        <f t="shared" si="4"/>
        <v>28.19224323</v>
      </c>
      <c r="O840" s="63">
        <f>if(A840,_xlfn.WORKDAY.INTL(A840,O$5,"1000000",Holidays!A:A)+hour(A840)/24+MINUTE(A840)/1440,"")</f>
        <v>46105.54931</v>
      </c>
      <c r="P840" s="64" t="s">
        <v>2718</v>
      </c>
      <c r="R840" s="66">
        <f t="shared" si="5"/>
        <v>28.43460434</v>
      </c>
      <c r="S840" s="66"/>
      <c r="T840" s="66"/>
      <c r="U840" s="64">
        <f>if(O840,_xlfn.WORKDAY.INTL(O840,U$5,"1000000",Holidays!A:A)+hour(O840)/24+MINUTE(O840)/1440,"")</f>
        <v>46106.54931</v>
      </c>
      <c r="V840" s="64" t="str">
        <f t="shared" si="6"/>
        <v/>
      </c>
      <c r="W840" s="66"/>
      <c r="X840" s="66">
        <f t="shared" si="7"/>
        <v>27.43460434</v>
      </c>
      <c r="Y840" s="66"/>
      <c r="Z840" s="66"/>
      <c r="AA840" s="66"/>
      <c r="AB840" s="63"/>
      <c r="AC840" s="63"/>
      <c r="AD840" s="63"/>
      <c r="AE840" s="63"/>
      <c r="AF840" s="63"/>
      <c r="AG840" s="63"/>
      <c r="AH840" s="63" t="str">
        <f t="shared" si="14"/>
        <v/>
      </c>
      <c r="AI840" s="63" t="str">
        <f>if(AH840,_xlfn.workday.intl(int(AH840),0,"1000000",Holidays!A:A)+18/24,"")</f>
        <v/>
      </c>
      <c r="AJ840" s="64" t="str">
        <f t="shared" si="24"/>
        <v/>
      </c>
      <c r="AL840" s="66" t="str">
        <f t="shared" si="9"/>
        <v/>
      </c>
      <c r="AM840" s="66"/>
      <c r="AN840" s="63" t="str">
        <f>if(AJ840,if(and(hour(AJ840+AN$5)&gt;11,(hour(AJ840+AN$5)&lt;20)),AJ840+AN$5,_xlfn.workday.intl(int(AJ840),1,"1000000",Holidays!A:A)+hour(AJ840+AN$5-$B$1)/24+minute(AJ840)/1440),"")</f>
        <v/>
      </c>
      <c r="AO840" s="64" t="str">
        <f t="shared" si="15"/>
        <v/>
      </c>
      <c r="AQ840" s="66" t="str">
        <f t="shared" si="16"/>
        <v/>
      </c>
      <c r="AR840" s="66"/>
      <c r="AS840" s="63" t="str">
        <f>if(AJ840,if(and(hour(AJ840+AS$5)&gt;11,(hour(AJ840+AS$5)&lt;20)),AJ840+AS$5,_xlfn.workday.intl(int(AJ840),1,"1000000",Holidays!A:A)+hour(AJ840+AS$5-$B$1)/24+minute(AJ840)/1440),"")</f>
        <v/>
      </c>
      <c r="AT840" s="64" t="str">
        <f t="shared" si="21"/>
        <v/>
      </c>
      <c r="AV840" s="66" t="str">
        <f t="shared" si="25"/>
        <v/>
      </c>
      <c r="AW840" s="66"/>
      <c r="AX840" s="56"/>
    </row>
    <row r="841">
      <c r="A841" s="55">
        <v>46103.55085421297</v>
      </c>
      <c r="B841" s="56"/>
      <c r="C841" s="57"/>
      <c r="D841" s="57"/>
      <c r="E841" s="57"/>
      <c r="F841" s="57"/>
      <c r="G841" s="58">
        <f>if(A841,_xlfn.workday.intl(int(A841),1,"1000000",Holidays!A:A)+17/24,"")</f>
        <v>46105.70833</v>
      </c>
      <c r="H841" s="59" t="str">
        <f t="shared" si="23"/>
        <v/>
      </c>
      <c r="I841" s="60"/>
      <c r="J841" s="61">
        <f t="shared" si="2"/>
        <v>28.27557656</v>
      </c>
      <c r="K841" s="58">
        <f>if(G841,_xlfn.workday.intl(int(G841),0,"1000000",Holidays!A:A)+19/24,"")</f>
        <v>46105.79167</v>
      </c>
      <c r="L841" s="59" t="str">
        <f t="shared" si="3"/>
        <v/>
      </c>
      <c r="M841" s="60"/>
      <c r="N841" s="61">
        <f t="shared" si="4"/>
        <v>28.19224323</v>
      </c>
      <c r="O841" s="63">
        <f>if(A841,_xlfn.WORKDAY.INTL(A841,O$5,"1000000",Holidays!A:A)+hour(A841)/24+MINUTE(A841)/1440,"")</f>
        <v>46105.55069</v>
      </c>
      <c r="P841" s="64" t="s">
        <v>2718</v>
      </c>
      <c r="R841" s="66">
        <f t="shared" si="5"/>
        <v>28.43321545</v>
      </c>
      <c r="S841" s="66"/>
      <c r="T841" s="66"/>
      <c r="U841" s="64">
        <f>if(O841,_xlfn.WORKDAY.INTL(O841,U$5,"1000000",Holidays!A:A)+hour(O841)/24+MINUTE(O841)/1440,"")</f>
        <v>46106.55069</v>
      </c>
      <c r="V841" s="64" t="str">
        <f t="shared" si="6"/>
        <v/>
      </c>
      <c r="W841" s="66"/>
      <c r="X841" s="66">
        <f t="shared" si="7"/>
        <v>27.43321545</v>
      </c>
      <c r="Y841" s="66"/>
      <c r="Z841" s="66"/>
      <c r="AA841" s="66"/>
      <c r="AB841" s="63"/>
      <c r="AC841" s="63"/>
      <c r="AD841" s="63"/>
      <c r="AE841" s="63"/>
      <c r="AF841" s="63"/>
      <c r="AG841" s="63"/>
      <c r="AH841" s="63" t="str">
        <f t="shared" si="14"/>
        <v/>
      </c>
      <c r="AI841" s="63" t="str">
        <f>if(AH841,_xlfn.workday.intl(int(AH841),0,"1000000",Holidays!A:A)+18/24,"")</f>
        <v/>
      </c>
      <c r="AJ841" s="64" t="str">
        <f t="shared" si="24"/>
        <v/>
      </c>
      <c r="AL841" s="66" t="str">
        <f t="shared" si="9"/>
        <v/>
      </c>
      <c r="AM841" s="66"/>
      <c r="AN841" s="63" t="str">
        <f>if(AJ841,if(and(hour(AJ841+AN$5)&gt;11,(hour(AJ841+AN$5)&lt;20)),AJ841+AN$5,_xlfn.workday.intl(int(AJ841),1,"1000000",Holidays!A:A)+hour(AJ841+AN$5-$B$1)/24+minute(AJ841)/1440),"")</f>
        <v/>
      </c>
      <c r="AO841" s="64" t="str">
        <f t="shared" si="15"/>
        <v/>
      </c>
      <c r="AQ841" s="66" t="str">
        <f t="shared" si="16"/>
        <v/>
      </c>
      <c r="AR841" s="66"/>
      <c r="AS841" s="63" t="str">
        <f>if(AJ841,if(and(hour(AJ841+AS$5)&gt;11,(hour(AJ841+AS$5)&lt;20)),AJ841+AS$5,_xlfn.workday.intl(int(AJ841),1,"1000000",Holidays!A:A)+hour(AJ841+AS$5-$B$1)/24+minute(AJ841)/1440),"")</f>
        <v/>
      </c>
      <c r="AT841" s="64" t="str">
        <f t="shared" si="21"/>
        <v/>
      </c>
      <c r="AV841" s="66" t="str">
        <f t="shared" si="25"/>
        <v/>
      </c>
      <c r="AW841" s="66"/>
      <c r="AX841" s="56"/>
    </row>
    <row r="842">
      <c r="A842" s="55">
        <v>46103.55193194444</v>
      </c>
      <c r="B842" s="56"/>
      <c r="C842" s="57"/>
      <c r="D842" s="57"/>
      <c r="E842" s="57"/>
      <c r="F842" s="57"/>
      <c r="G842" s="58">
        <f>if(A842,_xlfn.workday.intl(int(A842),1,"1000000",Holidays!A:A)+17/24,"")</f>
        <v>46105.70833</v>
      </c>
      <c r="H842" s="59" t="str">
        <f t="shared" si="23"/>
        <v/>
      </c>
      <c r="I842" s="60"/>
      <c r="J842" s="61">
        <f t="shared" si="2"/>
        <v>28.27557656</v>
      </c>
      <c r="K842" s="58">
        <f>if(G842,_xlfn.workday.intl(int(G842),0,"1000000",Holidays!A:A)+19/24,"")</f>
        <v>46105.79167</v>
      </c>
      <c r="L842" s="59" t="str">
        <f t="shared" si="3"/>
        <v/>
      </c>
      <c r="M842" s="60"/>
      <c r="N842" s="61">
        <f t="shared" si="4"/>
        <v>28.19224323</v>
      </c>
      <c r="O842" s="63">
        <f>if(A842,_xlfn.WORKDAY.INTL(A842,O$5,"1000000",Holidays!A:A)+hour(A842)/24+MINUTE(A842)/1440,"")</f>
        <v>46105.55139</v>
      </c>
      <c r="P842" s="64" t="s">
        <v>2718</v>
      </c>
      <c r="R842" s="66">
        <f t="shared" si="5"/>
        <v>28.43252101</v>
      </c>
      <c r="S842" s="66"/>
      <c r="T842" s="66"/>
      <c r="U842" s="64">
        <f>if(O842,_xlfn.WORKDAY.INTL(O842,U$5,"1000000",Holidays!A:A)+hour(O842)/24+MINUTE(O842)/1440,"")</f>
        <v>46106.55139</v>
      </c>
      <c r="V842" s="64" t="str">
        <f t="shared" si="6"/>
        <v/>
      </c>
      <c r="W842" s="66"/>
      <c r="X842" s="66">
        <f t="shared" si="7"/>
        <v>27.43252101</v>
      </c>
      <c r="Y842" s="66"/>
      <c r="Z842" s="66"/>
      <c r="AA842" s="66"/>
      <c r="AB842" s="63"/>
      <c r="AC842" s="63"/>
      <c r="AD842" s="63"/>
      <c r="AE842" s="63"/>
      <c r="AF842" s="63"/>
      <c r="AG842" s="63"/>
      <c r="AH842" s="63" t="str">
        <f t="shared" si="14"/>
        <v/>
      </c>
      <c r="AI842" s="63" t="str">
        <f>if(AH842,_xlfn.workday.intl(int(AH842),0,"1000000",Holidays!A:A)+18/24,"")</f>
        <v/>
      </c>
      <c r="AJ842" s="64" t="str">
        <f t="shared" si="24"/>
        <v/>
      </c>
      <c r="AL842" s="66" t="str">
        <f t="shared" si="9"/>
        <v/>
      </c>
      <c r="AM842" s="66"/>
      <c r="AN842" s="63" t="str">
        <f>if(AJ842,if(and(hour(AJ842+AN$5)&gt;11,(hour(AJ842+AN$5)&lt;20)),AJ842+AN$5,_xlfn.workday.intl(int(AJ842),1,"1000000",Holidays!A:A)+hour(AJ842+AN$5-$B$1)/24+minute(AJ842)/1440),"")</f>
        <v/>
      </c>
      <c r="AO842" s="64" t="str">
        <f t="shared" si="15"/>
        <v/>
      </c>
      <c r="AQ842" s="66" t="str">
        <f t="shared" si="16"/>
        <v/>
      </c>
      <c r="AR842" s="66"/>
      <c r="AS842" s="63" t="str">
        <f>if(AJ842,if(and(hour(AJ842+AS$5)&gt;11,(hour(AJ842+AS$5)&lt;20)),AJ842+AS$5,_xlfn.workday.intl(int(AJ842),1,"1000000",Holidays!A:A)+hour(AJ842+AS$5-$B$1)/24+minute(AJ842)/1440),"")</f>
        <v/>
      </c>
      <c r="AT842" s="64" t="str">
        <f t="shared" si="21"/>
        <v/>
      </c>
      <c r="AV842" s="66" t="str">
        <f t="shared" si="25"/>
        <v/>
      </c>
      <c r="AW842" s="66"/>
      <c r="AX842" s="56"/>
    </row>
    <row r="843">
      <c r="A843" s="55">
        <v>46106.67723973379</v>
      </c>
      <c r="B843" s="56"/>
      <c r="C843" s="57"/>
      <c r="D843" s="57"/>
      <c r="E843" s="57"/>
      <c r="F843" s="57"/>
      <c r="G843" s="58">
        <f>if(A843,_xlfn.workday.intl(int(A843),1,"1000000",Holidays!A:A)+17/24,"")</f>
        <v>46107.70833</v>
      </c>
      <c r="H843" s="59" t="str">
        <f t="shared" si="23"/>
        <v/>
      </c>
      <c r="I843" s="60"/>
      <c r="J843" s="61">
        <f t="shared" si="2"/>
        <v>26.27557656</v>
      </c>
      <c r="K843" s="58">
        <f>if(G843,_xlfn.workday.intl(int(G843),0,"1000000",Holidays!A:A)+19/24,"")</f>
        <v>46107.79167</v>
      </c>
      <c r="L843" s="59" t="str">
        <f t="shared" si="3"/>
        <v/>
      </c>
      <c r="M843" s="60"/>
      <c r="N843" s="61">
        <f t="shared" si="4"/>
        <v>26.19224323</v>
      </c>
      <c r="O843" s="63">
        <f>if(A843,_xlfn.WORKDAY.INTL(A843,O$5,"1000000",Holidays!A:A)+hour(A843)/24+MINUTE(A843)/1440,"")</f>
        <v>46107.67708</v>
      </c>
      <c r="P843" s="64" t="s">
        <v>2718</v>
      </c>
      <c r="R843" s="66">
        <f t="shared" si="5"/>
        <v>26.30682656</v>
      </c>
      <c r="S843" s="66"/>
      <c r="T843" s="66"/>
      <c r="U843" s="64">
        <f>if(O843,_xlfn.WORKDAY.INTL(O843,U$5,"1000000",Holidays!A:A)+hour(O843)/24+MINUTE(O843)/1440,"")</f>
        <v>46108.67708</v>
      </c>
      <c r="V843" s="64" t="str">
        <f t="shared" si="6"/>
        <v/>
      </c>
      <c r="W843" s="66"/>
      <c r="X843" s="66">
        <f t="shared" si="7"/>
        <v>25.30682656</v>
      </c>
      <c r="Y843" s="66"/>
      <c r="Z843" s="66"/>
      <c r="AA843" s="66"/>
      <c r="AB843" s="63"/>
      <c r="AC843" s="63"/>
      <c r="AD843" s="63"/>
      <c r="AE843" s="63"/>
      <c r="AF843" s="63"/>
      <c r="AG843" s="63"/>
      <c r="AH843" s="63" t="str">
        <f t="shared" si="14"/>
        <v/>
      </c>
      <c r="AI843" s="63" t="str">
        <f>if(AH843,_xlfn.workday.intl(int(AH843),0,"1000000",Holidays!A:A)+18/24,"")</f>
        <v/>
      </c>
      <c r="AJ843" s="64" t="str">
        <f t="shared" si="24"/>
        <v/>
      </c>
      <c r="AL843" s="66" t="str">
        <f t="shared" si="9"/>
        <v/>
      </c>
      <c r="AM843" s="66"/>
      <c r="AN843" s="63" t="str">
        <f>if(AJ843,if(and(hour(AJ843+AN$5)&gt;11,(hour(AJ843+AN$5)&lt;20)),AJ843+AN$5,_xlfn.workday.intl(int(AJ843),1,"1000000",Holidays!A:A)+hour(AJ843+AN$5-$B$1)/24+minute(AJ843)/1440),"")</f>
        <v/>
      </c>
      <c r="AO843" s="64" t="str">
        <f t="shared" si="15"/>
        <v/>
      </c>
      <c r="AQ843" s="66" t="str">
        <f t="shared" si="16"/>
        <v/>
      </c>
      <c r="AR843" s="66"/>
      <c r="AS843" s="63" t="str">
        <f>if(AJ843,if(and(hour(AJ843+AS$5)&gt;11,(hour(AJ843+AS$5)&lt;20)),AJ843+AS$5,_xlfn.workday.intl(int(AJ843),1,"1000000",Holidays!A:A)+hour(AJ843+AS$5-$B$1)/24+minute(AJ843)/1440),"")</f>
        <v/>
      </c>
      <c r="AT843" s="64" t="str">
        <f t="shared" si="21"/>
        <v/>
      </c>
      <c r="AV843" s="66" t="str">
        <f t="shared" si="25"/>
        <v/>
      </c>
      <c r="AW843" s="66"/>
      <c r="AX843" s="56"/>
    </row>
    <row r="844">
      <c r="A844" s="55">
        <v>46106.68052026621</v>
      </c>
      <c r="B844" s="56"/>
      <c r="C844" s="57"/>
      <c r="D844" s="57"/>
      <c r="E844" s="57"/>
      <c r="F844" s="57"/>
      <c r="G844" s="58">
        <f>if(A844,_xlfn.workday.intl(int(A844),1,"1000000",Holidays!A:A)+17/24,"")</f>
        <v>46107.70833</v>
      </c>
      <c r="H844" s="59" t="str">
        <f t="shared" si="23"/>
        <v/>
      </c>
      <c r="I844" s="60"/>
      <c r="J844" s="61">
        <f t="shared" si="2"/>
        <v>26.27557656</v>
      </c>
      <c r="K844" s="58">
        <f>if(G844,_xlfn.workday.intl(int(G844),0,"1000000",Holidays!A:A)+19/24,"")</f>
        <v>46107.79167</v>
      </c>
      <c r="L844" s="59" t="str">
        <f t="shared" si="3"/>
        <v/>
      </c>
      <c r="M844" s="60"/>
      <c r="N844" s="61">
        <f t="shared" si="4"/>
        <v>26.19224323</v>
      </c>
      <c r="O844" s="63">
        <f>if(A844,_xlfn.WORKDAY.INTL(A844,O$5,"1000000",Holidays!A:A)+hour(A844)/24+MINUTE(A844)/1440,"")</f>
        <v>46107.67986</v>
      </c>
      <c r="P844" s="64" t="s">
        <v>2718</v>
      </c>
      <c r="R844" s="66">
        <f t="shared" si="5"/>
        <v>26.30404878</v>
      </c>
      <c r="S844" s="66"/>
      <c r="T844" s="66"/>
      <c r="U844" s="64">
        <f>if(O844,_xlfn.WORKDAY.INTL(O844,U$5,"1000000",Holidays!A:A)+hour(O844)/24+MINUTE(O844)/1440,"")</f>
        <v>46108.67986</v>
      </c>
      <c r="V844" s="64" t="str">
        <f t="shared" si="6"/>
        <v/>
      </c>
      <c r="W844" s="66"/>
      <c r="X844" s="66">
        <f t="shared" si="7"/>
        <v>25.30404878</v>
      </c>
      <c r="Y844" s="66"/>
      <c r="Z844" s="66"/>
      <c r="AA844" s="66"/>
      <c r="AB844" s="63"/>
      <c r="AC844" s="63"/>
      <c r="AD844" s="63"/>
      <c r="AE844" s="63"/>
      <c r="AF844" s="63"/>
      <c r="AG844" s="63"/>
      <c r="AH844" s="63" t="str">
        <f t="shared" si="14"/>
        <v/>
      </c>
      <c r="AI844" s="63" t="str">
        <f>if(AH844,_xlfn.workday.intl(int(AH844),0,"1000000",Holidays!A:A)+18/24,"")</f>
        <v/>
      </c>
      <c r="AJ844" s="64" t="str">
        <f t="shared" si="24"/>
        <v/>
      </c>
      <c r="AL844" s="66" t="str">
        <f t="shared" si="9"/>
        <v/>
      </c>
      <c r="AM844" s="66"/>
      <c r="AN844" s="63" t="str">
        <f>if(AJ844,if(and(hour(AJ844+AN$5)&gt;11,(hour(AJ844+AN$5)&lt;20)),AJ844+AN$5,_xlfn.workday.intl(int(AJ844),1,"1000000",Holidays!A:A)+hour(AJ844+AN$5-$B$1)/24+minute(AJ844)/1440),"")</f>
        <v/>
      </c>
      <c r="AO844" s="64" t="str">
        <f t="shared" si="15"/>
        <v/>
      </c>
      <c r="AQ844" s="66" t="str">
        <f t="shared" si="16"/>
        <v/>
      </c>
      <c r="AR844" s="66"/>
      <c r="AS844" s="63" t="str">
        <f>if(AJ844,if(and(hour(AJ844+AS$5)&gt;11,(hour(AJ844+AS$5)&lt;20)),AJ844+AS$5,_xlfn.workday.intl(int(AJ844),1,"1000000",Holidays!A:A)+hour(AJ844+AS$5-$B$1)/24+minute(AJ844)/1440),"")</f>
        <v/>
      </c>
      <c r="AT844" s="64" t="str">
        <f t="shared" si="21"/>
        <v/>
      </c>
      <c r="AV844" s="66" t="str">
        <f t="shared" si="25"/>
        <v/>
      </c>
      <c r="AW844" s="66"/>
      <c r="AX844" s="56"/>
    </row>
    <row r="845">
      <c r="A845" s="55">
        <v>46106.68196140046</v>
      </c>
      <c r="B845" s="56"/>
      <c r="C845" s="57"/>
      <c r="D845" s="57"/>
      <c r="E845" s="57"/>
      <c r="F845" s="57"/>
      <c r="G845" s="58">
        <f>if(A845,_xlfn.workday.intl(int(A845),1,"1000000",Holidays!A:A)+17/24,"")</f>
        <v>46107.70833</v>
      </c>
      <c r="H845" s="59" t="str">
        <f t="shared" si="23"/>
        <v/>
      </c>
      <c r="I845" s="60"/>
      <c r="J845" s="61">
        <f t="shared" si="2"/>
        <v>26.27557656</v>
      </c>
      <c r="K845" s="58">
        <f>if(G845,_xlfn.workday.intl(int(G845),0,"1000000",Holidays!A:A)+19/24,"")</f>
        <v>46107.79167</v>
      </c>
      <c r="L845" s="59" t="str">
        <f t="shared" si="3"/>
        <v/>
      </c>
      <c r="M845" s="60"/>
      <c r="N845" s="61">
        <f t="shared" si="4"/>
        <v>26.19224323</v>
      </c>
      <c r="O845" s="63">
        <f>if(A845,_xlfn.WORKDAY.INTL(A845,O$5,"1000000",Holidays!A:A)+hour(A845)/24+MINUTE(A845)/1440,"")</f>
        <v>46107.68194</v>
      </c>
      <c r="P845" s="64" t="s">
        <v>2718</v>
      </c>
      <c r="R845" s="66">
        <f t="shared" si="5"/>
        <v>26.30196545</v>
      </c>
      <c r="S845" s="66"/>
      <c r="T845" s="66"/>
      <c r="U845" s="64">
        <f>if(O845,_xlfn.WORKDAY.INTL(O845,U$5,"1000000",Holidays!A:A)+hour(O845)/24+MINUTE(O845)/1440,"")</f>
        <v>46108.68194</v>
      </c>
      <c r="V845" s="64" t="str">
        <f t="shared" si="6"/>
        <v/>
      </c>
      <c r="W845" s="66"/>
      <c r="X845" s="66">
        <f t="shared" si="7"/>
        <v>25.30196545</v>
      </c>
      <c r="Y845" s="66"/>
      <c r="Z845" s="66"/>
      <c r="AA845" s="66"/>
      <c r="AB845" s="63"/>
      <c r="AC845" s="63"/>
      <c r="AD845" s="63"/>
      <c r="AE845" s="63"/>
      <c r="AF845" s="63"/>
      <c r="AG845" s="63"/>
      <c r="AH845" s="63" t="str">
        <f t="shared" si="14"/>
        <v/>
      </c>
      <c r="AI845" s="63" t="str">
        <f>if(AH845,_xlfn.workday.intl(int(AH845),0,"1000000",Holidays!A:A)+18/24,"")</f>
        <v/>
      </c>
      <c r="AJ845" s="64" t="str">
        <f t="shared" si="24"/>
        <v/>
      </c>
      <c r="AL845" s="66" t="str">
        <f t="shared" si="9"/>
        <v/>
      </c>
      <c r="AM845" s="66"/>
      <c r="AN845" s="63" t="str">
        <f>if(AJ845,if(and(hour(AJ845+AN$5)&gt;11,(hour(AJ845+AN$5)&lt;20)),AJ845+AN$5,_xlfn.workday.intl(int(AJ845),1,"1000000",Holidays!A:A)+hour(AJ845+AN$5-$B$1)/24+minute(AJ845)/1440),"")</f>
        <v/>
      </c>
      <c r="AO845" s="64" t="str">
        <f t="shared" si="15"/>
        <v/>
      </c>
      <c r="AQ845" s="66" t="str">
        <f t="shared" si="16"/>
        <v/>
      </c>
      <c r="AR845" s="66"/>
      <c r="AS845" s="63" t="str">
        <f>if(AJ845,if(and(hour(AJ845+AS$5)&gt;11,(hour(AJ845+AS$5)&lt;20)),AJ845+AS$5,_xlfn.workday.intl(int(AJ845),1,"1000000",Holidays!A:A)+hour(AJ845+AS$5-$B$1)/24+minute(AJ845)/1440),"")</f>
        <v/>
      </c>
      <c r="AT845" s="64" t="str">
        <f t="shared" si="21"/>
        <v/>
      </c>
      <c r="AV845" s="66" t="str">
        <f t="shared" si="25"/>
        <v/>
      </c>
      <c r="AW845" s="66"/>
      <c r="AX845" s="56"/>
    </row>
    <row r="846">
      <c r="A846" s="55">
        <v>46106.68293159722</v>
      </c>
      <c r="B846" s="56"/>
      <c r="C846" s="57"/>
      <c r="D846" s="57"/>
      <c r="E846" s="57"/>
      <c r="F846" s="57"/>
      <c r="G846" s="58">
        <f>if(A846,_xlfn.workday.intl(int(A846),1,"1000000",Holidays!A:A)+17/24,"")</f>
        <v>46107.70833</v>
      </c>
      <c r="H846" s="59" t="str">
        <f t="shared" si="23"/>
        <v/>
      </c>
      <c r="I846" s="60"/>
      <c r="J846" s="61">
        <f t="shared" si="2"/>
        <v>26.27557656</v>
      </c>
      <c r="K846" s="58">
        <f>if(G846,_xlfn.workday.intl(int(G846),0,"1000000",Holidays!A:A)+19/24,"")</f>
        <v>46107.79167</v>
      </c>
      <c r="L846" s="59" t="str">
        <f t="shared" si="3"/>
        <v/>
      </c>
      <c r="M846" s="60"/>
      <c r="N846" s="61">
        <f t="shared" si="4"/>
        <v>26.19224323</v>
      </c>
      <c r="O846" s="63">
        <f>if(A846,_xlfn.WORKDAY.INTL(A846,O$5,"1000000",Holidays!A:A)+hour(A846)/24+MINUTE(A846)/1440,"")</f>
        <v>46107.68264</v>
      </c>
      <c r="P846" s="64" t="s">
        <v>2718</v>
      </c>
      <c r="R846" s="66">
        <f t="shared" si="5"/>
        <v>26.30127101</v>
      </c>
      <c r="S846" s="66"/>
      <c r="T846" s="66"/>
      <c r="U846" s="64">
        <f>if(O846,_xlfn.WORKDAY.INTL(O846,U$5,"1000000",Holidays!A:A)+hour(O846)/24+MINUTE(O846)/1440,"")</f>
        <v>46108.68264</v>
      </c>
      <c r="V846" s="64" t="str">
        <f t="shared" si="6"/>
        <v/>
      </c>
      <c r="W846" s="66"/>
      <c r="X846" s="66">
        <f t="shared" si="7"/>
        <v>25.30127101</v>
      </c>
      <c r="Y846" s="66"/>
      <c r="Z846" s="66"/>
      <c r="AA846" s="66"/>
      <c r="AB846" s="63"/>
      <c r="AC846" s="63"/>
      <c r="AD846" s="63"/>
      <c r="AE846" s="63"/>
      <c r="AF846" s="63"/>
      <c r="AG846" s="63"/>
      <c r="AH846" s="63" t="str">
        <f t="shared" si="14"/>
        <v/>
      </c>
      <c r="AI846" s="63" t="str">
        <f>if(AH846,_xlfn.workday.intl(int(AH846),0,"1000000",Holidays!A:A)+18/24,"")</f>
        <v/>
      </c>
      <c r="AJ846" s="64" t="str">
        <f t="shared" si="24"/>
        <v/>
      </c>
      <c r="AL846" s="66" t="str">
        <f t="shared" si="9"/>
        <v/>
      </c>
      <c r="AM846" s="66"/>
      <c r="AN846" s="63" t="str">
        <f>if(AJ846,if(and(hour(AJ846+AN$5)&gt;11,(hour(AJ846+AN$5)&lt;20)),AJ846+AN$5,_xlfn.workday.intl(int(AJ846),1,"1000000",Holidays!A:A)+hour(AJ846+AN$5-$B$1)/24+minute(AJ846)/1440),"")</f>
        <v/>
      </c>
      <c r="AO846" s="64" t="str">
        <f t="shared" si="15"/>
        <v/>
      </c>
      <c r="AQ846" s="66" t="str">
        <f t="shared" si="16"/>
        <v/>
      </c>
      <c r="AR846" s="66"/>
      <c r="AS846" s="63" t="str">
        <f>if(AJ846,if(and(hour(AJ846+AS$5)&gt;11,(hour(AJ846+AS$5)&lt;20)),AJ846+AS$5,_xlfn.workday.intl(int(AJ846),1,"1000000",Holidays!A:A)+hour(AJ846+AS$5-$B$1)/24+minute(AJ846)/1440),"")</f>
        <v/>
      </c>
      <c r="AT846" s="64" t="str">
        <f t="shared" si="21"/>
        <v/>
      </c>
      <c r="AV846" s="66" t="str">
        <f t="shared" si="25"/>
        <v/>
      </c>
      <c r="AW846" s="66"/>
      <c r="AX846" s="56"/>
    </row>
    <row r="847">
      <c r="A847" s="55">
        <v>46106.68781212963</v>
      </c>
      <c r="B847" s="56"/>
      <c r="C847" s="57"/>
      <c r="D847" s="57"/>
      <c r="E847" s="57"/>
      <c r="F847" s="57"/>
      <c r="G847" s="58">
        <f>if(A847,_xlfn.workday.intl(int(A847),1,"1000000",Holidays!A:A)+17/24,"")</f>
        <v>46107.70833</v>
      </c>
      <c r="H847" s="59" t="str">
        <f t="shared" si="23"/>
        <v/>
      </c>
      <c r="I847" s="60"/>
      <c r="J847" s="61">
        <f t="shared" si="2"/>
        <v>26.27557656</v>
      </c>
      <c r="K847" s="58">
        <f>if(G847,_xlfn.workday.intl(int(G847),0,"1000000",Holidays!A:A)+19/24,"")</f>
        <v>46107.79167</v>
      </c>
      <c r="L847" s="59" t="str">
        <f t="shared" si="3"/>
        <v/>
      </c>
      <c r="M847" s="60"/>
      <c r="N847" s="61">
        <f t="shared" si="4"/>
        <v>26.19224323</v>
      </c>
      <c r="O847" s="63">
        <f>if(A847,_xlfn.WORKDAY.INTL(A847,O$5,"1000000",Holidays!A:A)+hour(A847)/24+MINUTE(A847)/1440,"")</f>
        <v>46107.6875</v>
      </c>
      <c r="P847" s="64" t="s">
        <v>2718</v>
      </c>
      <c r="R847" s="66">
        <f t="shared" si="5"/>
        <v>26.2964099</v>
      </c>
      <c r="S847" s="66"/>
      <c r="T847" s="66"/>
      <c r="U847" s="64">
        <f>if(O847,_xlfn.WORKDAY.INTL(O847,U$5,"1000000",Holidays!A:A)+hour(O847)/24+MINUTE(O847)/1440,"")</f>
        <v>46108.6875</v>
      </c>
      <c r="V847" s="64" t="str">
        <f t="shared" si="6"/>
        <v/>
      </c>
      <c r="W847" s="66"/>
      <c r="X847" s="66">
        <f t="shared" si="7"/>
        <v>25.2964099</v>
      </c>
      <c r="Y847" s="66"/>
      <c r="Z847" s="66"/>
      <c r="AA847" s="66"/>
      <c r="AB847" s="63"/>
      <c r="AC847" s="63"/>
      <c r="AD847" s="63"/>
      <c r="AE847" s="63"/>
      <c r="AF847" s="63"/>
      <c r="AG847" s="63"/>
      <c r="AH847" s="63" t="str">
        <f t="shared" si="14"/>
        <v/>
      </c>
      <c r="AI847" s="63" t="str">
        <f>if(AH847,_xlfn.workday.intl(int(AH847),0,"1000000",Holidays!A:A)+18/24,"")</f>
        <v/>
      </c>
      <c r="AJ847" s="64" t="str">
        <f t="shared" si="24"/>
        <v/>
      </c>
      <c r="AL847" s="66" t="str">
        <f t="shared" si="9"/>
        <v/>
      </c>
      <c r="AM847" s="66"/>
      <c r="AN847" s="63" t="str">
        <f>if(AJ847,if(and(hour(AJ847+AN$5)&gt;11,(hour(AJ847+AN$5)&lt;20)),AJ847+AN$5,_xlfn.workday.intl(int(AJ847),1,"1000000",Holidays!A:A)+hour(AJ847+AN$5-$B$1)/24+minute(AJ847)/1440),"")</f>
        <v/>
      </c>
      <c r="AO847" s="64" t="str">
        <f t="shared" si="15"/>
        <v/>
      </c>
      <c r="AQ847" s="66" t="str">
        <f t="shared" si="16"/>
        <v/>
      </c>
      <c r="AR847" s="66"/>
      <c r="AS847" s="63" t="str">
        <f>if(AJ847,if(and(hour(AJ847+AS$5)&gt;11,(hour(AJ847+AS$5)&lt;20)),AJ847+AS$5,_xlfn.workday.intl(int(AJ847),1,"1000000",Holidays!A:A)+hour(AJ847+AS$5-$B$1)/24+minute(AJ847)/1440),"")</f>
        <v/>
      </c>
      <c r="AT847" s="64" t="str">
        <f t="shared" si="21"/>
        <v/>
      </c>
      <c r="AV847" s="66" t="str">
        <f t="shared" si="25"/>
        <v/>
      </c>
      <c r="AW847" s="66"/>
      <c r="AX847" s="56"/>
    </row>
    <row r="848">
      <c r="A848" s="55">
        <v>46106.689221249995</v>
      </c>
      <c r="B848" s="56"/>
      <c r="C848" s="57"/>
      <c r="D848" s="57"/>
      <c r="E848" s="57"/>
      <c r="F848" s="57"/>
      <c r="G848" s="58">
        <f>if(A848,_xlfn.workday.intl(int(A848),1,"1000000",Holidays!A:A)+17/24,"")</f>
        <v>46107.70833</v>
      </c>
      <c r="H848" s="59" t="str">
        <f t="shared" si="23"/>
        <v/>
      </c>
      <c r="I848" s="60"/>
      <c r="J848" s="61">
        <f t="shared" si="2"/>
        <v>26.27557656</v>
      </c>
      <c r="K848" s="58">
        <f>if(G848,_xlfn.workday.intl(int(G848),0,"1000000",Holidays!A:A)+19/24,"")</f>
        <v>46107.79167</v>
      </c>
      <c r="L848" s="59" t="str">
        <f t="shared" si="3"/>
        <v/>
      </c>
      <c r="M848" s="60"/>
      <c r="N848" s="61">
        <f t="shared" si="4"/>
        <v>26.19224323</v>
      </c>
      <c r="O848" s="63">
        <f>if(A848,_xlfn.WORKDAY.INTL(A848,O$5,"1000000",Holidays!A:A)+hour(A848)/24+MINUTE(A848)/1440,"")</f>
        <v>46107.68889</v>
      </c>
      <c r="P848" s="64" t="s">
        <v>2718</v>
      </c>
      <c r="R848" s="66">
        <f t="shared" si="5"/>
        <v>26.29502101</v>
      </c>
      <c r="S848" s="66"/>
      <c r="T848" s="66"/>
      <c r="U848" s="64">
        <f>if(O848,_xlfn.WORKDAY.INTL(O848,U$5,"1000000",Holidays!A:A)+hour(O848)/24+MINUTE(O848)/1440,"")</f>
        <v>46108.68889</v>
      </c>
      <c r="V848" s="64" t="str">
        <f t="shared" si="6"/>
        <v/>
      </c>
      <c r="W848" s="66"/>
      <c r="X848" s="66">
        <f t="shared" si="7"/>
        <v>25.29502101</v>
      </c>
      <c r="Y848" s="66"/>
      <c r="Z848" s="66"/>
      <c r="AA848" s="66"/>
      <c r="AB848" s="63"/>
      <c r="AC848" s="63"/>
      <c r="AD848" s="63"/>
      <c r="AE848" s="63"/>
      <c r="AF848" s="63"/>
      <c r="AG848" s="63"/>
      <c r="AH848" s="63" t="str">
        <f t="shared" si="14"/>
        <v/>
      </c>
      <c r="AI848" s="63" t="str">
        <f>if(AH848,_xlfn.workday.intl(int(AH848),0,"1000000",Holidays!A:A)+18/24,"")</f>
        <v/>
      </c>
      <c r="AJ848" s="64" t="str">
        <f t="shared" si="24"/>
        <v/>
      </c>
      <c r="AL848" s="66" t="str">
        <f t="shared" si="9"/>
        <v/>
      </c>
      <c r="AM848" s="66"/>
      <c r="AN848" s="63" t="str">
        <f>if(AJ848,if(and(hour(AJ848+AN$5)&gt;11,(hour(AJ848+AN$5)&lt;20)),AJ848+AN$5,_xlfn.workday.intl(int(AJ848),1,"1000000",Holidays!A:A)+hour(AJ848+AN$5-$B$1)/24+minute(AJ848)/1440),"")</f>
        <v/>
      </c>
      <c r="AO848" s="64" t="str">
        <f t="shared" si="15"/>
        <v/>
      </c>
      <c r="AQ848" s="66" t="str">
        <f t="shared" si="16"/>
        <v/>
      </c>
      <c r="AR848" s="66"/>
      <c r="AS848" s="63" t="str">
        <f>if(AJ848,if(and(hour(AJ848+AS$5)&gt;11,(hour(AJ848+AS$5)&lt;20)),AJ848+AS$5,_xlfn.workday.intl(int(AJ848),1,"1000000",Holidays!A:A)+hour(AJ848+AS$5-$B$1)/24+minute(AJ848)/1440),"")</f>
        <v/>
      </c>
      <c r="AT848" s="64" t="str">
        <f t="shared" si="21"/>
        <v/>
      </c>
      <c r="AV848" s="66" t="str">
        <f t="shared" si="25"/>
        <v/>
      </c>
      <c r="AW848" s="66"/>
      <c r="AX848" s="56"/>
    </row>
    <row r="849">
      <c r="A849" s="55">
        <v>46106.69875122685</v>
      </c>
      <c r="B849" s="56"/>
      <c r="C849" s="57"/>
      <c r="D849" s="57"/>
      <c r="E849" s="57"/>
      <c r="F849" s="57"/>
      <c r="G849" s="58">
        <f>if(A849,_xlfn.workday.intl(int(A849),1,"1000000",Holidays!A:A)+17/24,"")</f>
        <v>46107.70833</v>
      </c>
      <c r="H849" s="59" t="str">
        <f t="shared" si="23"/>
        <v/>
      </c>
      <c r="I849" s="60"/>
      <c r="J849" s="61">
        <f t="shared" si="2"/>
        <v>26.27557656</v>
      </c>
      <c r="K849" s="58">
        <f>if(G849,_xlfn.workday.intl(int(G849),0,"1000000",Holidays!A:A)+19/24,"")</f>
        <v>46107.79167</v>
      </c>
      <c r="L849" s="59" t="str">
        <f t="shared" si="3"/>
        <v/>
      </c>
      <c r="M849" s="60"/>
      <c r="N849" s="61">
        <f t="shared" si="4"/>
        <v>26.19224323</v>
      </c>
      <c r="O849" s="63">
        <f>if(A849,_xlfn.WORKDAY.INTL(A849,O$5,"1000000",Holidays!A:A)+hour(A849)/24+MINUTE(A849)/1440,"")</f>
        <v>46107.69861</v>
      </c>
      <c r="P849" s="64" t="s">
        <v>2718</v>
      </c>
      <c r="R849" s="66">
        <f t="shared" si="5"/>
        <v>26.28529878</v>
      </c>
      <c r="S849" s="66"/>
      <c r="T849" s="66"/>
      <c r="U849" s="64">
        <f>if(O849,_xlfn.WORKDAY.INTL(O849,U$5,"1000000",Holidays!A:A)+hour(O849)/24+MINUTE(O849)/1440,"")</f>
        <v>46108.69861</v>
      </c>
      <c r="V849" s="64" t="str">
        <f t="shared" si="6"/>
        <v/>
      </c>
      <c r="W849" s="66"/>
      <c r="X849" s="66">
        <f t="shared" si="7"/>
        <v>25.28529878</v>
      </c>
      <c r="Y849" s="66"/>
      <c r="Z849" s="66"/>
      <c r="AA849" s="66"/>
      <c r="AB849" s="63"/>
      <c r="AC849" s="63"/>
      <c r="AD849" s="63"/>
      <c r="AE849" s="63"/>
      <c r="AF849" s="63"/>
      <c r="AG849" s="63"/>
      <c r="AH849" s="63" t="str">
        <f t="shared" si="14"/>
        <v/>
      </c>
      <c r="AI849" s="63" t="str">
        <f>if(AH849,_xlfn.workday.intl(int(AH849),0,"1000000",Holidays!A:A)+18/24,"")</f>
        <v/>
      </c>
      <c r="AJ849" s="64" t="str">
        <f t="shared" si="24"/>
        <v/>
      </c>
      <c r="AL849" s="66" t="str">
        <f t="shared" si="9"/>
        <v/>
      </c>
      <c r="AM849" s="66"/>
      <c r="AN849" s="63" t="str">
        <f>if(AJ849,if(and(hour(AJ849+AN$5)&gt;11,(hour(AJ849+AN$5)&lt;20)),AJ849+AN$5,_xlfn.workday.intl(int(AJ849),1,"1000000",Holidays!A:A)+hour(AJ849+AN$5-$B$1)/24+minute(AJ849)/1440),"")</f>
        <v/>
      </c>
      <c r="AO849" s="64" t="str">
        <f t="shared" si="15"/>
        <v/>
      </c>
      <c r="AQ849" s="66" t="str">
        <f t="shared" si="16"/>
        <v/>
      </c>
      <c r="AR849" s="66"/>
      <c r="AS849" s="63" t="str">
        <f>if(AJ849,if(and(hour(AJ849+AS$5)&gt;11,(hour(AJ849+AS$5)&lt;20)),AJ849+AS$5,_xlfn.workday.intl(int(AJ849),1,"1000000",Holidays!A:A)+hour(AJ849+AS$5-$B$1)/24+minute(AJ849)/1440),"")</f>
        <v/>
      </c>
      <c r="AT849" s="64" t="str">
        <f t="shared" si="21"/>
        <v/>
      </c>
      <c r="AV849" s="66" t="str">
        <f t="shared" si="25"/>
        <v/>
      </c>
      <c r="AW849" s="66"/>
      <c r="AX849" s="56"/>
    </row>
    <row r="850">
      <c r="A850" s="55">
        <v>46106.699487164355</v>
      </c>
      <c r="B850" s="56"/>
      <c r="C850" s="57"/>
      <c r="D850" s="57"/>
      <c r="E850" s="57"/>
      <c r="F850" s="57"/>
      <c r="G850" s="58">
        <f>if(A850,_xlfn.workday.intl(int(A850),1,"1000000",Holidays!A:A)+17/24,"")</f>
        <v>46107.70833</v>
      </c>
      <c r="H850" s="59" t="str">
        <f t="shared" si="23"/>
        <v/>
      </c>
      <c r="I850" s="60"/>
      <c r="J850" s="61">
        <f t="shared" si="2"/>
        <v>26.27557656</v>
      </c>
      <c r="K850" s="58">
        <f>if(G850,_xlfn.workday.intl(int(G850),0,"1000000",Holidays!A:A)+19/24,"")</f>
        <v>46107.79167</v>
      </c>
      <c r="L850" s="59" t="str">
        <f t="shared" si="3"/>
        <v/>
      </c>
      <c r="M850" s="60"/>
      <c r="N850" s="61">
        <f t="shared" si="4"/>
        <v>26.19224323</v>
      </c>
      <c r="O850" s="63">
        <f>if(A850,_xlfn.WORKDAY.INTL(A850,O$5,"1000000",Holidays!A:A)+hour(A850)/24+MINUTE(A850)/1440,"")</f>
        <v>46107.69931</v>
      </c>
      <c r="P850" s="64" t="s">
        <v>2718</v>
      </c>
      <c r="R850" s="66">
        <f t="shared" si="5"/>
        <v>26.28460434</v>
      </c>
      <c r="S850" s="66"/>
      <c r="T850" s="66"/>
      <c r="U850" s="64">
        <f>if(O850,_xlfn.WORKDAY.INTL(O850,U$5,"1000000",Holidays!A:A)+hour(O850)/24+MINUTE(O850)/1440,"")</f>
        <v>46108.69931</v>
      </c>
      <c r="V850" s="64" t="str">
        <f t="shared" si="6"/>
        <v/>
      </c>
      <c r="W850" s="66"/>
      <c r="X850" s="66">
        <f t="shared" si="7"/>
        <v>25.28460434</v>
      </c>
      <c r="Y850" s="66"/>
      <c r="Z850" s="66"/>
      <c r="AA850" s="66"/>
      <c r="AB850" s="63"/>
      <c r="AC850" s="63"/>
      <c r="AD850" s="63"/>
      <c r="AE850" s="63"/>
      <c r="AF850" s="63"/>
      <c r="AG850" s="63"/>
      <c r="AH850" s="63" t="str">
        <f t="shared" si="14"/>
        <v/>
      </c>
      <c r="AI850" s="63" t="str">
        <f>if(AH850,_xlfn.workday.intl(int(AH850),0,"1000000",Holidays!A:A)+18/24,"")</f>
        <v/>
      </c>
      <c r="AJ850" s="64" t="str">
        <f t="shared" si="24"/>
        <v/>
      </c>
      <c r="AL850" s="66" t="str">
        <f t="shared" si="9"/>
        <v/>
      </c>
      <c r="AM850" s="66"/>
      <c r="AN850" s="63" t="str">
        <f>if(AJ850,if(and(hour(AJ850+AN$5)&gt;11,(hour(AJ850+AN$5)&lt;20)),AJ850+AN$5,_xlfn.workday.intl(int(AJ850),1,"1000000",Holidays!A:A)+hour(AJ850+AN$5-$B$1)/24+minute(AJ850)/1440),"")</f>
        <v/>
      </c>
      <c r="AO850" s="64" t="str">
        <f t="shared" si="15"/>
        <v/>
      </c>
      <c r="AQ850" s="66" t="str">
        <f t="shared" si="16"/>
        <v/>
      </c>
      <c r="AR850" s="66"/>
      <c r="AS850" s="63" t="str">
        <f>if(AJ850,if(and(hour(AJ850+AS$5)&gt;11,(hour(AJ850+AS$5)&lt;20)),AJ850+AS$5,_xlfn.workday.intl(int(AJ850),1,"1000000",Holidays!A:A)+hour(AJ850+AS$5-$B$1)/24+minute(AJ850)/1440),"")</f>
        <v/>
      </c>
      <c r="AT850" s="64" t="str">
        <f t="shared" si="21"/>
        <v/>
      </c>
      <c r="AV850" s="66" t="str">
        <f t="shared" si="25"/>
        <v/>
      </c>
      <c r="AW850" s="66"/>
      <c r="AX850" s="56"/>
    </row>
    <row r="851">
      <c r="A851" s="55">
        <v>46106.702505023146</v>
      </c>
      <c r="B851" s="56"/>
      <c r="C851" s="57"/>
      <c r="D851" s="57"/>
      <c r="E851" s="57"/>
      <c r="F851" s="57"/>
      <c r="G851" s="58">
        <f>if(A851,_xlfn.workday.intl(int(A851),1,"1000000",Holidays!A:A)+17/24,"")</f>
        <v>46107.70833</v>
      </c>
      <c r="H851" s="59" t="str">
        <f t="shared" si="23"/>
        <v/>
      </c>
      <c r="I851" s="60"/>
      <c r="J851" s="61">
        <f t="shared" si="2"/>
        <v>26.27557656</v>
      </c>
      <c r="K851" s="58">
        <f>if(G851,_xlfn.workday.intl(int(G851),0,"1000000",Holidays!A:A)+19/24,"")</f>
        <v>46107.79167</v>
      </c>
      <c r="L851" s="59" t="str">
        <f t="shared" si="3"/>
        <v/>
      </c>
      <c r="M851" s="60"/>
      <c r="N851" s="61">
        <f t="shared" si="4"/>
        <v>26.19224323</v>
      </c>
      <c r="O851" s="63">
        <f>if(A851,_xlfn.WORKDAY.INTL(A851,O$5,"1000000",Holidays!A:A)+hour(A851)/24+MINUTE(A851)/1440,"")</f>
        <v>46107.70208</v>
      </c>
      <c r="P851" s="64" t="s">
        <v>2718</v>
      </c>
      <c r="R851" s="66">
        <f t="shared" si="5"/>
        <v>26.28182656</v>
      </c>
      <c r="S851" s="66"/>
      <c r="T851" s="66"/>
      <c r="U851" s="64">
        <f>if(O851,_xlfn.WORKDAY.INTL(O851,U$5,"1000000",Holidays!A:A)+hour(O851)/24+MINUTE(O851)/1440,"")</f>
        <v>46108.70208</v>
      </c>
      <c r="V851" s="64" t="str">
        <f t="shared" si="6"/>
        <v/>
      </c>
      <c r="W851" s="66"/>
      <c r="X851" s="66">
        <f t="shared" si="7"/>
        <v>25.28182656</v>
      </c>
      <c r="Y851" s="66"/>
      <c r="Z851" s="66"/>
      <c r="AA851" s="66"/>
      <c r="AB851" s="63"/>
      <c r="AC851" s="63"/>
      <c r="AD851" s="63"/>
      <c r="AE851" s="63"/>
      <c r="AF851" s="63"/>
      <c r="AG851" s="63"/>
      <c r="AH851" s="63" t="str">
        <f t="shared" si="14"/>
        <v/>
      </c>
      <c r="AI851" s="63" t="str">
        <f>if(AH851,_xlfn.workday.intl(int(AH851),0,"1000000",Holidays!A:A)+18/24,"")</f>
        <v/>
      </c>
      <c r="AJ851" s="64" t="str">
        <f t="shared" si="24"/>
        <v/>
      </c>
      <c r="AL851" s="66" t="str">
        <f t="shared" si="9"/>
        <v/>
      </c>
      <c r="AM851" s="66"/>
      <c r="AN851" s="63" t="str">
        <f>if(AJ851,if(and(hour(AJ851+AN$5)&gt;11,(hour(AJ851+AN$5)&lt;20)),AJ851+AN$5,_xlfn.workday.intl(int(AJ851),1,"1000000",Holidays!A:A)+hour(AJ851+AN$5-$B$1)/24+minute(AJ851)/1440),"")</f>
        <v/>
      </c>
      <c r="AO851" s="64" t="str">
        <f t="shared" si="15"/>
        <v/>
      </c>
      <c r="AQ851" s="66" t="str">
        <f t="shared" si="16"/>
        <v/>
      </c>
      <c r="AR851" s="66"/>
      <c r="AS851" s="63" t="str">
        <f>if(AJ851,if(and(hour(AJ851+AS$5)&gt;11,(hour(AJ851+AS$5)&lt;20)),AJ851+AS$5,_xlfn.workday.intl(int(AJ851),1,"1000000",Holidays!A:A)+hour(AJ851+AS$5-$B$1)/24+minute(AJ851)/1440),"")</f>
        <v/>
      </c>
      <c r="AT851" s="64" t="str">
        <f t="shared" si="21"/>
        <v/>
      </c>
      <c r="AV851" s="66" t="str">
        <f t="shared" si="25"/>
        <v/>
      </c>
      <c r="AW851" s="66"/>
      <c r="AX851" s="56"/>
    </row>
    <row r="852">
      <c r="A852" s="55">
        <v>46106.70475030092</v>
      </c>
      <c r="B852" s="56"/>
      <c r="C852" s="57"/>
      <c r="D852" s="57"/>
      <c r="E852" s="57"/>
      <c r="F852" s="57"/>
      <c r="G852" s="58">
        <f>if(A852,_xlfn.workday.intl(int(A852),1,"1000000",Holidays!A:A)+17/24,"")</f>
        <v>46107.70833</v>
      </c>
      <c r="H852" s="59" t="str">
        <f t="shared" si="23"/>
        <v/>
      </c>
      <c r="I852" s="60"/>
      <c r="J852" s="61">
        <f t="shared" si="2"/>
        <v>26.27557656</v>
      </c>
      <c r="K852" s="58">
        <f>if(G852,_xlfn.workday.intl(int(G852),0,"1000000",Holidays!A:A)+19/24,"")</f>
        <v>46107.79167</v>
      </c>
      <c r="L852" s="59" t="str">
        <f t="shared" si="3"/>
        <v/>
      </c>
      <c r="M852" s="60"/>
      <c r="N852" s="61">
        <f t="shared" si="4"/>
        <v>26.19224323</v>
      </c>
      <c r="O852" s="63">
        <f>if(A852,_xlfn.WORKDAY.INTL(A852,O$5,"1000000",Holidays!A:A)+hour(A852)/24+MINUTE(A852)/1440,"")</f>
        <v>46107.70417</v>
      </c>
      <c r="P852" s="64" t="s">
        <v>2718</v>
      </c>
      <c r="R852" s="66">
        <f t="shared" si="5"/>
        <v>26.27974323</v>
      </c>
      <c r="S852" s="66"/>
      <c r="T852" s="66"/>
      <c r="U852" s="64">
        <f>if(O852,_xlfn.WORKDAY.INTL(O852,U$5,"1000000",Holidays!A:A)+hour(O852)/24+MINUTE(O852)/1440,"")</f>
        <v>46108.70417</v>
      </c>
      <c r="V852" s="64" t="str">
        <f t="shared" si="6"/>
        <v/>
      </c>
      <c r="W852" s="66"/>
      <c r="X852" s="66">
        <f t="shared" si="7"/>
        <v>25.27974323</v>
      </c>
      <c r="Y852" s="66"/>
      <c r="Z852" s="66"/>
      <c r="AA852" s="66"/>
      <c r="AB852" s="63"/>
      <c r="AC852" s="63"/>
      <c r="AD852" s="63"/>
      <c r="AE852" s="63"/>
      <c r="AF852" s="63"/>
      <c r="AG852" s="63"/>
      <c r="AH852" s="63" t="str">
        <f t="shared" si="14"/>
        <v/>
      </c>
      <c r="AI852" s="63" t="str">
        <f>if(AH852,_xlfn.workday.intl(int(AH852),0,"1000000",Holidays!A:A)+18/24,"")</f>
        <v/>
      </c>
      <c r="AJ852" s="64" t="str">
        <f t="shared" si="24"/>
        <v/>
      </c>
      <c r="AL852" s="66" t="str">
        <f t="shared" si="9"/>
        <v/>
      </c>
      <c r="AM852" s="66"/>
      <c r="AN852" s="63" t="str">
        <f>if(AJ852,if(and(hour(AJ852+AN$5)&gt;11,(hour(AJ852+AN$5)&lt;20)),AJ852+AN$5,_xlfn.workday.intl(int(AJ852),1,"1000000",Holidays!A:A)+hour(AJ852+AN$5-$B$1)/24+minute(AJ852)/1440),"")</f>
        <v/>
      </c>
      <c r="AO852" s="64" t="str">
        <f t="shared" si="15"/>
        <v/>
      </c>
      <c r="AQ852" s="66" t="str">
        <f t="shared" si="16"/>
        <v/>
      </c>
      <c r="AR852" s="66"/>
      <c r="AS852" s="63" t="str">
        <f>if(AJ852,if(and(hour(AJ852+AS$5)&gt;11,(hour(AJ852+AS$5)&lt;20)),AJ852+AS$5,_xlfn.workday.intl(int(AJ852),1,"1000000",Holidays!A:A)+hour(AJ852+AS$5-$B$1)/24+minute(AJ852)/1440),"")</f>
        <v/>
      </c>
      <c r="AT852" s="64" t="str">
        <f t="shared" si="21"/>
        <v/>
      </c>
      <c r="AV852" s="66" t="str">
        <f t="shared" si="25"/>
        <v/>
      </c>
      <c r="AW852" s="66"/>
      <c r="AX852" s="56"/>
    </row>
    <row r="853">
      <c r="A853" s="55">
        <v>46106.70535670139</v>
      </c>
      <c r="B853" s="56"/>
      <c r="C853" s="57"/>
      <c r="D853" s="57"/>
      <c r="E853" s="57"/>
      <c r="F853" s="57"/>
      <c r="G853" s="58">
        <f>if(A853,_xlfn.workday.intl(int(A853),1,"1000000",Holidays!A:A)+17/24,"")</f>
        <v>46107.70833</v>
      </c>
      <c r="H853" s="59" t="str">
        <f t="shared" si="23"/>
        <v/>
      </c>
      <c r="I853" s="60"/>
      <c r="J853" s="61">
        <f t="shared" si="2"/>
        <v>26.27557656</v>
      </c>
      <c r="K853" s="58">
        <f>if(G853,_xlfn.workday.intl(int(G853),0,"1000000",Holidays!A:A)+19/24,"")</f>
        <v>46107.79167</v>
      </c>
      <c r="L853" s="59" t="str">
        <f t="shared" si="3"/>
        <v/>
      </c>
      <c r="M853" s="60"/>
      <c r="N853" s="61">
        <f t="shared" si="4"/>
        <v>26.19224323</v>
      </c>
      <c r="O853" s="63">
        <f>if(A853,_xlfn.WORKDAY.INTL(A853,O$5,"1000000",Holidays!A:A)+hour(A853)/24+MINUTE(A853)/1440,"")</f>
        <v>46107.70486</v>
      </c>
      <c r="P853" s="64" t="s">
        <v>2718</v>
      </c>
      <c r="R853" s="66">
        <f t="shared" si="5"/>
        <v>26.27904878</v>
      </c>
      <c r="S853" s="66"/>
      <c r="T853" s="66"/>
      <c r="U853" s="64">
        <f>if(O853,_xlfn.WORKDAY.INTL(O853,U$5,"1000000",Holidays!A:A)+hour(O853)/24+MINUTE(O853)/1440,"")</f>
        <v>46108.70486</v>
      </c>
      <c r="V853" s="64" t="str">
        <f t="shared" si="6"/>
        <v/>
      </c>
      <c r="W853" s="66"/>
      <c r="X853" s="66">
        <f t="shared" si="7"/>
        <v>25.27904878</v>
      </c>
      <c r="Y853" s="66"/>
      <c r="Z853" s="66"/>
      <c r="AA853" s="66"/>
      <c r="AB853" s="63"/>
      <c r="AC853" s="63"/>
      <c r="AD853" s="63"/>
      <c r="AE853" s="63"/>
      <c r="AF853" s="63"/>
      <c r="AG853" s="63"/>
      <c r="AH853" s="63" t="str">
        <f t="shared" si="14"/>
        <v/>
      </c>
      <c r="AI853" s="63" t="str">
        <f>if(AH853,_xlfn.workday.intl(int(AH853),0,"1000000",Holidays!A:A)+18/24,"")</f>
        <v/>
      </c>
      <c r="AJ853" s="64" t="str">
        <f t="shared" si="24"/>
        <v/>
      </c>
      <c r="AL853" s="66" t="str">
        <f t="shared" si="9"/>
        <v/>
      </c>
      <c r="AM853" s="66"/>
      <c r="AN853" s="63" t="str">
        <f>if(AJ853,if(and(hour(AJ853+AN$5)&gt;11,(hour(AJ853+AN$5)&lt;20)),AJ853+AN$5,_xlfn.workday.intl(int(AJ853),1,"1000000",Holidays!A:A)+hour(AJ853+AN$5-$B$1)/24+minute(AJ853)/1440),"")</f>
        <v/>
      </c>
      <c r="AO853" s="64" t="str">
        <f t="shared" si="15"/>
        <v/>
      </c>
      <c r="AQ853" s="66" t="str">
        <f t="shared" si="16"/>
        <v/>
      </c>
      <c r="AR853" s="66"/>
      <c r="AS853" s="63" t="str">
        <f>if(AJ853,if(and(hour(AJ853+AS$5)&gt;11,(hour(AJ853+AS$5)&lt;20)),AJ853+AS$5,_xlfn.workday.intl(int(AJ853),1,"1000000",Holidays!A:A)+hour(AJ853+AS$5-$B$1)/24+minute(AJ853)/1440),"")</f>
        <v/>
      </c>
      <c r="AT853" s="64" t="str">
        <f t="shared" si="21"/>
        <v/>
      </c>
      <c r="AV853" s="66" t="str">
        <f t="shared" si="25"/>
        <v/>
      </c>
      <c r="AW853" s="66"/>
      <c r="AX853" s="56"/>
    </row>
    <row r="854">
      <c r="A854" s="55">
        <v>46106.70614899306</v>
      </c>
      <c r="B854" s="56"/>
      <c r="C854" s="57"/>
      <c r="D854" s="57"/>
      <c r="E854" s="57"/>
      <c r="F854" s="57"/>
      <c r="G854" s="58">
        <f>if(A854,_xlfn.workday.intl(int(A854),1,"1000000",Holidays!A:A)+17/24,"")</f>
        <v>46107.70833</v>
      </c>
      <c r="H854" s="59" t="str">
        <f t="shared" si="23"/>
        <v/>
      </c>
      <c r="I854" s="60"/>
      <c r="J854" s="61">
        <f t="shared" si="2"/>
        <v>26.27557656</v>
      </c>
      <c r="K854" s="58">
        <f>if(G854,_xlfn.workday.intl(int(G854),0,"1000000",Holidays!A:A)+19/24,"")</f>
        <v>46107.79167</v>
      </c>
      <c r="L854" s="59" t="str">
        <f t="shared" si="3"/>
        <v/>
      </c>
      <c r="M854" s="60"/>
      <c r="N854" s="61">
        <f t="shared" si="4"/>
        <v>26.19224323</v>
      </c>
      <c r="O854" s="63">
        <f>if(A854,_xlfn.WORKDAY.INTL(A854,O$5,"1000000",Holidays!A:A)+hour(A854)/24+MINUTE(A854)/1440,"")</f>
        <v>46107.70556</v>
      </c>
      <c r="P854" s="64" t="s">
        <v>2718</v>
      </c>
      <c r="R854" s="66">
        <f t="shared" si="5"/>
        <v>26.27835434</v>
      </c>
      <c r="S854" s="66"/>
      <c r="T854" s="66"/>
      <c r="U854" s="64">
        <f>if(O854,_xlfn.WORKDAY.INTL(O854,U$5,"1000000",Holidays!A:A)+hour(O854)/24+MINUTE(O854)/1440,"")</f>
        <v>46108.70556</v>
      </c>
      <c r="V854" s="64" t="str">
        <f t="shared" si="6"/>
        <v/>
      </c>
      <c r="W854" s="66"/>
      <c r="X854" s="66">
        <f t="shared" si="7"/>
        <v>25.27835434</v>
      </c>
      <c r="Y854" s="66"/>
      <c r="Z854" s="66"/>
      <c r="AA854" s="66"/>
      <c r="AB854" s="63"/>
      <c r="AC854" s="63"/>
      <c r="AD854" s="63"/>
      <c r="AE854" s="63"/>
      <c r="AF854" s="63"/>
      <c r="AG854" s="63"/>
      <c r="AH854" s="63" t="str">
        <f t="shared" si="14"/>
        <v/>
      </c>
      <c r="AI854" s="63" t="str">
        <f>if(AH854,_xlfn.workday.intl(int(AH854),0,"1000000",Holidays!A:A)+18/24,"")</f>
        <v/>
      </c>
      <c r="AJ854" s="64" t="str">
        <f t="shared" si="24"/>
        <v/>
      </c>
      <c r="AL854" s="66" t="str">
        <f t="shared" si="9"/>
        <v/>
      </c>
      <c r="AM854" s="66"/>
      <c r="AN854" s="63" t="str">
        <f>if(AJ854,if(and(hour(AJ854+AN$5)&gt;11,(hour(AJ854+AN$5)&lt;20)),AJ854+AN$5,_xlfn.workday.intl(int(AJ854),1,"1000000",Holidays!A:A)+hour(AJ854+AN$5-$B$1)/24+minute(AJ854)/1440),"")</f>
        <v/>
      </c>
      <c r="AO854" s="64" t="str">
        <f t="shared" si="15"/>
        <v/>
      </c>
      <c r="AQ854" s="66" t="str">
        <f t="shared" si="16"/>
        <v/>
      </c>
      <c r="AR854" s="66"/>
      <c r="AS854" s="63" t="str">
        <f>if(AJ854,if(and(hour(AJ854+AS$5)&gt;11,(hour(AJ854+AS$5)&lt;20)),AJ854+AS$5,_xlfn.workday.intl(int(AJ854),1,"1000000",Holidays!A:A)+hour(AJ854+AS$5-$B$1)/24+minute(AJ854)/1440),"")</f>
        <v/>
      </c>
      <c r="AT854" s="64" t="str">
        <f t="shared" si="21"/>
        <v/>
      </c>
      <c r="AV854" s="66" t="str">
        <f t="shared" si="25"/>
        <v/>
      </c>
      <c r="AW854" s="66"/>
      <c r="AX854" s="56"/>
    </row>
    <row r="855">
      <c r="A855" s="55">
        <v>46106.70667568287</v>
      </c>
      <c r="B855" s="56"/>
      <c r="C855" s="57"/>
      <c r="D855" s="57"/>
      <c r="E855" s="57"/>
      <c r="F855" s="57"/>
      <c r="G855" s="58">
        <f>if(A855,_xlfn.workday.intl(int(A855),1,"1000000",Holidays!A:A)+17/24,"")</f>
        <v>46107.70833</v>
      </c>
      <c r="H855" s="59" t="str">
        <f t="shared" si="23"/>
        <v/>
      </c>
      <c r="I855" s="60"/>
      <c r="J855" s="61">
        <f t="shared" si="2"/>
        <v>26.27557656</v>
      </c>
      <c r="K855" s="58">
        <f>if(G855,_xlfn.workday.intl(int(G855),0,"1000000",Holidays!A:A)+19/24,"")</f>
        <v>46107.79167</v>
      </c>
      <c r="L855" s="59" t="str">
        <f t="shared" si="3"/>
        <v/>
      </c>
      <c r="M855" s="60"/>
      <c r="N855" s="61">
        <f t="shared" si="4"/>
        <v>26.19224323</v>
      </c>
      <c r="O855" s="63">
        <f>if(A855,_xlfn.WORKDAY.INTL(A855,O$5,"1000000",Holidays!A:A)+hour(A855)/24+MINUTE(A855)/1440,"")</f>
        <v>46107.70625</v>
      </c>
      <c r="P855" s="64" t="s">
        <v>2718</v>
      </c>
      <c r="R855" s="66">
        <f t="shared" si="5"/>
        <v>26.2776599</v>
      </c>
      <c r="S855" s="66"/>
      <c r="T855" s="66"/>
      <c r="U855" s="64">
        <f>if(O855,_xlfn.WORKDAY.INTL(O855,U$5,"1000000",Holidays!A:A)+hour(O855)/24+MINUTE(O855)/1440,"")</f>
        <v>46108.70625</v>
      </c>
      <c r="V855" s="64" t="str">
        <f t="shared" si="6"/>
        <v/>
      </c>
      <c r="W855" s="66"/>
      <c r="X855" s="66">
        <f t="shared" si="7"/>
        <v>25.2776599</v>
      </c>
      <c r="Y855" s="66"/>
      <c r="Z855" s="66"/>
      <c r="AA855" s="66"/>
      <c r="AB855" s="63"/>
      <c r="AC855" s="63"/>
      <c r="AD855" s="63"/>
      <c r="AE855" s="63"/>
      <c r="AF855" s="63"/>
      <c r="AG855" s="63"/>
      <c r="AH855" s="63" t="str">
        <f t="shared" si="14"/>
        <v/>
      </c>
      <c r="AI855" s="63" t="str">
        <f>if(AH855,_xlfn.workday.intl(int(AH855),0,"1000000",Holidays!A:A)+18/24,"")</f>
        <v/>
      </c>
      <c r="AJ855" s="64" t="str">
        <f t="shared" si="24"/>
        <v/>
      </c>
      <c r="AL855" s="66" t="str">
        <f t="shared" si="9"/>
        <v/>
      </c>
      <c r="AM855" s="66"/>
      <c r="AN855" s="63" t="str">
        <f>if(AJ855,if(and(hour(AJ855+AN$5)&gt;11,(hour(AJ855+AN$5)&lt;20)),AJ855+AN$5,_xlfn.workday.intl(int(AJ855),1,"1000000",Holidays!A:A)+hour(AJ855+AN$5-$B$1)/24+minute(AJ855)/1440),"")</f>
        <v/>
      </c>
      <c r="AO855" s="64" t="str">
        <f t="shared" si="15"/>
        <v/>
      </c>
      <c r="AQ855" s="66" t="str">
        <f t="shared" si="16"/>
        <v/>
      </c>
      <c r="AR855" s="66"/>
      <c r="AS855" s="63" t="str">
        <f>if(AJ855,if(and(hour(AJ855+AS$5)&gt;11,(hour(AJ855+AS$5)&lt;20)),AJ855+AS$5,_xlfn.workday.intl(int(AJ855),1,"1000000",Holidays!A:A)+hour(AJ855+AS$5-$B$1)/24+minute(AJ855)/1440),"")</f>
        <v/>
      </c>
      <c r="AT855" s="64" t="str">
        <f t="shared" si="21"/>
        <v/>
      </c>
      <c r="AV855" s="66" t="str">
        <f t="shared" si="25"/>
        <v/>
      </c>
      <c r="AW855" s="66"/>
      <c r="AX855" s="56"/>
    </row>
    <row r="856">
      <c r="A856" s="55">
        <v>46107.51857429398</v>
      </c>
      <c r="B856" s="56"/>
      <c r="C856" s="57"/>
      <c r="D856" s="57"/>
      <c r="E856" s="57"/>
      <c r="F856" s="57"/>
      <c r="G856" s="58">
        <f>if(A856,_xlfn.workday.intl(int(A856),1,"1000000",Holidays!A:A)+17/24,"")</f>
        <v>46108.70833</v>
      </c>
      <c r="H856" s="59" t="str">
        <f t="shared" si="23"/>
        <v/>
      </c>
      <c r="I856" s="60"/>
      <c r="J856" s="61">
        <f t="shared" si="2"/>
        <v>25.27557656</v>
      </c>
      <c r="K856" s="58">
        <f>if(G856,_xlfn.workday.intl(int(G856),0,"1000000",Holidays!A:A)+19/24,"")</f>
        <v>46108.79167</v>
      </c>
      <c r="L856" s="59" t="str">
        <f t="shared" si="3"/>
        <v/>
      </c>
      <c r="M856" s="60"/>
      <c r="N856" s="61">
        <f t="shared" si="4"/>
        <v>25.19224323</v>
      </c>
      <c r="O856" s="63">
        <f>if(A856,_xlfn.WORKDAY.INTL(A856,O$5,"1000000",Holidays!A:A)+hour(A856)/24+MINUTE(A856)/1440,"")</f>
        <v>46108.51806</v>
      </c>
      <c r="P856" s="64" t="s">
        <v>2718</v>
      </c>
      <c r="R856" s="66">
        <f t="shared" si="5"/>
        <v>25.46585434</v>
      </c>
      <c r="S856" s="66"/>
      <c r="T856" s="66"/>
      <c r="U856" s="64">
        <f>if(O856,_xlfn.WORKDAY.INTL(O856,U$5,"1000000",Holidays!A:A)+hour(O856)/24+MINUTE(O856)/1440,"")</f>
        <v>46109.51806</v>
      </c>
      <c r="V856" s="64" t="str">
        <f t="shared" si="6"/>
        <v/>
      </c>
      <c r="W856" s="66"/>
      <c r="X856" s="66">
        <f t="shared" si="7"/>
        <v>24.46585434</v>
      </c>
      <c r="Y856" s="66"/>
      <c r="Z856" s="66"/>
      <c r="AA856" s="66"/>
      <c r="AB856" s="63"/>
      <c r="AC856" s="63"/>
      <c r="AD856" s="63"/>
      <c r="AE856" s="63"/>
      <c r="AF856" s="63"/>
      <c r="AG856" s="63"/>
      <c r="AH856" s="63" t="str">
        <f t="shared" si="14"/>
        <v/>
      </c>
      <c r="AI856" s="63" t="str">
        <f>if(AH856,_xlfn.workday.intl(int(AH856),0,"1000000",Holidays!A:A)+18/24,"")</f>
        <v/>
      </c>
      <c r="AJ856" s="64" t="str">
        <f t="shared" si="24"/>
        <v/>
      </c>
      <c r="AL856" s="66" t="str">
        <f t="shared" si="9"/>
        <v/>
      </c>
      <c r="AM856" s="66"/>
      <c r="AN856" s="63" t="str">
        <f>if(AJ856,if(and(hour(AJ856+AN$5)&gt;11,(hour(AJ856+AN$5)&lt;20)),AJ856+AN$5,_xlfn.workday.intl(int(AJ856),1,"1000000",Holidays!A:A)+hour(AJ856+AN$5-$B$1)/24+minute(AJ856)/1440),"")</f>
        <v/>
      </c>
      <c r="AO856" s="64" t="str">
        <f t="shared" si="15"/>
        <v/>
      </c>
      <c r="AQ856" s="66" t="str">
        <f t="shared" si="16"/>
        <v/>
      </c>
      <c r="AR856" s="66"/>
      <c r="AS856" s="63" t="str">
        <f>if(AJ856,if(and(hour(AJ856+AS$5)&gt;11,(hour(AJ856+AS$5)&lt;20)),AJ856+AS$5,_xlfn.workday.intl(int(AJ856),1,"1000000",Holidays!A:A)+hour(AJ856+AS$5-$B$1)/24+minute(AJ856)/1440),"")</f>
        <v/>
      </c>
      <c r="AT856" s="64" t="str">
        <f t="shared" si="21"/>
        <v/>
      </c>
      <c r="AV856" s="66" t="str">
        <f t="shared" si="25"/>
        <v/>
      </c>
      <c r="AW856" s="66"/>
      <c r="AX856" s="56"/>
    </row>
    <row r="857">
      <c r="A857" s="55">
        <v>46107.519986238425</v>
      </c>
      <c r="B857" s="56"/>
      <c r="C857" s="57"/>
      <c r="D857" s="57"/>
      <c r="E857" s="57"/>
      <c r="F857" s="57"/>
      <c r="G857" s="58">
        <f>if(A857,_xlfn.workday.intl(int(A857),1,"1000000",Holidays!A:A)+17/24,"")</f>
        <v>46108.70833</v>
      </c>
      <c r="H857" s="59" t="str">
        <f t="shared" si="23"/>
        <v/>
      </c>
      <c r="I857" s="60"/>
      <c r="J857" s="61">
        <f t="shared" si="2"/>
        <v>25.27557656</v>
      </c>
      <c r="K857" s="58">
        <f>if(G857,_xlfn.workday.intl(int(G857),0,"1000000",Holidays!A:A)+19/24,"")</f>
        <v>46108.79167</v>
      </c>
      <c r="L857" s="59" t="str">
        <f t="shared" si="3"/>
        <v/>
      </c>
      <c r="M857" s="60"/>
      <c r="N857" s="61">
        <f t="shared" si="4"/>
        <v>25.19224323</v>
      </c>
      <c r="O857" s="63">
        <f>if(A857,_xlfn.WORKDAY.INTL(A857,O$5,"1000000",Holidays!A:A)+hour(A857)/24+MINUTE(A857)/1440,"")</f>
        <v>46108.51944</v>
      </c>
      <c r="P857" s="64" t="s">
        <v>2718</v>
      </c>
      <c r="R857" s="66">
        <f t="shared" si="5"/>
        <v>25.46446545</v>
      </c>
      <c r="S857" s="66"/>
      <c r="T857" s="66"/>
      <c r="U857" s="64">
        <f>if(O857,_xlfn.WORKDAY.INTL(O857,U$5,"1000000",Holidays!A:A)+hour(O857)/24+MINUTE(O857)/1440,"")</f>
        <v>46109.51944</v>
      </c>
      <c r="V857" s="64" t="str">
        <f t="shared" si="6"/>
        <v/>
      </c>
      <c r="W857" s="66"/>
      <c r="X857" s="66">
        <f t="shared" si="7"/>
        <v>24.46446545</v>
      </c>
      <c r="Y857" s="66"/>
      <c r="Z857" s="66"/>
      <c r="AA857" s="66"/>
      <c r="AB857" s="63"/>
      <c r="AC857" s="63"/>
      <c r="AD857" s="63"/>
      <c r="AE857" s="63"/>
      <c r="AF857" s="63"/>
      <c r="AG857" s="63"/>
      <c r="AH857" s="63" t="str">
        <f t="shared" si="14"/>
        <v/>
      </c>
      <c r="AI857" s="63" t="str">
        <f>if(AH857,_xlfn.workday.intl(int(AH857),0,"1000000",Holidays!A:A)+18/24,"")</f>
        <v/>
      </c>
      <c r="AJ857" s="64" t="str">
        <f t="shared" si="24"/>
        <v/>
      </c>
      <c r="AL857" s="66" t="str">
        <f t="shared" si="9"/>
        <v/>
      </c>
      <c r="AM857" s="66"/>
      <c r="AN857" s="63" t="str">
        <f>if(AJ857,if(and(hour(AJ857+AN$5)&gt;11,(hour(AJ857+AN$5)&lt;20)),AJ857+AN$5,_xlfn.workday.intl(int(AJ857),1,"1000000",Holidays!A:A)+hour(AJ857+AN$5-$B$1)/24+minute(AJ857)/1440),"")</f>
        <v/>
      </c>
      <c r="AO857" s="64" t="str">
        <f t="shared" si="15"/>
        <v/>
      </c>
      <c r="AQ857" s="66" t="str">
        <f t="shared" si="16"/>
        <v/>
      </c>
      <c r="AR857" s="66"/>
      <c r="AS857" s="63" t="str">
        <f>if(AJ857,if(and(hour(AJ857+AS$5)&gt;11,(hour(AJ857+AS$5)&lt;20)),AJ857+AS$5,_xlfn.workday.intl(int(AJ857),1,"1000000",Holidays!A:A)+hour(AJ857+AS$5-$B$1)/24+minute(AJ857)/1440),"")</f>
        <v/>
      </c>
      <c r="AT857" s="64" t="str">
        <f t="shared" si="21"/>
        <v/>
      </c>
      <c r="AV857" s="66" t="str">
        <f t="shared" si="25"/>
        <v/>
      </c>
      <c r="AW857" s="66"/>
      <c r="AX857" s="56"/>
    </row>
    <row r="858">
      <c r="A858" s="55">
        <v>46107.520765787034</v>
      </c>
      <c r="B858" s="56"/>
      <c r="C858" s="57"/>
      <c r="D858" s="57"/>
      <c r="E858" s="57"/>
      <c r="F858" s="57"/>
      <c r="G858" s="58">
        <f>if(A858,_xlfn.workday.intl(int(A858),1,"1000000",Holidays!A:A)+17/24,"")</f>
        <v>46108.70833</v>
      </c>
      <c r="H858" s="59" t="str">
        <f t="shared" si="23"/>
        <v/>
      </c>
      <c r="I858" s="60"/>
      <c r="J858" s="61">
        <f t="shared" si="2"/>
        <v>25.27557656</v>
      </c>
      <c r="K858" s="58">
        <f>if(G858,_xlfn.workday.intl(int(G858),0,"1000000",Holidays!A:A)+19/24,"")</f>
        <v>46108.79167</v>
      </c>
      <c r="L858" s="59" t="str">
        <f t="shared" si="3"/>
        <v/>
      </c>
      <c r="M858" s="60"/>
      <c r="N858" s="61">
        <f t="shared" si="4"/>
        <v>25.19224323</v>
      </c>
      <c r="O858" s="63">
        <f>if(A858,_xlfn.WORKDAY.INTL(A858,O$5,"1000000",Holidays!A:A)+hour(A858)/24+MINUTE(A858)/1440,"")</f>
        <v>46108.52014</v>
      </c>
      <c r="P858" s="64" t="s">
        <v>2718</v>
      </c>
      <c r="R858" s="66">
        <f t="shared" si="5"/>
        <v>25.46377101</v>
      </c>
      <c r="S858" s="66"/>
      <c r="T858" s="66"/>
      <c r="U858" s="64">
        <f>if(O858,_xlfn.WORKDAY.INTL(O858,U$5,"1000000",Holidays!A:A)+hour(O858)/24+MINUTE(O858)/1440,"")</f>
        <v>46109.52014</v>
      </c>
      <c r="V858" s="64" t="str">
        <f t="shared" si="6"/>
        <v/>
      </c>
      <c r="W858" s="66"/>
      <c r="X858" s="66">
        <f t="shared" si="7"/>
        <v>24.46377101</v>
      </c>
      <c r="Y858" s="66"/>
      <c r="Z858" s="66"/>
      <c r="AA858" s="66"/>
      <c r="AB858" s="63"/>
      <c r="AC858" s="63"/>
      <c r="AD858" s="63"/>
      <c r="AE858" s="63"/>
      <c r="AF858" s="63"/>
      <c r="AG858" s="63"/>
      <c r="AH858" s="63" t="str">
        <f t="shared" si="14"/>
        <v/>
      </c>
      <c r="AI858" s="63" t="str">
        <f>if(AH858,_xlfn.workday.intl(int(AH858),0,"1000000",Holidays!A:A)+18/24,"")</f>
        <v/>
      </c>
      <c r="AJ858" s="64" t="str">
        <f t="shared" si="24"/>
        <v/>
      </c>
      <c r="AL858" s="66" t="str">
        <f t="shared" si="9"/>
        <v/>
      </c>
      <c r="AM858" s="66"/>
      <c r="AN858" s="63" t="str">
        <f>if(AJ858,if(and(hour(AJ858+AN$5)&gt;11,(hour(AJ858+AN$5)&lt;20)),AJ858+AN$5,_xlfn.workday.intl(int(AJ858),1,"1000000",Holidays!A:A)+hour(AJ858+AN$5-$B$1)/24+minute(AJ858)/1440),"")</f>
        <v/>
      </c>
      <c r="AO858" s="64" t="str">
        <f t="shared" si="15"/>
        <v/>
      </c>
      <c r="AQ858" s="66" t="str">
        <f t="shared" si="16"/>
        <v/>
      </c>
      <c r="AR858" s="66"/>
      <c r="AS858" s="63" t="str">
        <f>if(AJ858,if(and(hour(AJ858+AS$5)&gt;11,(hour(AJ858+AS$5)&lt;20)),AJ858+AS$5,_xlfn.workday.intl(int(AJ858),1,"1000000",Holidays!A:A)+hour(AJ858+AS$5-$B$1)/24+minute(AJ858)/1440),"")</f>
        <v/>
      </c>
      <c r="AT858" s="64" t="str">
        <f t="shared" si="21"/>
        <v/>
      </c>
      <c r="AV858" s="66" t="str">
        <f t="shared" si="25"/>
        <v/>
      </c>
      <c r="AW858" s="66"/>
      <c r="AX858" s="56"/>
    </row>
    <row r="859">
      <c r="A859" s="55">
        <v>46107.52201247685</v>
      </c>
      <c r="B859" s="56"/>
      <c r="C859" s="57"/>
      <c r="D859" s="57"/>
      <c r="E859" s="57"/>
      <c r="F859" s="57"/>
      <c r="G859" s="58">
        <f>if(A859,_xlfn.workday.intl(int(A859),1,"1000000",Holidays!A:A)+17/24,"")</f>
        <v>46108.70833</v>
      </c>
      <c r="H859" s="59" t="str">
        <f t="shared" si="23"/>
        <v/>
      </c>
      <c r="I859" s="60"/>
      <c r="J859" s="61">
        <f t="shared" si="2"/>
        <v>25.27557656</v>
      </c>
      <c r="K859" s="58">
        <f>if(G859,_xlfn.workday.intl(int(G859),0,"1000000",Holidays!A:A)+19/24,"")</f>
        <v>46108.79167</v>
      </c>
      <c r="L859" s="59" t="str">
        <f t="shared" si="3"/>
        <v/>
      </c>
      <c r="M859" s="60"/>
      <c r="N859" s="61">
        <f t="shared" si="4"/>
        <v>25.19224323</v>
      </c>
      <c r="O859" s="63">
        <f>if(A859,_xlfn.WORKDAY.INTL(A859,O$5,"1000000",Holidays!A:A)+hour(A859)/24+MINUTE(A859)/1440,"")</f>
        <v>46108.52153</v>
      </c>
      <c r="P859" s="64" t="s">
        <v>2718</v>
      </c>
      <c r="R859" s="66">
        <f t="shared" si="5"/>
        <v>25.46238212</v>
      </c>
      <c r="S859" s="66"/>
      <c r="T859" s="66"/>
      <c r="U859" s="64">
        <f>if(O859,_xlfn.WORKDAY.INTL(O859,U$5,"1000000",Holidays!A:A)+hour(O859)/24+MINUTE(O859)/1440,"")</f>
        <v>46109.52153</v>
      </c>
      <c r="V859" s="64" t="str">
        <f t="shared" si="6"/>
        <v/>
      </c>
      <c r="W859" s="66"/>
      <c r="X859" s="66">
        <f t="shared" si="7"/>
        <v>24.46238212</v>
      </c>
      <c r="Y859" s="66"/>
      <c r="Z859" s="66"/>
      <c r="AA859" s="66"/>
      <c r="AB859" s="63"/>
      <c r="AC859" s="63"/>
      <c r="AD859" s="63"/>
      <c r="AE859" s="63"/>
      <c r="AF859" s="63"/>
      <c r="AG859" s="63"/>
      <c r="AH859" s="63" t="str">
        <f t="shared" si="14"/>
        <v/>
      </c>
      <c r="AI859" s="63" t="str">
        <f>if(AH859,_xlfn.workday.intl(int(AH859),0,"1000000",Holidays!A:A)+18/24,"")</f>
        <v/>
      </c>
      <c r="AJ859" s="64" t="str">
        <f t="shared" si="24"/>
        <v/>
      </c>
      <c r="AL859" s="66" t="str">
        <f t="shared" si="9"/>
        <v/>
      </c>
      <c r="AM859" s="66"/>
      <c r="AN859" s="63" t="str">
        <f>if(AJ859,if(and(hour(AJ859+AN$5)&gt;11,(hour(AJ859+AN$5)&lt;20)),AJ859+AN$5,_xlfn.workday.intl(int(AJ859),1,"1000000",Holidays!A:A)+hour(AJ859+AN$5-$B$1)/24+minute(AJ859)/1440),"")</f>
        <v/>
      </c>
      <c r="AO859" s="64" t="str">
        <f t="shared" si="15"/>
        <v/>
      </c>
      <c r="AQ859" s="66" t="str">
        <f t="shared" si="16"/>
        <v/>
      </c>
      <c r="AR859" s="66"/>
      <c r="AS859" s="63" t="str">
        <f>if(AJ859,if(and(hour(AJ859+AS$5)&gt;11,(hour(AJ859+AS$5)&lt;20)),AJ859+AS$5,_xlfn.workday.intl(int(AJ859),1,"1000000",Holidays!A:A)+hour(AJ859+AS$5-$B$1)/24+minute(AJ859)/1440),"")</f>
        <v/>
      </c>
      <c r="AT859" s="64" t="str">
        <f t="shared" si="21"/>
        <v/>
      </c>
      <c r="AV859" s="66" t="str">
        <f t="shared" si="25"/>
        <v/>
      </c>
      <c r="AW859" s="66"/>
      <c r="AX859" s="56"/>
    </row>
    <row r="860">
      <c r="A860" s="55">
        <v>46107.52255375</v>
      </c>
      <c r="B860" s="56"/>
      <c r="C860" s="57"/>
      <c r="D860" s="57"/>
      <c r="E860" s="57"/>
      <c r="F860" s="57"/>
      <c r="G860" s="58">
        <f>if(A860,_xlfn.workday.intl(int(A860),1,"1000000",Holidays!A:A)+17/24,"")</f>
        <v>46108.70833</v>
      </c>
      <c r="H860" s="59" t="str">
        <f t="shared" si="23"/>
        <v/>
      </c>
      <c r="I860" s="60"/>
      <c r="J860" s="61">
        <f t="shared" si="2"/>
        <v>25.27557656</v>
      </c>
      <c r="K860" s="58">
        <f>if(G860,_xlfn.workday.intl(int(G860),0,"1000000",Holidays!A:A)+19/24,"")</f>
        <v>46108.79167</v>
      </c>
      <c r="L860" s="59" t="str">
        <f t="shared" si="3"/>
        <v/>
      </c>
      <c r="M860" s="60"/>
      <c r="N860" s="61">
        <f t="shared" si="4"/>
        <v>25.19224323</v>
      </c>
      <c r="O860" s="63">
        <f>if(A860,_xlfn.WORKDAY.INTL(A860,O$5,"1000000",Holidays!A:A)+hour(A860)/24+MINUTE(A860)/1440,"")</f>
        <v>46108.52222</v>
      </c>
      <c r="P860" s="64" t="s">
        <v>2718</v>
      </c>
      <c r="R860" s="66">
        <f t="shared" si="5"/>
        <v>25.46168767</v>
      </c>
      <c r="S860" s="66"/>
      <c r="T860" s="66"/>
      <c r="U860" s="64">
        <f>if(O860,_xlfn.WORKDAY.INTL(O860,U$5,"1000000",Holidays!A:A)+hour(O860)/24+MINUTE(O860)/1440,"")</f>
        <v>46109.52222</v>
      </c>
      <c r="V860" s="64" t="str">
        <f t="shared" si="6"/>
        <v/>
      </c>
      <c r="W860" s="66"/>
      <c r="X860" s="66">
        <f t="shared" si="7"/>
        <v>24.46168767</v>
      </c>
      <c r="Y860" s="66"/>
      <c r="Z860" s="66"/>
      <c r="AA860" s="66"/>
      <c r="AB860" s="63"/>
      <c r="AC860" s="63"/>
      <c r="AD860" s="63"/>
      <c r="AE860" s="63"/>
      <c r="AF860" s="63"/>
      <c r="AG860" s="63"/>
      <c r="AH860" s="63" t="str">
        <f t="shared" si="14"/>
        <v/>
      </c>
      <c r="AI860" s="63" t="str">
        <f>if(AH860,_xlfn.workday.intl(int(AH860),0,"1000000",Holidays!A:A)+18/24,"")</f>
        <v/>
      </c>
      <c r="AJ860" s="64" t="str">
        <f t="shared" si="24"/>
        <v/>
      </c>
      <c r="AL860" s="66" t="str">
        <f t="shared" si="9"/>
        <v/>
      </c>
      <c r="AM860" s="66"/>
      <c r="AN860" s="63" t="str">
        <f>if(AJ860,if(and(hour(AJ860+AN$5)&gt;11,(hour(AJ860+AN$5)&lt;20)),AJ860+AN$5,_xlfn.workday.intl(int(AJ860),1,"1000000",Holidays!A:A)+hour(AJ860+AN$5-$B$1)/24+minute(AJ860)/1440),"")</f>
        <v/>
      </c>
      <c r="AO860" s="64" t="str">
        <f t="shared" si="15"/>
        <v/>
      </c>
      <c r="AQ860" s="66" t="str">
        <f t="shared" si="16"/>
        <v/>
      </c>
      <c r="AR860" s="66"/>
      <c r="AS860" s="63" t="str">
        <f>if(AJ860,if(and(hour(AJ860+AS$5)&gt;11,(hour(AJ860+AS$5)&lt;20)),AJ860+AS$5,_xlfn.workday.intl(int(AJ860),1,"1000000",Holidays!A:A)+hour(AJ860+AS$5-$B$1)/24+minute(AJ860)/1440),"")</f>
        <v/>
      </c>
      <c r="AT860" s="64" t="str">
        <f t="shared" si="21"/>
        <v/>
      </c>
      <c r="AV860" s="66" t="str">
        <f t="shared" si="25"/>
        <v/>
      </c>
      <c r="AW860" s="66"/>
      <c r="AX860" s="56"/>
    </row>
    <row r="861">
      <c r="A861" s="55">
        <v>46107.52405850694</v>
      </c>
      <c r="B861" s="56"/>
      <c r="C861" s="57"/>
      <c r="D861" s="57"/>
      <c r="E861" s="57"/>
      <c r="F861" s="57"/>
      <c r="G861" s="58">
        <f>if(A861,_xlfn.workday.intl(int(A861),1,"1000000",Holidays!A:A)+17/24,"")</f>
        <v>46108.70833</v>
      </c>
      <c r="H861" s="59" t="str">
        <f t="shared" si="23"/>
        <v/>
      </c>
      <c r="I861" s="60"/>
      <c r="J861" s="61">
        <f t="shared" si="2"/>
        <v>25.27557656</v>
      </c>
      <c r="K861" s="58">
        <f>if(G861,_xlfn.workday.intl(int(G861),0,"1000000",Holidays!A:A)+19/24,"")</f>
        <v>46108.79167</v>
      </c>
      <c r="L861" s="59" t="str">
        <f t="shared" si="3"/>
        <v/>
      </c>
      <c r="M861" s="60"/>
      <c r="N861" s="61">
        <f t="shared" si="4"/>
        <v>25.19224323</v>
      </c>
      <c r="O861" s="63">
        <f>if(A861,_xlfn.WORKDAY.INTL(A861,O$5,"1000000",Holidays!A:A)+hour(A861)/24+MINUTE(A861)/1440,"")</f>
        <v>46108.52361</v>
      </c>
      <c r="P861" s="64" t="s">
        <v>2718</v>
      </c>
      <c r="R861" s="66">
        <f t="shared" si="5"/>
        <v>25.46029878</v>
      </c>
      <c r="S861" s="66"/>
      <c r="T861" s="66"/>
      <c r="U861" s="64">
        <f>if(O861,_xlfn.WORKDAY.INTL(O861,U$5,"1000000",Holidays!A:A)+hour(O861)/24+MINUTE(O861)/1440,"")</f>
        <v>46109.52361</v>
      </c>
      <c r="V861" s="64" t="str">
        <f t="shared" si="6"/>
        <v/>
      </c>
      <c r="W861" s="66"/>
      <c r="X861" s="66">
        <f t="shared" si="7"/>
        <v>24.46029878</v>
      </c>
      <c r="Y861" s="66"/>
      <c r="Z861" s="66"/>
      <c r="AA861" s="66"/>
      <c r="AB861" s="63"/>
      <c r="AC861" s="63"/>
      <c r="AD861" s="63"/>
      <c r="AE861" s="63"/>
      <c r="AF861" s="63"/>
      <c r="AG861" s="63"/>
      <c r="AH861" s="63" t="str">
        <f t="shared" si="14"/>
        <v/>
      </c>
      <c r="AI861" s="63" t="str">
        <f>if(AH861,_xlfn.workday.intl(int(AH861),0,"1000000",Holidays!A:A)+18/24,"")</f>
        <v/>
      </c>
      <c r="AJ861" s="64" t="str">
        <f t="shared" si="24"/>
        <v/>
      </c>
      <c r="AL861" s="66" t="str">
        <f t="shared" si="9"/>
        <v/>
      </c>
      <c r="AM861" s="66"/>
      <c r="AN861" s="63" t="str">
        <f>if(AJ861,if(and(hour(AJ861+AN$5)&gt;11,(hour(AJ861+AN$5)&lt;20)),AJ861+AN$5,_xlfn.workday.intl(int(AJ861),1,"1000000",Holidays!A:A)+hour(AJ861+AN$5-$B$1)/24+minute(AJ861)/1440),"")</f>
        <v/>
      </c>
      <c r="AO861" s="64" t="str">
        <f t="shared" si="15"/>
        <v/>
      </c>
      <c r="AQ861" s="66" t="str">
        <f t="shared" si="16"/>
        <v/>
      </c>
      <c r="AR861" s="66"/>
      <c r="AS861" s="63" t="str">
        <f>if(AJ861,if(and(hour(AJ861+AS$5)&gt;11,(hour(AJ861+AS$5)&lt;20)),AJ861+AS$5,_xlfn.workday.intl(int(AJ861),1,"1000000",Holidays!A:A)+hour(AJ861+AS$5-$B$1)/24+minute(AJ861)/1440),"")</f>
        <v/>
      </c>
      <c r="AT861" s="64" t="str">
        <f t="shared" si="21"/>
        <v/>
      </c>
      <c r="AV861" s="66" t="str">
        <f t="shared" si="25"/>
        <v/>
      </c>
      <c r="AW861" s="66"/>
      <c r="AX861" s="56"/>
    </row>
    <row r="862">
      <c r="A862" s="55">
        <v>46107.524771956014</v>
      </c>
      <c r="B862" s="56"/>
      <c r="C862" s="57"/>
      <c r="D862" s="57"/>
      <c r="E862" s="57"/>
      <c r="F862" s="57"/>
      <c r="G862" s="58">
        <f>if(A862,_xlfn.workday.intl(int(A862),1,"1000000",Holidays!A:A)+17/24,"")</f>
        <v>46108.70833</v>
      </c>
      <c r="H862" s="59" t="str">
        <f t="shared" si="23"/>
        <v/>
      </c>
      <c r="I862" s="60"/>
      <c r="J862" s="61">
        <f t="shared" si="2"/>
        <v>25.27557656</v>
      </c>
      <c r="K862" s="58">
        <f>if(G862,_xlfn.workday.intl(int(G862),0,"1000000",Holidays!A:A)+19/24,"")</f>
        <v>46108.79167</v>
      </c>
      <c r="L862" s="59" t="str">
        <f t="shared" si="3"/>
        <v/>
      </c>
      <c r="M862" s="60"/>
      <c r="N862" s="61">
        <f t="shared" si="4"/>
        <v>25.19224323</v>
      </c>
      <c r="O862" s="63">
        <f>if(A862,_xlfn.WORKDAY.INTL(A862,O$5,"1000000",Holidays!A:A)+hour(A862)/24+MINUTE(A862)/1440,"")</f>
        <v>46108.52431</v>
      </c>
      <c r="P862" s="64" t="s">
        <v>2718</v>
      </c>
      <c r="R862" s="66">
        <f t="shared" si="5"/>
        <v>25.45960434</v>
      </c>
      <c r="S862" s="66"/>
      <c r="T862" s="66"/>
      <c r="U862" s="64">
        <f>if(O862,_xlfn.WORKDAY.INTL(O862,U$5,"1000000",Holidays!A:A)+hour(O862)/24+MINUTE(O862)/1440,"")</f>
        <v>46109.52431</v>
      </c>
      <c r="V862" s="64" t="str">
        <f t="shared" si="6"/>
        <v/>
      </c>
      <c r="W862" s="66"/>
      <c r="X862" s="66">
        <f t="shared" si="7"/>
        <v>24.45960434</v>
      </c>
      <c r="Y862" s="66"/>
      <c r="Z862" s="66"/>
      <c r="AA862" s="66"/>
      <c r="AB862" s="63"/>
      <c r="AC862" s="63"/>
      <c r="AD862" s="63"/>
      <c r="AE862" s="63"/>
      <c r="AF862" s="63"/>
      <c r="AG862" s="63"/>
      <c r="AH862" s="63" t="str">
        <f t="shared" si="14"/>
        <v/>
      </c>
      <c r="AI862" s="63" t="str">
        <f>if(AH862,_xlfn.workday.intl(int(AH862),0,"1000000",Holidays!A:A)+18/24,"")</f>
        <v/>
      </c>
      <c r="AJ862" s="64" t="str">
        <f t="shared" si="24"/>
        <v/>
      </c>
      <c r="AL862" s="66" t="str">
        <f t="shared" si="9"/>
        <v/>
      </c>
      <c r="AM862" s="66"/>
      <c r="AN862" s="63" t="str">
        <f>if(AJ862,if(and(hour(AJ862+AN$5)&gt;11,(hour(AJ862+AN$5)&lt;20)),AJ862+AN$5,_xlfn.workday.intl(int(AJ862),1,"1000000",Holidays!A:A)+hour(AJ862+AN$5-$B$1)/24+minute(AJ862)/1440),"")</f>
        <v/>
      </c>
      <c r="AO862" s="64" t="str">
        <f t="shared" si="15"/>
        <v/>
      </c>
      <c r="AQ862" s="66" t="str">
        <f t="shared" si="16"/>
        <v/>
      </c>
      <c r="AR862" s="66"/>
      <c r="AS862" s="63" t="str">
        <f>if(AJ862,if(and(hour(AJ862+AS$5)&gt;11,(hour(AJ862+AS$5)&lt;20)),AJ862+AS$5,_xlfn.workday.intl(int(AJ862),1,"1000000",Holidays!A:A)+hour(AJ862+AS$5-$B$1)/24+minute(AJ862)/1440),"")</f>
        <v/>
      </c>
      <c r="AT862" s="64" t="str">
        <f t="shared" si="21"/>
        <v/>
      </c>
      <c r="AV862" s="66" t="str">
        <f t="shared" si="25"/>
        <v/>
      </c>
      <c r="AW862" s="66"/>
      <c r="AX862" s="56"/>
    </row>
    <row r="863">
      <c r="A863" s="55">
        <v>46107.527878402776</v>
      </c>
      <c r="B863" s="56"/>
      <c r="C863" s="57"/>
      <c r="D863" s="57"/>
      <c r="E863" s="57"/>
      <c r="F863" s="57"/>
      <c r="G863" s="58">
        <f>if(A863,_xlfn.workday.intl(int(A863),1,"1000000",Holidays!A:A)+17/24,"")</f>
        <v>46108.70833</v>
      </c>
      <c r="H863" s="59" t="str">
        <f t="shared" si="23"/>
        <v/>
      </c>
      <c r="I863" s="60"/>
      <c r="J863" s="61">
        <f t="shared" si="2"/>
        <v>25.27557656</v>
      </c>
      <c r="K863" s="58">
        <f>if(G863,_xlfn.workday.intl(int(G863),0,"1000000",Holidays!A:A)+19/24,"")</f>
        <v>46108.79167</v>
      </c>
      <c r="L863" s="59" t="str">
        <f t="shared" si="3"/>
        <v/>
      </c>
      <c r="M863" s="60"/>
      <c r="N863" s="61">
        <f t="shared" si="4"/>
        <v>25.19224323</v>
      </c>
      <c r="O863" s="63">
        <f>if(A863,_xlfn.WORKDAY.INTL(A863,O$5,"1000000",Holidays!A:A)+hour(A863)/24+MINUTE(A863)/1440,"")</f>
        <v>46108.52778</v>
      </c>
      <c r="P863" s="64" t="s">
        <v>2718</v>
      </c>
      <c r="R863" s="66">
        <f t="shared" si="5"/>
        <v>25.45613212</v>
      </c>
      <c r="S863" s="66"/>
      <c r="T863" s="66"/>
      <c r="U863" s="64">
        <f>if(O863,_xlfn.WORKDAY.INTL(O863,U$5,"1000000",Holidays!A:A)+hour(O863)/24+MINUTE(O863)/1440,"")</f>
        <v>46109.52778</v>
      </c>
      <c r="V863" s="64" t="str">
        <f t="shared" si="6"/>
        <v/>
      </c>
      <c r="W863" s="66"/>
      <c r="X863" s="66">
        <f t="shared" si="7"/>
        <v>24.45613212</v>
      </c>
      <c r="Y863" s="66"/>
      <c r="Z863" s="66"/>
      <c r="AA863" s="66"/>
      <c r="AB863" s="63"/>
      <c r="AC863" s="63"/>
      <c r="AD863" s="63"/>
      <c r="AE863" s="63"/>
      <c r="AF863" s="63"/>
      <c r="AG863" s="63"/>
      <c r="AH863" s="63" t="str">
        <f t="shared" si="14"/>
        <v/>
      </c>
      <c r="AI863" s="63" t="str">
        <f>if(AH863,_xlfn.workday.intl(int(AH863),0,"1000000",Holidays!A:A)+18/24,"")</f>
        <v/>
      </c>
      <c r="AJ863" s="64" t="str">
        <f t="shared" si="24"/>
        <v/>
      </c>
      <c r="AL863" s="66" t="str">
        <f t="shared" si="9"/>
        <v/>
      </c>
      <c r="AM863" s="66"/>
      <c r="AN863" s="63" t="str">
        <f>if(AJ863,if(and(hour(AJ863+AN$5)&gt;11,(hour(AJ863+AN$5)&lt;20)),AJ863+AN$5,_xlfn.workday.intl(int(AJ863),1,"1000000",Holidays!A:A)+hour(AJ863+AN$5-$B$1)/24+minute(AJ863)/1440),"")</f>
        <v/>
      </c>
      <c r="AO863" s="64" t="str">
        <f t="shared" si="15"/>
        <v/>
      </c>
      <c r="AQ863" s="66" t="str">
        <f t="shared" si="16"/>
        <v/>
      </c>
      <c r="AR863" s="66"/>
      <c r="AS863" s="63" t="str">
        <f>if(AJ863,if(and(hour(AJ863+AS$5)&gt;11,(hour(AJ863+AS$5)&lt;20)),AJ863+AS$5,_xlfn.workday.intl(int(AJ863),1,"1000000",Holidays!A:A)+hour(AJ863+AS$5-$B$1)/24+minute(AJ863)/1440),"")</f>
        <v/>
      </c>
      <c r="AT863" s="64" t="str">
        <f t="shared" si="21"/>
        <v/>
      </c>
      <c r="AV863" s="66" t="str">
        <f t="shared" si="25"/>
        <v/>
      </c>
      <c r="AW863" s="66"/>
      <c r="AX863" s="56"/>
    </row>
    <row r="864">
      <c r="A864" s="55">
        <v>46107.528615613424</v>
      </c>
      <c r="B864" s="56"/>
      <c r="C864" s="57"/>
      <c r="D864" s="57"/>
      <c r="E864" s="57"/>
      <c r="F864" s="57"/>
      <c r="G864" s="58">
        <f>if(A864,_xlfn.workday.intl(int(A864),1,"1000000",Holidays!A:A)+17/24,"")</f>
        <v>46108.70833</v>
      </c>
      <c r="H864" s="59" t="str">
        <f t="shared" si="23"/>
        <v/>
      </c>
      <c r="I864" s="60"/>
      <c r="J864" s="61">
        <f t="shared" si="2"/>
        <v>25.27557656</v>
      </c>
      <c r="K864" s="58">
        <f>if(G864,_xlfn.workday.intl(int(G864),0,"1000000",Holidays!A:A)+19/24,"")</f>
        <v>46108.79167</v>
      </c>
      <c r="L864" s="59" t="str">
        <f t="shared" si="3"/>
        <v/>
      </c>
      <c r="M864" s="60"/>
      <c r="N864" s="61">
        <f t="shared" si="4"/>
        <v>25.19224323</v>
      </c>
      <c r="O864" s="63">
        <f>if(A864,_xlfn.WORKDAY.INTL(A864,O$5,"1000000",Holidays!A:A)+hour(A864)/24+MINUTE(A864)/1440,"")</f>
        <v>46108.52847</v>
      </c>
      <c r="P864" s="64" t="s">
        <v>2718</v>
      </c>
      <c r="R864" s="66">
        <f t="shared" si="5"/>
        <v>25.45543767</v>
      </c>
      <c r="S864" s="66"/>
      <c r="T864" s="66"/>
      <c r="U864" s="64">
        <f>if(O864,_xlfn.WORKDAY.INTL(O864,U$5,"1000000",Holidays!A:A)+hour(O864)/24+MINUTE(O864)/1440,"")</f>
        <v>46109.52847</v>
      </c>
      <c r="V864" s="64" t="str">
        <f t="shared" si="6"/>
        <v/>
      </c>
      <c r="W864" s="66"/>
      <c r="X864" s="66">
        <f t="shared" si="7"/>
        <v>24.45543767</v>
      </c>
      <c r="Y864" s="66"/>
      <c r="Z864" s="66"/>
      <c r="AA864" s="66"/>
      <c r="AB864" s="63"/>
      <c r="AC864" s="63"/>
      <c r="AD864" s="63"/>
      <c r="AE864" s="63"/>
      <c r="AF864" s="63"/>
      <c r="AG864" s="63"/>
      <c r="AH864" s="63" t="str">
        <f t="shared" si="14"/>
        <v/>
      </c>
      <c r="AI864" s="63" t="str">
        <f>if(AH864,_xlfn.workday.intl(int(AH864),0,"1000000",Holidays!A:A)+18/24,"")</f>
        <v/>
      </c>
      <c r="AJ864" s="64" t="str">
        <f t="shared" si="24"/>
        <v/>
      </c>
      <c r="AL864" s="66" t="str">
        <f t="shared" si="9"/>
        <v/>
      </c>
      <c r="AM864" s="66"/>
      <c r="AN864" s="63" t="str">
        <f>if(AJ864,if(and(hour(AJ864+AN$5)&gt;11,(hour(AJ864+AN$5)&lt;20)),AJ864+AN$5,_xlfn.workday.intl(int(AJ864),1,"1000000",Holidays!A:A)+hour(AJ864+AN$5-$B$1)/24+minute(AJ864)/1440),"")</f>
        <v/>
      </c>
      <c r="AO864" s="64" t="str">
        <f t="shared" si="15"/>
        <v/>
      </c>
      <c r="AQ864" s="66" t="str">
        <f t="shared" si="16"/>
        <v/>
      </c>
      <c r="AR864" s="66"/>
      <c r="AS864" s="63" t="str">
        <f>if(AJ864,if(and(hour(AJ864+AS$5)&gt;11,(hour(AJ864+AS$5)&lt;20)),AJ864+AS$5,_xlfn.workday.intl(int(AJ864),1,"1000000",Holidays!A:A)+hour(AJ864+AS$5-$B$1)/24+minute(AJ864)/1440),"")</f>
        <v/>
      </c>
      <c r="AT864" s="64" t="str">
        <f t="shared" si="21"/>
        <v/>
      </c>
      <c r="AV864" s="66" t="str">
        <f t="shared" si="25"/>
        <v/>
      </c>
      <c r="AW864" s="66"/>
      <c r="AX864" s="56"/>
    </row>
    <row r="865">
      <c r="A865" s="55">
        <v>46107.52926181713</v>
      </c>
      <c r="B865" s="56"/>
      <c r="C865" s="57"/>
      <c r="D865" s="57"/>
      <c r="E865" s="57"/>
      <c r="F865" s="57"/>
      <c r="G865" s="58">
        <f>if(A865,_xlfn.workday.intl(int(A865),1,"1000000",Holidays!A:A)+17/24,"")</f>
        <v>46108.70833</v>
      </c>
      <c r="H865" s="59" t="str">
        <f t="shared" si="23"/>
        <v/>
      </c>
      <c r="I865" s="60"/>
      <c r="J865" s="61">
        <f t="shared" si="2"/>
        <v>25.27557656</v>
      </c>
      <c r="K865" s="58">
        <f>if(G865,_xlfn.workday.intl(int(G865),0,"1000000",Holidays!A:A)+19/24,"")</f>
        <v>46108.79167</v>
      </c>
      <c r="L865" s="59" t="str">
        <f t="shared" si="3"/>
        <v/>
      </c>
      <c r="M865" s="60"/>
      <c r="N865" s="61">
        <f t="shared" si="4"/>
        <v>25.19224323</v>
      </c>
      <c r="O865" s="63">
        <f>if(A865,_xlfn.WORKDAY.INTL(A865,O$5,"1000000",Holidays!A:A)+hour(A865)/24+MINUTE(A865)/1440,"")</f>
        <v>46108.52917</v>
      </c>
      <c r="P865" s="64" t="s">
        <v>2718</v>
      </c>
      <c r="R865" s="66">
        <f t="shared" si="5"/>
        <v>25.45474323</v>
      </c>
      <c r="S865" s="66"/>
      <c r="T865" s="66"/>
      <c r="U865" s="64">
        <f>if(O865,_xlfn.WORKDAY.INTL(O865,U$5,"1000000",Holidays!A:A)+hour(O865)/24+MINUTE(O865)/1440,"")</f>
        <v>46109.52917</v>
      </c>
      <c r="V865" s="64" t="str">
        <f t="shared" si="6"/>
        <v/>
      </c>
      <c r="W865" s="66"/>
      <c r="X865" s="66">
        <f t="shared" si="7"/>
        <v>24.45474323</v>
      </c>
      <c r="Y865" s="66"/>
      <c r="Z865" s="66"/>
      <c r="AA865" s="66"/>
      <c r="AB865" s="63"/>
      <c r="AC865" s="63"/>
      <c r="AD865" s="63"/>
      <c r="AE865" s="63"/>
      <c r="AF865" s="63"/>
      <c r="AG865" s="63"/>
      <c r="AH865" s="63" t="str">
        <f t="shared" si="14"/>
        <v/>
      </c>
      <c r="AI865" s="63" t="str">
        <f>if(AH865,_xlfn.workday.intl(int(AH865),0,"1000000",Holidays!A:A)+18/24,"")</f>
        <v/>
      </c>
      <c r="AJ865" s="64" t="str">
        <f t="shared" si="24"/>
        <v/>
      </c>
      <c r="AL865" s="66" t="str">
        <f t="shared" si="9"/>
        <v/>
      </c>
      <c r="AM865" s="66"/>
      <c r="AN865" s="63" t="str">
        <f>if(AJ865,if(and(hour(AJ865+AN$5)&gt;11,(hour(AJ865+AN$5)&lt;20)),AJ865+AN$5,_xlfn.workday.intl(int(AJ865),1,"1000000",Holidays!A:A)+hour(AJ865+AN$5-$B$1)/24+minute(AJ865)/1440),"")</f>
        <v/>
      </c>
      <c r="AO865" s="64" t="str">
        <f t="shared" si="15"/>
        <v/>
      </c>
      <c r="AQ865" s="66" t="str">
        <f t="shared" si="16"/>
        <v/>
      </c>
      <c r="AR865" s="66"/>
      <c r="AS865" s="63" t="str">
        <f>if(AJ865,if(and(hour(AJ865+AS$5)&gt;11,(hour(AJ865+AS$5)&lt;20)),AJ865+AS$5,_xlfn.workday.intl(int(AJ865),1,"1000000",Holidays!A:A)+hour(AJ865+AS$5-$B$1)/24+minute(AJ865)/1440),"")</f>
        <v/>
      </c>
      <c r="AT865" s="64" t="str">
        <f t="shared" si="21"/>
        <v/>
      </c>
      <c r="AV865" s="66" t="str">
        <f t="shared" si="25"/>
        <v/>
      </c>
      <c r="AW865" s="66"/>
      <c r="AX865" s="56"/>
    </row>
    <row r="866">
      <c r="A866" s="55">
        <v>46107.530233321755</v>
      </c>
      <c r="B866" s="56"/>
      <c r="C866" s="57"/>
      <c r="D866" s="57"/>
      <c r="E866" s="57"/>
      <c r="F866" s="57"/>
      <c r="G866" s="58">
        <f>if(A866,_xlfn.workday.intl(int(A866),1,"1000000",Holidays!A:A)+17/24,"")</f>
        <v>46108.70833</v>
      </c>
      <c r="H866" s="59" t="str">
        <f t="shared" si="23"/>
        <v/>
      </c>
      <c r="I866" s="60"/>
      <c r="J866" s="61">
        <f t="shared" si="2"/>
        <v>25.27557656</v>
      </c>
      <c r="K866" s="58">
        <f>if(G866,_xlfn.workday.intl(int(G866),0,"1000000",Holidays!A:A)+19/24,"")</f>
        <v>46108.79167</v>
      </c>
      <c r="L866" s="59" t="str">
        <f t="shared" si="3"/>
        <v/>
      </c>
      <c r="M866" s="60"/>
      <c r="N866" s="61">
        <f t="shared" si="4"/>
        <v>25.19224323</v>
      </c>
      <c r="O866" s="63">
        <f>if(A866,_xlfn.WORKDAY.INTL(A866,O$5,"1000000",Holidays!A:A)+hour(A866)/24+MINUTE(A866)/1440,"")</f>
        <v>46108.52986</v>
      </c>
      <c r="P866" s="64" t="s">
        <v>2718</v>
      </c>
      <c r="R866" s="66">
        <f t="shared" si="5"/>
        <v>25.45404878</v>
      </c>
      <c r="S866" s="66"/>
      <c r="T866" s="66"/>
      <c r="U866" s="64">
        <f>if(O866,_xlfn.WORKDAY.INTL(O866,U$5,"1000000",Holidays!A:A)+hour(O866)/24+MINUTE(O866)/1440,"")</f>
        <v>46109.52986</v>
      </c>
      <c r="V866" s="64" t="str">
        <f t="shared" si="6"/>
        <v/>
      </c>
      <c r="W866" s="66"/>
      <c r="X866" s="66">
        <f t="shared" si="7"/>
        <v>24.45404878</v>
      </c>
      <c r="Y866" s="66"/>
      <c r="Z866" s="66"/>
      <c r="AA866" s="66"/>
      <c r="AB866" s="63"/>
      <c r="AC866" s="63"/>
      <c r="AD866" s="63"/>
      <c r="AE866" s="63"/>
      <c r="AF866" s="63"/>
      <c r="AG866" s="63"/>
      <c r="AH866" s="63" t="str">
        <f t="shared" si="14"/>
        <v/>
      </c>
      <c r="AI866" s="63" t="str">
        <f>if(AH866,_xlfn.workday.intl(int(AH866),0,"1000000",Holidays!A:A)+18/24,"")</f>
        <v/>
      </c>
      <c r="AJ866" s="64" t="str">
        <f t="shared" si="24"/>
        <v/>
      </c>
      <c r="AL866" s="66" t="str">
        <f t="shared" si="9"/>
        <v/>
      </c>
      <c r="AM866" s="66"/>
      <c r="AN866" s="63" t="str">
        <f>if(AJ866,if(and(hour(AJ866+AN$5)&gt;11,(hour(AJ866+AN$5)&lt;20)),AJ866+AN$5,_xlfn.workday.intl(int(AJ866),1,"1000000",Holidays!A:A)+hour(AJ866+AN$5-$B$1)/24+minute(AJ866)/1440),"")</f>
        <v/>
      </c>
      <c r="AO866" s="64" t="str">
        <f t="shared" si="15"/>
        <v/>
      </c>
      <c r="AQ866" s="66" t="str">
        <f t="shared" si="16"/>
        <v/>
      </c>
      <c r="AR866" s="66"/>
      <c r="AS866" s="63" t="str">
        <f>if(AJ866,if(and(hour(AJ866+AS$5)&gt;11,(hour(AJ866+AS$5)&lt;20)),AJ866+AS$5,_xlfn.workday.intl(int(AJ866),1,"1000000",Holidays!A:A)+hour(AJ866+AS$5-$B$1)/24+minute(AJ866)/1440),"")</f>
        <v/>
      </c>
      <c r="AT866" s="64" t="str">
        <f t="shared" si="21"/>
        <v/>
      </c>
      <c r="AV866" s="66" t="str">
        <f t="shared" si="25"/>
        <v/>
      </c>
      <c r="AW866" s="66"/>
      <c r="AX866" s="56"/>
    </row>
    <row r="867">
      <c r="A867" s="55">
        <v>46107.5308234375</v>
      </c>
      <c r="B867" s="56"/>
      <c r="C867" s="57"/>
      <c r="D867" s="57"/>
      <c r="E867" s="57"/>
      <c r="F867" s="57"/>
      <c r="G867" s="58">
        <f>if(A867,_xlfn.workday.intl(int(A867),1,"1000000",Holidays!A:A)+17/24,"")</f>
        <v>46108.70833</v>
      </c>
      <c r="H867" s="59" t="str">
        <f t="shared" si="23"/>
        <v/>
      </c>
      <c r="I867" s="60"/>
      <c r="J867" s="61">
        <f t="shared" si="2"/>
        <v>25.27557656</v>
      </c>
      <c r="K867" s="58">
        <f>if(G867,_xlfn.workday.intl(int(G867),0,"1000000",Holidays!A:A)+19/24,"")</f>
        <v>46108.79167</v>
      </c>
      <c r="L867" s="59" t="str">
        <f t="shared" si="3"/>
        <v/>
      </c>
      <c r="M867" s="60"/>
      <c r="N867" s="61">
        <f t="shared" si="4"/>
        <v>25.19224323</v>
      </c>
      <c r="O867" s="63">
        <f>if(A867,_xlfn.WORKDAY.INTL(A867,O$5,"1000000",Holidays!A:A)+hour(A867)/24+MINUTE(A867)/1440,"")</f>
        <v>46108.53056</v>
      </c>
      <c r="P867" s="64" t="s">
        <v>2718</v>
      </c>
      <c r="R867" s="66">
        <f t="shared" si="5"/>
        <v>25.45335434</v>
      </c>
      <c r="S867" s="66"/>
      <c r="T867" s="66"/>
      <c r="U867" s="64">
        <f>if(O867,_xlfn.WORKDAY.INTL(O867,U$5,"1000000",Holidays!A:A)+hour(O867)/24+MINUTE(O867)/1440,"")</f>
        <v>46109.53056</v>
      </c>
      <c r="V867" s="64" t="str">
        <f t="shared" si="6"/>
        <v/>
      </c>
      <c r="W867" s="66"/>
      <c r="X867" s="66">
        <f t="shared" si="7"/>
        <v>24.45335434</v>
      </c>
      <c r="Y867" s="66"/>
      <c r="Z867" s="66"/>
      <c r="AA867" s="66"/>
      <c r="AB867" s="63"/>
      <c r="AC867" s="63"/>
      <c r="AD867" s="63"/>
      <c r="AE867" s="63"/>
      <c r="AF867" s="63"/>
      <c r="AG867" s="63"/>
      <c r="AH867" s="63" t="str">
        <f t="shared" si="14"/>
        <v/>
      </c>
      <c r="AI867" s="63" t="str">
        <f>if(AH867,_xlfn.workday.intl(int(AH867),0,"1000000",Holidays!A:A)+18/24,"")</f>
        <v/>
      </c>
      <c r="AJ867" s="64" t="str">
        <f t="shared" si="24"/>
        <v/>
      </c>
      <c r="AL867" s="66" t="str">
        <f t="shared" si="9"/>
        <v/>
      </c>
      <c r="AM867" s="66"/>
      <c r="AN867" s="63" t="str">
        <f>if(AJ867,if(and(hour(AJ867+AN$5)&gt;11,(hour(AJ867+AN$5)&lt;20)),AJ867+AN$5,_xlfn.workday.intl(int(AJ867),1,"1000000",Holidays!A:A)+hour(AJ867+AN$5-$B$1)/24+minute(AJ867)/1440),"")</f>
        <v/>
      </c>
      <c r="AO867" s="64" t="str">
        <f t="shared" si="15"/>
        <v/>
      </c>
      <c r="AQ867" s="66" t="str">
        <f t="shared" si="16"/>
        <v/>
      </c>
      <c r="AR867" s="66"/>
      <c r="AS867" s="63" t="str">
        <f>if(AJ867,if(and(hour(AJ867+AS$5)&gt;11,(hour(AJ867+AS$5)&lt;20)),AJ867+AS$5,_xlfn.workday.intl(int(AJ867),1,"1000000",Holidays!A:A)+hour(AJ867+AS$5-$B$1)/24+minute(AJ867)/1440),"")</f>
        <v/>
      </c>
      <c r="AT867" s="64" t="str">
        <f t="shared" si="21"/>
        <v/>
      </c>
      <c r="AV867" s="66" t="str">
        <f t="shared" si="25"/>
        <v/>
      </c>
      <c r="AW867" s="66"/>
      <c r="AX867" s="56"/>
    </row>
    <row r="868">
      <c r="A868" s="55">
        <v>46108.53716248843</v>
      </c>
      <c r="B868" s="56"/>
      <c r="C868" s="57"/>
      <c r="D868" s="57"/>
      <c r="E868" s="57"/>
      <c r="F868" s="57"/>
      <c r="G868" s="58">
        <f>if(A868,_xlfn.workday.intl(int(A868),1,"1000000",Holidays!A:A)+17/24,"")</f>
        <v>46109.70833</v>
      </c>
      <c r="H868" s="59" t="str">
        <f t="shared" si="23"/>
        <v/>
      </c>
      <c r="I868" s="60"/>
      <c r="J868" s="61">
        <f t="shared" si="2"/>
        <v>24.27557656</v>
      </c>
      <c r="K868" s="58">
        <f>if(G868,_xlfn.workday.intl(int(G868),0,"1000000",Holidays!A:A)+19/24,"")</f>
        <v>46109.79167</v>
      </c>
      <c r="L868" s="59" t="str">
        <f t="shared" si="3"/>
        <v/>
      </c>
      <c r="M868" s="60"/>
      <c r="N868" s="61">
        <f t="shared" si="4"/>
        <v>24.19224323</v>
      </c>
      <c r="O868" s="63">
        <f>if(A868,_xlfn.WORKDAY.INTL(A868,O$5,"1000000",Holidays!A:A)+hour(A868)/24+MINUTE(A868)/1440,"")</f>
        <v>46109.53681</v>
      </c>
      <c r="P868" s="64" t="s">
        <v>2718</v>
      </c>
      <c r="R868" s="66">
        <f t="shared" si="5"/>
        <v>24.44710434</v>
      </c>
      <c r="S868" s="66"/>
      <c r="T868" s="66"/>
      <c r="U868" s="64">
        <f>if(O868,_xlfn.WORKDAY.INTL(O868,U$5,"1000000",Holidays!A:A)+hour(O868)/24+MINUTE(O868)/1440,"")</f>
        <v>46110.53681</v>
      </c>
      <c r="V868" s="64" t="str">
        <f t="shared" si="6"/>
        <v/>
      </c>
      <c r="W868" s="66"/>
      <c r="X868" s="66">
        <f t="shared" si="7"/>
        <v>23.44710434</v>
      </c>
      <c r="Y868" s="66"/>
      <c r="Z868" s="66"/>
      <c r="AA868" s="66"/>
      <c r="AB868" s="63"/>
      <c r="AC868" s="63"/>
      <c r="AD868" s="63"/>
      <c r="AE868" s="63"/>
      <c r="AF868" s="63"/>
      <c r="AG868" s="63"/>
      <c r="AH868" s="63" t="str">
        <f t="shared" si="14"/>
        <v/>
      </c>
      <c r="AI868" s="63" t="str">
        <f>if(AH868,_xlfn.workday.intl(int(AH868),0,"1000000",Holidays!A:A)+18/24,"")</f>
        <v/>
      </c>
      <c r="AJ868" s="64" t="str">
        <f t="shared" si="24"/>
        <v/>
      </c>
      <c r="AL868" s="66" t="str">
        <f t="shared" si="9"/>
        <v/>
      </c>
      <c r="AM868" s="66"/>
      <c r="AN868" s="63" t="str">
        <f>if(AJ868,if(and(hour(AJ868+AN$5)&gt;11,(hour(AJ868+AN$5)&lt;20)),AJ868+AN$5,_xlfn.workday.intl(int(AJ868),1,"1000000",Holidays!A:A)+hour(AJ868+AN$5-$B$1)/24+minute(AJ868)/1440),"")</f>
        <v/>
      </c>
      <c r="AO868" s="64" t="str">
        <f t="shared" si="15"/>
        <v/>
      </c>
      <c r="AQ868" s="66" t="str">
        <f t="shared" si="16"/>
        <v/>
      </c>
      <c r="AR868" s="66"/>
      <c r="AS868" s="63" t="str">
        <f>if(AJ868,if(and(hour(AJ868+AS$5)&gt;11,(hour(AJ868+AS$5)&lt;20)),AJ868+AS$5,_xlfn.workday.intl(int(AJ868),1,"1000000",Holidays!A:A)+hour(AJ868+AS$5-$B$1)/24+minute(AJ868)/1440),"")</f>
        <v/>
      </c>
      <c r="AT868" s="64" t="str">
        <f t="shared" si="21"/>
        <v/>
      </c>
      <c r="AV868" s="66" t="str">
        <f t="shared" si="25"/>
        <v/>
      </c>
      <c r="AW868" s="66"/>
      <c r="AX868" s="56"/>
    </row>
    <row r="869">
      <c r="A869" s="55">
        <v>46108.53772075231</v>
      </c>
      <c r="B869" s="56"/>
      <c r="C869" s="57"/>
      <c r="D869" s="57"/>
      <c r="E869" s="57"/>
      <c r="F869" s="57"/>
      <c r="G869" s="58">
        <f>if(A869,_xlfn.workday.intl(int(A869),1,"1000000",Holidays!A:A)+17/24,"")</f>
        <v>46109.70833</v>
      </c>
      <c r="H869" s="59" t="str">
        <f t="shared" si="23"/>
        <v/>
      </c>
      <c r="I869" s="60"/>
      <c r="J869" s="61">
        <f t="shared" si="2"/>
        <v>24.27557656</v>
      </c>
      <c r="K869" s="58">
        <f>if(G869,_xlfn.workday.intl(int(G869),0,"1000000",Holidays!A:A)+19/24,"")</f>
        <v>46109.79167</v>
      </c>
      <c r="L869" s="59" t="str">
        <f t="shared" si="3"/>
        <v/>
      </c>
      <c r="M869" s="60"/>
      <c r="N869" s="61">
        <f t="shared" si="4"/>
        <v>24.19224323</v>
      </c>
      <c r="O869" s="63">
        <f>if(A869,_xlfn.WORKDAY.INTL(A869,O$5,"1000000",Holidays!A:A)+hour(A869)/24+MINUTE(A869)/1440,"")</f>
        <v>46109.5375</v>
      </c>
      <c r="P869" s="64" t="s">
        <v>2718</v>
      </c>
      <c r="R869" s="66">
        <f t="shared" si="5"/>
        <v>24.4464099</v>
      </c>
      <c r="S869" s="66"/>
      <c r="T869" s="66"/>
      <c r="U869" s="64">
        <f>if(O869,_xlfn.WORKDAY.INTL(O869,U$5,"1000000",Holidays!A:A)+hour(O869)/24+MINUTE(O869)/1440,"")</f>
        <v>46110.5375</v>
      </c>
      <c r="V869" s="64" t="str">
        <f t="shared" si="6"/>
        <v/>
      </c>
      <c r="W869" s="66"/>
      <c r="X869" s="66">
        <f t="shared" si="7"/>
        <v>23.4464099</v>
      </c>
      <c r="Y869" s="66"/>
      <c r="Z869" s="66"/>
      <c r="AA869" s="66"/>
      <c r="AB869" s="63"/>
      <c r="AC869" s="63"/>
      <c r="AD869" s="63"/>
      <c r="AE869" s="63"/>
      <c r="AF869" s="63"/>
      <c r="AG869" s="63"/>
      <c r="AH869" s="63" t="str">
        <f t="shared" si="14"/>
        <v/>
      </c>
      <c r="AI869" s="63" t="str">
        <f>if(AH869,_xlfn.workday.intl(int(AH869),0,"1000000",Holidays!A:A)+18/24,"")</f>
        <v/>
      </c>
      <c r="AJ869" s="64" t="str">
        <f t="shared" si="24"/>
        <v/>
      </c>
      <c r="AL869" s="66" t="str">
        <f t="shared" si="9"/>
        <v/>
      </c>
      <c r="AM869" s="66"/>
      <c r="AN869" s="63" t="str">
        <f>if(AJ869,if(and(hour(AJ869+AN$5)&gt;11,(hour(AJ869+AN$5)&lt;20)),AJ869+AN$5,_xlfn.workday.intl(int(AJ869),1,"1000000",Holidays!A:A)+hour(AJ869+AN$5-$B$1)/24+minute(AJ869)/1440),"")</f>
        <v/>
      </c>
      <c r="AO869" s="64" t="str">
        <f t="shared" si="15"/>
        <v/>
      </c>
      <c r="AQ869" s="66" t="str">
        <f t="shared" si="16"/>
        <v/>
      </c>
      <c r="AR869" s="66"/>
      <c r="AS869" s="63" t="str">
        <f>if(AJ869,if(and(hour(AJ869+AS$5)&gt;11,(hour(AJ869+AS$5)&lt;20)),AJ869+AS$5,_xlfn.workday.intl(int(AJ869),1,"1000000",Holidays!A:A)+hour(AJ869+AS$5-$B$1)/24+minute(AJ869)/1440),"")</f>
        <v/>
      </c>
      <c r="AT869" s="64" t="str">
        <f t="shared" si="21"/>
        <v/>
      </c>
      <c r="AV869" s="66" t="str">
        <f t="shared" si="25"/>
        <v/>
      </c>
      <c r="AW869" s="66"/>
      <c r="AX869" s="56"/>
    </row>
    <row r="870">
      <c r="A870" s="55">
        <v>46108.53833795139</v>
      </c>
      <c r="B870" s="56"/>
      <c r="C870" s="57"/>
      <c r="D870" s="57"/>
      <c r="E870" s="57"/>
      <c r="F870" s="57"/>
      <c r="G870" s="58">
        <f>if(A870,_xlfn.workday.intl(int(A870),1,"1000000",Holidays!A:A)+17/24,"")</f>
        <v>46109.70833</v>
      </c>
      <c r="H870" s="59" t="str">
        <f t="shared" si="23"/>
        <v/>
      </c>
      <c r="I870" s="60"/>
      <c r="J870" s="61">
        <f t="shared" si="2"/>
        <v>24.27557656</v>
      </c>
      <c r="K870" s="58">
        <f>if(G870,_xlfn.workday.intl(int(G870),0,"1000000",Holidays!A:A)+19/24,"")</f>
        <v>46109.79167</v>
      </c>
      <c r="L870" s="59" t="str">
        <f t="shared" si="3"/>
        <v/>
      </c>
      <c r="M870" s="60"/>
      <c r="N870" s="61">
        <f t="shared" si="4"/>
        <v>24.19224323</v>
      </c>
      <c r="O870" s="63">
        <f>if(A870,_xlfn.WORKDAY.INTL(A870,O$5,"1000000",Holidays!A:A)+hour(A870)/24+MINUTE(A870)/1440,"")</f>
        <v>46109.53819</v>
      </c>
      <c r="P870" s="64" t="s">
        <v>2718</v>
      </c>
      <c r="R870" s="66">
        <f t="shared" si="5"/>
        <v>24.44571545</v>
      </c>
      <c r="S870" s="66"/>
      <c r="T870" s="66"/>
      <c r="U870" s="64">
        <f>if(O870,_xlfn.WORKDAY.INTL(O870,U$5,"1000000",Holidays!A:A)+hour(O870)/24+MINUTE(O870)/1440,"")</f>
        <v>46110.53819</v>
      </c>
      <c r="V870" s="64" t="str">
        <f t="shared" si="6"/>
        <v/>
      </c>
      <c r="W870" s="66"/>
      <c r="X870" s="66">
        <f t="shared" si="7"/>
        <v>23.44571545</v>
      </c>
      <c r="Y870" s="66"/>
      <c r="Z870" s="66"/>
      <c r="AA870" s="66"/>
      <c r="AB870" s="63"/>
      <c r="AC870" s="63"/>
      <c r="AD870" s="63"/>
      <c r="AE870" s="63"/>
      <c r="AF870" s="63"/>
      <c r="AG870" s="63"/>
      <c r="AH870" s="63" t="str">
        <f t="shared" si="14"/>
        <v/>
      </c>
      <c r="AI870" s="63" t="str">
        <f>if(AH870,_xlfn.workday.intl(int(AH870),0,"1000000",Holidays!A:A)+18/24,"")</f>
        <v/>
      </c>
      <c r="AJ870" s="64" t="str">
        <f t="shared" si="24"/>
        <v/>
      </c>
      <c r="AL870" s="66" t="str">
        <f t="shared" si="9"/>
        <v/>
      </c>
      <c r="AM870" s="66"/>
      <c r="AN870" s="63" t="str">
        <f>if(AJ870,if(and(hour(AJ870+AN$5)&gt;11,(hour(AJ870+AN$5)&lt;20)),AJ870+AN$5,_xlfn.workday.intl(int(AJ870),1,"1000000",Holidays!A:A)+hour(AJ870+AN$5-$B$1)/24+minute(AJ870)/1440),"")</f>
        <v/>
      </c>
      <c r="AO870" s="64" t="str">
        <f t="shared" si="15"/>
        <v/>
      </c>
      <c r="AQ870" s="66" t="str">
        <f t="shared" si="16"/>
        <v/>
      </c>
      <c r="AR870" s="66"/>
      <c r="AS870" s="63" t="str">
        <f>if(AJ870,if(and(hour(AJ870+AS$5)&gt;11,(hour(AJ870+AS$5)&lt;20)),AJ870+AS$5,_xlfn.workday.intl(int(AJ870),1,"1000000",Holidays!A:A)+hour(AJ870+AS$5-$B$1)/24+minute(AJ870)/1440),"")</f>
        <v/>
      </c>
      <c r="AT870" s="64" t="str">
        <f t="shared" si="21"/>
        <v/>
      </c>
      <c r="AV870" s="66" t="str">
        <f t="shared" si="25"/>
        <v/>
      </c>
      <c r="AW870" s="66"/>
      <c r="AX870" s="56"/>
    </row>
    <row r="871">
      <c r="A871" s="55">
        <v>46108.70045128472</v>
      </c>
      <c r="B871" s="56"/>
      <c r="C871" s="57"/>
      <c r="D871" s="57"/>
      <c r="E871" s="57"/>
      <c r="F871" s="57"/>
      <c r="G871" s="58">
        <f>if(A871,_xlfn.workday.intl(int(A871),1,"1000000",Holidays!A:A)+17/24,"")</f>
        <v>46109.70833</v>
      </c>
      <c r="H871" s="59" t="str">
        <f t="shared" si="23"/>
        <v/>
      </c>
      <c r="I871" s="60"/>
      <c r="J871" s="61">
        <f t="shared" si="2"/>
        <v>24.27557656</v>
      </c>
      <c r="K871" s="58">
        <f>if(G871,_xlfn.workday.intl(int(G871),0,"1000000",Holidays!A:A)+19/24,"")</f>
        <v>46109.79167</v>
      </c>
      <c r="L871" s="59" t="str">
        <f t="shared" si="3"/>
        <v/>
      </c>
      <c r="M871" s="60"/>
      <c r="N871" s="61">
        <f t="shared" si="4"/>
        <v>24.19224323</v>
      </c>
      <c r="O871" s="63">
        <f>if(A871,_xlfn.WORKDAY.INTL(A871,O$5,"1000000",Holidays!A:A)+hour(A871)/24+MINUTE(A871)/1440,"")</f>
        <v>46109.7</v>
      </c>
      <c r="P871" s="64" t="s">
        <v>2718</v>
      </c>
      <c r="R871" s="66">
        <f t="shared" si="5"/>
        <v>24.2839099</v>
      </c>
      <c r="S871" s="66"/>
      <c r="T871" s="66"/>
      <c r="U871" s="64">
        <f>if(O871,_xlfn.WORKDAY.INTL(O871,U$5,"1000000",Holidays!A:A)+hour(O871)/24+MINUTE(O871)/1440,"")</f>
        <v>46110.7</v>
      </c>
      <c r="V871" s="64" t="str">
        <f t="shared" si="6"/>
        <v/>
      </c>
      <c r="W871" s="66"/>
      <c r="X871" s="66">
        <f t="shared" si="7"/>
        <v>23.2839099</v>
      </c>
      <c r="Y871" s="66"/>
      <c r="Z871" s="66"/>
      <c r="AA871" s="66"/>
      <c r="AB871" s="63"/>
      <c r="AC871" s="63"/>
      <c r="AD871" s="63"/>
      <c r="AE871" s="63"/>
      <c r="AF871" s="63"/>
      <c r="AG871" s="63"/>
      <c r="AH871" s="63" t="str">
        <f t="shared" si="14"/>
        <v/>
      </c>
      <c r="AI871" s="63" t="str">
        <f>if(AH871,_xlfn.workday.intl(int(AH871),0,"1000000",Holidays!A:A)+18/24,"")</f>
        <v/>
      </c>
      <c r="AJ871" s="64" t="str">
        <f t="shared" si="24"/>
        <v/>
      </c>
      <c r="AL871" s="66" t="str">
        <f t="shared" si="9"/>
        <v/>
      </c>
      <c r="AM871" s="66"/>
      <c r="AN871" s="63" t="str">
        <f>if(AJ871,if(and(hour(AJ871+AN$5)&gt;11,(hour(AJ871+AN$5)&lt;20)),AJ871+AN$5,_xlfn.workday.intl(int(AJ871),1,"1000000",Holidays!A:A)+hour(AJ871+AN$5-$B$1)/24+minute(AJ871)/1440),"")</f>
        <v/>
      </c>
      <c r="AO871" s="64" t="str">
        <f t="shared" si="15"/>
        <v/>
      </c>
      <c r="AQ871" s="66" t="str">
        <f t="shared" si="16"/>
        <v/>
      </c>
      <c r="AR871" s="66"/>
      <c r="AS871" s="63" t="str">
        <f>if(AJ871,if(and(hour(AJ871+AS$5)&gt;11,(hour(AJ871+AS$5)&lt;20)),AJ871+AS$5,_xlfn.workday.intl(int(AJ871),1,"1000000",Holidays!A:A)+hour(AJ871+AS$5-$B$1)/24+minute(AJ871)/1440),"")</f>
        <v/>
      </c>
      <c r="AT871" s="64" t="str">
        <f t="shared" si="21"/>
        <v/>
      </c>
      <c r="AV871" s="66" t="str">
        <f t="shared" si="25"/>
        <v/>
      </c>
      <c r="AW871" s="66"/>
      <c r="AX871" s="56"/>
    </row>
    <row r="872">
      <c r="A872" s="55">
        <v>46108.70991989583</v>
      </c>
      <c r="B872" s="56"/>
      <c r="C872" s="57"/>
      <c r="D872" s="57"/>
      <c r="E872" s="57"/>
      <c r="F872" s="57"/>
      <c r="G872" s="58">
        <f>if(A872,_xlfn.workday.intl(int(A872),1,"1000000",Holidays!A:A)+17/24,"")</f>
        <v>46109.70833</v>
      </c>
      <c r="H872" s="59" t="str">
        <f t="shared" si="23"/>
        <v/>
      </c>
      <c r="I872" s="60"/>
      <c r="J872" s="61">
        <f t="shared" si="2"/>
        <v>24.27557656</v>
      </c>
      <c r="K872" s="58">
        <f>if(G872,_xlfn.workday.intl(int(G872),0,"1000000",Holidays!A:A)+19/24,"")</f>
        <v>46109.79167</v>
      </c>
      <c r="L872" s="59" t="str">
        <f t="shared" si="3"/>
        <v/>
      </c>
      <c r="M872" s="60"/>
      <c r="N872" s="61">
        <f t="shared" si="4"/>
        <v>24.19224323</v>
      </c>
      <c r="O872" s="63">
        <f>if(A872,_xlfn.WORKDAY.INTL(A872,O$5,"1000000",Holidays!A:A)+hour(A872)/24+MINUTE(A872)/1440,"")</f>
        <v>46109.70972</v>
      </c>
      <c r="P872" s="64" t="s">
        <v>2718</v>
      </c>
      <c r="R872" s="66">
        <f t="shared" si="5"/>
        <v>24.27418767</v>
      </c>
      <c r="S872" s="66"/>
      <c r="T872" s="66"/>
      <c r="U872" s="64">
        <f>if(O872,_xlfn.WORKDAY.INTL(O872,U$5,"1000000",Holidays!A:A)+hour(O872)/24+MINUTE(O872)/1440,"")</f>
        <v>46110.70972</v>
      </c>
      <c r="V872" s="64" t="str">
        <f t="shared" si="6"/>
        <v/>
      </c>
      <c r="W872" s="66"/>
      <c r="X872" s="66">
        <f t="shared" si="7"/>
        <v>23.27418767</v>
      </c>
      <c r="Y872" s="66"/>
      <c r="Z872" s="66"/>
      <c r="AA872" s="66"/>
      <c r="AB872" s="63"/>
      <c r="AC872" s="63"/>
      <c r="AD872" s="63"/>
      <c r="AE872" s="63"/>
      <c r="AF872" s="63"/>
      <c r="AG872" s="63"/>
      <c r="AH872" s="63" t="str">
        <f t="shared" si="14"/>
        <v/>
      </c>
      <c r="AI872" s="63" t="str">
        <f>if(AH872,_xlfn.workday.intl(int(AH872),0,"1000000",Holidays!A:A)+18/24,"")</f>
        <v/>
      </c>
      <c r="AJ872" s="64" t="str">
        <f t="shared" si="24"/>
        <v/>
      </c>
      <c r="AL872" s="66" t="str">
        <f t="shared" si="9"/>
        <v/>
      </c>
      <c r="AM872" s="66"/>
      <c r="AN872" s="63" t="str">
        <f>if(AJ872,if(and(hour(AJ872+AN$5)&gt;11,(hour(AJ872+AN$5)&lt;20)),AJ872+AN$5,_xlfn.workday.intl(int(AJ872),1,"1000000",Holidays!A:A)+hour(AJ872+AN$5-$B$1)/24+minute(AJ872)/1440),"")</f>
        <v/>
      </c>
      <c r="AO872" s="64" t="str">
        <f t="shared" si="15"/>
        <v/>
      </c>
      <c r="AQ872" s="66" t="str">
        <f t="shared" si="16"/>
        <v/>
      </c>
      <c r="AR872" s="66"/>
      <c r="AS872" s="63" t="str">
        <f>if(AJ872,if(and(hour(AJ872+AS$5)&gt;11,(hour(AJ872+AS$5)&lt;20)),AJ872+AS$5,_xlfn.workday.intl(int(AJ872),1,"1000000",Holidays!A:A)+hour(AJ872+AS$5-$B$1)/24+minute(AJ872)/1440),"")</f>
        <v/>
      </c>
      <c r="AT872" s="64" t="str">
        <f t="shared" si="21"/>
        <v/>
      </c>
      <c r="AV872" s="66" t="str">
        <f t="shared" si="25"/>
        <v/>
      </c>
      <c r="AW872" s="66"/>
      <c r="AX872" s="56"/>
    </row>
    <row r="873">
      <c r="A873" s="55">
        <v>46108.71102711806</v>
      </c>
      <c r="B873" s="56"/>
      <c r="C873" s="57"/>
      <c r="D873" s="57"/>
      <c r="E873" s="57"/>
      <c r="F873" s="57"/>
      <c r="G873" s="58">
        <f>if(A873,_xlfn.workday.intl(int(A873),1,"1000000",Holidays!A:A)+17/24,"")</f>
        <v>46109.70833</v>
      </c>
      <c r="H873" s="59" t="str">
        <f t="shared" si="23"/>
        <v/>
      </c>
      <c r="I873" s="60"/>
      <c r="J873" s="61">
        <f t="shared" si="2"/>
        <v>24.27557656</v>
      </c>
      <c r="K873" s="58">
        <f>if(G873,_xlfn.workday.intl(int(G873),0,"1000000",Holidays!A:A)+19/24,"")</f>
        <v>46109.79167</v>
      </c>
      <c r="L873" s="59" t="str">
        <f t="shared" si="3"/>
        <v/>
      </c>
      <c r="M873" s="60"/>
      <c r="N873" s="61">
        <f t="shared" si="4"/>
        <v>24.19224323</v>
      </c>
      <c r="O873" s="63">
        <f>if(A873,_xlfn.WORKDAY.INTL(A873,O$5,"1000000",Holidays!A:A)+hour(A873)/24+MINUTE(A873)/1440,"")</f>
        <v>46109.71042</v>
      </c>
      <c r="P873" s="64" t="s">
        <v>2718</v>
      </c>
      <c r="R873" s="66">
        <f t="shared" si="5"/>
        <v>24.27349323</v>
      </c>
      <c r="S873" s="66"/>
      <c r="T873" s="66"/>
      <c r="U873" s="64">
        <f>if(O873,_xlfn.WORKDAY.INTL(O873,U$5,"1000000",Holidays!A:A)+hour(O873)/24+MINUTE(O873)/1440,"")</f>
        <v>46110.71042</v>
      </c>
      <c r="V873" s="64" t="str">
        <f t="shared" si="6"/>
        <v/>
      </c>
      <c r="W873" s="66"/>
      <c r="X873" s="66">
        <f t="shared" si="7"/>
        <v>23.27349323</v>
      </c>
      <c r="Y873" s="66"/>
      <c r="Z873" s="66"/>
      <c r="AA873" s="66"/>
      <c r="AB873" s="63"/>
      <c r="AC873" s="63"/>
      <c r="AD873" s="63"/>
      <c r="AE873" s="63"/>
      <c r="AF873" s="63"/>
      <c r="AG873" s="63"/>
      <c r="AH873" s="63" t="str">
        <f t="shared" si="14"/>
        <v/>
      </c>
      <c r="AI873" s="63" t="str">
        <f>if(AH873,_xlfn.workday.intl(int(AH873),0,"1000000",Holidays!A:A)+18/24,"")</f>
        <v/>
      </c>
      <c r="AJ873" s="64" t="str">
        <f t="shared" si="24"/>
        <v/>
      </c>
      <c r="AL873" s="66" t="str">
        <f t="shared" si="9"/>
        <v/>
      </c>
      <c r="AM873" s="66"/>
      <c r="AN873" s="63" t="str">
        <f>if(AJ873,if(and(hour(AJ873+AN$5)&gt;11,(hour(AJ873+AN$5)&lt;20)),AJ873+AN$5,_xlfn.workday.intl(int(AJ873),1,"1000000",Holidays!A:A)+hour(AJ873+AN$5-$B$1)/24+minute(AJ873)/1440),"")</f>
        <v/>
      </c>
      <c r="AO873" s="64" t="str">
        <f t="shared" si="15"/>
        <v/>
      </c>
      <c r="AQ873" s="66" t="str">
        <f t="shared" si="16"/>
        <v/>
      </c>
      <c r="AR873" s="66"/>
      <c r="AS873" s="63" t="str">
        <f>if(AJ873,if(and(hour(AJ873+AS$5)&gt;11,(hour(AJ873+AS$5)&lt;20)),AJ873+AS$5,_xlfn.workday.intl(int(AJ873),1,"1000000",Holidays!A:A)+hour(AJ873+AS$5-$B$1)/24+minute(AJ873)/1440),"")</f>
        <v/>
      </c>
      <c r="AT873" s="64" t="str">
        <f t="shared" si="21"/>
        <v/>
      </c>
      <c r="AV873" s="66" t="str">
        <f t="shared" si="25"/>
        <v/>
      </c>
      <c r="AW873" s="66"/>
      <c r="AX873" s="56"/>
    </row>
    <row r="874">
      <c r="A874" s="55">
        <v>46108.73035966435</v>
      </c>
      <c r="B874" s="56"/>
      <c r="C874" s="57"/>
      <c r="D874" s="57"/>
      <c r="E874" s="57"/>
      <c r="F874" s="57"/>
      <c r="G874" s="58">
        <f>if(A874,_xlfn.workday.intl(int(A874),1,"1000000",Holidays!A:A)+17/24,"")</f>
        <v>46109.70833</v>
      </c>
      <c r="H874" s="59" t="str">
        <f t="shared" si="23"/>
        <v/>
      </c>
      <c r="I874" s="60"/>
      <c r="J874" s="61">
        <f t="shared" si="2"/>
        <v>24.27557656</v>
      </c>
      <c r="K874" s="58">
        <f>if(G874,_xlfn.workday.intl(int(G874),0,"1000000",Holidays!A:A)+19/24,"")</f>
        <v>46109.79167</v>
      </c>
      <c r="L874" s="59" t="str">
        <f t="shared" si="3"/>
        <v/>
      </c>
      <c r="M874" s="60"/>
      <c r="N874" s="61">
        <f t="shared" si="4"/>
        <v>24.19224323</v>
      </c>
      <c r="O874" s="63">
        <f>if(A874,_xlfn.WORKDAY.INTL(A874,O$5,"1000000",Holidays!A:A)+hour(A874)/24+MINUTE(A874)/1440,"")</f>
        <v>46109.72986</v>
      </c>
      <c r="P874" s="64" t="s">
        <v>2718</v>
      </c>
      <c r="R874" s="66">
        <f t="shared" si="5"/>
        <v>24.25404878</v>
      </c>
      <c r="S874" s="66"/>
      <c r="T874" s="66"/>
      <c r="U874" s="64">
        <f>if(O874,_xlfn.WORKDAY.INTL(O874,U$5,"1000000",Holidays!A:A)+hour(O874)/24+MINUTE(O874)/1440,"")</f>
        <v>46110.72986</v>
      </c>
      <c r="V874" s="64" t="str">
        <f t="shared" si="6"/>
        <v/>
      </c>
      <c r="W874" s="66"/>
      <c r="X874" s="66">
        <f t="shared" si="7"/>
        <v>23.25404878</v>
      </c>
      <c r="Y874" s="66"/>
      <c r="Z874" s="66"/>
      <c r="AA874" s="66"/>
      <c r="AB874" s="63"/>
      <c r="AC874" s="63"/>
      <c r="AD874" s="63"/>
      <c r="AE874" s="63"/>
      <c r="AF874" s="63"/>
      <c r="AG874" s="63"/>
      <c r="AH874" s="63" t="str">
        <f t="shared" si="14"/>
        <v/>
      </c>
      <c r="AI874" s="63" t="str">
        <f>if(AH874,_xlfn.workday.intl(int(AH874),0,"1000000",Holidays!A:A)+18/24,"")</f>
        <v/>
      </c>
      <c r="AJ874" s="64" t="str">
        <f t="shared" si="24"/>
        <v/>
      </c>
      <c r="AL874" s="66" t="str">
        <f t="shared" si="9"/>
        <v/>
      </c>
      <c r="AM874" s="66"/>
      <c r="AN874" s="63" t="str">
        <f>if(AJ874,if(and(hour(AJ874+AN$5)&gt;11,(hour(AJ874+AN$5)&lt;20)),AJ874+AN$5,_xlfn.workday.intl(int(AJ874),1,"1000000",Holidays!A:A)+hour(AJ874+AN$5-$B$1)/24+minute(AJ874)/1440),"")</f>
        <v/>
      </c>
      <c r="AO874" s="64" t="str">
        <f t="shared" si="15"/>
        <v/>
      </c>
      <c r="AQ874" s="66" t="str">
        <f t="shared" si="16"/>
        <v/>
      </c>
      <c r="AR874" s="66"/>
      <c r="AS874" s="63" t="str">
        <f>if(AJ874,if(and(hour(AJ874+AS$5)&gt;11,(hour(AJ874+AS$5)&lt;20)),AJ874+AS$5,_xlfn.workday.intl(int(AJ874),1,"1000000",Holidays!A:A)+hour(AJ874+AS$5-$B$1)/24+minute(AJ874)/1440),"")</f>
        <v/>
      </c>
      <c r="AT874" s="64" t="str">
        <f t="shared" si="21"/>
        <v/>
      </c>
      <c r="AV874" s="66" t="str">
        <f t="shared" si="25"/>
        <v/>
      </c>
      <c r="AW874" s="66"/>
      <c r="AX874" s="56"/>
    </row>
    <row r="875">
      <c r="A875" s="55">
        <v>46108.75382590278</v>
      </c>
      <c r="B875" s="56"/>
      <c r="C875" s="57"/>
      <c r="D875" s="57"/>
      <c r="E875" s="57"/>
      <c r="F875" s="57"/>
      <c r="G875" s="58">
        <f>if(A875,_xlfn.workday.intl(int(A875),1,"1000000",Holidays!A:A)+17/24,"")</f>
        <v>46109.70833</v>
      </c>
      <c r="H875" s="59" t="str">
        <f t="shared" si="23"/>
        <v/>
      </c>
      <c r="I875" s="60"/>
      <c r="J875" s="61">
        <f t="shared" si="2"/>
        <v>24.27557656</v>
      </c>
      <c r="K875" s="58">
        <f>if(G875,_xlfn.workday.intl(int(G875),0,"1000000",Holidays!A:A)+19/24,"")</f>
        <v>46109.79167</v>
      </c>
      <c r="L875" s="59" t="str">
        <f t="shared" si="3"/>
        <v/>
      </c>
      <c r="M875" s="60"/>
      <c r="N875" s="61">
        <f t="shared" si="4"/>
        <v>24.19224323</v>
      </c>
      <c r="O875" s="63">
        <f>if(A875,_xlfn.WORKDAY.INTL(A875,O$5,"1000000",Holidays!A:A)+hour(A875)/24+MINUTE(A875)/1440,"")</f>
        <v>46109.75347</v>
      </c>
      <c r="P875" s="64" t="s">
        <v>2718</v>
      </c>
      <c r="R875" s="66">
        <f t="shared" si="5"/>
        <v>24.23043767</v>
      </c>
      <c r="S875" s="66"/>
      <c r="T875" s="66"/>
      <c r="U875" s="64">
        <f>if(O875,_xlfn.WORKDAY.INTL(O875,U$5,"1000000",Holidays!A:A)+hour(O875)/24+MINUTE(O875)/1440,"")</f>
        <v>46110.75347</v>
      </c>
      <c r="V875" s="64" t="str">
        <f t="shared" si="6"/>
        <v/>
      </c>
      <c r="W875" s="66"/>
      <c r="X875" s="66">
        <f t="shared" si="7"/>
        <v>23.23043767</v>
      </c>
      <c r="Y875" s="66"/>
      <c r="Z875" s="66"/>
      <c r="AA875" s="66"/>
      <c r="AB875" s="63"/>
      <c r="AC875" s="63"/>
      <c r="AD875" s="63"/>
      <c r="AE875" s="63"/>
      <c r="AF875" s="63"/>
      <c r="AG875" s="63"/>
      <c r="AH875" s="63" t="str">
        <f t="shared" si="14"/>
        <v/>
      </c>
      <c r="AI875" s="63" t="str">
        <f>if(AH875,_xlfn.workday.intl(int(AH875),0,"1000000",Holidays!A:A)+18/24,"")</f>
        <v/>
      </c>
      <c r="AJ875" s="64" t="str">
        <f t="shared" si="24"/>
        <v/>
      </c>
      <c r="AL875" s="66" t="str">
        <f t="shared" si="9"/>
        <v/>
      </c>
      <c r="AM875" s="66"/>
      <c r="AN875" s="63" t="str">
        <f>if(AJ875,if(and(hour(AJ875+AN$5)&gt;11,(hour(AJ875+AN$5)&lt;20)),AJ875+AN$5,_xlfn.workday.intl(int(AJ875),1,"1000000",Holidays!A:A)+hour(AJ875+AN$5-$B$1)/24+minute(AJ875)/1440),"")</f>
        <v/>
      </c>
      <c r="AO875" s="64" t="str">
        <f t="shared" si="15"/>
        <v/>
      </c>
      <c r="AQ875" s="66" t="str">
        <f t="shared" si="16"/>
        <v/>
      </c>
      <c r="AR875" s="66"/>
      <c r="AS875" s="63" t="str">
        <f>if(AJ875,if(and(hour(AJ875+AS$5)&gt;11,(hour(AJ875+AS$5)&lt;20)),AJ875+AS$5,_xlfn.workday.intl(int(AJ875),1,"1000000",Holidays!A:A)+hour(AJ875+AS$5-$B$1)/24+minute(AJ875)/1440),"")</f>
        <v/>
      </c>
      <c r="AT875" s="64" t="str">
        <f t="shared" si="21"/>
        <v/>
      </c>
      <c r="AV875" s="66" t="str">
        <f t="shared" si="25"/>
        <v/>
      </c>
      <c r="AW875" s="66"/>
      <c r="AX875" s="56"/>
    </row>
    <row r="876">
      <c r="A876" s="55">
        <v>46108.75442907408</v>
      </c>
      <c r="B876" s="56"/>
      <c r="C876" s="57"/>
      <c r="D876" s="57"/>
      <c r="E876" s="57"/>
      <c r="F876" s="57"/>
      <c r="G876" s="58">
        <f>if(A876,_xlfn.workday.intl(int(A876),1,"1000000",Holidays!A:A)+17/24,"")</f>
        <v>46109.70833</v>
      </c>
      <c r="H876" s="59" t="str">
        <f t="shared" si="23"/>
        <v/>
      </c>
      <c r="I876" s="60"/>
      <c r="J876" s="61">
        <f t="shared" si="2"/>
        <v>24.27557656</v>
      </c>
      <c r="K876" s="58">
        <f>if(G876,_xlfn.workday.intl(int(G876),0,"1000000",Holidays!A:A)+19/24,"")</f>
        <v>46109.79167</v>
      </c>
      <c r="L876" s="59" t="str">
        <f t="shared" si="3"/>
        <v/>
      </c>
      <c r="M876" s="60"/>
      <c r="N876" s="61">
        <f t="shared" si="4"/>
        <v>24.19224323</v>
      </c>
      <c r="O876" s="63">
        <f>if(A876,_xlfn.WORKDAY.INTL(A876,O$5,"1000000",Holidays!A:A)+hour(A876)/24+MINUTE(A876)/1440,"")</f>
        <v>46109.75417</v>
      </c>
      <c r="P876" s="64" t="s">
        <v>2718</v>
      </c>
      <c r="R876" s="66">
        <f t="shared" si="5"/>
        <v>24.22974323</v>
      </c>
      <c r="S876" s="66"/>
      <c r="T876" s="66"/>
      <c r="U876" s="64">
        <f>if(O876,_xlfn.WORKDAY.INTL(O876,U$5,"1000000",Holidays!A:A)+hour(O876)/24+MINUTE(O876)/1440,"")</f>
        <v>46110.75417</v>
      </c>
      <c r="V876" s="64" t="str">
        <f t="shared" si="6"/>
        <v/>
      </c>
      <c r="W876" s="66"/>
      <c r="X876" s="66">
        <f t="shared" si="7"/>
        <v>23.22974323</v>
      </c>
      <c r="Y876" s="66"/>
      <c r="Z876" s="66"/>
      <c r="AA876" s="66"/>
      <c r="AB876" s="63"/>
      <c r="AC876" s="63"/>
      <c r="AD876" s="63"/>
      <c r="AE876" s="63"/>
      <c r="AF876" s="63"/>
      <c r="AG876" s="63"/>
      <c r="AH876" s="63" t="str">
        <f t="shared" si="14"/>
        <v/>
      </c>
      <c r="AI876" s="63" t="str">
        <f>if(AH876,_xlfn.workday.intl(int(AH876),0,"1000000",Holidays!A:A)+18/24,"")</f>
        <v/>
      </c>
      <c r="AJ876" s="64" t="str">
        <f t="shared" si="24"/>
        <v/>
      </c>
      <c r="AL876" s="66" t="str">
        <f t="shared" si="9"/>
        <v/>
      </c>
      <c r="AM876" s="66"/>
      <c r="AN876" s="63" t="str">
        <f>if(AJ876,if(and(hour(AJ876+AN$5)&gt;11,(hour(AJ876+AN$5)&lt;20)),AJ876+AN$5,_xlfn.workday.intl(int(AJ876),1,"1000000",Holidays!A:A)+hour(AJ876+AN$5-$B$1)/24+minute(AJ876)/1440),"")</f>
        <v/>
      </c>
      <c r="AO876" s="64" t="str">
        <f t="shared" si="15"/>
        <v/>
      </c>
      <c r="AQ876" s="66" t="str">
        <f t="shared" si="16"/>
        <v/>
      </c>
      <c r="AR876" s="66"/>
      <c r="AS876" s="63" t="str">
        <f>if(AJ876,if(and(hour(AJ876+AS$5)&gt;11,(hour(AJ876+AS$5)&lt;20)),AJ876+AS$5,_xlfn.workday.intl(int(AJ876),1,"1000000",Holidays!A:A)+hour(AJ876+AS$5-$B$1)/24+minute(AJ876)/1440),"")</f>
        <v/>
      </c>
      <c r="AT876" s="64" t="str">
        <f t="shared" si="21"/>
        <v/>
      </c>
      <c r="AV876" s="66" t="str">
        <f t="shared" si="25"/>
        <v/>
      </c>
      <c r="AW876" s="66"/>
      <c r="AX876" s="56"/>
    </row>
    <row r="877">
      <c r="A877" s="55">
        <v>46108.75516170139</v>
      </c>
      <c r="B877" s="56"/>
      <c r="C877" s="57"/>
      <c r="D877" s="57"/>
      <c r="E877" s="57"/>
      <c r="F877" s="57"/>
      <c r="G877" s="58">
        <f>if(A877,_xlfn.workday.intl(int(A877),1,"1000000",Holidays!A:A)+17/24,"")</f>
        <v>46109.70833</v>
      </c>
      <c r="H877" s="59" t="str">
        <f t="shared" si="23"/>
        <v/>
      </c>
      <c r="I877" s="60"/>
      <c r="J877" s="61">
        <f t="shared" si="2"/>
        <v>24.27557656</v>
      </c>
      <c r="K877" s="58">
        <f>if(G877,_xlfn.workday.intl(int(G877),0,"1000000",Holidays!A:A)+19/24,"")</f>
        <v>46109.79167</v>
      </c>
      <c r="L877" s="59" t="str">
        <f t="shared" si="3"/>
        <v/>
      </c>
      <c r="M877" s="60"/>
      <c r="N877" s="61">
        <f t="shared" si="4"/>
        <v>24.19224323</v>
      </c>
      <c r="O877" s="63">
        <f>if(A877,_xlfn.WORKDAY.INTL(A877,O$5,"1000000",Holidays!A:A)+hour(A877)/24+MINUTE(A877)/1440,"")</f>
        <v>46109.75486</v>
      </c>
      <c r="P877" s="64" t="s">
        <v>2718</v>
      </c>
      <c r="R877" s="66">
        <f t="shared" si="5"/>
        <v>24.22904878</v>
      </c>
      <c r="S877" s="66"/>
      <c r="T877" s="66"/>
      <c r="U877" s="64">
        <f>if(O877,_xlfn.WORKDAY.INTL(O877,U$5,"1000000",Holidays!A:A)+hour(O877)/24+MINUTE(O877)/1440,"")</f>
        <v>46110.75486</v>
      </c>
      <c r="V877" s="64" t="str">
        <f t="shared" si="6"/>
        <v/>
      </c>
      <c r="W877" s="66"/>
      <c r="X877" s="66">
        <f t="shared" si="7"/>
        <v>23.22904878</v>
      </c>
      <c r="Y877" s="66"/>
      <c r="Z877" s="66"/>
      <c r="AA877" s="66"/>
      <c r="AB877" s="63"/>
      <c r="AC877" s="63"/>
      <c r="AD877" s="63"/>
      <c r="AE877" s="63"/>
      <c r="AF877" s="63"/>
      <c r="AG877" s="63"/>
      <c r="AH877" s="63" t="str">
        <f t="shared" si="14"/>
        <v/>
      </c>
      <c r="AI877" s="63" t="str">
        <f>if(AH877,_xlfn.workday.intl(int(AH877),0,"1000000",Holidays!A:A)+18/24,"")</f>
        <v/>
      </c>
      <c r="AJ877" s="64" t="str">
        <f t="shared" si="24"/>
        <v/>
      </c>
      <c r="AL877" s="66" t="str">
        <f t="shared" si="9"/>
        <v/>
      </c>
      <c r="AM877" s="66"/>
      <c r="AN877" s="63" t="str">
        <f>if(AJ877,if(and(hour(AJ877+AN$5)&gt;11,(hour(AJ877+AN$5)&lt;20)),AJ877+AN$5,_xlfn.workday.intl(int(AJ877),1,"1000000",Holidays!A:A)+hour(AJ877+AN$5-$B$1)/24+minute(AJ877)/1440),"")</f>
        <v/>
      </c>
      <c r="AO877" s="64" t="str">
        <f t="shared" si="15"/>
        <v/>
      </c>
      <c r="AQ877" s="66" t="str">
        <f t="shared" si="16"/>
        <v/>
      </c>
      <c r="AR877" s="66"/>
      <c r="AS877" s="63" t="str">
        <f>if(AJ877,if(and(hour(AJ877+AS$5)&gt;11,(hour(AJ877+AS$5)&lt;20)),AJ877+AS$5,_xlfn.workday.intl(int(AJ877),1,"1000000",Holidays!A:A)+hour(AJ877+AS$5-$B$1)/24+minute(AJ877)/1440),"")</f>
        <v/>
      </c>
      <c r="AT877" s="64" t="str">
        <f t="shared" si="21"/>
        <v/>
      </c>
      <c r="AV877" s="66" t="str">
        <f t="shared" si="25"/>
        <v/>
      </c>
      <c r="AW877" s="66"/>
      <c r="AX877" s="56"/>
    </row>
    <row r="878">
      <c r="A878" s="55">
        <v>46108.755757384264</v>
      </c>
      <c r="B878" s="56"/>
      <c r="C878" s="57"/>
      <c r="D878" s="57"/>
      <c r="E878" s="57"/>
      <c r="F878" s="57"/>
      <c r="G878" s="58">
        <f>if(A878,_xlfn.workday.intl(int(A878),1,"1000000",Holidays!A:A)+17/24,"")</f>
        <v>46109.70833</v>
      </c>
      <c r="H878" s="59" t="str">
        <f t="shared" si="23"/>
        <v/>
      </c>
      <c r="I878" s="60"/>
      <c r="J878" s="61">
        <f t="shared" si="2"/>
        <v>24.27557656</v>
      </c>
      <c r="K878" s="58">
        <f>if(G878,_xlfn.workday.intl(int(G878),0,"1000000",Holidays!A:A)+19/24,"")</f>
        <v>46109.79167</v>
      </c>
      <c r="L878" s="59" t="str">
        <f t="shared" si="3"/>
        <v/>
      </c>
      <c r="M878" s="60"/>
      <c r="N878" s="61">
        <f t="shared" si="4"/>
        <v>24.19224323</v>
      </c>
      <c r="O878" s="63">
        <f>if(A878,_xlfn.WORKDAY.INTL(A878,O$5,"1000000",Holidays!A:A)+hour(A878)/24+MINUTE(A878)/1440,"")</f>
        <v>46109.75556</v>
      </c>
      <c r="P878" s="64" t="s">
        <v>2718</v>
      </c>
      <c r="R878" s="66">
        <f t="shared" si="5"/>
        <v>24.22835434</v>
      </c>
      <c r="S878" s="66"/>
      <c r="T878" s="66"/>
      <c r="U878" s="64">
        <f>if(O878,_xlfn.WORKDAY.INTL(O878,U$5,"1000000",Holidays!A:A)+hour(O878)/24+MINUTE(O878)/1440,"")</f>
        <v>46110.75556</v>
      </c>
      <c r="V878" s="64" t="str">
        <f t="shared" si="6"/>
        <v/>
      </c>
      <c r="W878" s="66"/>
      <c r="X878" s="66">
        <f t="shared" si="7"/>
        <v>23.22835434</v>
      </c>
      <c r="Y878" s="66"/>
      <c r="Z878" s="66"/>
      <c r="AA878" s="66"/>
      <c r="AB878" s="63"/>
      <c r="AC878" s="63"/>
      <c r="AD878" s="63"/>
      <c r="AE878" s="63"/>
      <c r="AF878" s="63"/>
      <c r="AG878" s="63"/>
      <c r="AH878" s="63" t="str">
        <f t="shared" si="14"/>
        <v/>
      </c>
      <c r="AI878" s="63" t="str">
        <f>if(AH878,_xlfn.workday.intl(int(AH878),0,"1000000",Holidays!A:A)+18/24,"")</f>
        <v/>
      </c>
      <c r="AJ878" s="64" t="str">
        <f t="shared" si="24"/>
        <v/>
      </c>
      <c r="AL878" s="66" t="str">
        <f t="shared" si="9"/>
        <v/>
      </c>
      <c r="AM878" s="66"/>
      <c r="AN878" s="63" t="str">
        <f>if(AJ878,if(and(hour(AJ878+AN$5)&gt;11,(hour(AJ878+AN$5)&lt;20)),AJ878+AN$5,_xlfn.workday.intl(int(AJ878),1,"1000000",Holidays!A:A)+hour(AJ878+AN$5-$B$1)/24+minute(AJ878)/1440),"")</f>
        <v/>
      </c>
      <c r="AO878" s="64" t="str">
        <f t="shared" si="15"/>
        <v/>
      </c>
      <c r="AQ878" s="66" t="str">
        <f t="shared" si="16"/>
        <v/>
      </c>
      <c r="AR878" s="66"/>
      <c r="AS878" s="63" t="str">
        <f>if(AJ878,if(and(hour(AJ878+AS$5)&gt;11,(hour(AJ878+AS$5)&lt;20)),AJ878+AS$5,_xlfn.workday.intl(int(AJ878),1,"1000000",Holidays!A:A)+hour(AJ878+AS$5-$B$1)/24+minute(AJ878)/1440),"")</f>
        <v/>
      </c>
      <c r="AT878" s="64" t="str">
        <f t="shared" si="21"/>
        <v/>
      </c>
      <c r="AV878" s="66" t="str">
        <f t="shared" si="25"/>
        <v/>
      </c>
      <c r="AW878" s="66"/>
      <c r="AX878" s="56"/>
    </row>
    <row r="879">
      <c r="A879" s="55">
        <v>46112.647365219906</v>
      </c>
      <c r="B879" s="56"/>
      <c r="C879" s="57"/>
      <c r="D879" s="57"/>
      <c r="E879" s="57"/>
      <c r="F879" s="57"/>
      <c r="G879" s="58">
        <f>if(A879,_xlfn.workday.intl(int(A879),1,"1000000",Holidays!A:A)+17/24,"")</f>
        <v>46113.70833</v>
      </c>
      <c r="H879" s="59" t="str">
        <f t="shared" si="23"/>
        <v/>
      </c>
      <c r="I879" s="60"/>
      <c r="J879" s="61">
        <f t="shared" si="2"/>
        <v>20.27557656</v>
      </c>
      <c r="K879" s="58">
        <f>if(G879,_xlfn.workday.intl(int(G879),0,"1000000",Holidays!A:A)+19/24,"")</f>
        <v>46113.79167</v>
      </c>
      <c r="L879" s="59" t="str">
        <f t="shared" si="3"/>
        <v/>
      </c>
      <c r="M879" s="60"/>
      <c r="N879" s="61">
        <f t="shared" si="4"/>
        <v>20.19224323</v>
      </c>
      <c r="O879" s="63">
        <f>if(A879,_xlfn.WORKDAY.INTL(A879,O$5,"1000000",Holidays!A:A)+hour(A879)/24+MINUTE(A879)/1440,"")</f>
        <v>46113.64722</v>
      </c>
      <c r="P879" s="64" t="s">
        <v>2718</v>
      </c>
      <c r="R879" s="66">
        <f t="shared" si="5"/>
        <v>20.33668767</v>
      </c>
      <c r="S879" s="66"/>
      <c r="T879" s="66"/>
      <c r="U879" s="64">
        <f>if(O879,_xlfn.WORKDAY.INTL(O879,U$5,"1000000",Holidays!A:A)+hour(O879)/24+MINUTE(O879)/1440,"")</f>
        <v>46114.64722</v>
      </c>
      <c r="V879" s="64" t="str">
        <f t="shared" si="6"/>
        <v/>
      </c>
      <c r="W879" s="66"/>
      <c r="X879" s="66">
        <f t="shared" si="7"/>
        <v>19.33668767</v>
      </c>
      <c r="Y879" s="66"/>
      <c r="Z879" s="66"/>
      <c r="AA879" s="66"/>
      <c r="AB879" s="63"/>
      <c r="AC879" s="63"/>
      <c r="AD879" s="63"/>
      <c r="AE879" s="63"/>
      <c r="AF879" s="63"/>
      <c r="AG879" s="63"/>
      <c r="AH879" s="63" t="str">
        <f t="shared" si="14"/>
        <v/>
      </c>
      <c r="AI879" s="63" t="str">
        <f>if(AH879,_xlfn.workday.intl(int(AH879),0,"1000000",Holidays!A:A)+18/24,"")</f>
        <v/>
      </c>
      <c r="AJ879" s="64" t="str">
        <f t="shared" si="24"/>
        <v/>
      </c>
      <c r="AL879" s="66" t="str">
        <f t="shared" si="9"/>
        <v/>
      </c>
      <c r="AM879" s="66"/>
      <c r="AN879" s="63" t="str">
        <f>if(AJ879,if(and(hour(AJ879+AN$5)&gt;11,(hour(AJ879+AN$5)&lt;20)),AJ879+AN$5,_xlfn.workday.intl(int(AJ879),1,"1000000",Holidays!A:A)+hour(AJ879+AN$5-$B$1)/24+minute(AJ879)/1440),"")</f>
        <v/>
      </c>
      <c r="AO879" s="64" t="str">
        <f t="shared" si="15"/>
        <v/>
      </c>
      <c r="AQ879" s="66" t="str">
        <f t="shared" si="16"/>
        <v/>
      </c>
      <c r="AR879" s="66"/>
      <c r="AS879" s="63" t="str">
        <f>if(AJ879,if(and(hour(AJ879+AS$5)&gt;11,(hour(AJ879+AS$5)&lt;20)),AJ879+AS$5,_xlfn.workday.intl(int(AJ879),1,"1000000",Holidays!A:A)+hour(AJ879+AS$5-$B$1)/24+minute(AJ879)/1440),"")</f>
        <v/>
      </c>
      <c r="AT879" s="64" t="str">
        <f t="shared" si="21"/>
        <v/>
      </c>
      <c r="AV879" s="66" t="str">
        <f t="shared" si="25"/>
        <v/>
      </c>
      <c r="AW879" s="66"/>
      <c r="AX879" s="56"/>
    </row>
    <row r="880">
      <c r="A880" s="55">
        <v>46113.64407106482</v>
      </c>
      <c r="B880" s="56"/>
      <c r="C880" s="57"/>
      <c r="D880" s="57"/>
      <c r="E880" s="57"/>
      <c r="F880" s="57"/>
      <c r="G880" s="58">
        <f>if(A880,_xlfn.workday.intl(int(A880),1,"1000000",Holidays!A:A)+17/24,"")</f>
        <v>46114.70833</v>
      </c>
      <c r="H880" s="59" t="str">
        <f t="shared" si="23"/>
        <v/>
      </c>
      <c r="I880" s="60"/>
      <c r="J880" s="61">
        <f t="shared" si="2"/>
        <v>19.27557656</v>
      </c>
      <c r="K880" s="58">
        <f>if(G880,_xlfn.workday.intl(int(G880),0,"1000000",Holidays!A:A)+19/24,"")</f>
        <v>46114.79167</v>
      </c>
      <c r="L880" s="59" t="str">
        <f t="shared" si="3"/>
        <v/>
      </c>
      <c r="M880" s="60"/>
      <c r="N880" s="61">
        <f t="shared" si="4"/>
        <v>19.19224323</v>
      </c>
      <c r="O880" s="63">
        <f>if(A880,_xlfn.WORKDAY.INTL(A880,O$5,"1000000",Holidays!A:A)+hour(A880)/24+MINUTE(A880)/1440,"")</f>
        <v>46114.64375</v>
      </c>
      <c r="P880" s="64" t="s">
        <v>2718</v>
      </c>
      <c r="R880" s="66">
        <f t="shared" si="5"/>
        <v>19.3401599</v>
      </c>
      <c r="S880" s="66"/>
      <c r="T880" s="66"/>
      <c r="U880" s="64">
        <f>if(O880,_xlfn.WORKDAY.INTL(O880,U$5,"1000000",Holidays!A:A)+hour(O880)/24+MINUTE(O880)/1440,"")</f>
        <v>46115.64375</v>
      </c>
      <c r="V880" s="64" t="str">
        <f t="shared" si="6"/>
        <v/>
      </c>
      <c r="W880" s="66"/>
      <c r="X880" s="66">
        <f t="shared" si="7"/>
        <v>18.3401599</v>
      </c>
      <c r="Y880" s="66"/>
      <c r="Z880" s="66"/>
      <c r="AA880" s="66"/>
      <c r="AB880" s="63"/>
      <c r="AC880" s="63"/>
      <c r="AD880" s="63"/>
      <c r="AE880" s="63"/>
      <c r="AF880" s="63"/>
      <c r="AG880" s="63"/>
      <c r="AH880" s="63" t="str">
        <f t="shared" si="14"/>
        <v/>
      </c>
      <c r="AI880" s="63" t="str">
        <f>if(AH880,_xlfn.workday.intl(int(AH880),0,"1000000",Holidays!A:A)+18/24,"")</f>
        <v/>
      </c>
      <c r="AJ880" s="64" t="str">
        <f t="shared" si="24"/>
        <v/>
      </c>
      <c r="AL880" s="66" t="str">
        <f t="shared" si="9"/>
        <v/>
      </c>
      <c r="AM880" s="66"/>
      <c r="AN880" s="63" t="str">
        <f>if(AJ880,if(and(hour(AJ880+AN$5)&gt;11,(hour(AJ880+AN$5)&lt;20)),AJ880+AN$5,_xlfn.workday.intl(int(AJ880),1,"1000000",Holidays!A:A)+hour(AJ880+AN$5-$B$1)/24+minute(AJ880)/1440),"")</f>
        <v/>
      </c>
      <c r="AO880" s="64" t="str">
        <f t="shared" si="15"/>
        <v/>
      </c>
      <c r="AQ880" s="66" t="str">
        <f t="shared" si="16"/>
        <v/>
      </c>
      <c r="AR880" s="66"/>
      <c r="AS880" s="63" t="str">
        <f>if(AJ880,if(and(hour(AJ880+AS$5)&gt;11,(hour(AJ880+AS$5)&lt;20)),AJ880+AS$5,_xlfn.workday.intl(int(AJ880),1,"1000000",Holidays!A:A)+hour(AJ880+AS$5-$B$1)/24+minute(AJ880)/1440),"")</f>
        <v/>
      </c>
      <c r="AT880" s="64" t="str">
        <f t="shared" si="21"/>
        <v/>
      </c>
      <c r="AV880" s="66" t="str">
        <f t="shared" si="25"/>
        <v/>
      </c>
      <c r="AW880" s="66"/>
      <c r="AX880" s="56"/>
    </row>
    <row r="881">
      <c r="A881" s="55">
        <v>46113.64511704861</v>
      </c>
      <c r="B881" s="56"/>
      <c r="C881" s="57"/>
      <c r="D881" s="57"/>
      <c r="E881" s="57"/>
      <c r="F881" s="57"/>
      <c r="G881" s="58">
        <f>if(A881,_xlfn.workday.intl(int(A881),1,"1000000",Holidays!A:A)+17/24,"")</f>
        <v>46114.70833</v>
      </c>
      <c r="H881" s="59" t="str">
        <f t="shared" si="23"/>
        <v/>
      </c>
      <c r="I881" s="60"/>
      <c r="J881" s="61">
        <f t="shared" si="2"/>
        <v>19.27557656</v>
      </c>
      <c r="K881" s="58">
        <f>if(G881,_xlfn.workday.intl(int(G881),0,"1000000",Holidays!A:A)+19/24,"")</f>
        <v>46114.79167</v>
      </c>
      <c r="L881" s="59" t="str">
        <f t="shared" si="3"/>
        <v/>
      </c>
      <c r="M881" s="60"/>
      <c r="N881" s="61">
        <f t="shared" si="4"/>
        <v>19.19224323</v>
      </c>
      <c r="O881" s="63">
        <f>if(A881,_xlfn.WORKDAY.INTL(A881,O$5,"1000000",Holidays!A:A)+hour(A881)/24+MINUTE(A881)/1440,"")</f>
        <v>46114.64444</v>
      </c>
      <c r="P881" s="64" t="s">
        <v>2718</v>
      </c>
      <c r="R881" s="66">
        <f t="shared" si="5"/>
        <v>19.33946545</v>
      </c>
      <c r="S881" s="66"/>
      <c r="T881" s="66"/>
      <c r="U881" s="64">
        <f>if(O881,_xlfn.WORKDAY.INTL(O881,U$5,"1000000",Holidays!A:A)+hour(O881)/24+MINUTE(O881)/1440,"")</f>
        <v>46115.64444</v>
      </c>
      <c r="V881" s="64" t="str">
        <f t="shared" si="6"/>
        <v/>
      </c>
      <c r="W881" s="66"/>
      <c r="X881" s="66">
        <f t="shared" si="7"/>
        <v>18.33946545</v>
      </c>
      <c r="Y881" s="66"/>
      <c r="Z881" s="66"/>
      <c r="AA881" s="66"/>
      <c r="AB881" s="63"/>
      <c r="AC881" s="63"/>
      <c r="AD881" s="63"/>
      <c r="AE881" s="63"/>
      <c r="AF881" s="63"/>
      <c r="AG881" s="63"/>
      <c r="AH881" s="63" t="str">
        <f t="shared" si="14"/>
        <v/>
      </c>
      <c r="AI881" s="63" t="str">
        <f>if(AH881,_xlfn.workday.intl(int(AH881),0,"1000000",Holidays!A:A)+18/24,"")</f>
        <v/>
      </c>
      <c r="AJ881" s="64" t="str">
        <f t="shared" si="24"/>
        <v/>
      </c>
      <c r="AL881" s="66" t="str">
        <f t="shared" si="9"/>
        <v/>
      </c>
      <c r="AM881" s="66"/>
      <c r="AN881" s="63" t="str">
        <f>if(AJ881,if(and(hour(AJ881+AN$5)&gt;11,(hour(AJ881+AN$5)&lt;20)),AJ881+AN$5,_xlfn.workday.intl(int(AJ881),1,"1000000",Holidays!A:A)+hour(AJ881+AN$5-$B$1)/24+minute(AJ881)/1440),"")</f>
        <v/>
      </c>
      <c r="AO881" s="64" t="str">
        <f t="shared" si="15"/>
        <v/>
      </c>
      <c r="AQ881" s="66" t="str">
        <f t="shared" si="16"/>
        <v/>
      </c>
      <c r="AR881" s="66"/>
      <c r="AS881" s="63" t="str">
        <f>if(AJ881,if(and(hour(AJ881+AS$5)&gt;11,(hour(AJ881+AS$5)&lt;20)),AJ881+AS$5,_xlfn.workday.intl(int(AJ881),1,"1000000",Holidays!A:A)+hour(AJ881+AS$5-$B$1)/24+minute(AJ881)/1440),"")</f>
        <v/>
      </c>
      <c r="AT881" s="64" t="str">
        <f t="shared" si="21"/>
        <v/>
      </c>
      <c r="AV881" s="66" t="str">
        <f t="shared" si="25"/>
        <v/>
      </c>
      <c r="AW881" s="66"/>
      <c r="AX881" s="56"/>
    </row>
    <row r="882">
      <c r="A882" s="55">
        <v>46114.8094031713</v>
      </c>
      <c r="B882" s="56"/>
      <c r="C882" s="57"/>
      <c r="D882" s="57"/>
      <c r="E882" s="57"/>
      <c r="F882" s="57"/>
      <c r="G882" s="58">
        <f>if(A882,_xlfn.workday.intl(int(A882),1,"1000000",Holidays!A:A)+17/24,"")</f>
        <v>46115.70833</v>
      </c>
      <c r="H882" s="59" t="str">
        <f t="shared" si="23"/>
        <v/>
      </c>
      <c r="I882" s="60"/>
      <c r="J882" s="61">
        <f t="shared" si="2"/>
        <v>18.27557656</v>
      </c>
      <c r="K882" s="58">
        <f>if(G882,_xlfn.workday.intl(int(G882),0,"1000000",Holidays!A:A)+19/24,"")</f>
        <v>46115.79167</v>
      </c>
      <c r="L882" s="59" t="str">
        <f t="shared" si="3"/>
        <v/>
      </c>
      <c r="M882" s="60"/>
      <c r="N882" s="61">
        <f t="shared" si="4"/>
        <v>18.19224323</v>
      </c>
      <c r="O882" s="63">
        <f>if(A882,_xlfn.WORKDAY.INTL(A882,O$5,"1000000",Holidays!A:A)+hour(A882)/24+MINUTE(A882)/1440,"")</f>
        <v>46115.80903</v>
      </c>
      <c r="P882" s="64" t="s">
        <v>2718</v>
      </c>
      <c r="R882" s="66">
        <f t="shared" si="5"/>
        <v>18.17488212</v>
      </c>
      <c r="S882" s="66"/>
      <c r="T882" s="66"/>
      <c r="U882" s="64">
        <f>if(O882,_xlfn.WORKDAY.INTL(O882,U$5,"1000000",Holidays!A:A)+hour(O882)/24+MINUTE(O882)/1440,"")</f>
        <v>46116.80903</v>
      </c>
      <c r="V882" s="64" t="str">
        <f t="shared" si="6"/>
        <v/>
      </c>
      <c r="W882" s="66"/>
      <c r="X882" s="66">
        <f t="shared" si="7"/>
        <v>17.17488212</v>
      </c>
      <c r="Y882" s="66"/>
      <c r="Z882" s="66"/>
      <c r="AA882" s="66"/>
      <c r="AB882" s="63"/>
      <c r="AC882" s="63"/>
      <c r="AD882" s="63"/>
      <c r="AE882" s="63"/>
      <c r="AF882" s="63"/>
      <c r="AG882" s="63"/>
      <c r="AH882" s="63" t="str">
        <f t="shared" si="14"/>
        <v/>
      </c>
      <c r="AI882" s="63" t="str">
        <f>if(AH882,_xlfn.workday.intl(int(AH882),0,"1000000",Holidays!A:A)+18/24,"")</f>
        <v/>
      </c>
      <c r="AJ882" s="64" t="str">
        <f t="shared" si="24"/>
        <v/>
      </c>
      <c r="AL882" s="66" t="str">
        <f t="shared" si="9"/>
        <v/>
      </c>
      <c r="AM882" s="66"/>
      <c r="AN882" s="63" t="str">
        <f>if(AJ882,if(and(hour(AJ882+AN$5)&gt;11,(hour(AJ882+AN$5)&lt;20)),AJ882+AN$5,_xlfn.workday.intl(int(AJ882),1,"1000000",Holidays!A:A)+hour(AJ882+AN$5-$B$1)/24+minute(AJ882)/1440),"")</f>
        <v/>
      </c>
      <c r="AO882" s="64" t="str">
        <f t="shared" si="15"/>
        <v/>
      </c>
      <c r="AQ882" s="66" t="str">
        <f t="shared" si="16"/>
        <v/>
      </c>
      <c r="AR882" s="66"/>
      <c r="AS882" s="63" t="str">
        <f>if(AJ882,if(and(hour(AJ882+AS$5)&gt;11,(hour(AJ882+AS$5)&lt;20)),AJ882+AS$5,_xlfn.workday.intl(int(AJ882),1,"1000000",Holidays!A:A)+hour(AJ882+AS$5-$B$1)/24+minute(AJ882)/1440),"")</f>
        <v/>
      </c>
      <c r="AT882" s="64" t="str">
        <f t="shared" si="21"/>
        <v/>
      </c>
      <c r="AV882" s="66" t="str">
        <f t="shared" si="25"/>
        <v/>
      </c>
      <c r="AW882" s="66"/>
      <c r="AX882" s="56"/>
    </row>
    <row r="883">
      <c r="A883" s="55">
        <v>46115.51673164352</v>
      </c>
      <c r="B883" s="56"/>
      <c r="C883" s="57"/>
      <c r="D883" s="57"/>
      <c r="E883" s="57"/>
      <c r="F883" s="57"/>
      <c r="G883" s="58">
        <f>if(A883,_xlfn.workday.intl(int(A883),1,"1000000",Holidays!A:A)+17/24,"")</f>
        <v>46116.70833</v>
      </c>
      <c r="H883" s="59" t="str">
        <f t="shared" si="23"/>
        <v/>
      </c>
      <c r="I883" s="60"/>
      <c r="J883" s="61">
        <f t="shared" si="2"/>
        <v>17.27557656</v>
      </c>
      <c r="K883" s="58">
        <f>if(G883,_xlfn.workday.intl(int(G883),0,"1000000",Holidays!A:A)+19/24,"")</f>
        <v>46116.79167</v>
      </c>
      <c r="L883" s="59" t="str">
        <f t="shared" si="3"/>
        <v/>
      </c>
      <c r="M883" s="60"/>
      <c r="N883" s="61">
        <f t="shared" si="4"/>
        <v>17.19224323</v>
      </c>
      <c r="O883" s="63">
        <f>if(A883,_xlfn.WORKDAY.INTL(A883,O$5,"1000000",Holidays!A:A)+hour(A883)/24+MINUTE(A883)/1440,"")</f>
        <v>46116.51667</v>
      </c>
      <c r="P883" s="64" t="s">
        <v>2718</v>
      </c>
      <c r="R883" s="66">
        <f t="shared" si="5"/>
        <v>17.46724323</v>
      </c>
      <c r="S883" s="66"/>
      <c r="T883" s="66"/>
      <c r="U883" s="64">
        <f>if(O883,_xlfn.WORKDAY.INTL(O883,U$5,"1000000",Holidays!A:A)+hour(O883)/24+MINUTE(O883)/1440,"")</f>
        <v>46117.51667</v>
      </c>
      <c r="V883" s="64" t="str">
        <f t="shared" si="6"/>
        <v/>
      </c>
      <c r="W883" s="66"/>
      <c r="X883" s="66">
        <f t="shared" si="7"/>
        <v>16.46724323</v>
      </c>
      <c r="Y883" s="66"/>
      <c r="Z883" s="66"/>
      <c r="AA883" s="66"/>
      <c r="AB883" s="63"/>
      <c r="AC883" s="63"/>
      <c r="AD883" s="63"/>
      <c r="AE883" s="63"/>
      <c r="AF883" s="63"/>
      <c r="AG883" s="63"/>
      <c r="AH883" s="63" t="str">
        <f t="shared" si="14"/>
        <v/>
      </c>
      <c r="AI883" s="63" t="str">
        <f>if(AH883,_xlfn.workday.intl(int(AH883),0,"1000000",Holidays!A:A)+18/24,"")</f>
        <v/>
      </c>
      <c r="AJ883" s="64" t="str">
        <f t="shared" si="24"/>
        <v/>
      </c>
      <c r="AL883" s="66" t="str">
        <f t="shared" si="9"/>
        <v/>
      </c>
      <c r="AM883" s="66"/>
      <c r="AN883" s="63" t="str">
        <f>if(AJ883,if(and(hour(AJ883+AN$5)&gt;11,(hour(AJ883+AN$5)&lt;20)),AJ883+AN$5,_xlfn.workday.intl(int(AJ883),1,"1000000",Holidays!A:A)+hour(AJ883+AN$5-$B$1)/24+minute(AJ883)/1440),"")</f>
        <v/>
      </c>
      <c r="AO883" s="64" t="str">
        <f t="shared" si="15"/>
        <v/>
      </c>
      <c r="AQ883" s="66" t="str">
        <f t="shared" si="16"/>
        <v/>
      </c>
      <c r="AR883" s="66"/>
      <c r="AS883" s="63" t="str">
        <f>if(AJ883,if(and(hour(AJ883+AS$5)&gt;11,(hour(AJ883+AS$5)&lt;20)),AJ883+AS$5,_xlfn.workday.intl(int(AJ883),1,"1000000",Holidays!A:A)+hour(AJ883+AS$5-$B$1)/24+minute(AJ883)/1440),"")</f>
        <v/>
      </c>
      <c r="AT883" s="64" t="str">
        <f t="shared" si="21"/>
        <v/>
      </c>
      <c r="AV883" s="66" t="str">
        <f t="shared" si="25"/>
        <v/>
      </c>
      <c r="AW883" s="66"/>
      <c r="AX883" s="56"/>
    </row>
    <row r="884">
      <c r="A884" s="55">
        <v>46115.51740684028</v>
      </c>
      <c r="B884" s="56"/>
      <c r="C884" s="57"/>
      <c r="D884" s="57"/>
      <c r="E884" s="57"/>
      <c r="F884" s="57"/>
      <c r="G884" s="58">
        <f>if(A884,_xlfn.workday.intl(int(A884),1,"1000000",Holidays!A:A)+17/24,"")</f>
        <v>46116.70833</v>
      </c>
      <c r="H884" s="59" t="str">
        <f t="shared" si="23"/>
        <v/>
      </c>
      <c r="I884" s="60"/>
      <c r="J884" s="61">
        <f t="shared" si="2"/>
        <v>17.27557656</v>
      </c>
      <c r="K884" s="58">
        <f>if(G884,_xlfn.workday.intl(int(G884),0,"1000000",Holidays!A:A)+19/24,"")</f>
        <v>46116.79167</v>
      </c>
      <c r="L884" s="59" t="str">
        <f t="shared" si="3"/>
        <v/>
      </c>
      <c r="M884" s="60"/>
      <c r="N884" s="61">
        <f t="shared" si="4"/>
        <v>17.19224323</v>
      </c>
      <c r="O884" s="63">
        <f>if(A884,_xlfn.WORKDAY.INTL(A884,O$5,"1000000",Holidays!A:A)+hour(A884)/24+MINUTE(A884)/1440,"")</f>
        <v>46116.51736</v>
      </c>
      <c r="P884" s="64" t="s">
        <v>2718</v>
      </c>
      <c r="R884" s="66">
        <f t="shared" si="5"/>
        <v>17.46654878</v>
      </c>
      <c r="S884" s="66"/>
      <c r="T884" s="66"/>
      <c r="U884" s="64">
        <f>if(O884,_xlfn.WORKDAY.INTL(O884,U$5,"1000000",Holidays!A:A)+hour(O884)/24+MINUTE(O884)/1440,"")</f>
        <v>46117.51736</v>
      </c>
      <c r="V884" s="64" t="str">
        <f t="shared" si="6"/>
        <v/>
      </c>
      <c r="W884" s="66"/>
      <c r="X884" s="66">
        <f t="shared" si="7"/>
        <v>16.46654878</v>
      </c>
      <c r="Y884" s="66"/>
      <c r="Z884" s="66"/>
      <c r="AA884" s="66"/>
      <c r="AB884" s="63"/>
      <c r="AC884" s="63"/>
      <c r="AD884" s="63"/>
      <c r="AE884" s="63"/>
      <c r="AF884" s="63"/>
      <c r="AG884" s="63"/>
      <c r="AH884" s="63" t="str">
        <f t="shared" si="14"/>
        <v/>
      </c>
      <c r="AI884" s="63" t="str">
        <f>if(AH884,_xlfn.workday.intl(int(AH884),0,"1000000",Holidays!A:A)+18/24,"")</f>
        <v/>
      </c>
      <c r="AJ884" s="64" t="str">
        <f t="shared" si="24"/>
        <v/>
      </c>
      <c r="AL884" s="66" t="str">
        <f t="shared" si="9"/>
        <v/>
      </c>
      <c r="AM884" s="66"/>
      <c r="AN884" s="63" t="str">
        <f>if(AJ884,if(and(hour(AJ884+AN$5)&gt;11,(hour(AJ884+AN$5)&lt;20)),AJ884+AN$5,_xlfn.workday.intl(int(AJ884),1,"1000000",Holidays!A:A)+hour(AJ884+AN$5-$B$1)/24+minute(AJ884)/1440),"")</f>
        <v/>
      </c>
      <c r="AO884" s="64" t="str">
        <f t="shared" si="15"/>
        <v/>
      </c>
      <c r="AQ884" s="66" t="str">
        <f t="shared" si="16"/>
        <v/>
      </c>
      <c r="AR884" s="66"/>
      <c r="AS884" s="63" t="str">
        <f>if(AJ884,if(and(hour(AJ884+AS$5)&gt;11,(hour(AJ884+AS$5)&lt;20)),AJ884+AS$5,_xlfn.workday.intl(int(AJ884),1,"1000000",Holidays!A:A)+hour(AJ884+AS$5-$B$1)/24+minute(AJ884)/1440),"")</f>
        <v/>
      </c>
      <c r="AT884" s="64" t="str">
        <f t="shared" si="21"/>
        <v/>
      </c>
      <c r="AV884" s="66" t="str">
        <f t="shared" si="25"/>
        <v/>
      </c>
      <c r="AW884" s="66"/>
      <c r="AX884" s="56"/>
    </row>
    <row r="885">
      <c r="A885" s="55">
        <v>46115.519392581016</v>
      </c>
      <c r="B885" s="56"/>
      <c r="C885" s="57"/>
      <c r="D885" s="57"/>
      <c r="E885" s="57"/>
      <c r="F885" s="57"/>
      <c r="G885" s="58">
        <f>if(A885,_xlfn.workday.intl(int(A885),1,"1000000",Holidays!A:A)+17/24,"")</f>
        <v>46116.70833</v>
      </c>
      <c r="H885" s="59" t="str">
        <f t="shared" si="23"/>
        <v/>
      </c>
      <c r="I885" s="60"/>
      <c r="J885" s="61">
        <f t="shared" si="2"/>
        <v>17.27557656</v>
      </c>
      <c r="K885" s="58">
        <f>if(G885,_xlfn.workday.intl(int(G885),0,"1000000",Holidays!A:A)+19/24,"")</f>
        <v>46116.79167</v>
      </c>
      <c r="L885" s="59" t="str">
        <f t="shared" si="3"/>
        <v/>
      </c>
      <c r="M885" s="60"/>
      <c r="N885" s="61">
        <f t="shared" si="4"/>
        <v>17.19224323</v>
      </c>
      <c r="O885" s="63">
        <f>if(A885,_xlfn.WORKDAY.INTL(A885,O$5,"1000000",Holidays!A:A)+hour(A885)/24+MINUTE(A885)/1440,"")</f>
        <v>46116.51875</v>
      </c>
      <c r="P885" s="64" t="s">
        <v>2718</v>
      </c>
      <c r="R885" s="66">
        <f t="shared" si="5"/>
        <v>17.4651599</v>
      </c>
      <c r="S885" s="66"/>
      <c r="T885" s="66"/>
      <c r="U885" s="64">
        <f>if(O885,_xlfn.WORKDAY.INTL(O885,U$5,"1000000",Holidays!A:A)+hour(O885)/24+MINUTE(O885)/1440,"")</f>
        <v>46117.51875</v>
      </c>
      <c r="V885" s="64" t="str">
        <f t="shared" si="6"/>
        <v/>
      </c>
      <c r="W885" s="66"/>
      <c r="X885" s="66">
        <f t="shared" si="7"/>
        <v>16.4651599</v>
      </c>
      <c r="Y885" s="66"/>
      <c r="Z885" s="66"/>
      <c r="AA885" s="66"/>
      <c r="AB885" s="63"/>
      <c r="AC885" s="63"/>
      <c r="AD885" s="63"/>
      <c r="AE885" s="63"/>
      <c r="AF885" s="63"/>
      <c r="AG885" s="63"/>
      <c r="AH885" s="63" t="str">
        <f t="shared" si="14"/>
        <v/>
      </c>
      <c r="AI885" s="63" t="str">
        <f>if(AH885,_xlfn.workday.intl(int(AH885),0,"1000000",Holidays!A:A)+18/24,"")</f>
        <v/>
      </c>
      <c r="AJ885" s="64" t="str">
        <f t="shared" si="24"/>
        <v/>
      </c>
      <c r="AL885" s="66" t="str">
        <f t="shared" si="9"/>
        <v/>
      </c>
      <c r="AM885" s="66"/>
      <c r="AN885" s="63" t="str">
        <f>if(AJ885,if(and(hour(AJ885+AN$5)&gt;11,(hour(AJ885+AN$5)&lt;20)),AJ885+AN$5,_xlfn.workday.intl(int(AJ885),1,"1000000",Holidays!A:A)+hour(AJ885+AN$5-$B$1)/24+minute(AJ885)/1440),"")</f>
        <v/>
      </c>
      <c r="AO885" s="64" t="str">
        <f t="shared" si="15"/>
        <v/>
      </c>
      <c r="AQ885" s="66" t="str">
        <f t="shared" si="16"/>
        <v/>
      </c>
      <c r="AR885" s="66"/>
      <c r="AS885" s="63" t="str">
        <f>if(AJ885,if(and(hour(AJ885+AS$5)&gt;11,(hour(AJ885+AS$5)&lt;20)),AJ885+AS$5,_xlfn.workday.intl(int(AJ885),1,"1000000",Holidays!A:A)+hour(AJ885+AS$5-$B$1)/24+minute(AJ885)/1440),"")</f>
        <v/>
      </c>
      <c r="AT885" s="64" t="str">
        <f t="shared" si="21"/>
        <v/>
      </c>
      <c r="AV885" s="66" t="str">
        <f t="shared" si="25"/>
        <v/>
      </c>
      <c r="AW885" s="66"/>
      <c r="AX885" s="56"/>
    </row>
    <row r="886">
      <c r="A886" s="55">
        <v>46115.51986914352</v>
      </c>
      <c r="B886" s="56"/>
      <c r="C886" s="57"/>
      <c r="D886" s="57"/>
      <c r="E886" s="57"/>
      <c r="F886" s="57"/>
      <c r="G886" s="58">
        <f>if(A886,_xlfn.workday.intl(int(A886),1,"1000000",Holidays!A:A)+17/24,"")</f>
        <v>46116.70833</v>
      </c>
      <c r="H886" s="59" t="str">
        <f t="shared" si="23"/>
        <v/>
      </c>
      <c r="I886" s="60"/>
      <c r="J886" s="61">
        <f t="shared" si="2"/>
        <v>17.27557656</v>
      </c>
      <c r="K886" s="58">
        <f>if(G886,_xlfn.workday.intl(int(G886),0,"1000000",Holidays!A:A)+19/24,"")</f>
        <v>46116.79167</v>
      </c>
      <c r="L886" s="59" t="str">
        <f t="shared" si="3"/>
        <v/>
      </c>
      <c r="M886" s="60"/>
      <c r="N886" s="61">
        <f t="shared" si="4"/>
        <v>17.19224323</v>
      </c>
      <c r="O886" s="63">
        <f>if(A886,_xlfn.WORKDAY.INTL(A886,O$5,"1000000",Holidays!A:A)+hour(A886)/24+MINUTE(A886)/1440,"")</f>
        <v>46116.51944</v>
      </c>
      <c r="P886" s="64" t="s">
        <v>2718</v>
      </c>
      <c r="R886" s="66">
        <f t="shared" si="5"/>
        <v>17.46446545</v>
      </c>
      <c r="S886" s="66"/>
      <c r="T886" s="66"/>
      <c r="U886" s="64">
        <f>if(O886,_xlfn.WORKDAY.INTL(O886,U$5,"1000000",Holidays!A:A)+hour(O886)/24+MINUTE(O886)/1440,"")</f>
        <v>46117.51944</v>
      </c>
      <c r="V886" s="64" t="str">
        <f t="shared" si="6"/>
        <v/>
      </c>
      <c r="W886" s="66"/>
      <c r="X886" s="66">
        <f t="shared" si="7"/>
        <v>16.46446545</v>
      </c>
      <c r="Y886" s="66"/>
      <c r="Z886" s="66"/>
      <c r="AA886" s="66"/>
      <c r="AB886" s="63"/>
      <c r="AC886" s="63"/>
      <c r="AD886" s="63"/>
      <c r="AE886" s="63"/>
      <c r="AF886" s="63"/>
      <c r="AG886" s="63"/>
      <c r="AH886" s="63" t="str">
        <f t="shared" si="14"/>
        <v/>
      </c>
      <c r="AI886" s="63" t="str">
        <f>if(AH886,_xlfn.workday.intl(int(AH886),0,"1000000",Holidays!A:A)+18/24,"")</f>
        <v/>
      </c>
      <c r="AJ886" s="64" t="str">
        <f t="shared" si="24"/>
        <v/>
      </c>
      <c r="AL886" s="66" t="str">
        <f t="shared" si="9"/>
        <v/>
      </c>
      <c r="AM886" s="66"/>
      <c r="AN886" s="63" t="str">
        <f>if(AJ886,if(and(hour(AJ886+AN$5)&gt;11,(hour(AJ886+AN$5)&lt;20)),AJ886+AN$5,_xlfn.workday.intl(int(AJ886),1,"1000000",Holidays!A:A)+hour(AJ886+AN$5-$B$1)/24+minute(AJ886)/1440),"")</f>
        <v/>
      </c>
      <c r="AO886" s="64" t="str">
        <f t="shared" si="15"/>
        <v/>
      </c>
      <c r="AQ886" s="66" t="str">
        <f t="shared" si="16"/>
        <v/>
      </c>
      <c r="AR886" s="66"/>
      <c r="AS886" s="63" t="str">
        <f>if(AJ886,if(and(hour(AJ886+AS$5)&gt;11,(hour(AJ886+AS$5)&lt;20)),AJ886+AS$5,_xlfn.workday.intl(int(AJ886),1,"1000000",Holidays!A:A)+hour(AJ886+AS$5-$B$1)/24+minute(AJ886)/1440),"")</f>
        <v/>
      </c>
      <c r="AT886" s="64" t="str">
        <f t="shared" si="21"/>
        <v/>
      </c>
      <c r="AV886" s="66" t="str">
        <f t="shared" si="25"/>
        <v/>
      </c>
      <c r="AW886" s="66"/>
      <c r="AX886" s="56"/>
    </row>
    <row r="887">
      <c r="A887" s="55">
        <v>46115.520818379635</v>
      </c>
      <c r="B887" s="56"/>
      <c r="C887" s="57"/>
      <c r="D887" s="57"/>
      <c r="E887" s="57"/>
      <c r="F887" s="57"/>
      <c r="G887" s="58">
        <f>if(A887,_xlfn.workday.intl(int(A887),1,"1000000",Holidays!A:A)+17/24,"")</f>
        <v>46116.70833</v>
      </c>
      <c r="H887" s="59" t="str">
        <f t="shared" si="23"/>
        <v/>
      </c>
      <c r="I887" s="60"/>
      <c r="J887" s="61">
        <f t="shared" si="2"/>
        <v>17.27557656</v>
      </c>
      <c r="K887" s="58">
        <f>if(G887,_xlfn.workday.intl(int(G887),0,"1000000",Holidays!A:A)+19/24,"")</f>
        <v>46116.79167</v>
      </c>
      <c r="L887" s="59" t="str">
        <f t="shared" si="3"/>
        <v/>
      </c>
      <c r="M887" s="60"/>
      <c r="N887" s="61">
        <f t="shared" si="4"/>
        <v>17.19224323</v>
      </c>
      <c r="O887" s="63">
        <f>if(A887,_xlfn.WORKDAY.INTL(A887,O$5,"1000000",Holidays!A:A)+hour(A887)/24+MINUTE(A887)/1440,"")</f>
        <v>46116.52014</v>
      </c>
      <c r="P887" s="64" t="s">
        <v>2718</v>
      </c>
      <c r="R887" s="66">
        <f t="shared" si="5"/>
        <v>17.46377101</v>
      </c>
      <c r="S887" s="66"/>
      <c r="T887" s="66"/>
      <c r="U887" s="64">
        <f>if(O887,_xlfn.WORKDAY.INTL(O887,U$5,"1000000",Holidays!A:A)+hour(O887)/24+MINUTE(O887)/1440,"")</f>
        <v>46117.52014</v>
      </c>
      <c r="V887" s="64" t="str">
        <f t="shared" si="6"/>
        <v/>
      </c>
      <c r="W887" s="66"/>
      <c r="X887" s="66">
        <f t="shared" si="7"/>
        <v>16.46377101</v>
      </c>
      <c r="Y887" s="66"/>
      <c r="Z887" s="66"/>
      <c r="AA887" s="66"/>
      <c r="AB887" s="63"/>
      <c r="AC887" s="63"/>
      <c r="AD887" s="63"/>
      <c r="AE887" s="63"/>
      <c r="AF887" s="63"/>
      <c r="AG887" s="63"/>
      <c r="AH887" s="63" t="str">
        <f t="shared" si="14"/>
        <v/>
      </c>
      <c r="AI887" s="63" t="str">
        <f>if(AH887,_xlfn.workday.intl(int(AH887),0,"1000000",Holidays!A:A)+18/24,"")</f>
        <v/>
      </c>
      <c r="AJ887" s="64" t="str">
        <f t="shared" si="24"/>
        <v/>
      </c>
      <c r="AL887" s="66" t="str">
        <f t="shared" si="9"/>
        <v/>
      </c>
      <c r="AM887" s="66"/>
      <c r="AN887" s="63" t="str">
        <f>if(AJ887,if(and(hour(AJ887+AN$5)&gt;11,(hour(AJ887+AN$5)&lt;20)),AJ887+AN$5,_xlfn.workday.intl(int(AJ887),1,"1000000",Holidays!A:A)+hour(AJ887+AN$5-$B$1)/24+minute(AJ887)/1440),"")</f>
        <v/>
      </c>
      <c r="AO887" s="64" t="str">
        <f t="shared" si="15"/>
        <v/>
      </c>
      <c r="AQ887" s="66" t="str">
        <f t="shared" si="16"/>
        <v/>
      </c>
      <c r="AR887" s="66"/>
      <c r="AS887" s="63" t="str">
        <f>if(AJ887,if(and(hour(AJ887+AS$5)&gt;11,(hour(AJ887+AS$5)&lt;20)),AJ887+AS$5,_xlfn.workday.intl(int(AJ887),1,"1000000",Holidays!A:A)+hour(AJ887+AS$5-$B$1)/24+minute(AJ887)/1440),"")</f>
        <v/>
      </c>
      <c r="AT887" s="64" t="str">
        <f t="shared" si="21"/>
        <v/>
      </c>
      <c r="AV887" s="66" t="str">
        <f t="shared" si="25"/>
        <v/>
      </c>
      <c r="AW887" s="66"/>
      <c r="AX887" s="56"/>
    </row>
    <row r="888">
      <c r="A888" s="55">
        <v>46115.52198366898</v>
      </c>
      <c r="B888" s="56"/>
      <c r="C888" s="57"/>
      <c r="D888" s="57"/>
      <c r="E888" s="57"/>
      <c r="F888" s="57"/>
      <c r="G888" s="58">
        <f>if(A888,_xlfn.workday.intl(int(A888),1,"1000000",Holidays!A:A)+17/24,"")</f>
        <v>46116.70833</v>
      </c>
      <c r="H888" s="59" t="str">
        <f t="shared" si="23"/>
        <v/>
      </c>
      <c r="I888" s="60"/>
      <c r="J888" s="61">
        <f t="shared" si="2"/>
        <v>17.27557656</v>
      </c>
      <c r="K888" s="58">
        <f>if(G888,_xlfn.workday.intl(int(G888),0,"1000000",Holidays!A:A)+19/24,"")</f>
        <v>46116.79167</v>
      </c>
      <c r="L888" s="59" t="str">
        <f t="shared" si="3"/>
        <v/>
      </c>
      <c r="M888" s="60"/>
      <c r="N888" s="61">
        <f t="shared" si="4"/>
        <v>17.19224323</v>
      </c>
      <c r="O888" s="63">
        <f>if(A888,_xlfn.WORKDAY.INTL(A888,O$5,"1000000",Holidays!A:A)+hour(A888)/24+MINUTE(A888)/1440,"")</f>
        <v>46116.52153</v>
      </c>
      <c r="P888" s="64" t="s">
        <v>2718</v>
      </c>
      <c r="R888" s="66">
        <f t="shared" si="5"/>
        <v>17.46238212</v>
      </c>
      <c r="S888" s="66"/>
      <c r="T888" s="66"/>
      <c r="U888" s="64">
        <f>if(O888,_xlfn.WORKDAY.INTL(O888,U$5,"1000000",Holidays!A:A)+hour(O888)/24+MINUTE(O888)/1440,"")</f>
        <v>46117.52153</v>
      </c>
      <c r="V888" s="64" t="str">
        <f t="shared" si="6"/>
        <v/>
      </c>
      <c r="W888" s="66"/>
      <c r="X888" s="66">
        <f t="shared" si="7"/>
        <v>16.46238212</v>
      </c>
      <c r="Y888" s="66"/>
      <c r="Z888" s="66"/>
      <c r="AA888" s="66"/>
      <c r="AB888" s="63"/>
      <c r="AC888" s="63"/>
      <c r="AD888" s="63"/>
      <c r="AE888" s="63"/>
      <c r="AF888" s="63"/>
      <c r="AG888" s="63"/>
      <c r="AH888" s="63" t="str">
        <f t="shared" si="14"/>
        <v/>
      </c>
      <c r="AI888" s="63" t="str">
        <f>if(AH888,_xlfn.workday.intl(int(AH888),0,"1000000",Holidays!A:A)+18/24,"")</f>
        <v/>
      </c>
      <c r="AJ888" s="64" t="str">
        <f t="shared" si="24"/>
        <v/>
      </c>
      <c r="AL888" s="66" t="str">
        <f t="shared" si="9"/>
        <v/>
      </c>
      <c r="AM888" s="66"/>
      <c r="AN888" s="63" t="str">
        <f>if(AJ888,if(and(hour(AJ888+AN$5)&gt;11,(hour(AJ888+AN$5)&lt;20)),AJ888+AN$5,_xlfn.workday.intl(int(AJ888),1,"1000000",Holidays!A:A)+hour(AJ888+AN$5-$B$1)/24+minute(AJ888)/1440),"")</f>
        <v/>
      </c>
      <c r="AO888" s="64" t="str">
        <f t="shared" si="15"/>
        <v/>
      </c>
      <c r="AQ888" s="66" t="str">
        <f t="shared" si="16"/>
        <v/>
      </c>
      <c r="AR888" s="66"/>
      <c r="AS888" s="63" t="str">
        <f>if(AJ888,if(and(hour(AJ888+AS$5)&gt;11,(hour(AJ888+AS$5)&lt;20)),AJ888+AS$5,_xlfn.workday.intl(int(AJ888),1,"1000000",Holidays!A:A)+hour(AJ888+AS$5-$B$1)/24+minute(AJ888)/1440),"")</f>
        <v/>
      </c>
      <c r="AT888" s="64" t="str">
        <f t="shared" si="21"/>
        <v/>
      </c>
      <c r="AV888" s="66" t="str">
        <f t="shared" si="25"/>
        <v/>
      </c>
      <c r="AW888" s="66"/>
      <c r="AX888" s="56"/>
    </row>
    <row r="889">
      <c r="A889" s="55">
        <v>46115.52309693287</v>
      </c>
      <c r="B889" s="56"/>
      <c r="C889" s="57"/>
      <c r="D889" s="57"/>
      <c r="E889" s="57"/>
      <c r="F889" s="57"/>
      <c r="G889" s="58">
        <f>if(A889,_xlfn.workday.intl(int(A889),1,"1000000",Holidays!A:A)+17/24,"")</f>
        <v>46116.70833</v>
      </c>
      <c r="H889" s="59" t="str">
        <f t="shared" si="23"/>
        <v/>
      </c>
      <c r="I889" s="60"/>
      <c r="J889" s="61">
        <f t="shared" si="2"/>
        <v>17.27557656</v>
      </c>
      <c r="K889" s="58">
        <f>if(G889,_xlfn.workday.intl(int(G889),0,"1000000",Holidays!A:A)+19/24,"")</f>
        <v>46116.79167</v>
      </c>
      <c r="L889" s="59" t="str">
        <f t="shared" si="3"/>
        <v/>
      </c>
      <c r="M889" s="60"/>
      <c r="N889" s="61">
        <f t="shared" si="4"/>
        <v>17.19224323</v>
      </c>
      <c r="O889" s="63">
        <f>if(A889,_xlfn.WORKDAY.INTL(A889,O$5,"1000000",Holidays!A:A)+hour(A889)/24+MINUTE(A889)/1440,"")</f>
        <v>46116.52292</v>
      </c>
      <c r="P889" s="64" t="s">
        <v>2718</v>
      </c>
      <c r="R889" s="66">
        <f t="shared" si="5"/>
        <v>17.46099323</v>
      </c>
      <c r="S889" s="66"/>
      <c r="T889" s="66"/>
      <c r="U889" s="64">
        <f>if(O889,_xlfn.WORKDAY.INTL(O889,U$5,"1000000",Holidays!A:A)+hour(O889)/24+MINUTE(O889)/1440,"")</f>
        <v>46117.52292</v>
      </c>
      <c r="V889" s="64" t="str">
        <f t="shared" si="6"/>
        <v/>
      </c>
      <c r="W889" s="66"/>
      <c r="X889" s="66">
        <f t="shared" si="7"/>
        <v>16.46099323</v>
      </c>
      <c r="Y889" s="66"/>
      <c r="Z889" s="66"/>
      <c r="AA889" s="66"/>
      <c r="AB889" s="63"/>
      <c r="AC889" s="63"/>
      <c r="AD889" s="63"/>
      <c r="AE889" s="63"/>
      <c r="AF889" s="63"/>
      <c r="AG889" s="63"/>
      <c r="AH889" s="63" t="str">
        <f t="shared" si="14"/>
        <v/>
      </c>
      <c r="AI889" s="63" t="str">
        <f>if(AH889,_xlfn.workday.intl(int(AH889),0,"1000000",Holidays!A:A)+18/24,"")</f>
        <v/>
      </c>
      <c r="AJ889" s="64" t="str">
        <f t="shared" si="24"/>
        <v/>
      </c>
      <c r="AL889" s="66" t="str">
        <f t="shared" si="9"/>
        <v/>
      </c>
      <c r="AM889" s="66"/>
      <c r="AN889" s="63" t="str">
        <f>if(AJ889,if(and(hour(AJ889+AN$5)&gt;11,(hour(AJ889+AN$5)&lt;20)),AJ889+AN$5,_xlfn.workday.intl(int(AJ889),1,"1000000",Holidays!A:A)+hour(AJ889+AN$5-$B$1)/24+minute(AJ889)/1440),"")</f>
        <v/>
      </c>
      <c r="AO889" s="64" t="str">
        <f t="shared" si="15"/>
        <v/>
      </c>
      <c r="AQ889" s="66" t="str">
        <f t="shared" si="16"/>
        <v/>
      </c>
      <c r="AR889" s="66"/>
      <c r="AS889" s="63" t="str">
        <f>if(AJ889,if(and(hour(AJ889+AS$5)&gt;11,(hour(AJ889+AS$5)&lt;20)),AJ889+AS$5,_xlfn.workday.intl(int(AJ889),1,"1000000",Holidays!A:A)+hour(AJ889+AS$5-$B$1)/24+minute(AJ889)/1440),"")</f>
        <v/>
      </c>
      <c r="AT889" s="64" t="str">
        <f t="shared" si="21"/>
        <v/>
      </c>
      <c r="AV889" s="66" t="str">
        <f t="shared" si="25"/>
        <v/>
      </c>
      <c r="AW889" s="66"/>
      <c r="AX889" s="56"/>
    </row>
    <row r="890">
      <c r="A890" s="55">
        <v>46115.526960717594</v>
      </c>
      <c r="B890" s="56"/>
      <c r="C890" s="57"/>
      <c r="D890" s="57"/>
      <c r="E890" s="57"/>
      <c r="F890" s="57"/>
      <c r="G890" s="58">
        <f>if(A890,_xlfn.workday.intl(int(A890),1,"1000000",Holidays!A:A)+17/24,"")</f>
        <v>46116.70833</v>
      </c>
      <c r="H890" s="59" t="str">
        <f t="shared" si="23"/>
        <v/>
      </c>
      <c r="I890" s="60"/>
      <c r="J890" s="61">
        <f t="shared" si="2"/>
        <v>17.27557656</v>
      </c>
      <c r="K890" s="58">
        <f>if(G890,_xlfn.workday.intl(int(G890),0,"1000000",Holidays!A:A)+19/24,"")</f>
        <v>46116.79167</v>
      </c>
      <c r="L890" s="59" t="str">
        <f t="shared" si="3"/>
        <v/>
      </c>
      <c r="M890" s="60"/>
      <c r="N890" s="61">
        <f t="shared" si="4"/>
        <v>17.19224323</v>
      </c>
      <c r="O890" s="63">
        <f>if(A890,_xlfn.WORKDAY.INTL(A890,O$5,"1000000",Holidays!A:A)+hour(A890)/24+MINUTE(A890)/1440,"")</f>
        <v>46116.52639</v>
      </c>
      <c r="P890" s="64" t="s">
        <v>2718</v>
      </c>
      <c r="R890" s="66">
        <f t="shared" si="5"/>
        <v>17.45752101</v>
      </c>
      <c r="S890" s="66"/>
      <c r="T890" s="66"/>
      <c r="U890" s="64">
        <f>if(O890,_xlfn.WORKDAY.INTL(O890,U$5,"1000000",Holidays!A:A)+hour(O890)/24+MINUTE(O890)/1440,"")</f>
        <v>46117.52639</v>
      </c>
      <c r="V890" s="64" t="str">
        <f t="shared" si="6"/>
        <v/>
      </c>
      <c r="W890" s="66"/>
      <c r="X890" s="66">
        <f t="shared" si="7"/>
        <v>16.45752101</v>
      </c>
      <c r="Y890" s="66"/>
      <c r="Z890" s="66"/>
      <c r="AA890" s="66"/>
      <c r="AB890" s="63"/>
      <c r="AC890" s="63"/>
      <c r="AD890" s="63"/>
      <c r="AE890" s="63"/>
      <c r="AF890" s="63"/>
      <c r="AG890" s="63"/>
      <c r="AH890" s="63" t="str">
        <f t="shared" si="14"/>
        <v/>
      </c>
      <c r="AI890" s="63" t="str">
        <f>if(AH890,_xlfn.workday.intl(int(AH890),0,"1000000",Holidays!A:A)+18/24,"")</f>
        <v/>
      </c>
      <c r="AJ890" s="64" t="str">
        <f t="shared" si="24"/>
        <v/>
      </c>
      <c r="AL890" s="66" t="str">
        <f t="shared" si="9"/>
        <v/>
      </c>
      <c r="AM890" s="66"/>
      <c r="AN890" s="63" t="str">
        <f>if(AJ890,if(and(hour(AJ890+AN$5)&gt;11,(hour(AJ890+AN$5)&lt;20)),AJ890+AN$5,_xlfn.workday.intl(int(AJ890),1,"1000000",Holidays!A:A)+hour(AJ890+AN$5-$B$1)/24+minute(AJ890)/1440),"")</f>
        <v/>
      </c>
      <c r="AO890" s="64" t="str">
        <f t="shared" si="15"/>
        <v/>
      </c>
      <c r="AQ890" s="66" t="str">
        <f t="shared" si="16"/>
        <v/>
      </c>
      <c r="AR890" s="66"/>
      <c r="AS890" s="63" t="str">
        <f>if(AJ890,if(and(hour(AJ890+AS$5)&gt;11,(hour(AJ890+AS$5)&lt;20)),AJ890+AS$5,_xlfn.workday.intl(int(AJ890),1,"1000000",Holidays!A:A)+hour(AJ890+AS$5-$B$1)/24+minute(AJ890)/1440),"")</f>
        <v/>
      </c>
      <c r="AT890" s="64" t="str">
        <f t="shared" si="21"/>
        <v/>
      </c>
      <c r="AV890" s="66" t="str">
        <f t="shared" si="25"/>
        <v/>
      </c>
      <c r="AW890" s="66"/>
      <c r="AX890" s="56"/>
    </row>
    <row r="891">
      <c r="A891" s="55">
        <v>46115.52780506945</v>
      </c>
      <c r="B891" s="56"/>
      <c r="C891" s="57"/>
      <c r="D891" s="57"/>
      <c r="E891" s="57"/>
      <c r="F891" s="57"/>
      <c r="G891" s="58">
        <f>if(A891,_xlfn.workday.intl(int(A891),1,"1000000",Holidays!A:A)+17/24,"")</f>
        <v>46116.70833</v>
      </c>
      <c r="H891" s="59" t="str">
        <f t="shared" si="23"/>
        <v/>
      </c>
      <c r="I891" s="60"/>
      <c r="J891" s="61">
        <f t="shared" si="2"/>
        <v>17.27557656</v>
      </c>
      <c r="K891" s="58">
        <f>if(G891,_xlfn.workday.intl(int(G891),0,"1000000",Holidays!A:A)+19/24,"")</f>
        <v>46116.79167</v>
      </c>
      <c r="L891" s="59" t="str">
        <f t="shared" si="3"/>
        <v/>
      </c>
      <c r="M891" s="60"/>
      <c r="N891" s="61">
        <f t="shared" si="4"/>
        <v>17.19224323</v>
      </c>
      <c r="O891" s="63">
        <f>if(A891,_xlfn.WORKDAY.INTL(A891,O$5,"1000000",Holidays!A:A)+hour(A891)/24+MINUTE(A891)/1440,"")</f>
        <v>46116.52778</v>
      </c>
      <c r="P891" s="64" t="s">
        <v>2718</v>
      </c>
      <c r="R891" s="66">
        <f t="shared" si="5"/>
        <v>17.45613212</v>
      </c>
      <c r="S891" s="66"/>
      <c r="T891" s="66"/>
      <c r="U891" s="64">
        <f>if(O891,_xlfn.WORKDAY.INTL(O891,U$5,"1000000",Holidays!A:A)+hour(O891)/24+MINUTE(O891)/1440,"")</f>
        <v>46117.52778</v>
      </c>
      <c r="V891" s="64" t="str">
        <f t="shared" si="6"/>
        <v/>
      </c>
      <c r="W891" s="66"/>
      <c r="X891" s="66">
        <f t="shared" si="7"/>
        <v>16.45613212</v>
      </c>
      <c r="Y891" s="66"/>
      <c r="Z891" s="66"/>
      <c r="AA891" s="66"/>
      <c r="AB891" s="63"/>
      <c r="AC891" s="63"/>
      <c r="AD891" s="63"/>
      <c r="AE891" s="63"/>
      <c r="AF891" s="63"/>
      <c r="AG891" s="63"/>
      <c r="AH891" s="63" t="str">
        <f t="shared" si="14"/>
        <v/>
      </c>
      <c r="AI891" s="63" t="str">
        <f>if(AH891,_xlfn.workday.intl(int(AH891),0,"1000000",Holidays!A:A)+18/24,"")</f>
        <v/>
      </c>
      <c r="AJ891" s="64" t="str">
        <f t="shared" si="24"/>
        <v/>
      </c>
      <c r="AL891" s="66" t="str">
        <f t="shared" si="9"/>
        <v/>
      </c>
      <c r="AM891" s="66"/>
      <c r="AN891" s="63" t="str">
        <f>if(AJ891,if(and(hour(AJ891+AN$5)&gt;11,(hour(AJ891+AN$5)&lt;20)),AJ891+AN$5,_xlfn.workday.intl(int(AJ891),1,"1000000",Holidays!A:A)+hour(AJ891+AN$5-$B$1)/24+minute(AJ891)/1440),"")</f>
        <v/>
      </c>
      <c r="AO891" s="64" t="str">
        <f t="shared" si="15"/>
        <v/>
      </c>
      <c r="AQ891" s="66" t="str">
        <f t="shared" si="16"/>
        <v/>
      </c>
      <c r="AR891" s="66"/>
      <c r="AS891" s="63" t="str">
        <f>if(AJ891,if(and(hour(AJ891+AS$5)&gt;11,(hour(AJ891+AS$5)&lt;20)),AJ891+AS$5,_xlfn.workday.intl(int(AJ891),1,"1000000",Holidays!A:A)+hour(AJ891+AS$5-$B$1)/24+minute(AJ891)/1440),"")</f>
        <v/>
      </c>
      <c r="AT891" s="64" t="str">
        <f t="shared" si="21"/>
        <v/>
      </c>
      <c r="AV891" s="66" t="str">
        <f t="shared" si="25"/>
        <v/>
      </c>
      <c r="AW891" s="66"/>
      <c r="AX891" s="56"/>
    </row>
    <row r="892">
      <c r="A892" s="55">
        <v>46115.52897767361</v>
      </c>
      <c r="B892" s="56"/>
      <c r="C892" s="57"/>
      <c r="D892" s="57"/>
      <c r="E892" s="57"/>
      <c r="F892" s="57"/>
      <c r="G892" s="58">
        <f>if(A892,_xlfn.workday.intl(int(A892),1,"1000000",Holidays!A:A)+17/24,"")</f>
        <v>46116.70833</v>
      </c>
      <c r="H892" s="59" t="str">
        <f t="shared" si="23"/>
        <v/>
      </c>
      <c r="I892" s="60"/>
      <c r="J892" s="61">
        <f t="shared" si="2"/>
        <v>17.27557656</v>
      </c>
      <c r="K892" s="58">
        <f>if(G892,_xlfn.workday.intl(int(G892),0,"1000000",Holidays!A:A)+19/24,"")</f>
        <v>46116.79167</v>
      </c>
      <c r="L892" s="59" t="str">
        <f t="shared" si="3"/>
        <v/>
      </c>
      <c r="M892" s="60"/>
      <c r="N892" s="61">
        <f t="shared" si="4"/>
        <v>17.19224323</v>
      </c>
      <c r="O892" s="63">
        <f>if(A892,_xlfn.WORKDAY.INTL(A892,O$5,"1000000",Holidays!A:A)+hour(A892)/24+MINUTE(A892)/1440,"")</f>
        <v>46116.52847</v>
      </c>
      <c r="P892" s="64" t="s">
        <v>2718</v>
      </c>
      <c r="R892" s="66">
        <f t="shared" si="5"/>
        <v>17.45543767</v>
      </c>
      <c r="S892" s="66"/>
      <c r="T892" s="66"/>
      <c r="U892" s="64">
        <f>if(O892,_xlfn.WORKDAY.INTL(O892,U$5,"1000000",Holidays!A:A)+hour(O892)/24+MINUTE(O892)/1440,"")</f>
        <v>46117.52847</v>
      </c>
      <c r="V892" s="64" t="str">
        <f t="shared" si="6"/>
        <v/>
      </c>
      <c r="W892" s="66"/>
      <c r="X892" s="66">
        <f t="shared" si="7"/>
        <v>16.45543767</v>
      </c>
      <c r="Y892" s="66"/>
      <c r="Z892" s="66"/>
      <c r="AA892" s="66"/>
      <c r="AB892" s="63"/>
      <c r="AC892" s="63"/>
      <c r="AD892" s="63"/>
      <c r="AE892" s="63"/>
      <c r="AF892" s="63"/>
      <c r="AG892" s="63"/>
      <c r="AH892" s="63" t="str">
        <f t="shared" si="14"/>
        <v/>
      </c>
      <c r="AI892" s="63" t="str">
        <f>if(AH892,_xlfn.workday.intl(int(AH892),0,"1000000",Holidays!A:A)+18/24,"")</f>
        <v/>
      </c>
      <c r="AJ892" s="64" t="str">
        <f t="shared" si="24"/>
        <v/>
      </c>
      <c r="AL892" s="66" t="str">
        <f t="shared" si="9"/>
        <v/>
      </c>
      <c r="AM892" s="66"/>
      <c r="AN892" s="63" t="str">
        <f>if(AJ892,if(and(hour(AJ892+AN$5)&gt;11,(hour(AJ892+AN$5)&lt;20)),AJ892+AN$5,_xlfn.workday.intl(int(AJ892),1,"1000000",Holidays!A:A)+hour(AJ892+AN$5-$B$1)/24+minute(AJ892)/1440),"")</f>
        <v/>
      </c>
      <c r="AO892" s="64" t="str">
        <f t="shared" si="15"/>
        <v/>
      </c>
      <c r="AQ892" s="66" t="str">
        <f t="shared" si="16"/>
        <v/>
      </c>
      <c r="AR892" s="66"/>
      <c r="AS892" s="63" t="str">
        <f>if(AJ892,if(and(hour(AJ892+AS$5)&gt;11,(hour(AJ892+AS$5)&lt;20)),AJ892+AS$5,_xlfn.workday.intl(int(AJ892),1,"1000000",Holidays!A:A)+hour(AJ892+AS$5-$B$1)/24+minute(AJ892)/1440),"")</f>
        <v/>
      </c>
      <c r="AT892" s="64" t="str">
        <f t="shared" si="21"/>
        <v/>
      </c>
      <c r="AV892" s="66" t="str">
        <f t="shared" si="25"/>
        <v/>
      </c>
      <c r="AW892" s="66"/>
      <c r="AX892" s="56"/>
    </row>
    <row r="893">
      <c r="A893" s="55">
        <v>46115.52959851852</v>
      </c>
      <c r="B893" s="56"/>
      <c r="C893" s="57"/>
      <c r="D893" s="57"/>
      <c r="E893" s="57"/>
      <c r="F893" s="57"/>
      <c r="G893" s="58">
        <f>if(A893,_xlfn.workday.intl(int(A893),1,"1000000",Holidays!A:A)+17/24,"")</f>
        <v>46116.70833</v>
      </c>
      <c r="H893" s="59" t="str">
        <f t="shared" si="23"/>
        <v/>
      </c>
      <c r="I893" s="60"/>
      <c r="J893" s="61">
        <f t="shared" si="2"/>
        <v>17.27557656</v>
      </c>
      <c r="K893" s="58">
        <f>if(G893,_xlfn.workday.intl(int(G893),0,"1000000",Holidays!A:A)+19/24,"")</f>
        <v>46116.79167</v>
      </c>
      <c r="L893" s="59" t="str">
        <f t="shared" si="3"/>
        <v/>
      </c>
      <c r="M893" s="60"/>
      <c r="N893" s="61">
        <f t="shared" si="4"/>
        <v>17.19224323</v>
      </c>
      <c r="O893" s="63">
        <f>if(A893,_xlfn.WORKDAY.INTL(A893,O$5,"1000000",Holidays!A:A)+hour(A893)/24+MINUTE(A893)/1440,"")</f>
        <v>46116.52917</v>
      </c>
      <c r="P893" s="64" t="s">
        <v>2718</v>
      </c>
      <c r="R893" s="66">
        <f t="shared" si="5"/>
        <v>17.45474323</v>
      </c>
      <c r="S893" s="66"/>
      <c r="T893" s="66"/>
      <c r="U893" s="64">
        <f>if(O893,_xlfn.WORKDAY.INTL(O893,U$5,"1000000",Holidays!A:A)+hour(O893)/24+MINUTE(O893)/1440,"")</f>
        <v>46117.52917</v>
      </c>
      <c r="V893" s="64" t="str">
        <f t="shared" si="6"/>
        <v/>
      </c>
      <c r="W893" s="66"/>
      <c r="X893" s="66">
        <f t="shared" si="7"/>
        <v>16.45474323</v>
      </c>
      <c r="Y893" s="66"/>
      <c r="Z893" s="66"/>
      <c r="AA893" s="66"/>
      <c r="AB893" s="63"/>
      <c r="AC893" s="63"/>
      <c r="AD893" s="63"/>
      <c r="AE893" s="63"/>
      <c r="AF893" s="63"/>
      <c r="AG893" s="63"/>
      <c r="AH893" s="63" t="str">
        <f t="shared" si="14"/>
        <v/>
      </c>
      <c r="AI893" s="63" t="str">
        <f>if(AH893,_xlfn.workday.intl(int(AH893),0,"1000000",Holidays!A:A)+18/24,"")</f>
        <v/>
      </c>
      <c r="AJ893" s="64" t="str">
        <f t="shared" si="24"/>
        <v/>
      </c>
      <c r="AL893" s="66" t="str">
        <f t="shared" si="9"/>
        <v/>
      </c>
      <c r="AM893" s="66"/>
      <c r="AN893" s="63" t="str">
        <f>if(AJ893,if(and(hour(AJ893+AN$5)&gt;11,(hour(AJ893+AN$5)&lt;20)),AJ893+AN$5,_xlfn.workday.intl(int(AJ893),1,"1000000",Holidays!A:A)+hour(AJ893+AN$5-$B$1)/24+minute(AJ893)/1440),"")</f>
        <v/>
      </c>
      <c r="AO893" s="64" t="str">
        <f t="shared" si="15"/>
        <v/>
      </c>
      <c r="AQ893" s="66" t="str">
        <f t="shared" si="16"/>
        <v/>
      </c>
      <c r="AR893" s="66"/>
      <c r="AS893" s="63" t="str">
        <f>if(AJ893,if(and(hour(AJ893+AS$5)&gt;11,(hour(AJ893+AS$5)&lt;20)),AJ893+AS$5,_xlfn.workday.intl(int(AJ893),1,"1000000",Holidays!A:A)+hour(AJ893+AS$5-$B$1)/24+minute(AJ893)/1440),"")</f>
        <v/>
      </c>
      <c r="AT893" s="64" t="str">
        <f t="shared" si="21"/>
        <v/>
      </c>
      <c r="AV893" s="66" t="str">
        <f t="shared" si="25"/>
        <v/>
      </c>
      <c r="AW893" s="66"/>
      <c r="AX893" s="56"/>
    </row>
    <row r="894">
      <c r="A894" s="55">
        <v>46115.53035108796</v>
      </c>
      <c r="B894" s="56"/>
      <c r="C894" s="57"/>
      <c r="D894" s="57"/>
      <c r="E894" s="57"/>
      <c r="F894" s="57"/>
      <c r="G894" s="58">
        <f>if(A894,_xlfn.workday.intl(int(A894),1,"1000000",Holidays!A:A)+17/24,"")</f>
        <v>46116.70833</v>
      </c>
      <c r="H894" s="59" t="str">
        <f t="shared" si="23"/>
        <v/>
      </c>
      <c r="I894" s="60"/>
      <c r="J894" s="61">
        <f t="shared" si="2"/>
        <v>17.27557656</v>
      </c>
      <c r="K894" s="58">
        <f>if(G894,_xlfn.workday.intl(int(G894),0,"1000000",Holidays!A:A)+19/24,"")</f>
        <v>46116.79167</v>
      </c>
      <c r="L894" s="59" t="str">
        <f t="shared" si="3"/>
        <v/>
      </c>
      <c r="M894" s="60"/>
      <c r="N894" s="61">
        <f t="shared" si="4"/>
        <v>17.19224323</v>
      </c>
      <c r="O894" s="63">
        <f>if(A894,_xlfn.WORKDAY.INTL(A894,O$5,"1000000",Holidays!A:A)+hour(A894)/24+MINUTE(A894)/1440,"")</f>
        <v>46116.52986</v>
      </c>
      <c r="P894" s="64" t="s">
        <v>2718</v>
      </c>
      <c r="R894" s="66">
        <f t="shared" si="5"/>
        <v>17.45404878</v>
      </c>
      <c r="S894" s="66"/>
      <c r="T894" s="66"/>
      <c r="U894" s="64">
        <f>if(O894,_xlfn.WORKDAY.INTL(O894,U$5,"1000000",Holidays!A:A)+hour(O894)/24+MINUTE(O894)/1440,"")</f>
        <v>46117.52986</v>
      </c>
      <c r="V894" s="64" t="str">
        <f t="shared" si="6"/>
        <v/>
      </c>
      <c r="W894" s="66"/>
      <c r="X894" s="66">
        <f t="shared" si="7"/>
        <v>16.45404878</v>
      </c>
      <c r="Y894" s="66"/>
      <c r="Z894" s="66"/>
      <c r="AA894" s="66"/>
      <c r="AB894" s="63"/>
      <c r="AC894" s="63"/>
      <c r="AD894" s="63"/>
      <c r="AE894" s="63"/>
      <c r="AF894" s="63"/>
      <c r="AG894" s="63"/>
      <c r="AH894" s="63" t="str">
        <f t="shared" si="14"/>
        <v/>
      </c>
      <c r="AI894" s="63" t="str">
        <f>if(AH894,_xlfn.workday.intl(int(AH894),0,"1000000",Holidays!A:A)+18/24,"")</f>
        <v/>
      </c>
      <c r="AJ894" s="64" t="str">
        <f t="shared" si="24"/>
        <v/>
      </c>
      <c r="AL894" s="66" t="str">
        <f t="shared" si="9"/>
        <v/>
      </c>
      <c r="AM894" s="66"/>
      <c r="AN894" s="63" t="str">
        <f>if(AJ894,if(and(hour(AJ894+AN$5)&gt;11,(hour(AJ894+AN$5)&lt;20)),AJ894+AN$5,_xlfn.workday.intl(int(AJ894),1,"1000000",Holidays!A:A)+hour(AJ894+AN$5-$B$1)/24+minute(AJ894)/1440),"")</f>
        <v/>
      </c>
      <c r="AO894" s="64" t="str">
        <f t="shared" si="15"/>
        <v/>
      </c>
      <c r="AQ894" s="66" t="str">
        <f t="shared" si="16"/>
        <v/>
      </c>
      <c r="AR894" s="66"/>
      <c r="AS894" s="63" t="str">
        <f>if(AJ894,if(and(hour(AJ894+AS$5)&gt;11,(hour(AJ894+AS$5)&lt;20)),AJ894+AS$5,_xlfn.workday.intl(int(AJ894),1,"1000000",Holidays!A:A)+hour(AJ894+AS$5-$B$1)/24+minute(AJ894)/1440),"")</f>
        <v/>
      </c>
      <c r="AT894" s="64" t="str">
        <f t="shared" si="21"/>
        <v/>
      </c>
      <c r="AV894" s="66" t="str">
        <f t="shared" si="25"/>
        <v/>
      </c>
      <c r="AW894" s="66"/>
      <c r="AX894" s="56"/>
    </row>
    <row r="895">
      <c r="A895" s="55">
        <v>46115.53123060185</v>
      </c>
      <c r="B895" s="56"/>
      <c r="C895" s="57"/>
      <c r="D895" s="57"/>
      <c r="E895" s="57"/>
      <c r="F895" s="57"/>
      <c r="G895" s="58">
        <f>if(A895,_xlfn.workday.intl(int(A895),1,"1000000",Holidays!A:A)+17/24,"")</f>
        <v>46116.70833</v>
      </c>
      <c r="H895" s="59" t="str">
        <f t="shared" si="23"/>
        <v/>
      </c>
      <c r="I895" s="60"/>
      <c r="J895" s="61">
        <f t="shared" si="2"/>
        <v>17.27557656</v>
      </c>
      <c r="K895" s="58">
        <f>if(G895,_xlfn.workday.intl(int(G895),0,"1000000",Holidays!A:A)+19/24,"")</f>
        <v>46116.79167</v>
      </c>
      <c r="L895" s="59" t="str">
        <f t="shared" si="3"/>
        <v/>
      </c>
      <c r="M895" s="60"/>
      <c r="N895" s="61">
        <f t="shared" si="4"/>
        <v>17.19224323</v>
      </c>
      <c r="O895" s="63">
        <f>if(A895,_xlfn.WORKDAY.INTL(A895,O$5,"1000000",Holidays!A:A)+hour(A895)/24+MINUTE(A895)/1440,"")</f>
        <v>46116.53056</v>
      </c>
      <c r="P895" s="64" t="s">
        <v>2718</v>
      </c>
      <c r="R895" s="66">
        <f t="shared" si="5"/>
        <v>17.45335434</v>
      </c>
      <c r="S895" s="66"/>
      <c r="T895" s="66"/>
      <c r="U895" s="64">
        <f>if(O895,_xlfn.WORKDAY.INTL(O895,U$5,"1000000",Holidays!A:A)+hour(O895)/24+MINUTE(O895)/1440,"")</f>
        <v>46117.53056</v>
      </c>
      <c r="V895" s="64" t="str">
        <f t="shared" si="6"/>
        <v/>
      </c>
      <c r="W895" s="66"/>
      <c r="X895" s="66">
        <f t="shared" si="7"/>
        <v>16.45335434</v>
      </c>
      <c r="Y895" s="66"/>
      <c r="Z895" s="66"/>
      <c r="AA895" s="66"/>
      <c r="AB895" s="63"/>
      <c r="AC895" s="63"/>
      <c r="AD895" s="63"/>
      <c r="AE895" s="63"/>
      <c r="AF895" s="63"/>
      <c r="AG895" s="63"/>
      <c r="AH895" s="63" t="str">
        <f t="shared" si="14"/>
        <v/>
      </c>
      <c r="AI895" s="63" t="str">
        <f>if(AH895,_xlfn.workday.intl(int(AH895),0,"1000000",Holidays!A:A)+18/24,"")</f>
        <v/>
      </c>
      <c r="AJ895" s="64" t="str">
        <f t="shared" si="24"/>
        <v/>
      </c>
      <c r="AL895" s="66" t="str">
        <f t="shared" si="9"/>
        <v/>
      </c>
      <c r="AM895" s="66"/>
      <c r="AN895" s="63" t="str">
        <f>if(AJ895,if(and(hour(AJ895+AN$5)&gt;11,(hour(AJ895+AN$5)&lt;20)),AJ895+AN$5,_xlfn.workday.intl(int(AJ895),1,"1000000",Holidays!A:A)+hour(AJ895+AN$5-$B$1)/24+minute(AJ895)/1440),"")</f>
        <v/>
      </c>
      <c r="AO895" s="64" t="str">
        <f t="shared" si="15"/>
        <v/>
      </c>
      <c r="AQ895" s="66" t="str">
        <f t="shared" si="16"/>
        <v/>
      </c>
      <c r="AR895" s="66"/>
      <c r="AS895" s="63" t="str">
        <f>if(AJ895,if(and(hour(AJ895+AS$5)&gt;11,(hour(AJ895+AS$5)&lt;20)),AJ895+AS$5,_xlfn.workday.intl(int(AJ895),1,"1000000",Holidays!A:A)+hour(AJ895+AS$5-$B$1)/24+minute(AJ895)/1440),"")</f>
        <v/>
      </c>
      <c r="AT895" s="64" t="str">
        <f t="shared" si="21"/>
        <v/>
      </c>
      <c r="AV895" s="66" t="str">
        <f t="shared" si="25"/>
        <v/>
      </c>
      <c r="AW895" s="66"/>
      <c r="AX895" s="56"/>
    </row>
    <row r="896">
      <c r="A896" s="55">
        <v>46115.531987650465</v>
      </c>
      <c r="B896" s="56"/>
      <c r="C896" s="57"/>
      <c r="D896" s="57"/>
      <c r="E896" s="57"/>
      <c r="F896" s="57"/>
      <c r="G896" s="58">
        <f>if(A896,_xlfn.workday.intl(int(A896),1,"1000000",Holidays!A:A)+17/24,"")</f>
        <v>46116.70833</v>
      </c>
      <c r="H896" s="59" t="str">
        <f t="shared" si="23"/>
        <v/>
      </c>
      <c r="I896" s="60"/>
      <c r="J896" s="61">
        <f t="shared" si="2"/>
        <v>17.27557656</v>
      </c>
      <c r="K896" s="58">
        <f>if(G896,_xlfn.workday.intl(int(G896),0,"1000000",Holidays!A:A)+19/24,"")</f>
        <v>46116.79167</v>
      </c>
      <c r="L896" s="59" t="str">
        <f t="shared" si="3"/>
        <v/>
      </c>
      <c r="M896" s="60"/>
      <c r="N896" s="61">
        <f t="shared" si="4"/>
        <v>17.19224323</v>
      </c>
      <c r="O896" s="63">
        <f>if(A896,_xlfn.WORKDAY.INTL(A896,O$5,"1000000",Holidays!A:A)+hour(A896)/24+MINUTE(A896)/1440,"")</f>
        <v>46116.53194</v>
      </c>
      <c r="P896" s="64" t="s">
        <v>2718</v>
      </c>
      <c r="R896" s="66">
        <f t="shared" si="5"/>
        <v>17.45196545</v>
      </c>
      <c r="S896" s="66"/>
      <c r="T896" s="66"/>
      <c r="U896" s="64">
        <f>if(O896,_xlfn.WORKDAY.INTL(O896,U$5,"1000000",Holidays!A:A)+hour(O896)/24+MINUTE(O896)/1440,"")</f>
        <v>46117.53194</v>
      </c>
      <c r="V896" s="64" t="str">
        <f t="shared" si="6"/>
        <v/>
      </c>
      <c r="W896" s="66"/>
      <c r="X896" s="66">
        <f t="shared" si="7"/>
        <v>16.45196545</v>
      </c>
      <c r="Y896" s="66"/>
      <c r="Z896" s="66"/>
      <c r="AA896" s="66"/>
      <c r="AB896" s="63"/>
      <c r="AC896" s="63"/>
      <c r="AD896" s="63"/>
      <c r="AE896" s="63"/>
      <c r="AF896" s="63"/>
      <c r="AG896" s="63"/>
      <c r="AH896" s="63" t="str">
        <f t="shared" si="14"/>
        <v/>
      </c>
      <c r="AI896" s="63" t="str">
        <f>if(AH896,_xlfn.workday.intl(int(AH896),0,"1000000",Holidays!A:A)+18/24,"")</f>
        <v/>
      </c>
      <c r="AJ896" s="64" t="str">
        <f t="shared" si="24"/>
        <v/>
      </c>
      <c r="AL896" s="66" t="str">
        <f t="shared" si="9"/>
        <v/>
      </c>
      <c r="AM896" s="66"/>
      <c r="AN896" s="63" t="str">
        <f>if(AJ896,if(and(hour(AJ896+AN$5)&gt;11,(hour(AJ896+AN$5)&lt;20)),AJ896+AN$5,_xlfn.workday.intl(int(AJ896),1,"1000000",Holidays!A:A)+hour(AJ896+AN$5-$B$1)/24+minute(AJ896)/1440),"")</f>
        <v/>
      </c>
      <c r="AO896" s="64" t="str">
        <f t="shared" si="15"/>
        <v/>
      </c>
      <c r="AQ896" s="66" t="str">
        <f t="shared" si="16"/>
        <v/>
      </c>
      <c r="AR896" s="66"/>
      <c r="AS896" s="63" t="str">
        <f>if(AJ896,if(and(hour(AJ896+AS$5)&gt;11,(hour(AJ896+AS$5)&lt;20)),AJ896+AS$5,_xlfn.workday.intl(int(AJ896),1,"1000000",Holidays!A:A)+hour(AJ896+AS$5-$B$1)/24+minute(AJ896)/1440),"")</f>
        <v/>
      </c>
      <c r="AT896" s="64" t="str">
        <f t="shared" si="21"/>
        <v/>
      </c>
      <c r="AV896" s="66" t="str">
        <f t="shared" si="25"/>
        <v/>
      </c>
      <c r="AW896" s="66"/>
      <c r="AX896" s="56"/>
    </row>
    <row r="897">
      <c r="A897" s="55">
        <v>46115.53252501157</v>
      </c>
      <c r="B897" s="56"/>
      <c r="C897" s="57"/>
      <c r="D897" s="57"/>
      <c r="E897" s="57"/>
      <c r="F897" s="57"/>
      <c r="G897" s="58">
        <f>if(A897,_xlfn.workday.intl(int(A897),1,"1000000",Holidays!A:A)+17/24,"")</f>
        <v>46116.70833</v>
      </c>
      <c r="H897" s="59" t="str">
        <f t="shared" si="23"/>
        <v/>
      </c>
      <c r="I897" s="60"/>
      <c r="J897" s="61">
        <f t="shared" si="2"/>
        <v>17.27557656</v>
      </c>
      <c r="K897" s="58">
        <f>if(G897,_xlfn.workday.intl(int(G897),0,"1000000",Holidays!A:A)+19/24,"")</f>
        <v>46116.79167</v>
      </c>
      <c r="L897" s="59" t="str">
        <f t="shared" si="3"/>
        <v/>
      </c>
      <c r="M897" s="60"/>
      <c r="N897" s="61">
        <f t="shared" si="4"/>
        <v>17.19224323</v>
      </c>
      <c r="O897" s="63">
        <f>if(A897,_xlfn.WORKDAY.INTL(A897,O$5,"1000000",Holidays!A:A)+hour(A897)/24+MINUTE(A897)/1440,"")</f>
        <v>46116.53194</v>
      </c>
      <c r="P897" s="64" t="s">
        <v>2718</v>
      </c>
      <c r="R897" s="66">
        <f t="shared" si="5"/>
        <v>17.45196545</v>
      </c>
      <c r="S897" s="66"/>
      <c r="T897" s="66"/>
      <c r="U897" s="64">
        <f>if(O897,_xlfn.WORKDAY.INTL(O897,U$5,"1000000",Holidays!A:A)+hour(O897)/24+MINUTE(O897)/1440,"")</f>
        <v>46117.53194</v>
      </c>
      <c r="V897" s="64" t="str">
        <f t="shared" si="6"/>
        <v/>
      </c>
      <c r="W897" s="66"/>
      <c r="X897" s="66">
        <f t="shared" si="7"/>
        <v>16.45196545</v>
      </c>
      <c r="Y897" s="66"/>
      <c r="Z897" s="66"/>
      <c r="AA897" s="66"/>
      <c r="AB897" s="63"/>
      <c r="AC897" s="63"/>
      <c r="AD897" s="63"/>
      <c r="AE897" s="63"/>
      <c r="AF897" s="63"/>
      <c r="AG897" s="63"/>
      <c r="AH897" s="63" t="str">
        <f t="shared" si="14"/>
        <v/>
      </c>
      <c r="AI897" s="63" t="str">
        <f>if(AH897,_xlfn.workday.intl(int(AH897),0,"1000000",Holidays!A:A)+18/24,"")</f>
        <v/>
      </c>
      <c r="AJ897" s="64" t="str">
        <f t="shared" si="24"/>
        <v/>
      </c>
      <c r="AL897" s="66" t="str">
        <f t="shared" si="9"/>
        <v/>
      </c>
      <c r="AM897" s="66"/>
      <c r="AN897" s="63" t="str">
        <f>if(AJ897,if(and(hour(AJ897+AN$5)&gt;11,(hour(AJ897+AN$5)&lt;20)),AJ897+AN$5,_xlfn.workday.intl(int(AJ897),1,"1000000",Holidays!A:A)+hour(AJ897+AN$5-$B$1)/24+minute(AJ897)/1440),"")</f>
        <v/>
      </c>
      <c r="AO897" s="64" t="str">
        <f t="shared" si="15"/>
        <v/>
      </c>
      <c r="AQ897" s="66" t="str">
        <f t="shared" si="16"/>
        <v/>
      </c>
      <c r="AR897" s="66"/>
      <c r="AS897" s="63" t="str">
        <f>if(AJ897,if(and(hour(AJ897+AS$5)&gt;11,(hour(AJ897+AS$5)&lt;20)),AJ897+AS$5,_xlfn.workday.intl(int(AJ897),1,"1000000",Holidays!A:A)+hour(AJ897+AS$5-$B$1)/24+minute(AJ897)/1440),"")</f>
        <v/>
      </c>
      <c r="AT897" s="64" t="str">
        <f t="shared" si="21"/>
        <v/>
      </c>
      <c r="AV897" s="66" t="str">
        <f t="shared" si="25"/>
        <v/>
      </c>
      <c r="AW897" s="66"/>
      <c r="AX897" s="56"/>
    </row>
    <row r="898">
      <c r="A898" s="55">
        <v>46116.55296075231</v>
      </c>
      <c r="B898" s="56"/>
      <c r="C898" s="57"/>
      <c r="D898" s="57"/>
      <c r="E898" s="57"/>
      <c r="F898" s="57"/>
      <c r="G898" s="58">
        <f>if(A898,_xlfn.workday.intl(int(A898),1,"1000000",Holidays!A:A)+17/24,"")</f>
        <v>46117.70833</v>
      </c>
      <c r="H898" s="59" t="str">
        <f t="shared" si="23"/>
        <v/>
      </c>
      <c r="I898" s="60"/>
      <c r="J898" s="61">
        <f t="shared" si="2"/>
        <v>16.27557656</v>
      </c>
      <c r="K898" s="58">
        <f>if(G898,_xlfn.workday.intl(int(G898),0,"1000000",Holidays!A:A)+19/24,"")</f>
        <v>46117.79167</v>
      </c>
      <c r="L898" s="59" t="str">
        <f t="shared" si="3"/>
        <v/>
      </c>
      <c r="M898" s="60"/>
      <c r="N898" s="61">
        <f t="shared" si="4"/>
        <v>16.19224323</v>
      </c>
      <c r="O898" s="63">
        <f>if(A898,_xlfn.WORKDAY.INTL(A898,O$5,"1000000",Holidays!A:A)+hour(A898)/24+MINUTE(A898)/1440,"")</f>
        <v>46117.55278</v>
      </c>
      <c r="P898" s="64" t="s">
        <v>2718</v>
      </c>
      <c r="R898" s="66">
        <f t="shared" si="5"/>
        <v>16.43113212</v>
      </c>
      <c r="S898" s="66"/>
      <c r="T898" s="66"/>
      <c r="U898" s="64">
        <f>if(O898,_xlfn.WORKDAY.INTL(O898,U$5,"1000000",Holidays!A:A)+hour(O898)/24+MINUTE(O898)/1440,"")</f>
        <v>46119.55278</v>
      </c>
      <c r="V898" s="64" t="str">
        <f t="shared" si="6"/>
        <v/>
      </c>
      <c r="W898" s="66"/>
      <c r="X898" s="66">
        <f t="shared" si="7"/>
        <v>14.43113212</v>
      </c>
      <c r="Y898" s="66"/>
      <c r="Z898" s="66"/>
      <c r="AA898" s="66"/>
      <c r="AB898" s="63"/>
      <c r="AC898" s="63"/>
      <c r="AD898" s="63"/>
      <c r="AE898" s="63"/>
      <c r="AF898" s="63"/>
      <c r="AG898" s="63"/>
      <c r="AH898" s="63" t="str">
        <f t="shared" si="14"/>
        <v/>
      </c>
      <c r="AI898" s="63" t="str">
        <f>if(AH898,_xlfn.workday.intl(int(AH898),0,"1000000",Holidays!A:A)+18/24,"")</f>
        <v/>
      </c>
      <c r="AJ898" s="64" t="str">
        <f t="shared" si="24"/>
        <v/>
      </c>
      <c r="AL898" s="66" t="str">
        <f t="shared" si="9"/>
        <v/>
      </c>
      <c r="AM898" s="66"/>
      <c r="AN898" s="63" t="str">
        <f>if(AJ898,if(and(hour(AJ898+AN$5)&gt;11,(hour(AJ898+AN$5)&lt;20)),AJ898+AN$5,_xlfn.workday.intl(int(AJ898),1,"1000000",Holidays!A:A)+hour(AJ898+AN$5-$B$1)/24+minute(AJ898)/1440),"")</f>
        <v/>
      </c>
      <c r="AO898" s="64" t="str">
        <f t="shared" si="15"/>
        <v/>
      </c>
      <c r="AQ898" s="66" t="str">
        <f t="shared" si="16"/>
        <v/>
      </c>
      <c r="AR898" s="66"/>
      <c r="AS898" s="63" t="str">
        <f>if(AJ898,if(and(hour(AJ898+AS$5)&gt;11,(hour(AJ898+AS$5)&lt;20)),AJ898+AS$5,_xlfn.workday.intl(int(AJ898),1,"1000000",Holidays!A:A)+hour(AJ898+AS$5-$B$1)/24+minute(AJ898)/1440),"")</f>
        <v/>
      </c>
      <c r="AT898" s="64" t="str">
        <f t="shared" si="21"/>
        <v/>
      </c>
      <c r="AV898" s="66" t="str">
        <f t="shared" si="25"/>
        <v/>
      </c>
      <c r="AW898" s="66"/>
      <c r="AX898" s="56"/>
    </row>
    <row r="899">
      <c r="A899" s="55">
        <v>46116.56805699074</v>
      </c>
      <c r="B899" s="56"/>
      <c r="C899" s="57"/>
      <c r="D899" s="57"/>
      <c r="E899" s="57"/>
      <c r="F899" s="57"/>
      <c r="G899" s="58">
        <f>if(A899,_xlfn.workday.intl(int(A899),1,"1000000",Holidays!A:A)+17/24,"")</f>
        <v>46117.70833</v>
      </c>
      <c r="H899" s="59" t="str">
        <f t="shared" si="23"/>
        <v/>
      </c>
      <c r="I899" s="60"/>
      <c r="J899" s="61">
        <f t="shared" si="2"/>
        <v>16.27557656</v>
      </c>
      <c r="K899" s="58">
        <f>if(G899,_xlfn.workday.intl(int(G899),0,"1000000",Holidays!A:A)+19/24,"")</f>
        <v>46117.79167</v>
      </c>
      <c r="L899" s="59" t="str">
        <f t="shared" si="3"/>
        <v/>
      </c>
      <c r="M899" s="60"/>
      <c r="N899" s="61">
        <f t="shared" si="4"/>
        <v>16.19224323</v>
      </c>
      <c r="O899" s="63">
        <f>if(A899,_xlfn.WORKDAY.INTL(A899,O$5,"1000000",Holidays!A:A)+hour(A899)/24+MINUTE(A899)/1440,"")</f>
        <v>46117.56806</v>
      </c>
      <c r="P899" s="64" t="s">
        <v>2718</v>
      </c>
      <c r="R899" s="66">
        <f t="shared" si="5"/>
        <v>16.41585434</v>
      </c>
      <c r="S899" s="66"/>
      <c r="T899" s="66"/>
      <c r="U899" s="64">
        <f>if(O899,_xlfn.WORKDAY.INTL(O899,U$5,"1000000",Holidays!A:A)+hour(O899)/24+MINUTE(O899)/1440,"")</f>
        <v>46119.56806</v>
      </c>
      <c r="V899" s="64" t="str">
        <f t="shared" si="6"/>
        <v/>
      </c>
      <c r="W899" s="66"/>
      <c r="X899" s="66">
        <f t="shared" si="7"/>
        <v>14.41585434</v>
      </c>
      <c r="Y899" s="66"/>
      <c r="Z899" s="66"/>
      <c r="AA899" s="66"/>
      <c r="AB899" s="63"/>
      <c r="AC899" s="63"/>
      <c r="AD899" s="63"/>
      <c r="AE899" s="63"/>
      <c r="AF899" s="63"/>
      <c r="AG899" s="63"/>
      <c r="AH899" s="63" t="str">
        <f t="shared" si="14"/>
        <v/>
      </c>
      <c r="AI899" s="63" t="str">
        <f>if(AH899,_xlfn.workday.intl(int(AH899),0,"1000000",Holidays!A:A)+18/24,"")</f>
        <v/>
      </c>
      <c r="AJ899" s="64" t="str">
        <f t="shared" si="24"/>
        <v/>
      </c>
      <c r="AL899" s="66" t="str">
        <f t="shared" si="9"/>
        <v/>
      </c>
      <c r="AM899" s="66"/>
      <c r="AN899" s="63" t="str">
        <f>if(AJ899,if(and(hour(AJ899+AN$5)&gt;11,(hour(AJ899+AN$5)&lt;20)),AJ899+AN$5,_xlfn.workday.intl(int(AJ899),1,"1000000",Holidays!A:A)+hour(AJ899+AN$5-$B$1)/24+minute(AJ899)/1440),"")</f>
        <v/>
      </c>
      <c r="AO899" s="64" t="str">
        <f t="shared" si="15"/>
        <v/>
      </c>
      <c r="AQ899" s="66" t="str">
        <f t="shared" si="16"/>
        <v/>
      </c>
      <c r="AR899" s="66"/>
      <c r="AS899" s="63" t="str">
        <f>if(AJ899,if(and(hour(AJ899+AS$5)&gt;11,(hour(AJ899+AS$5)&lt;20)),AJ899+AS$5,_xlfn.workday.intl(int(AJ899),1,"1000000",Holidays!A:A)+hour(AJ899+AS$5-$B$1)/24+minute(AJ899)/1440),"")</f>
        <v/>
      </c>
      <c r="AT899" s="64" t="str">
        <f t="shared" si="21"/>
        <v/>
      </c>
      <c r="AV899" s="66" t="str">
        <f t="shared" si="25"/>
        <v/>
      </c>
      <c r="AW899" s="66"/>
      <c r="AX899" s="56"/>
    </row>
    <row r="900">
      <c r="A900" s="55">
        <v>46116.76336622685</v>
      </c>
      <c r="B900" s="56"/>
      <c r="C900" s="57"/>
      <c r="D900" s="57"/>
      <c r="E900" s="57"/>
      <c r="F900" s="57"/>
      <c r="G900" s="58">
        <f>if(A900,_xlfn.workday.intl(int(A900),1,"1000000",Holidays!A:A)+17/24,"")</f>
        <v>46117.70833</v>
      </c>
      <c r="H900" s="59" t="str">
        <f t="shared" si="23"/>
        <v/>
      </c>
      <c r="I900" s="60"/>
      <c r="J900" s="61">
        <f t="shared" si="2"/>
        <v>16.27557656</v>
      </c>
      <c r="K900" s="58">
        <f>if(G900,_xlfn.workday.intl(int(G900),0,"1000000",Holidays!A:A)+19/24,"")</f>
        <v>46117.79167</v>
      </c>
      <c r="L900" s="59" t="str">
        <f t="shared" si="3"/>
        <v/>
      </c>
      <c r="M900" s="60"/>
      <c r="N900" s="61">
        <f t="shared" si="4"/>
        <v>16.19224323</v>
      </c>
      <c r="O900" s="63">
        <f>if(A900,_xlfn.WORKDAY.INTL(A900,O$5,"1000000",Holidays!A:A)+hour(A900)/24+MINUTE(A900)/1440,"")</f>
        <v>46117.76319</v>
      </c>
      <c r="P900" s="64" t="s">
        <v>2718</v>
      </c>
      <c r="R900" s="66">
        <f t="shared" si="5"/>
        <v>16.22071545</v>
      </c>
      <c r="S900" s="66"/>
      <c r="T900" s="66"/>
      <c r="U900" s="64">
        <f>if(O900,_xlfn.WORKDAY.INTL(O900,U$5,"1000000",Holidays!A:A)+hour(O900)/24+MINUTE(O900)/1440,"")</f>
        <v>46119.76319</v>
      </c>
      <c r="V900" s="64" t="str">
        <f t="shared" si="6"/>
        <v/>
      </c>
      <c r="W900" s="66"/>
      <c r="X900" s="66">
        <f t="shared" si="7"/>
        <v>14.22071545</v>
      </c>
      <c r="Y900" s="66"/>
      <c r="Z900" s="66"/>
      <c r="AA900" s="66"/>
      <c r="AB900" s="63"/>
      <c r="AC900" s="63"/>
      <c r="AD900" s="63"/>
      <c r="AE900" s="63"/>
      <c r="AF900" s="63"/>
      <c r="AG900" s="63"/>
      <c r="AH900" s="63" t="str">
        <f t="shared" si="14"/>
        <v/>
      </c>
      <c r="AI900" s="63" t="str">
        <f>if(AH900,_xlfn.workday.intl(int(AH900),0,"1000000",Holidays!A:A)+18/24,"")</f>
        <v/>
      </c>
      <c r="AJ900" s="64" t="str">
        <f t="shared" si="24"/>
        <v/>
      </c>
      <c r="AL900" s="66" t="str">
        <f t="shared" si="9"/>
        <v/>
      </c>
      <c r="AM900" s="66"/>
      <c r="AN900" s="63" t="str">
        <f>if(AJ900,if(and(hour(AJ900+AN$5)&gt;11,(hour(AJ900+AN$5)&lt;20)),AJ900+AN$5,_xlfn.workday.intl(int(AJ900),1,"1000000",Holidays!A:A)+hour(AJ900+AN$5-$B$1)/24+minute(AJ900)/1440),"")</f>
        <v/>
      </c>
      <c r="AO900" s="64" t="str">
        <f t="shared" si="15"/>
        <v/>
      </c>
      <c r="AQ900" s="66" t="str">
        <f t="shared" si="16"/>
        <v/>
      </c>
      <c r="AR900" s="66"/>
      <c r="AS900" s="63" t="str">
        <f>if(AJ900,if(and(hour(AJ900+AS$5)&gt;11,(hour(AJ900+AS$5)&lt;20)),AJ900+AS$5,_xlfn.workday.intl(int(AJ900),1,"1000000",Holidays!A:A)+hour(AJ900+AS$5-$B$1)/24+minute(AJ900)/1440),"")</f>
        <v/>
      </c>
      <c r="AT900" s="64" t="str">
        <f t="shared" si="21"/>
        <v/>
      </c>
      <c r="AV900" s="66" t="str">
        <f t="shared" si="25"/>
        <v/>
      </c>
      <c r="AW900" s="66"/>
      <c r="AX900" s="56"/>
    </row>
    <row r="901">
      <c r="A901" s="55">
        <v>46117.657630023146</v>
      </c>
      <c r="B901" s="56"/>
      <c r="C901" s="57"/>
      <c r="D901" s="57"/>
      <c r="E901" s="57"/>
      <c r="F901" s="57"/>
      <c r="G901" s="58">
        <f>if(A901,_xlfn.workday.intl(int(A901),1,"1000000",Holidays!A:A)+17/24,"")</f>
        <v>46119.70833</v>
      </c>
      <c r="H901" s="59" t="str">
        <f t="shared" si="23"/>
        <v/>
      </c>
      <c r="I901" s="60"/>
      <c r="J901" s="61">
        <f t="shared" si="2"/>
        <v>14.27557656</v>
      </c>
      <c r="K901" s="58">
        <f>if(G901,_xlfn.workday.intl(int(G901),0,"1000000",Holidays!A:A)+19/24,"")</f>
        <v>46119.79167</v>
      </c>
      <c r="L901" s="59" t="str">
        <f t="shared" si="3"/>
        <v/>
      </c>
      <c r="M901" s="60"/>
      <c r="N901" s="61">
        <f t="shared" si="4"/>
        <v>14.19224323</v>
      </c>
      <c r="O901" s="63">
        <f>if(A901,_xlfn.WORKDAY.INTL(A901,O$5,"1000000",Holidays!A:A)+hour(A901)/24+MINUTE(A901)/1440,"")</f>
        <v>46119.65694</v>
      </c>
      <c r="P901" s="64" t="s">
        <v>2718</v>
      </c>
      <c r="R901" s="66">
        <f t="shared" si="5"/>
        <v>14.32696545</v>
      </c>
      <c r="S901" s="66"/>
      <c r="T901" s="66"/>
      <c r="U901" s="64">
        <f>if(O901,_xlfn.WORKDAY.INTL(O901,U$5,"1000000",Holidays!A:A)+hour(O901)/24+MINUTE(O901)/1440,"")</f>
        <v>46120.65694</v>
      </c>
      <c r="V901" s="64" t="str">
        <f t="shared" si="6"/>
        <v/>
      </c>
      <c r="W901" s="66"/>
      <c r="X901" s="66">
        <f t="shared" si="7"/>
        <v>13.32696545</v>
      </c>
      <c r="Y901" s="66"/>
      <c r="Z901" s="66"/>
      <c r="AA901" s="66"/>
      <c r="AB901" s="63"/>
      <c r="AC901" s="63"/>
      <c r="AD901" s="63"/>
      <c r="AE901" s="63"/>
      <c r="AF901" s="63"/>
      <c r="AG901" s="63"/>
      <c r="AH901" s="63" t="str">
        <f t="shared" si="14"/>
        <v/>
      </c>
      <c r="AI901" s="63" t="str">
        <f>if(AH901,_xlfn.workday.intl(int(AH901),0,"1000000",Holidays!A:A)+18/24,"")</f>
        <v/>
      </c>
      <c r="AJ901" s="64" t="str">
        <f t="shared" si="24"/>
        <v/>
      </c>
      <c r="AL901" s="66" t="str">
        <f t="shared" si="9"/>
        <v/>
      </c>
      <c r="AM901" s="66"/>
      <c r="AN901" s="63" t="str">
        <f>if(AJ901,if(and(hour(AJ901+AN$5)&gt;11,(hour(AJ901+AN$5)&lt;20)),AJ901+AN$5,_xlfn.workday.intl(int(AJ901),1,"1000000",Holidays!A:A)+hour(AJ901+AN$5-$B$1)/24+minute(AJ901)/1440),"")</f>
        <v/>
      </c>
      <c r="AO901" s="64" t="str">
        <f t="shared" si="15"/>
        <v/>
      </c>
      <c r="AQ901" s="66" t="str">
        <f t="shared" si="16"/>
        <v/>
      </c>
      <c r="AR901" s="66"/>
      <c r="AS901" s="63" t="str">
        <f>if(AJ901,if(and(hour(AJ901+AS$5)&gt;11,(hour(AJ901+AS$5)&lt;20)),AJ901+AS$5,_xlfn.workday.intl(int(AJ901),1,"1000000",Holidays!A:A)+hour(AJ901+AS$5-$B$1)/24+minute(AJ901)/1440),"")</f>
        <v/>
      </c>
      <c r="AT901" s="64" t="str">
        <f t="shared" si="21"/>
        <v/>
      </c>
      <c r="AV901" s="66" t="str">
        <f t="shared" si="25"/>
        <v/>
      </c>
      <c r="AW901" s="66"/>
      <c r="AX901" s="56"/>
    </row>
    <row r="902">
      <c r="A902" s="55">
        <v>46119.49787368056</v>
      </c>
      <c r="B902" s="56"/>
      <c r="C902" s="57"/>
      <c r="D902" s="57"/>
      <c r="E902" s="57"/>
      <c r="F902" s="57"/>
      <c r="G902" s="58">
        <f>if(A902,_xlfn.workday.intl(int(A902),1,"1000000",Holidays!A:A)+17/24,"")</f>
        <v>46120.70833</v>
      </c>
      <c r="H902" s="59" t="str">
        <f t="shared" si="23"/>
        <v/>
      </c>
      <c r="I902" s="60"/>
      <c r="J902" s="61">
        <f t="shared" si="2"/>
        <v>13.27557656</v>
      </c>
      <c r="K902" s="58">
        <f>if(G902,_xlfn.workday.intl(int(G902),0,"1000000",Holidays!A:A)+19/24,"")</f>
        <v>46120.79167</v>
      </c>
      <c r="L902" s="59" t="str">
        <f t="shared" si="3"/>
        <v/>
      </c>
      <c r="M902" s="60"/>
      <c r="N902" s="61">
        <f t="shared" si="4"/>
        <v>13.19224323</v>
      </c>
      <c r="O902" s="63">
        <f>if(A902,_xlfn.WORKDAY.INTL(A902,O$5,"1000000",Holidays!A:A)+hour(A902)/24+MINUTE(A902)/1440,"")</f>
        <v>46120.49722</v>
      </c>
      <c r="P902" s="64" t="s">
        <v>2718</v>
      </c>
      <c r="R902" s="66">
        <f t="shared" si="5"/>
        <v>13.48668767</v>
      </c>
      <c r="S902" s="66"/>
      <c r="T902" s="66"/>
      <c r="U902" s="64">
        <f>if(O902,_xlfn.WORKDAY.INTL(O902,U$5,"1000000",Holidays!A:A)+hour(O902)/24+MINUTE(O902)/1440,"")</f>
        <v>46121.49722</v>
      </c>
      <c r="V902" s="64" t="str">
        <f t="shared" si="6"/>
        <v/>
      </c>
      <c r="W902" s="66"/>
      <c r="X902" s="66">
        <f t="shared" si="7"/>
        <v>12.48668767</v>
      </c>
      <c r="Y902" s="66"/>
      <c r="Z902" s="66"/>
      <c r="AA902" s="66"/>
      <c r="AB902" s="63"/>
      <c r="AC902" s="63"/>
      <c r="AD902" s="63"/>
      <c r="AE902" s="63"/>
      <c r="AF902" s="63"/>
      <c r="AG902" s="63"/>
      <c r="AH902" s="63" t="str">
        <f t="shared" si="14"/>
        <v/>
      </c>
      <c r="AI902" s="63" t="str">
        <f>if(AH902,_xlfn.workday.intl(int(AH902),0,"1000000",Holidays!A:A)+18/24,"")</f>
        <v/>
      </c>
      <c r="AJ902" s="64" t="str">
        <f t="shared" si="24"/>
        <v/>
      </c>
      <c r="AL902" s="66" t="str">
        <f t="shared" si="9"/>
        <v/>
      </c>
      <c r="AM902" s="66"/>
      <c r="AN902" s="63" t="str">
        <f>if(AJ902,if(and(hour(AJ902+AN$5)&gt;11,(hour(AJ902+AN$5)&lt;20)),AJ902+AN$5,_xlfn.workday.intl(int(AJ902),1,"1000000",Holidays!A:A)+hour(AJ902+AN$5-$B$1)/24+minute(AJ902)/1440),"")</f>
        <v/>
      </c>
      <c r="AO902" s="64" t="str">
        <f t="shared" si="15"/>
        <v/>
      </c>
      <c r="AQ902" s="66" t="str">
        <f t="shared" si="16"/>
        <v/>
      </c>
      <c r="AR902" s="66"/>
      <c r="AS902" s="63" t="str">
        <f>if(AJ902,if(and(hour(AJ902+AS$5)&gt;11,(hour(AJ902+AS$5)&lt;20)),AJ902+AS$5,_xlfn.workday.intl(int(AJ902),1,"1000000",Holidays!A:A)+hour(AJ902+AS$5-$B$1)/24+minute(AJ902)/1440),"")</f>
        <v/>
      </c>
      <c r="AT902" s="64" t="str">
        <f t="shared" si="21"/>
        <v/>
      </c>
      <c r="AV902" s="66" t="str">
        <f t="shared" si="25"/>
        <v/>
      </c>
      <c r="AW902" s="66"/>
      <c r="AX902" s="56"/>
    </row>
    <row r="903">
      <c r="A903" s="55">
        <v>46119.49889930556</v>
      </c>
      <c r="B903" s="56"/>
      <c r="C903" s="57"/>
      <c r="D903" s="57"/>
      <c r="E903" s="57"/>
      <c r="F903" s="57"/>
      <c r="G903" s="58">
        <f>if(A903,_xlfn.workday.intl(int(A903),1,"1000000",Holidays!A:A)+17/24,"")</f>
        <v>46120.70833</v>
      </c>
      <c r="H903" s="59" t="str">
        <f t="shared" si="23"/>
        <v/>
      </c>
      <c r="I903" s="60"/>
      <c r="J903" s="61">
        <f t="shared" si="2"/>
        <v>13.27557656</v>
      </c>
      <c r="K903" s="58">
        <f>if(G903,_xlfn.workday.intl(int(G903),0,"1000000",Holidays!A:A)+19/24,"")</f>
        <v>46120.79167</v>
      </c>
      <c r="L903" s="59" t="str">
        <f t="shared" si="3"/>
        <v/>
      </c>
      <c r="M903" s="60"/>
      <c r="N903" s="61">
        <f t="shared" si="4"/>
        <v>13.19224323</v>
      </c>
      <c r="O903" s="63">
        <f>if(A903,_xlfn.WORKDAY.INTL(A903,O$5,"1000000",Holidays!A:A)+hour(A903)/24+MINUTE(A903)/1440,"")</f>
        <v>46120.49861</v>
      </c>
      <c r="P903" s="64" t="s">
        <v>2718</v>
      </c>
      <c r="R903" s="66">
        <f t="shared" si="5"/>
        <v>13.48529878</v>
      </c>
      <c r="S903" s="66"/>
      <c r="T903" s="66"/>
      <c r="U903" s="64">
        <f>if(O903,_xlfn.WORKDAY.INTL(O903,U$5,"1000000",Holidays!A:A)+hour(O903)/24+MINUTE(O903)/1440,"")</f>
        <v>46121.49861</v>
      </c>
      <c r="V903" s="64" t="str">
        <f t="shared" si="6"/>
        <v/>
      </c>
      <c r="W903" s="66"/>
      <c r="X903" s="66">
        <f t="shared" si="7"/>
        <v>12.48529878</v>
      </c>
      <c r="Y903" s="66"/>
      <c r="Z903" s="66"/>
      <c r="AA903" s="66"/>
      <c r="AB903" s="63"/>
      <c r="AC903" s="63"/>
      <c r="AD903" s="63"/>
      <c r="AE903" s="63"/>
      <c r="AF903" s="63"/>
      <c r="AG903" s="63"/>
      <c r="AH903" s="63" t="str">
        <f t="shared" si="14"/>
        <v/>
      </c>
      <c r="AI903" s="63" t="str">
        <f>if(AH903,_xlfn.workday.intl(int(AH903),0,"1000000",Holidays!A:A)+18/24,"")</f>
        <v/>
      </c>
      <c r="AJ903" s="64" t="str">
        <f t="shared" si="24"/>
        <v/>
      </c>
      <c r="AL903" s="66" t="str">
        <f t="shared" si="9"/>
        <v/>
      </c>
      <c r="AM903" s="66"/>
      <c r="AN903" s="63" t="str">
        <f>if(AJ903,if(and(hour(AJ903+AN$5)&gt;11,(hour(AJ903+AN$5)&lt;20)),AJ903+AN$5,_xlfn.workday.intl(int(AJ903),1,"1000000",Holidays!A:A)+hour(AJ903+AN$5-$B$1)/24+minute(AJ903)/1440),"")</f>
        <v/>
      </c>
      <c r="AO903" s="64" t="str">
        <f t="shared" si="15"/>
        <v/>
      </c>
      <c r="AQ903" s="66" t="str">
        <f t="shared" si="16"/>
        <v/>
      </c>
      <c r="AR903" s="66"/>
      <c r="AS903" s="63" t="str">
        <f>if(AJ903,if(and(hour(AJ903+AS$5)&gt;11,(hour(AJ903+AS$5)&lt;20)),AJ903+AS$5,_xlfn.workday.intl(int(AJ903),1,"1000000",Holidays!A:A)+hour(AJ903+AS$5-$B$1)/24+minute(AJ903)/1440),"")</f>
        <v/>
      </c>
      <c r="AT903" s="64" t="str">
        <f t="shared" si="21"/>
        <v/>
      </c>
      <c r="AV903" s="66" t="str">
        <f t="shared" si="25"/>
        <v/>
      </c>
      <c r="AW903" s="66"/>
      <c r="AX903" s="56"/>
    </row>
    <row r="904">
      <c r="A904" s="55">
        <v>46119.50170731482</v>
      </c>
      <c r="B904" s="56"/>
      <c r="C904" s="57"/>
      <c r="D904" s="57"/>
      <c r="E904" s="57"/>
      <c r="F904" s="57"/>
      <c r="G904" s="58">
        <f>if(A904,_xlfn.workday.intl(int(A904),1,"1000000",Holidays!A:A)+17/24,"")</f>
        <v>46120.70833</v>
      </c>
      <c r="H904" s="59" t="str">
        <f t="shared" si="23"/>
        <v/>
      </c>
      <c r="I904" s="60"/>
      <c r="J904" s="61">
        <f t="shared" si="2"/>
        <v>13.27557656</v>
      </c>
      <c r="K904" s="58">
        <f>if(G904,_xlfn.workday.intl(int(G904),0,"1000000",Holidays!A:A)+19/24,"")</f>
        <v>46120.79167</v>
      </c>
      <c r="L904" s="59" t="str">
        <f t="shared" si="3"/>
        <v/>
      </c>
      <c r="M904" s="60"/>
      <c r="N904" s="61">
        <f t="shared" si="4"/>
        <v>13.19224323</v>
      </c>
      <c r="O904" s="63">
        <f>if(A904,_xlfn.WORKDAY.INTL(A904,O$5,"1000000",Holidays!A:A)+hour(A904)/24+MINUTE(A904)/1440,"")</f>
        <v>46120.50139</v>
      </c>
      <c r="P904" s="64" t="s">
        <v>2718</v>
      </c>
      <c r="R904" s="66">
        <f t="shared" si="5"/>
        <v>13.48252101</v>
      </c>
      <c r="S904" s="66"/>
      <c r="T904" s="66"/>
      <c r="U904" s="64">
        <f>if(O904,_xlfn.WORKDAY.INTL(O904,U$5,"1000000",Holidays!A:A)+hour(O904)/24+MINUTE(O904)/1440,"")</f>
        <v>46121.50139</v>
      </c>
      <c r="V904" s="64" t="str">
        <f t="shared" si="6"/>
        <v/>
      </c>
      <c r="W904" s="66"/>
      <c r="X904" s="66">
        <f t="shared" si="7"/>
        <v>12.48252101</v>
      </c>
      <c r="Y904" s="66"/>
      <c r="Z904" s="66"/>
      <c r="AA904" s="66"/>
      <c r="AB904" s="63"/>
      <c r="AC904" s="63"/>
      <c r="AD904" s="63"/>
      <c r="AE904" s="63"/>
      <c r="AF904" s="63"/>
      <c r="AG904" s="63"/>
      <c r="AH904" s="63" t="str">
        <f t="shared" si="14"/>
        <v/>
      </c>
      <c r="AI904" s="63" t="str">
        <f>if(AH904,_xlfn.workday.intl(int(AH904),0,"1000000",Holidays!A:A)+18/24,"")</f>
        <v/>
      </c>
      <c r="AJ904" s="64" t="str">
        <f t="shared" si="24"/>
        <v/>
      </c>
      <c r="AL904" s="66" t="str">
        <f t="shared" si="9"/>
        <v/>
      </c>
      <c r="AM904" s="66"/>
      <c r="AN904" s="63" t="str">
        <f>if(AJ904,if(and(hour(AJ904+AN$5)&gt;11,(hour(AJ904+AN$5)&lt;20)),AJ904+AN$5,_xlfn.workday.intl(int(AJ904),1,"1000000",Holidays!A:A)+hour(AJ904+AN$5-$B$1)/24+minute(AJ904)/1440),"")</f>
        <v/>
      </c>
      <c r="AO904" s="64" t="str">
        <f t="shared" si="15"/>
        <v/>
      </c>
      <c r="AQ904" s="66" t="str">
        <f t="shared" si="16"/>
        <v/>
      </c>
      <c r="AR904" s="66"/>
      <c r="AS904" s="63" t="str">
        <f>if(AJ904,if(and(hour(AJ904+AS$5)&gt;11,(hour(AJ904+AS$5)&lt;20)),AJ904+AS$5,_xlfn.workday.intl(int(AJ904),1,"1000000",Holidays!A:A)+hour(AJ904+AS$5-$B$1)/24+minute(AJ904)/1440),"")</f>
        <v/>
      </c>
      <c r="AT904" s="64" t="str">
        <f t="shared" si="21"/>
        <v/>
      </c>
      <c r="AV904" s="66" t="str">
        <f t="shared" si="25"/>
        <v/>
      </c>
      <c r="AW904" s="66"/>
      <c r="AX904" s="56"/>
    </row>
    <row r="905">
      <c r="A905" s="55">
        <v>46119.50968229167</v>
      </c>
      <c r="B905" s="56"/>
      <c r="C905" s="57"/>
      <c r="D905" s="57"/>
      <c r="E905" s="57"/>
      <c r="F905" s="57"/>
      <c r="G905" s="58">
        <f>if(A905,_xlfn.workday.intl(int(A905),1,"1000000",Holidays!A:A)+17/24,"")</f>
        <v>46120.70833</v>
      </c>
      <c r="H905" s="59" t="str">
        <f t="shared" si="23"/>
        <v/>
      </c>
      <c r="I905" s="60"/>
      <c r="J905" s="61">
        <f t="shared" si="2"/>
        <v>13.27557656</v>
      </c>
      <c r="K905" s="58">
        <f>if(G905,_xlfn.workday.intl(int(G905),0,"1000000",Holidays!A:A)+19/24,"")</f>
        <v>46120.79167</v>
      </c>
      <c r="L905" s="59" t="str">
        <f t="shared" si="3"/>
        <v/>
      </c>
      <c r="M905" s="60"/>
      <c r="N905" s="61">
        <f t="shared" si="4"/>
        <v>13.19224323</v>
      </c>
      <c r="O905" s="63">
        <f>if(A905,_xlfn.WORKDAY.INTL(A905,O$5,"1000000",Holidays!A:A)+hour(A905)/24+MINUTE(A905)/1440,"")</f>
        <v>46120.50903</v>
      </c>
      <c r="P905" s="64" t="s">
        <v>2718</v>
      </c>
      <c r="R905" s="66">
        <f t="shared" si="5"/>
        <v>13.47488212</v>
      </c>
      <c r="S905" s="66"/>
      <c r="T905" s="66"/>
      <c r="U905" s="64">
        <f>if(O905,_xlfn.WORKDAY.INTL(O905,U$5,"1000000",Holidays!A:A)+hour(O905)/24+MINUTE(O905)/1440,"")</f>
        <v>46121.50903</v>
      </c>
      <c r="V905" s="64" t="str">
        <f t="shared" si="6"/>
        <v/>
      </c>
      <c r="W905" s="66"/>
      <c r="X905" s="66">
        <f t="shared" si="7"/>
        <v>12.47488212</v>
      </c>
      <c r="Y905" s="66"/>
      <c r="Z905" s="66"/>
      <c r="AA905" s="66"/>
      <c r="AB905" s="63"/>
      <c r="AC905" s="63"/>
      <c r="AD905" s="63"/>
      <c r="AE905" s="63"/>
      <c r="AF905" s="63"/>
      <c r="AG905" s="63"/>
      <c r="AH905" s="63" t="str">
        <f t="shared" si="14"/>
        <v/>
      </c>
      <c r="AI905" s="63" t="str">
        <f>if(AH905,_xlfn.workday.intl(int(AH905),0,"1000000",Holidays!A:A)+18/24,"")</f>
        <v/>
      </c>
      <c r="AJ905" s="64" t="str">
        <f t="shared" si="24"/>
        <v/>
      </c>
      <c r="AL905" s="66" t="str">
        <f t="shared" si="9"/>
        <v/>
      </c>
      <c r="AM905" s="66"/>
      <c r="AN905" s="63" t="str">
        <f>if(AJ905,if(and(hour(AJ905+AN$5)&gt;11,(hour(AJ905+AN$5)&lt;20)),AJ905+AN$5,_xlfn.workday.intl(int(AJ905),1,"1000000",Holidays!A:A)+hour(AJ905+AN$5-$B$1)/24+minute(AJ905)/1440),"")</f>
        <v/>
      </c>
      <c r="AO905" s="64" t="str">
        <f t="shared" si="15"/>
        <v/>
      </c>
      <c r="AQ905" s="66" t="str">
        <f t="shared" si="16"/>
        <v/>
      </c>
      <c r="AR905" s="66"/>
      <c r="AS905" s="63" t="str">
        <f>if(AJ905,if(and(hour(AJ905+AS$5)&gt;11,(hour(AJ905+AS$5)&lt;20)),AJ905+AS$5,_xlfn.workday.intl(int(AJ905),1,"1000000",Holidays!A:A)+hour(AJ905+AS$5-$B$1)/24+minute(AJ905)/1440),"")</f>
        <v/>
      </c>
      <c r="AT905" s="64" t="str">
        <f t="shared" si="21"/>
        <v/>
      </c>
      <c r="AV905" s="66" t="str">
        <f t="shared" si="25"/>
        <v/>
      </c>
      <c r="AW905" s="66"/>
      <c r="AX905" s="56"/>
    </row>
    <row r="906">
      <c r="A906" s="55">
        <v>46119.510325787036</v>
      </c>
      <c r="B906" s="56"/>
      <c r="C906" s="57"/>
      <c r="D906" s="57"/>
      <c r="E906" s="57"/>
      <c r="F906" s="57"/>
      <c r="G906" s="58">
        <f>if(A906,_xlfn.workday.intl(int(A906),1,"1000000",Holidays!A:A)+17/24,"")</f>
        <v>46120.70833</v>
      </c>
      <c r="H906" s="59" t="str">
        <f t="shared" si="23"/>
        <v/>
      </c>
      <c r="I906" s="60"/>
      <c r="J906" s="61">
        <f t="shared" si="2"/>
        <v>13.27557656</v>
      </c>
      <c r="K906" s="58">
        <f>if(G906,_xlfn.workday.intl(int(G906),0,"1000000",Holidays!A:A)+19/24,"")</f>
        <v>46120.79167</v>
      </c>
      <c r="L906" s="59" t="str">
        <f t="shared" si="3"/>
        <v/>
      </c>
      <c r="M906" s="60"/>
      <c r="N906" s="61">
        <f t="shared" si="4"/>
        <v>13.19224323</v>
      </c>
      <c r="O906" s="63">
        <f>if(A906,_xlfn.WORKDAY.INTL(A906,O$5,"1000000",Holidays!A:A)+hour(A906)/24+MINUTE(A906)/1440,"")</f>
        <v>46120.50972</v>
      </c>
      <c r="P906" s="64" t="s">
        <v>2718</v>
      </c>
      <c r="R906" s="66">
        <f t="shared" si="5"/>
        <v>13.47418767</v>
      </c>
      <c r="S906" s="66"/>
      <c r="T906" s="66"/>
      <c r="U906" s="64">
        <f>if(O906,_xlfn.WORKDAY.INTL(O906,U$5,"1000000",Holidays!A:A)+hour(O906)/24+MINUTE(O906)/1440,"")</f>
        <v>46121.50972</v>
      </c>
      <c r="V906" s="64" t="str">
        <f t="shared" si="6"/>
        <v/>
      </c>
      <c r="W906" s="66"/>
      <c r="X906" s="66">
        <f t="shared" si="7"/>
        <v>12.47418767</v>
      </c>
      <c r="Y906" s="66"/>
      <c r="Z906" s="66"/>
      <c r="AA906" s="66"/>
      <c r="AB906" s="63"/>
      <c r="AC906" s="63"/>
      <c r="AD906" s="63"/>
      <c r="AE906" s="63"/>
      <c r="AF906" s="63"/>
      <c r="AG906" s="63"/>
      <c r="AH906" s="63" t="str">
        <f t="shared" si="14"/>
        <v/>
      </c>
      <c r="AI906" s="63" t="str">
        <f>if(AH906,_xlfn.workday.intl(int(AH906),0,"1000000",Holidays!A:A)+18/24,"")</f>
        <v/>
      </c>
      <c r="AJ906" s="64" t="str">
        <f t="shared" si="24"/>
        <v/>
      </c>
      <c r="AL906" s="66" t="str">
        <f t="shared" si="9"/>
        <v/>
      </c>
      <c r="AM906" s="66"/>
      <c r="AN906" s="63" t="str">
        <f>if(AJ906,if(and(hour(AJ906+AN$5)&gt;11,(hour(AJ906+AN$5)&lt;20)),AJ906+AN$5,_xlfn.workday.intl(int(AJ906),1,"1000000",Holidays!A:A)+hour(AJ906+AN$5-$B$1)/24+minute(AJ906)/1440),"")</f>
        <v/>
      </c>
      <c r="AO906" s="64" t="str">
        <f t="shared" si="15"/>
        <v/>
      </c>
      <c r="AQ906" s="66" t="str">
        <f t="shared" si="16"/>
        <v/>
      </c>
      <c r="AR906" s="66"/>
      <c r="AS906" s="63" t="str">
        <f>if(AJ906,if(and(hour(AJ906+AS$5)&gt;11,(hour(AJ906+AS$5)&lt;20)),AJ906+AS$5,_xlfn.workday.intl(int(AJ906),1,"1000000",Holidays!A:A)+hour(AJ906+AS$5-$B$1)/24+minute(AJ906)/1440),"")</f>
        <v/>
      </c>
      <c r="AT906" s="64" t="str">
        <f t="shared" si="21"/>
        <v/>
      </c>
      <c r="AV906" s="66" t="str">
        <f t="shared" si="25"/>
        <v/>
      </c>
      <c r="AW906" s="66"/>
      <c r="AX906" s="56"/>
    </row>
    <row r="907">
      <c r="A907" s="55">
        <v>46119.51131421296</v>
      </c>
      <c r="B907" s="56"/>
      <c r="C907" s="57"/>
      <c r="D907" s="57"/>
      <c r="E907" s="57"/>
      <c r="F907" s="57"/>
      <c r="G907" s="58">
        <f>if(A907,_xlfn.workday.intl(int(A907),1,"1000000",Holidays!A:A)+17/24,"")</f>
        <v>46120.70833</v>
      </c>
      <c r="H907" s="59" t="str">
        <f t="shared" si="23"/>
        <v/>
      </c>
      <c r="I907" s="60"/>
      <c r="J907" s="61">
        <f t="shared" si="2"/>
        <v>13.27557656</v>
      </c>
      <c r="K907" s="58">
        <f>if(G907,_xlfn.workday.intl(int(G907),0,"1000000",Holidays!A:A)+19/24,"")</f>
        <v>46120.79167</v>
      </c>
      <c r="L907" s="59" t="str">
        <f t="shared" si="3"/>
        <v/>
      </c>
      <c r="M907" s="60"/>
      <c r="N907" s="61">
        <f t="shared" si="4"/>
        <v>13.19224323</v>
      </c>
      <c r="O907" s="63">
        <f>if(A907,_xlfn.WORKDAY.INTL(A907,O$5,"1000000",Holidays!A:A)+hour(A907)/24+MINUTE(A907)/1440,"")</f>
        <v>46120.51111</v>
      </c>
      <c r="P907" s="64" t="s">
        <v>2718</v>
      </c>
      <c r="R907" s="66">
        <f t="shared" si="5"/>
        <v>13.47279878</v>
      </c>
      <c r="S907" s="66"/>
      <c r="T907" s="66"/>
      <c r="U907" s="64">
        <f>if(O907,_xlfn.WORKDAY.INTL(O907,U$5,"1000000",Holidays!A:A)+hour(O907)/24+MINUTE(O907)/1440,"")</f>
        <v>46121.51111</v>
      </c>
      <c r="V907" s="64" t="str">
        <f t="shared" si="6"/>
        <v/>
      </c>
      <c r="W907" s="66"/>
      <c r="X907" s="66">
        <f t="shared" si="7"/>
        <v>12.47279878</v>
      </c>
      <c r="Y907" s="66"/>
      <c r="Z907" s="66"/>
      <c r="AA907" s="66"/>
      <c r="AB907" s="63"/>
      <c r="AC907" s="63"/>
      <c r="AD907" s="63"/>
      <c r="AE907" s="63"/>
      <c r="AF907" s="63"/>
      <c r="AG907" s="63"/>
      <c r="AH907" s="63" t="str">
        <f t="shared" si="14"/>
        <v/>
      </c>
      <c r="AI907" s="63" t="str">
        <f>if(AH907,_xlfn.workday.intl(int(AH907),0,"1000000",Holidays!A:A)+18/24,"")</f>
        <v/>
      </c>
      <c r="AJ907" s="64" t="str">
        <f t="shared" si="24"/>
        <v/>
      </c>
      <c r="AL907" s="66" t="str">
        <f t="shared" si="9"/>
        <v/>
      </c>
      <c r="AM907" s="66"/>
      <c r="AN907" s="63" t="str">
        <f>if(AJ907,if(and(hour(AJ907+AN$5)&gt;11,(hour(AJ907+AN$5)&lt;20)),AJ907+AN$5,_xlfn.workday.intl(int(AJ907),1,"1000000",Holidays!A:A)+hour(AJ907+AN$5-$B$1)/24+minute(AJ907)/1440),"")</f>
        <v/>
      </c>
      <c r="AO907" s="64" t="str">
        <f t="shared" si="15"/>
        <v/>
      </c>
      <c r="AQ907" s="66" t="str">
        <f t="shared" si="16"/>
        <v/>
      </c>
      <c r="AR907" s="66"/>
      <c r="AS907" s="63" t="str">
        <f>if(AJ907,if(and(hour(AJ907+AS$5)&gt;11,(hour(AJ907+AS$5)&lt;20)),AJ907+AS$5,_xlfn.workday.intl(int(AJ907),1,"1000000",Holidays!A:A)+hour(AJ907+AS$5-$B$1)/24+minute(AJ907)/1440),"")</f>
        <v/>
      </c>
      <c r="AT907" s="64" t="str">
        <f t="shared" si="21"/>
        <v/>
      </c>
      <c r="AV907" s="66" t="str">
        <f t="shared" si="25"/>
        <v/>
      </c>
      <c r="AW907" s="66"/>
      <c r="AX907" s="56"/>
    </row>
    <row r="908">
      <c r="A908" s="55">
        <v>46119.511862604166</v>
      </c>
      <c r="B908" s="56"/>
      <c r="C908" s="57"/>
      <c r="D908" s="57"/>
      <c r="E908" s="57"/>
      <c r="F908" s="57"/>
      <c r="G908" s="58">
        <f>if(A908,_xlfn.workday.intl(int(A908),1,"1000000",Holidays!A:A)+17/24,"")</f>
        <v>46120.70833</v>
      </c>
      <c r="H908" s="59" t="str">
        <f t="shared" si="23"/>
        <v/>
      </c>
      <c r="I908" s="60"/>
      <c r="J908" s="61">
        <f t="shared" si="2"/>
        <v>13.27557656</v>
      </c>
      <c r="K908" s="58">
        <f>if(G908,_xlfn.workday.intl(int(G908),0,"1000000",Holidays!A:A)+19/24,"")</f>
        <v>46120.79167</v>
      </c>
      <c r="L908" s="59" t="str">
        <f t="shared" si="3"/>
        <v/>
      </c>
      <c r="M908" s="60"/>
      <c r="N908" s="61">
        <f t="shared" si="4"/>
        <v>13.19224323</v>
      </c>
      <c r="O908" s="63">
        <f>if(A908,_xlfn.WORKDAY.INTL(A908,O$5,"1000000",Holidays!A:A)+hour(A908)/24+MINUTE(A908)/1440,"")</f>
        <v>46120.51181</v>
      </c>
      <c r="P908" s="64" t="s">
        <v>2718</v>
      </c>
      <c r="R908" s="66">
        <f t="shared" si="5"/>
        <v>13.47210434</v>
      </c>
      <c r="S908" s="66"/>
      <c r="T908" s="66"/>
      <c r="U908" s="64">
        <f>if(O908,_xlfn.WORKDAY.INTL(O908,U$5,"1000000",Holidays!A:A)+hour(O908)/24+MINUTE(O908)/1440,"")</f>
        <v>46121.51181</v>
      </c>
      <c r="V908" s="64" t="str">
        <f t="shared" si="6"/>
        <v/>
      </c>
      <c r="W908" s="66"/>
      <c r="X908" s="66">
        <f t="shared" si="7"/>
        <v>12.47210434</v>
      </c>
      <c r="Y908" s="66"/>
      <c r="Z908" s="66"/>
      <c r="AA908" s="66"/>
      <c r="AB908" s="63"/>
      <c r="AC908" s="63"/>
      <c r="AD908" s="63"/>
      <c r="AE908" s="63"/>
      <c r="AF908" s="63"/>
      <c r="AG908" s="63"/>
      <c r="AH908" s="63" t="str">
        <f t="shared" si="14"/>
        <v/>
      </c>
      <c r="AI908" s="63" t="str">
        <f>if(AH908,_xlfn.workday.intl(int(AH908),0,"1000000",Holidays!A:A)+18/24,"")</f>
        <v/>
      </c>
      <c r="AJ908" s="64" t="str">
        <f t="shared" si="24"/>
        <v/>
      </c>
      <c r="AL908" s="66" t="str">
        <f t="shared" si="9"/>
        <v/>
      </c>
      <c r="AM908" s="66"/>
      <c r="AN908" s="63" t="str">
        <f>if(AJ908,if(and(hour(AJ908+AN$5)&gt;11,(hour(AJ908+AN$5)&lt;20)),AJ908+AN$5,_xlfn.workday.intl(int(AJ908),1,"1000000",Holidays!A:A)+hour(AJ908+AN$5-$B$1)/24+minute(AJ908)/1440),"")</f>
        <v/>
      </c>
      <c r="AO908" s="64" t="str">
        <f t="shared" si="15"/>
        <v/>
      </c>
      <c r="AQ908" s="66" t="str">
        <f t="shared" si="16"/>
        <v/>
      </c>
      <c r="AR908" s="66"/>
      <c r="AS908" s="63" t="str">
        <f>if(AJ908,if(and(hour(AJ908+AS$5)&gt;11,(hour(AJ908+AS$5)&lt;20)),AJ908+AS$5,_xlfn.workday.intl(int(AJ908),1,"1000000",Holidays!A:A)+hour(AJ908+AS$5-$B$1)/24+minute(AJ908)/1440),"")</f>
        <v/>
      </c>
      <c r="AT908" s="64" t="str">
        <f t="shared" si="21"/>
        <v/>
      </c>
      <c r="AV908" s="66" t="str">
        <f t="shared" si="25"/>
        <v/>
      </c>
      <c r="AW908" s="66"/>
      <c r="AX908" s="56"/>
    </row>
    <row r="909">
      <c r="A909" s="55">
        <v>46119.512606979166</v>
      </c>
      <c r="B909" s="56"/>
      <c r="C909" s="57"/>
      <c r="D909" s="57"/>
      <c r="E909" s="57"/>
      <c r="F909" s="57"/>
      <c r="G909" s="58">
        <f>if(A909,_xlfn.workday.intl(int(A909),1,"1000000",Holidays!A:A)+17/24,"")</f>
        <v>46120.70833</v>
      </c>
      <c r="H909" s="59" t="str">
        <f t="shared" si="23"/>
        <v/>
      </c>
      <c r="I909" s="60"/>
      <c r="J909" s="61">
        <f t="shared" si="2"/>
        <v>13.27557656</v>
      </c>
      <c r="K909" s="58">
        <f>if(G909,_xlfn.workday.intl(int(G909),0,"1000000",Holidays!A:A)+19/24,"")</f>
        <v>46120.79167</v>
      </c>
      <c r="L909" s="59" t="str">
        <f t="shared" si="3"/>
        <v/>
      </c>
      <c r="M909" s="60"/>
      <c r="N909" s="61">
        <f t="shared" si="4"/>
        <v>13.19224323</v>
      </c>
      <c r="O909" s="63">
        <f>if(A909,_xlfn.WORKDAY.INTL(A909,O$5,"1000000",Holidays!A:A)+hour(A909)/24+MINUTE(A909)/1440,"")</f>
        <v>46120.5125</v>
      </c>
      <c r="P909" s="64" t="s">
        <v>2718</v>
      </c>
      <c r="R909" s="66">
        <f t="shared" si="5"/>
        <v>13.4714099</v>
      </c>
      <c r="S909" s="66"/>
      <c r="T909" s="66"/>
      <c r="U909" s="64">
        <f>if(O909,_xlfn.WORKDAY.INTL(O909,U$5,"1000000",Holidays!A:A)+hour(O909)/24+MINUTE(O909)/1440,"")</f>
        <v>46121.5125</v>
      </c>
      <c r="V909" s="64" t="str">
        <f t="shared" si="6"/>
        <v/>
      </c>
      <c r="W909" s="66"/>
      <c r="X909" s="66">
        <f t="shared" si="7"/>
        <v>12.4714099</v>
      </c>
      <c r="Y909" s="66"/>
      <c r="Z909" s="66"/>
      <c r="AA909" s="66"/>
      <c r="AB909" s="63"/>
      <c r="AC909" s="63"/>
      <c r="AD909" s="63"/>
      <c r="AE909" s="63"/>
      <c r="AF909" s="63"/>
      <c r="AG909" s="63"/>
      <c r="AH909" s="63" t="str">
        <f t="shared" si="14"/>
        <v/>
      </c>
      <c r="AI909" s="63" t="str">
        <f>if(AH909,_xlfn.workday.intl(int(AH909),0,"1000000",Holidays!A:A)+18/24,"")</f>
        <v/>
      </c>
      <c r="AJ909" s="64" t="str">
        <f t="shared" si="24"/>
        <v/>
      </c>
      <c r="AL909" s="66" t="str">
        <f t="shared" si="9"/>
        <v/>
      </c>
      <c r="AM909" s="66"/>
      <c r="AN909" s="63" t="str">
        <f>if(AJ909,if(and(hour(AJ909+AN$5)&gt;11,(hour(AJ909+AN$5)&lt;20)),AJ909+AN$5,_xlfn.workday.intl(int(AJ909),1,"1000000",Holidays!A:A)+hour(AJ909+AN$5-$B$1)/24+minute(AJ909)/1440),"")</f>
        <v/>
      </c>
      <c r="AO909" s="64" t="str">
        <f t="shared" si="15"/>
        <v/>
      </c>
      <c r="AQ909" s="66" t="str">
        <f t="shared" si="16"/>
        <v/>
      </c>
      <c r="AR909" s="66"/>
      <c r="AS909" s="63" t="str">
        <f>if(AJ909,if(and(hour(AJ909+AS$5)&gt;11,(hour(AJ909+AS$5)&lt;20)),AJ909+AS$5,_xlfn.workday.intl(int(AJ909),1,"1000000",Holidays!A:A)+hour(AJ909+AS$5-$B$1)/24+minute(AJ909)/1440),"")</f>
        <v/>
      </c>
      <c r="AT909" s="64" t="str">
        <f t="shared" si="21"/>
        <v/>
      </c>
      <c r="AV909" s="66" t="str">
        <f t="shared" si="25"/>
        <v/>
      </c>
      <c r="AW909" s="66"/>
      <c r="AX909" s="56"/>
    </row>
    <row r="910">
      <c r="A910" s="55">
        <v>46119.51396496528</v>
      </c>
      <c r="B910" s="56"/>
      <c r="C910" s="57"/>
      <c r="D910" s="57"/>
      <c r="E910" s="57"/>
      <c r="F910" s="57"/>
      <c r="G910" s="58">
        <f>if(A910,_xlfn.workday.intl(int(A910),1,"1000000",Holidays!A:A)+17/24,"")</f>
        <v>46120.70833</v>
      </c>
      <c r="H910" s="59" t="str">
        <f t="shared" si="23"/>
        <v/>
      </c>
      <c r="I910" s="60"/>
      <c r="J910" s="61">
        <f t="shared" si="2"/>
        <v>13.27557656</v>
      </c>
      <c r="K910" s="58">
        <f>if(G910,_xlfn.workday.intl(int(G910),0,"1000000",Holidays!A:A)+19/24,"")</f>
        <v>46120.79167</v>
      </c>
      <c r="L910" s="59" t="str">
        <f t="shared" si="3"/>
        <v/>
      </c>
      <c r="M910" s="60"/>
      <c r="N910" s="61">
        <f t="shared" si="4"/>
        <v>13.19224323</v>
      </c>
      <c r="O910" s="63">
        <f>if(A910,_xlfn.WORKDAY.INTL(A910,O$5,"1000000",Holidays!A:A)+hour(A910)/24+MINUTE(A910)/1440,"")</f>
        <v>46120.51389</v>
      </c>
      <c r="P910" s="64" t="s">
        <v>2718</v>
      </c>
      <c r="R910" s="66">
        <f t="shared" si="5"/>
        <v>13.47002101</v>
      </c>
      <c r="S910" s="66"/>
      <c r="T910" s="66"/>
      <c r="U910" s="64">
        <f>if(O910,_xlfn.WORKDAY.INTL(O910,U$5,"1000000",Holidays!A:A)+hour(O910)/24+MINUTE(O910)/1440,"")</f>
        <v>46121.51389</v>
      </c>
      <c r="V910" s="64" t="str">
        <f t="shared" si="6"/>
        <v/>
      </c>
      <c r="W910" s="66"/>
      <c r="X910" s="66">
        <f t="shared" si="7"/>
        <v>12.47002101</v>
      </c>
      <c r="Y910" s="66"/>
      <c r="Z910" s="66"/>
      <c r="AA910" s="66"/>
      <c r="AB910" s="63"/>
      <c r="AC910" s="63"/>
      <c r="AD910" s="63"/>
      <c r="AE910" s="63"/>
      <c r="AF910" s="63"/>
      <c r="AG910" s="63"/>
      <c r="AH910" s="63" t="str">
        <f t="shared" si="14"/>
        <v/>
      </c>
      <c r="AI910" s="63" t="str">
        <f>if(AH910,_xlfn.workday.intl(int(AH910),0,"1000000",Holidays!A:A)+18/24,"")</f>
        <v/>
      </c>
      <c r="AJ910" s="64" t="str">
        <f t="shared" si="24"/>
        <v/>
      </c>
      <c r="AL910" s="66" t="str">
        <f t="shared" si="9"/>
        <v/>
      </c>
      <c r="AM910" s="66"/>
      <c r="AN910" s="63" t="str">
        <f>if(AJ910,if(and(hour(AJ910+AN$5)&gt;11,(hour(AJ910+AN$5)&lt;20)),AJ910+AN$5,_xlfn.workday.intl(int(AJ910),1,"1000000",Holidays!A:A)+hour(AJ910+AN$5-$B$1)/24+minute(AJ910)/1440),"")</f>
        <v/>
      </c>
      <c r="AO910" s="64" t="str">
        <f t="shared" si="15"/>
        <v/>
      </c>
      <c r="AQ910" s="66" t="str">
        <f t="shared" si="16"/>
        <v/>
      </c>
      <c r="AR910" s="66"/>
      <c r="AS910" s="63" t="str">
        <f>if(AJ910,if(and(hour(AJ910+AS$5)&gt;11,(hour(AJ910+AS$5)&lt;20)),AJ910+AS$5,_xlfn.workday.intl(int(AJ910),1,"1000000",Holidays!A:A)+hour(AJ910+AS$5-$B$1)/24+minute(AJ910)/1440),"")</f>
        <v/>
      </c>
      <c r="AT910" s="64" t="str">
        <f t="shared" si="21"/>
        <v/>
      </c>
      <c r="AV910" s="66" t="str">
        <f t="shared" si="25"/>
        <v/>
      </c>
      <c r="AW910" s="66"/>
      <c r="AX910" s="56"/>
    </row>
    <row r="911">
      <c r="A911" s="55">
        <v>46119.5157159375</v>
      </c>
      <c r="B911" s="56"/>
      <c r="C911" s="57"/>
      <c r="D911" s="57"/>
      <c r="E911" s="57"/>
      <c r="F911" s="57"/>
      <c r="G911" s="58">
        <f>if(A911,_xlfn.workday.intl(int(A911),1,"1000000",Holidays!A:A)+17/24,"")</f>
        <v>46120.70833</v>
      </c>
      <c r="H911" s="59" t="str">
        <f t="shared" si="23"/>
        <v/>
      </c>
      <c r="I911" s="60"/>
      <c r="J911" s="61">
        <f t="shared" si="2"/>
        <v>13.27557656</v>
      </c>
      <c r="K911" s="58">
        <f>if(G911,_xlfn.workday.intl(int(G911),0,"1000000",Holidays!A:A)+19/24,"")</f>
        <v>46120.79167</v>
      </c>
      <c r="L911" s="59" t="str">
        <f t="shared" si="3"/>
        <v/>
      </c>
      <c r="M911" s="60"/>
      <c r="N911" s="61">
        <f t="shared" si="4"/>
        <v>13.19224323</v>
      </c>
      <c r="O911" s="63">
        <f>if(A911,_xlfn.WORKDAY.INTL(A911,O$5,"1000000",Holidays!A:A)+hour(A911)/24+MINUTE(A911)/1440,"")</f>
        <v>46120.51528</v>
      </c>
      <c r="P911" s="64" t="s">
        <v>2718</v>
      </c>
      <c r="R911" s="66">
        <f t="shared" si="5"/>
        <v>13.46863212</v>
      </c>
      <c r="S911" s="66"/>
      <c r="T911" s="66"/>
      <c r="U911" s="64">
        <f>if(O911,_xlfn.WORKDAY.INTL(O911,U$5,"1000000",Holidays!A:A)+hour(O911)/24+MINUTE(O911)/1440,"")</f>
        <v>46121.51528</v>
      </c>
      <c r="V911" s="64" t="str">
        <f t="shared" si="6"/>
        <v/>
      </c>
      <c r="W911" s="66"/>
      <c r="X911" s="66">
        <f t="shared" si="7"/>
        <v>12.46863212</v>
      </c>
      <c r="Y911" s="66"/>
      <c r="Z911" s="66"/>
      <c r="AA911" s="66"/>
      <c r="AB911" s="63"/>
      <c r="AC911" s="63"/>
      <c r="AD911" s="63"/>
      <c r="AE911" s="63"/>
      <c r="AF911" s="63"/>
      <c r="AG911" s="63"/>
      <c r="AH911" s="63" t="str">
        <f t="shared" si="14"/>
        <v/>
      </c>
      <c r="AI911" s="63" t="str">
        <f>if(AH911,_xlfn.workday.intl(int(AH911),0,"1000000",Holidays!A:A)+18/24,"")</f>
        <v/>
      </c>
      <c r="AJ911" s="64" t="str">
        <f t="shared" si="24"/>
        <v/>
      </c>
      <c r="AL911" s="66" t="str">
        <f t="shared" si="9"/>
        <v/>
      </c>
      <c r="AM911" s="66"/>
      <c r="AN911" s="63" t="str">
        <f>if(AJ911,if(and(hour(AJ911+AN$5)&gt;11,(hour(AJ911+AN$5)&lt;20)),AJ911+AN$5,_xlfn.workday.intl(int(AJ911),1,"1000000",Holidays!A:A)+hour(AJ911+AN$5-$B$1)/24+minute(AJ911)/1440),"")</f>
        <v/>
      </c>
      <c r="AO911" s="64" t="str">
        <f t="shared" si="15"/>
        <v/>
      </c>
      <c r="AQ911" s="66" t="str">
        <f t="shared" si="16"/>
        <v/>
      </c>
      <c r="AR911" s="66"/>
      <c r="AS911" s="63" t="str">
        <f>if(AJ911,if(and(hour(AJ911+AS$5)&gt;11,(hour(AJ911+AS$5)&lt;20)),AJ911+AS$5,_xlfn.workday.intl(int(AJ911),1,"1000000",Holidays!A:A)+hour(AJ911+AS$5-$B$1)/24+minute(AJ911)/1440),"")</f>
        <v/>
      </c>
      <c r="AT911" s="64" t="str">
        <f t="shared" si="21"/>
        <v/>
      </c>
      <c r="AV911" s="66" t="str">
        <f t="shared" si="25"/>
        <v/>
      </c>
      <c r="AW911" s="66"/>
      <c r="AX911" s="56"/>
    </row>
    <row r="912">
      <c r="A912" s="55">
        <v>46119.516564907404</v>
      </c>
      <c r="B912" s="56"/>
      <c r="C912" s="57"/>
      <c r="D912" s="57"/>
      <c r="E912" s="57"/>
      <c r="F912" s="57"/>
      <c r="G912" s="58">
        <f>if(A912,_xlfn.workday.intl(int(A912),1,"1000000",Holidays!A:A)+17/24,"")</f>
        <v>46120.70833</v>
      </c>
      <c r="H912" s="59" t="str">
        <f t="shared" si="23"/>
        <v/>
      </c>
      <c r="I912" s="60"/>
      <c r="J912" s="61">
        <f t="shared" si="2"/>
        <v>13.27557656</v>
      </c>
      <c r="K912" s="58">
        <f>if(G912,_xlfn.workday.intl(int(G912),0,"1000000",Holidays!A:A)+19/24,"")</f>
        <v>46120.79167</v>
      </c>
      <c r="L912" s="59" t="str">
        <f t="shared" si="3"/>
        <v/>
      </c>
      <c r="M912" s="60"/>
      <c r="N912" s="61">
        <f t="shared" si="4"/>
        <v>13.19224323</v>
      </c>
      <c r="O912" s="63">
        <f>if(A912,_xlfn.WORKDAY.INTL(A912,O$5,"1000000",Holidays!A:A)+hour(A912)/24+MINUTE(A912)/1440,"")</f>
        <v>46120.51597</v>
      </c>
      <c r="P912" s="64" t="s">
        <v>2718</v>
      </c>
      <c r="R912" s="66">
        <f t="shared" si="5"/>
        <v>13.46793767</v>
      </c>
      <c r="S912" s="66"/>
      <c r="T912" s="66"/>
      <c r="U912" s="64">
        <f>if(O912,_xlfn.WORKDAY.INTL(O912,U$5,"1000000",Holidays!A:A)+hour(O912)/24+MINUTE(O912)/1440,"")</f>
        <v>46121.51597</v>
      </c>
      <c r="V912" s="64" t="str">
        <f t="shared" si="6"/>
        <v/>
      </c>
      <c r="W912" s="66"/>
      <c r="X912" s="66">
        <f t="shared" si="7"/>
        <v>12.46793767</v>
      </c>
      <c r="Y912" s="66"/>
      <c r="Z912" s="66"/>
      <c r="AA912" s="66"/>
      <c r="AB912" s="63"/>
      <c r="AC912" s="63"/>
      <c r="AD912" s="63"/>
      <c r="AE912" s="63"/>
      <c r="AF912" s="63"/>
      <c r="AG912" s="63"/>
      <c r="AH912" s="63" t="str">
        <f t="shared" si="14"/>
        <v/>
      </c>
      <c r="AI912" s="63" t="str">
        <f>if(AH912,_xlfn.workday.intl(int(AH912),0,"1000000",Holidays!A:A)+18/24,"")</f>
        <v/>
      </c>
      <c r="AJ912" s="64" t="str">
        <f t="shared" si="24"/>
        <v/>
      </c>
      <c r="AL912" s="66" t="str">
        <f t="shared" si="9"/>
        <v/>
      </c>
      <c r="AM912" s="66"/>
      <c r="AN912" s="63" t="str">
        <f>if(AJ912,if(and(hour(AJ912+AN$5)&gt;11,(hour(AJ912+AN$5)&lt;20)),AJ912+AN$5,_xlfn.workday.intl(int(AJ912),1,"1000000",Holidays!A:A)+hour(AJ912+AN$5-$B$1)/24+minute(AJ912)/1440),"")</f>
        <v/>
      </c>
      <c r="AO912" s="64" t="str">
        <f t="shared" si="15"/>
        <v/>
      </c>
      <c r="AQ912" s="66" t="str">
        <f t="shared" si="16"/>
        <v/>
      </c>
      <c r="AR912" s="66"/>
      <c r="AS912" s="63" t="str">
        <f>if(AJ912,if(and(hour(AJ912+AS$5)&gt;11,(hour(AJ912+AS$5)&lt;20)),AJ912+AS$5,_xlfn.workday.intl(int(AJ912),1,"1000000",Holidays!A:A)+hour(AJ912+AS$5-$B$1)/24+minute(AJ912)/1440),"")</f>
        <v/>
      </c>
      <c r="AT912" s="64" t="str">
        <f t="shared" si="21"/>
        <v/>
      </c>
      <c r="AV912" s="66" t="str">
        <f t="shared" si="25"/>
        <v/>
      </c>
      <c r="AW912" s="66"/>
      <c r="AX912" s="56"/>
    </row>
    <row r="913">
      <c r="A913" s="55">
        <v>46119.51868108797</v>
      </c>
      <c r="B913" s="56"/>
      <c r="C913" s="57"/>
      <c r="D913" s="57"/>
      <c r="E913" s="57"/>
      <c r="F913" s="57"/>
      <c r="G913" s="58">
        <f>if(A913,_xlfn.workday.intl(int(A913),1,"1000000",Holidays!A:A)+17/24,"")</f>
        <v>46120.70833</v>
      </c>
      <c r="H913" s="59" t="str">
        <f t="shared" si="23"/>
        <v/>
      </c>
      <c r="I913" s="60"/>
      <c r="J913" s="61">
        <f t="shared" si="2"/>
        <v>13.27557656</v>
      </c>
      <c r="K913" s="58">
        <f>if(G913,_xlfn.workday.intl(int(G913),0,"1000000",Holidays!A:A)+19/24,"")</f>
        <v>46120.79167</v>
      </c>
      <c r="L913" s="59" t="str">
        <f t="shared" si="3"/>
        <v/>
      </c>
      <c r="M913" s="60"/>
      <c r="N913" s="61">
        <f t="shared" si="4"/>
        <v>13.19224323</v>
      </c>
      <c r="O913" s="63">
        <f>if(A913,_xlfn.WORKDAY.INTL(A913,O$5,"1000000",Holidays!A:A)+hour(A913)/24+MINUTE(A913)/1440,"")</f>
        <v>46120.51806</v>
      </c>
      <c r="P913" s="64" t="s">
        <v>2718</v>
      </c>
      <c r="R913" s="66">
        <f t="shared" si="5"/>
        <v>13.46585434</v>
      </c>
      <c r="S913" s="66"/>
      <c r="T913" s="66"/>
      <c r="U913" s="64">
        <f>if(O913,_xlfn.WORKDAY.INTL(O913,U$5,"1000000",Holidays!A:A)+hour(O913)/24+MINUTE(O913)/1440,"")</f>
        <v>46121.51806</v>
      </c>
      <c r="V913" s="64" t="str">
        <f t="shared" si="6"/>
        <v/>
      </c>
      <c r="W913" s="66"/>
      <c r="X913" s="66">
        <f t="shared" si="7"/>
        <v>12.46585434</v>
      </c>
      <c r="Y913" s="66"/>
      <c r="Z913" s="66"/>
      <c r="AA913" s="66"/>
      <c r="AB913" s="63"/>
      <c r="AC913" s="63"/>
      <c r="AD913" s="63"/>
      <c r="AE913" s="63"/>
      <c r="AF913" s="63"/>
      <c r="AG913" s="63"/>
      <c r="AH913" s="63" t="str">
        <f t="shared" si="14"/>
        <v/>
      </c>
      <c r="AI913" s="63" t="str">
        <f>if(AH913,_xlfn.workday.intl(int(AH913),0,"1000000",Holidays!A:A)+18/24,"")</f>
        <v/>
      </c>
      <c r="AJ913" s="64" t="str">
        <f t="shared" si="24"/>
        <v/>
      </c>
      <c r="AL913" s="66" t="str">
        <f t="shared" si="9"/>
        <v/>
      </c>
      <c r="AM913" s="66"/>
      <c r="AN913" s="63" t="str">
        <f>if(AJ913,if(and(hour(AJ913+AN$5)&gt;11,(hour(AJ913+AN$5)&lt;20)),AJ913+AN$5,_xlfn.workday.intl(int(AJ913),1,"1000000",Holidays!A:A)+hour(AJ913+AN$5-$B$1)/24+minute(AJ913)/1440),"")</f>
        <v/>
      </c>
      <c r="AO913" s="64" t="str">
        <f t="shared" si="15"/>
        <v/>
      </c>
      <c r="AQ913" s="66" t="str">
        <f t="shared" si="16"/>
        <v/>
      </c>
      <c r="AR913" s="66"/>
      <c r="AS913" s="63" t="str">
        <f>if(AJ913,if(and(hour(AJ913+AS$5)&gt;11,(hour(AJ913+AS$5)&lt;20)),AJ913+AS$5,_xlfn.workday.intl(int(AJ913),1,"1000000",Holidays!A:A)+hour(AJ913+AS$5-$B$1)/24+minute(AJ913)/1440),"")</f>
        <v/>
      </c>
      <c r="AT913" s="64" t="str">
        <f t="shared" si="21"/>
        <v/>
      </c>
      <c r="AV913" s="66" t="str">
        <f t="shared" si="25"/>
        <v/>
      </c>
      <c r="AW913" s="66"/>
      <c r="AX913" s="56"/>
    </row>
    <row r="914">
      <c r="A914" s="55">
        <v>46119.522383564814</v>
      </c>
      <c r="B914" s="56"/>
      <c r="C914" s="57"/>
      <c r="D914" s="57"/>
      <c r="E914" s="57"/>
      <c r="F914" s="57"/>
      <c r="G914" s="58">
        <f>if(A914,_xlfn.workday.intl(int(A914),1,"1000000",Holidays!A:A)+17/24,"")</f>
        <v>46120.70833</v>
      </c>
      <c r="H914" s="59" t="str">
        <f t="shared" si="23"/>
        <v/>
      </c>
      <c r="I914" s="60"/>
      <c r="J914" s="61">
        <f t="shared" si="2"/>
        <v>13.27557656</v>
      </c>
      <c r="K914" s="58">
        <f>if(G914,_xlfn.workday.intl(int(G914),0,"1000000",Holidays!A:A)+19/24,"")</f>
        <v>46120.79167</v>
      </c>
      <c r="L914" s="59" t="str">
        <f t="shared" si="3"/>
        <v/>
      </c>
      <c r="M914" s="60"/>
      <c r="N914" s="61">
        <f t="shared" si="4"/>
        <v>13.19224323</v>
      </c>
      <c r="O914" s="63">
        <f>if(A914,_xlfn.WORKDAY.INTL(A914,O$5,"1000000",Holidays!A:A)+hour(A914)/24+MINUTE(A914)/1440,"")</f>
        <v>46120.52222</v>
      </c>
      <c r="P914" s="64" t="s">
        <v>2718</v>
      </c>
      <c r="R914" s="66">
        <f t="shared" si="5"/>
        <v>13.46168767</v>
      </c>
      <c r="S914" s="66"/>
      <c r="T914" s="66"/>
      <c r="U914" s="64">
        <f>if(O914,_xlfn.WORKDAY.INTL(O914,U$5,"1000000",Holidays!A:A)+hour(O914)/24+MINUTE(O914)/1440,"")</f>
        <v>46121.52222</v>
      </c>
      <c r="V914" s="64" t="str">
        <f t="shared" si="6"/>
        <v/>
      </c>
      <c r="W914" s="66"/>
      <c r="X914" s="66">
        <f t="shared" si="7"/>
        <v>12.46168767</v>
      </c>
      <c r="Y914" s="66"/>
      <c r="Z914" s="66"/>
      <c r="AA914" s="66"/>
      <c r="AB914" s="63"/>
      <c r="AC914" s="63"/>
      <c r="AD914" s="63"/>
      <c r="AE914" s="63"/>
      <c r="AF914" s="63"/>
      <c r="AG914" s="63"/>
      <c r="AH914" s="63" t="str">
        <f t="shared" si="14"/>
        <v/>
      </c>
      <c r="AI914" s="63" t="str">
        <f>if(AH914,_xlfn.workday.intl(int(AH914),0,"1000000",Holidays!A:A)+18/24,"")</f>
        <v/>
      </c>
      <c r="AJ914" s="64" t="str">
        <f t="shared" si="24"/>
        <v/>
      </c>
      <c r="AL914" s="66" t="str">
        <f t="shared" si="9"/>
        <v/>
      </c>
      <c r="AM914" s="66"/>
      <c r="AN914" s="63" t="str">
        <f>if(AJ914,if(and(hour(AJ914+AN$5)&gt;11,(hour(AJ914+AN$5)&lt;20)),AJ914+AN$5,_xlfn.workday.intl(int(AJ914),1,"1000000",Holidays!A:A)+hour(AJ914+AN$5-$B$1)/24+minute(AJ914)/1440),"")</f>
        <v/>
      </c>
      <c r="AO914" s="64" t="str">
        <f t="shared" si="15"/>
        <v/>
      </c>
      <c r="AQ914" s="66" t="str">
        <f t="shared" si="16"/>
        <v/>
      </c>
      <c r="AR914" s="66"/>
      <c r="AS914" s="63" t="str">
        <f>if(AJ914,if(and(hour(AJ914+AS$5)&gt;11,(hour(AJ914+AS$5)&lt;20)),AJ914+AS$5,_xlfn.workday.intl(int(AJ914),1,"1000000",Holidays!A:A)+hour(AJ914+AS$5-$B$1)/24+minute(AJ914)/1440),"")</f>
        <v/>
      </c>
      <c r="AT914" s="64" t="str">
        <f t="shared" si="21"/>
        <v/>
      </c>
      <c r="AV914" s="66" t="str">
        <f t="shared" si="25"/>
        <v/>
      </c>
      <c r="AW914" s="66"/>
      <c r="AX914" s="56"/>
    </row>
    <row r="915">
      <c r="A915" s="55">
        <v>46119.5304121875</v>
      </c>
      <c r="B915" s="56"/>
      <c r="C915" s="57"/>
      <c r="D915" s="57"/>
      <c r="E915" s="57"/>
      <c r="F915" s="57"/>
      <c r="G915" s="58">
        <f>if(A915,_xlfn.workday.intl(int(A915),1,"1000000",Holidays!A:A)+17/24,"")</f>
        <v>46120.70833</v>
      </c>
      <c r="H915" s="59" t="str">
        <f t="shared" si="23"/>
        <v/>
      </c>
      <c r="I915" s="60"/>
      <c r="J915" s="61">
        <f t="shared" si="2"/>
        <v>13.27557656</v>
      </c>
      <c r="K915" s="58">
        <f>if(G915,_xlfn.workday.intl(int(G915),0,"1000000",Holidays!A:A)+19/24,"")</f>
        <v>46120.79167</v>
      </c>
      <c r="L915" s="59" t="str">
        <f t="shared" si="3"/>
        <v/>
      </c>
      <c r="M915" s="60"/>
      <c r="N915" s="61">
        <f t="shared" si="4"/>
        <v>13.19224323</v>
      </c>
      <c r="O915" s="63">
        <f>if(A915,_xlfn.WORKDAY.INTL(A915,O$5,"1000000",Holidays!A:A)+hour(A915)/24+MINUTE(A915)/1440,"")</f>
        <v>46120.52986</v>
      </c>
      <c r="P915" s="64" t="s">
        <v>2718</v>
      </c>
      <c r="R915" s="66">
        <f t="shared" si="5"/>
        <v>13.45404878</v>
      </c>
      <c r="S915" s="66"/>
      <c r="T915" s="66"/>
      <c r="U915" s="64">
        <f>if(O915,_xlfn.WORKDAY.INTL(O915,U$5,"1000000",Holidays!A:A)+hour(O915)/24+MINUTE(O915)/1440,"")</f>
        <v>46121.52986</v>
      </c>
      <c r="V915" s="64" t="str">
        <f t="shared" si="6"/>
        <v/>
      </c>
      <c r="W915" s="66"/>
      <c r="X915" s="66">
        <f t="shared" si="7"/>
        <v>12.45404878</v>
      </c>
      <c r="Y915" s="66"/>
      <c r="Z915" s="66"/>
      <c r="AA915" s="66"/>
      <c r="AB915" s="63"/>
      <c r="AC915" s="63"/>
      <c r="AD915" s="63"/>
      <c r="AE915" s="63"/>
      <c r="AF915" s="63"/>
      <c r="AG915" s="63"/>
      <c r="AH915" s="63" t="str">
        <f t="shared" si="14"/>
        <v/>
      </c>
      <c r="AI915" s="63" t="str">
        <f>if(AH915,_xlfn.workday.intl(int(AH915),0,"1000000",Holidays!A:A)+18/24,"")</f>
        <v/>
      </c>
      <c r="AJ915" s="64" t="str">
        <f t="shared" si="24"/>
        <v/>
      </c>
      <c r="AL915" s="66" t="str">
        <f t="shared" si="9"/>
        <v/>
      </c>
      <c r="AM915" s="66"/>
      <c r="AN915" s="63" t="str">
        <f>if(AJ915,if(and(hour(AJ915+AN$5)&gt;11,(hour(AJ915+AN$5)&lt;20)),AJ915+AN$5,_xlfn.workday.intl(int(AJ915),1,"1000000",Holidays!A:A)+hour(AJ915+AN$5-$B$1)/24+minute(AJ915)/1440),"")</f>
        <v/>
      </c>
      <c r="AO915" s="64" t="str">
        <f t="shared" si="15"/>
        <v/>
      </c>
      <c r="AQ915" s="66" t="str">
        <f t="shared" si="16"/>
        <v/>
      </c>
      <c r="AR915" s="66"/>
      <c r="AS915" s="63" t="str">
        <f>if(AJ915,if(and(hour(AJ915+AS$5)&gt;11,(hour(AJ915+AS$5)&lt;20)),AJ915+AS$5,_xlfn.workday.intl(int(AJ915),1,"1000000",Holidays!A:A)+hour(AJ915+AS$5-$B$1)/24+minute(AJ915)/1440),"")</f>
        <v/>
      </c>
      <c r="AT915" s="64" t="str">
        <f t="shared" si="21"/>
        <v/>
      </c>
      <c r="AV915" s="66" t="str">
        <f t="shared" si="25"/>
        <v/>
      </c>
      <c r="AW915" s="66"/>
      <c r="AX915" s="56"/>
    </row>
    <row r="916">
      <c r="A916" s="55">
        <v>46119.55873971064</v>
      </c>
      <c r="B916" s="56"/>
      <c r="C916" s="57"/>
      <c r="D916" s="57"/>
      <c r="E916" s="57"/>
      <c r="F916" s="57"/>
      <c r="G916" s="58">
        <f>if(A916,_xlfn.workday.intl(int(A916),1,"1000000",Holidays!A:A)+17/24,"")</f>
        <v>46120.70833</v>
      </c>
      <c r="H916" s="59" t="str">
        <f t="shared" si="23"/>
        <v/>
      </c>
      <c r="I916" s="60"/>
      <c r="J916" s="61">
        <f t="shared" si="2"/>
        <v>13.27557656</v>
      </c>
      <c r="K916" s="58">
        <f>if(G916,_xlfn.workday.intl(int(G916),0,"1000000",Holidays!A:A)+19/24,"")</f>
        <v>46120.79167</v>
      </c>
      <c r="L916" s="59" t="str">
        <f t="shared" si="3"/>
        <v/>
      </c>
      <c r="M916" s="60"/>
      <c r="N916" s="61">
        <f t="shared" si="4"/>
        <v>13.19224323</v>
      </c>
      <c r="O916" s="63">
        <f>if(A916,_xlfn.WORKDAY.INTL(A916,O$5,"1000000",Holidays!A:A)+hour(A916)/24+MINUTE(A916)/1440,"")</f>
        <v>46120.55833</v>
      </c>
      <c r="P916" s="64" t="s">
        <v>2718</v>
      </c>
      <c r="R916" s="66">
        <f t="shared" si="5"/>
        <v>13.42557656</v>
      </c>
      <c r="S916" s="66"/>
      <c r="T916" s="66"/>
      <c r="U916" s="64">
        <f>if(O916,_xlfn.WORKDAY.INTL(O916,U$5,"1000000",Holidays!A:A)+hour(O916)/24+MINUTE(O916)/1440,"")</f>
        <v>46121.55833</v>
      </c>
      <c r="V916" s="64" t="str">
        <f t="shared" si="6"/>
        <v/>
      </c>
      <c r="W916" s="66"/>
      <c r="X916" s="66">
        <f t="shared" si="7"/>
        <v>12.42557656</v>
      </c>
      <c r="Y916" s="66"/>
      <c r="Z916" s="66"/>
      <c r="AA916" s="66"/>
      <c r="AB916" s="63"/>
      <c r="AC916" s="63"/>
      <c r="AD916" s="63"/>
      <c r="AE916" s="63"/>
      <c r="AF916" s="63"/>
      <c r="AG916" s="63"/>
      <c r="AH916" s="63" t="str">
        <f t="shared" si="14"/>
        <v/>
      </c>
      <c r="AI916" s="63" t="str">
        <f>if(AH916,_xlfn.workday.intl(int(AH916),0,"1000000",Holidays!A:A)+18/24,"")</f>
        <v/>
      </c>
      <c r="AJ916" s="64" t="str">
        <f t="shared" si="24"/>
        <v/>
      </c>
      <c r="AL916" s="66" t="str">
        <f t="shared" si="9"/>
        <v/>
      </c>
      <c r="AM916" s="66"/>
      <c r="AN916" s="63" t="str">
        <f>if(AJ916,if(and(hour(AJ916+AN$5)&gt;11,(hour(AJ916+AN$5)&lt;20)),AJ916+AN$5,_xlfn.workday.intl(int(AJ916),1,"1000000",Holidays!A:A)+hour(AJ916+AN$5-$B$1)/24+minute(AJ916)/1440),"")</f>
        <v/>
      </c>
      <c r="AO916" s="64" t="str">
        <f t="shared" si="15"/>
        <v/>
      </c>
      <c r="AQ916" s="66" t="str">
        <f t="shared" si="16"/>
        <v/>
      </c>
      <c r="AR916" s="66"/>
      <c r="AS916" s="63" t="str">
        <f>if(AJ916,if(and(hour(AJ916+AS$5)&gt;11,(hour(AJ916+AS$5)&lt;20)),AJ916+AS$5,_xlfn.workday.intl(int(AJ916),1,"1000000",Holidays!A:A)+hour(AJ916+AS$5-$B$1)/24+minute(AJ916)/1440),"")</f>
        <v/>
      </c>
      <c r="AT916" s="64" t="str">
        <f t="shared" si="21"/>
        <v/>
      </c>
      <c r="AV916" s="66" t="str">
        <f t="shared" si="25"/>
        <v/>
      </c>
      <c r="AW916" s="66"/>
      <c r="AX916" s="56"/>
    </row>
    <row r="917">
      <c r="A917" s="55">
        <v>46119.560084004625</v>
      </c>
      <c r="B917" s="56"/>
      <c r="C917" s="57"/>
      <c r="D917" s="57"/>
      <c r="E917" s="57"/>
      <c r="F917" s="57"/>
      <c r="G917" s="58">
        <f>if(A917,_xlfn.workday.intl(int(A917),1,"1000000",Holidays!A:A)+17/24,"")</f>
        <v>46120.70833</v>
      </c>
      <c r="H917" s="59" t="str">
        <f t="shared" si="23"/>
        <v/>
      </c>
      <c r="I917" s="60"/>
      <c r="J917" s="61">
        <f t="shared" si="2"/>
        <v>13.27557656</v>
      </c>
      <c r="K917" s="58">
        <f>if(G917,_xlfn.workday.intl(int(G917),0,"1000000",Holidays!A:A)+19/24,"")</f>
        <v>46120.79167</v>
      </c>
      <c r="L917" s="59" t="str">
        <f t="shared" si="3"/>
        <v/>
      </c>
      <c r="M917" s="60"/>
      <c r="N917" s="61">
        <f t="shared" si="4"/>
        <v>13.19224323</v>
      </c>
      <c r="O917" s="63">
        <f>if(A917,_xlfn.WORKDAY.INTL(A917,O$5,"1000000",Holidays!A:A)+hour(A917)/24+MINUTE(A917)/1440,"")</f>
        <v>46120.55972</v>
      </c>
      <c r="P917" s="64" t="s">
        <v>2718</v>
      </c>
      <c r="R917" s="66">
        <f t="shared" si="5"/>
        <v>13.42418767</v>
      </c>
      <c r="S917" s="66"/>
      <c r="T917" s="66"/>
      <c r="U917" s="64">
        <f>if(O917,_xlfn.WORKDAY.INTL(O917,U$5,"1000000",Holidays!A:A)+hour(O917)/24+MINUTE(O917)/1440,"")</f>
        <v>46121.55972</v>
      </c>
      <c r="V917" s="64" t="str">
        <f t="shared" si="6"/>
        <v/>
      </c>
      <c r="W917" s="66"/>
      <c r="X917" s="66">
        <f t="shared" si="7"/>
        <v>12.42418767</v>
      </c>
      <c r="Y917" s="66"/>
      <c r="Z917" s="66"/>
      <c r="AA917" s="66"/>
      <c r="AB917" s="63"/>
      <c r="AC917" s="63"/>
      <c r="AD917" s="63"/>
      <c r="AE917" s="63"/>
      <c r="AF917" s="63"/>
      <c r="AG917" s="63"/>
      <c r="AH917" s="63" t="str">
        <f t="shared" si="14"/>
        <v/>
      </c>
      <c r="AI917" s="63" t="str">
        <f>if(AH917,_xlfn.workday.intl(int(AH917),0,"1000000",Holidays!A:A)+18/24,"")</f>
        <v/>
      </c>
      <c r="AJ917" s="64" t="str">
        <f t="shared" si="24"/>
        <v/>
      </c>
      <c r="AL917" s="66" t="str">
        <f t="shared" si="9"/>
        <v/>
      </c>
      <c r="AM917" s="66"/>
      <c r="AN917" s="63" t="str">
        <f>if(AJ917,if(and(hour(AJ917+AN$5)&gt;11,(hour(AJ917+AN$5)&lt;20)),AJ917+AN$5,_xlfn.workday.intl(int(AJ917),1,"1000000",Holidays!A:A)+hour(AJ917+AN$5-$B$1)/24+minute(AJ917)/1440),"")</f>
        <v/>
      </c>
      <c r="AO917" s="64" t="str">
        <f t="shared" si="15"/>
        <v/>
      </c>
      <c r="AQ917" s="66" t="str">
        <f t="shared" si="16"/>
        <v/>
      </c>
      <c r="AR917" s="66"/>
      <c r="AS917" s="63" t="str">
        <f>if(AJ917,if(and(hour(AJ917+AS$5)&gt;11,(hour(AJ917+AS$5)&lt;20)),AJ917+AS$5,_xlfn.workday.intl(int(AJ917),1,"1000000",Holidays!A:A)+hour(AJ917+AS$5-$B$1)/24+minute(AJ917)/1440),"")</f>
        <v/>
      </c>
      <c r="AT917" s="64" t="str">
        <f t="shared" si="21"/>
        <v/>
      </c>
      <c r="AV917" s="66" t="str">
        <f t="shared" si="25"/>
        <v/>
      </c>
      <c r="AW917" s="66"/>
      <c r="AX917" s="56"/>
    </row>
    <row r="918">
      <c r="A918" s="55">
        <v>46121.57022552083</v>
      </c>
      <c r="B918" s="56"/>
      <c r="C918" s="57"/>
      <c r="D918" s="57"/>
      <c r="E918" s="57"/>
      <c r="F918" s="57"/>
      <c r="G918" s="58">
        <f>if(A918,_xlfn.workday.intl(int(A918),1,"1000000",Holidays!A:A)+17/24,"")</f>
        <v>46122.70833</v>
      </c>
      <c r="H918" s="59" t="str">
        <f t="shared" si="23"/>
        <v/>
      </c>
      <c r="I918" s="60"/>
      <c r="J918" s="61">
        <f t="shared" si="2"/>
        <v>11.27557656</v>
      </c>
      <c r="K918" s="58">
        <f>if(G918,_xlfn.workday.intl(int(G918),0,"1000000",Holidays!A:A)+19/24,"")</f>
        <v>46122.79167</v>
      </c>
      <c r="L918" s="59" t="str">
        <f t="shared" si="3"/>
        <v/>
      </c>
      <c r="M918" s="60"/>
      <c r="N918" s="61">
        <f t="shared" si="4"/>
        <v>11.19224323</v>
      </c>
      <c r="O918" s="63">
        <f>if(A918,_xlfn.WORKDAY.INTL(A918,O$5,"1000000",Holidays!A:A)+hour(A918)/24+MINUTE(A918)/1440,"")</f>
        <v>46122.57014</v>
      </c>
      <c r="P918" s="64" t="s">
        <v>2718</v>
      </c>
      <c r="R918" s="66">
        <f t="shared" si="5"/>
        <v>11.41377101</v>
      </c>
      <c r="S918" s="66"/>
      <c r="T918" s="66"/>
      <c r="U918" s="64">
        <f>if(O918,_xlfn.WORKDAY.INTL(O918,U$5,"1000000",Holidays!A:A)+hour(O918)/24+MINUTE(O918)/1440,"")</f>
        <v>46123.57014</v>
      </c>
      <c r="V918" s="64" t="str">
        <f t="shared" si="6"/>
        <v/>
      </c>
      <c r="W918" s="66"/>
      <c r="X918" s="66">
        <f t="shared" si="7"/>
        <v>10.41377101</v>
      </c>
      <c r="Y918" s="66"/>
      <c r="Z918" s="66"/>
      <c r="AA918" s="66"/>
      <c r="AB918" s="63"/>
      <c r="AC918" s="63"/>
      <c r="AD918" s="63"/>
      <c r="AE918" s="63"/>
      <c r="AF918" s="63"/>
      <c r="AG918" s="63"/>
      <c r="AH918" s="63" t="str">
        <f t="shared" si="14"/>
        <v/>
      </c>
      <c r="AI918" s="63" t="str">
        <f>if(AH918,_xlfn.workday.intl(int(AH918),0,"1000000",Holidays!A:A)+18/24,"")</f>
        <v/>
      </c>
      <c r="AJ918" s="64" t="str">
        <f t="shared" si="24"/>
        <v/>
      </c>
      <c r="AL918" s="66" t="str">
        <f t="shared" si="9"/>
        <v/>
      </c>
      <c r="AM918" s="66"/>
      <c r="AN918" s="63" t="str">
        <f>if(AJ918,if(and(hour(AJ918+AN$5)&gt;11,(hour(AJ918+AN$5)&lt;20)),AJ918+AN$5,_xlfn.workday.intl(int(AJ918),1,"1000000",Holidays!A:A)+hour(AJ918+AN$5-$B$1)/24+minute(AJ918)/1440),"")</f>
        <v/>
      </c>
      <c r="AO918" s="64" t="str">
        <f t="shared" si="15"/>
        <v/>
      </c>
      <c r="AQ918" s="66" t="str">
        <f t="shared" si="16"/>
        <v/>
      </c>
      <c r="AR918" s="66"/>
      <c r="AS918" s="63" t="str">
        <f>if(AJ918,if(and(hour(AJ918+AS$5)&gt;11,(hour(AJ918+AS$5)&lt;20)),AJ918+AS$5,_xlfn.workday.intl(int(AJ918),1,"1000000",Holidays!A:A)+hour(AJ918+AS$5-$B$1)/24+minute(AJ918)/1440),"")</f>
        <v/>
      </c>
      <c r="AT918" s="64" t="str">
        <f t="shared" si="21"/>
        <v/>
      </c>
      <c r="AV918" s="66" t="str">
        <f t="shared" si="25"/>
        <v/>
      </c>
      <c r="AW918" s="66"/>
      <c r="AX918" s="56"/>
    </row>
    <row r="919">
      <c r="A919" s="55">
        <v>46121.57366202546</v>
      </c>
      <c r="B919" s="56"/>
      <c r="C919" s="57"/>
      <c r="D919" s="57"/>
      <c r="E919" s="57"/>
      <c r="F919" s="57"/>
      <c r="G919" s="58">
        <f>if(A919,_xlfn.workday.intl(int(A919),1,"1000000",Holidays!A:A)+17/24,"")</f>
        <v>46122.70833</v>
      </c>
      <c r="H919" s="59" t="str">
        <f t="shared" si="23"/>
        <v/>
      </c>
      <c r="I919" s="60"/>
      <c r="J919" s="61">
        <f t="shared" si="2"/>
        <v>11.27557656</v>
      </c>
      <c r="K919" s="58">
        <f>if(G919,_xlfn.workday.intl(int(G919),0,"1000000",Holidays!A:A)+19/24,"")</f>
        <v>46122.79167</v>
      </c>
      <c r="L919" s="59" t="str">
        <f t="shared" si="3"/>
        <v/>
      </c>
      <c r="M919" s="60"/>
      <c r="N919" s="61">
        <f t="shared" si="4"/>
        <v>11.19224323</v>
      </c>
      <c r="O919" s="63">
        <f>if(A919,_xlfn.WORKDAY.INTL(A919,O$5,"1000000",Holidays!A:A)+hour(A919)/24+MINUTE(A919)/1440,"")</f>
        <v>46122.57361</v>
      </c>
      <c r="P919" s="64" t="s">
        <v>2718</v>
      </c>
      <c r="R919" s="66">
        <f t="shared" si="5"/>
        <v>11.41029878</v>
      </c>
      <c r="S919" s="66"/>
      <c r="T919" s="66"/>
      <c r="U919" s="64">
        <f>if(O919,_xlfn.WORKDAY.INTL(O919,U$5,"1000000",Holidays!A:A)+hour(O919)/24+MINUTE(O919)/1440,"")</f>
        <v>46123.57361</v>
      </c>
      <c r="V919" s="64" t="str">
        <f t="shared" si="6"/>
        <v/>
      </c>
      <c r="W919" s="66"/>
      <c r="X919" s="66">
        <f t="shared" si="7"/>
        <v>10.41029878</v>
      </c>
      <c r="Y919" s="66"/>
      <c r="Z919" s="66"/>
      <c r="AA919" s="66"/>
      <c r="AB919" s="63"/>
      <c r="AC919" s="63"/>
      <c r="AD919" s="63"/>
      <c r="AE919" s="63"/>
      <c r="AF919" s="63"/>
      <c r="AG919" s="63"/>
      <c r="AH919" s="63" t="str">
        <f t="shared" si="14"/>
        <v/>
      </c>
      <c r="AI919" s="63" t="str">
        <f>if(AH919,_xlfn.workday.intl(int(AH919),0,"1000000",Holidays!A:A)+18/24,"")</f>
        <v/>
      </c>
      <c r="AJ919" s="64" t="str">
        <f t="shared" si="24"/>
        <v/>
      </c>
      <c r="AL919" s="66" t="str">
        <f t="shared" si="9"/>
        <v/>
      </c>
      <c r="AM919" s="66"/>
      <c r="AN919" s="63" t="str">
        <f>if(AJ919,if(and(hour(AJ919+AN$5)&gt;11,(hour(AJ919+AN$5)&lt;20)),AJ919+AN$5,_xlfn.workday.intl(int(AJ919),1,"1000000",Holidays!A:A)+hour(AJ919+AN$5-$B$1)/24+minute(AJ919)/1440),"")</f>
        <v/>
      </c>
      <c r="AO919" s="64" t="str">
        <f t="shared" si="15"/>
        <v/>
      </c>
      <c r="AQ919" s="66" t="str">
        <f t="shared" si="16"/>
        <v/>
      </c>
      <c r="AR919" s="66"/>
      <c r="AS919" s="63" t="str">
        <f>if(AJ919,if(and(hour(AJ919+AS$5)&gt;11,(hour(AJ919+AS$5)&lt;20)),AJ919+AS$5,_xlfn.workday.intl(int(AJ919),1,"1000000",Holidays!A:A)+hour(AJ919+AS$5-$B$1)/24+minute(AJ919)/1440),"")</f>
        <v/>
      </c>
      <c r="AT919" s="64" t="str">
        <f t="shared" si="21"/>
        <v/>
      </c>
      <c r="AV919" s="66" t="str">
        <f t="shared" si="25"/>
        <v/>
      </c>
      <c r="AW919" s="66"/>
      <c r="AX919" s="56"/>
    </row>
    <row r="920">
      <c r="A920" s="55">
        <v>46121.5749783912</v>
      </c>
      <c r="B920" s="56"/>
      <c r="C920" s="57"/>
      <c r="D920" s="57"/>
      <c r="E920" s="57"/>
      <c r="F920" s="57"/>
      <c r="G920" s="58">
        <f>if(A920,_xlfn.workday.intl(int(A920),1,"1000000",Holidays!A:A)+17/24,"")</f>
        <v>46122.70833</v>
      </c>
      <c r="H920" s="59" t="str">
        <f t="shared" si="23"/>
        <v/>
      </c>
      <c r="I920" s="60"/>
      <c r="J920" s="61">
        <f t="shared" si="2"/>
        <v>11.27557656</v>
      </c>
      <c r="K920" s="58">
        <f>if(G920,_xlfn.workday.intl(int(G920),0,"1000000",Holidays!A:A)+19/24,"")</f>
        <v>46122.79167</v>
      </c>
      <c r="L920" s="59" t="str">
        <f t="shared" si="3"/>
        <v/>
      </c>
      <c r="M920" s="60"/>
      <c r="N920" s="61">
        <f t="shared" si="4"/>
        <v>11.19224323</v>
      </c>
      <c r="O920" s="63">
        <f>if(A920,_xlfn.WORKDAY.INTL(A920,O$5,"1000000",Holidays!A:A)+hour(A920)/24+MINUTE(A920)/1440,"")</f>
        <v>46122.57431</v>
      </c>
      <c r="P920" s="64" t="s">
        <v>2718</v>
      </c>
      <c r="R920" s="66">
        <f t="shared" si="5"/>
        <v>11.40960434</v>
      </c>
      <c r="S920" s="66"/>
      <c r="T920" s="66"/>
      <c r="U920" s="64">
        <f>if(O920,_xlfn.WORKDAY.INTL(O920,U$5,"1000000",Holidays!A:A)+hour(O920)/24+MINUTE(O920)/1440,"")</f>
        <v>46123.57431</v>
      </c>
      <c r="V920" s="64" t="str">
        <f t="shared" si="6"/>
        <v/>
      </c>
      <c r="W920" s="66"/>
      <c r="X920" s="66">
        <f t="shared" si="7"/>
        <v>10.40960434</v>
      </c>
      <c r="Y920" s="66"/>
      <c r="Z920" s="66"/>
      <c r="AA920" s="66"/>
      <c r="AB920" s="63"/>
      <c r="AC920" s="63"/>
      <c r="AD920" s="63"/>
      <c r="AE920" s="63"/>
      <c r="AF920" s="63"/>
      <c r="AG920" s="63"/>
      <c r="AH920" s="63" t="str">
        <f t="shared" si="14"/>
        <v/>
      </c>
      <c r="AI920" s="63" t="str">
        <f>if(AH920,_xlfn.workday.intl(int(AH920),0,"1000000",Holidays!A:A)+18/24,"")</f>
        <v/>
      </c>
      <c r="AJ920" s="64" t="str">
        <f t="shared" si="24"/>
        <v/>
      </c>
      <c r="AL920" s="66" t="str">
        <f t="shared" si="9"/>
        <v/>
      </c>
      <c r="AM920" s="66"/>
      <c r="AN920" s="63" t="str">
        <f>if(AJ920,if(and(hour(AJ920+AN$5)&gt;11,(hour(AJ920+AN$5)&lt;20)),AJ920+AN$5,_xlfn.workday.intl(int(AJ920),1,"1000000",Holidays!A:A)+hour(AJ920+AN$5-$B$1)/24+minute(AJ920)/1440),"")</f>
        <v/>
      </c>
      <c r="AO920" s="64" t="str">
        <f t="shared" si="15"/>
        <v/>
      </c>
      <c r="AQ920" s="66" t="str">
        <f t="shared" si="16"/>
        <v/>
      </c>
      <c r="AR920" s="66"/>
      <c r="AS920" s="63" t="str">
        <f>if(AJ920,if(and(hour(AJ920+AS$5)&gt;11,(hour(AJ920+AS$5)&lt;20)),AJ920+AS$5,_xlfn.workday.intl(int(AJ920),1,"1000000",Holidays!A:A)+hour(AJ920+AS$5-$B$1)/24+minute(AJ920)/1440),"")</f>
        <v/>
      </c>
      <c r="AT920" s="64" t="str">
        <f t="shared" si="21"/>
        <v/>
      </c>
      <c r="AV920" s="66" t="str">
        <f t="shared" si="25"/>
        <v/>
      </c>
      <c r="AW920" s="66"/>
      <c r="AX920" s="56"/>
    </row>
    <row r="921">
      <c r="A921" s="55">
        <v>46121.575820972226</v>
      </c>
      <c r="B921" s="56"/>
      <c r="C921" s="57"/>
      <c r="D921" s="57"/>
      <c r="E921" s="57"/>
      <c r="F921" s="57"/>
      <c r="G921" s="58">
        <f>if(A921,_xlfn.workday.intl(int(A921),1,"1000000",Holidays!A:A)+17/24,"")</f>
        <v>46122.70833</v>
      </c>
      <c r="H921" s="59" t="str">
        <f t="shared" si="23"/>
        <v/>
      </c>
      <c r="I921" s="60"/>
      <c r="J921" s="61">
        <f t="shared" si="2"/>
        <v>11.27557656</v>
      </c>
      <c r="K921" s="58">
        <f>if(G921,_xlfn.workday.intl(int(G921),0,"1000000",Holidays!A:A)+19/24,"")</f>
        <v>46122.79167</v>
      </c>
      <c r="L921" s="59" t="str">
        <f t="shared" si="3"/>
        <v/>
      </c>
      <c r="M921" s="60"/>
      <c r="N921" s="61">
        <f t="shared" si="4"/>
        <v>11.19224323</v>
      </c>
      <c r="O921" s="63">
        <f>if(A921,_xlfn.WORKDAY.INTL(A921,O$5,"1000000",Holidays!A:A)+hour(A921)/24+MINUTE(A921)/1440,"")</f>
        <v>46122.57569</v>
      </c>
      <c r="P921" s="64" t="s">
        <v>2718</v>
      </c>
      <c r="R921" s="66">
        <f t="shared" si="5"/>
        <v>11.40821545</v>
      </c>
      <c r="S921" s="66"/>
      <c r="T921" s="66"/>
      <c r="U921" s="64">
        <f>if(O921,_xlfn.WORKDAY.INTL(O921,U$5,"1000000",Holidays!A:A)+hour(O921)/24+MINUTE(O921)/1440,"")</f>
        <v>46123.57569</v>
      </c>
      <c r="V921" s="64" t="str">
        <f t="shared" si="6"/>
        <v/>
      </c>
      <c r="W921" s="66"/>
      <c r="X921" s="66">
        <f t="shared" si="7"/>
        <v>10.40821545</v>
      </c>
      <c r="Y921" s="66"/>
      <c r="Z921" s="66"/>
      <c r="AA921" s="66"/>
      <c r="AB921" s="63"/>
      <c r="AC921" s="63"/>
      <c r="AD921" s="63"/>
      <c r="AE921" s="63"/>
      <c r="AF921" s="63"/>
      <c r="AG921" s="63"/>
      <c r="AH921" s="63" t="str">
        <f t="shared" si="14"/>
        <v/>
      </c>
      <c r="AI921" s="63" t="str">
        <f>if(AH921,_xlfn.workday.intl(int(AH921),0,"1000000",Holidays!A:A)+18/24,"")</f>
        <v/>
      </c>
      <c r="AJ921" s="64" t="str">
        <f t="shared" si="24"/>
        <v/>
      </c>
      <c r="AL921" s="66" t="str">
        <f t="shared" si="9"/>
        <v/>
      </c>
      <c r="AM921" s="66"/>
      <c r="AN921" s="63" t="str">
        <f>if(AJ921,if(and(hour(AJ921+AN$5)&gt;11,(hour(AJ921+AN$5)&lt;20)),AJ921+AN$5,_xlfn.workday.intl(int(AJ921),1,"1000000",Holidays!A:A)+hour(AJ921+AN$5-$B$1)/24+minute(AJ921)/1440),"")</f>
        <v/>
      </c>
      <c r="AO921" s="64" t="str">
        <f t="shared" si="15"/>
        <v/>
      </c>
      <c r="AQ921" s="66" t="str">
        <f t="shared" si="16"/>
        <v/>
      </c>
      <c r="AR921" s="66"/>
      <c r="AS921" s="63" t="str">
        <f>if(AJ921,if(and(hour(AJ921+AS$5)&gt;11,(hour(AJ921+AS$5)&lt;20)),AJ921+AS$5,_xlfn.workday.intl(int(AJ921),1,"1000000",Holidays!A:A)+hour(AJ921+AS$5-$B$1)/24+minute(AJ921)/1440),"")</f>
        <v/>
      </c>
      <c r="AT921" s="64" t="str">
        <f t="shared" si="21"/>
        <v/>
      </c>
      <c r="AV921" s="66" t="str">
        <f t="shared" si="25"/>
        <v/>
      </c>
      <c r="AW921" s="66"/>
      <c r="AX921" s="56"/>
    </row>
    <row r="922">
      <c r="A922" s="55">
        <v>46121.57683478009</v>
      </c>
      <c r="B922" s="56"/>
      <c r="C922" s="57"/>
      <c r="D922" s="57"/>
      <c r="E922" s="57"/>
      <c r="F922" s="57"/>
      <c r="G922" s="58">
        <f>if(A922,_xlfn.workday.intl(int(A922),1,"1000000",Holidays!A:A)+17/24,"")</f>
        <v>46122.70833</v>
      </c>
      <c r="H922" s="59" t="str">
        <f t="shared" si="23"/>
        <v/>
      </c>
      <c r="I922" s="60"/>
      <c r="J922" s="61">
        <f t="shared" si="2"/>
        <v>11.27557656</v>
      </c>
      <c r="K922" s="58">
        <f>if(G922,_xlfn.workday.intl(int(G922),0,"1000000",Holidays!A:A)+19/24,"")</f>
        <v>46122.79167</v>
      </c>
      <c r="L922" s="59" t="str">
        <f t="shared" si="3"/>
        <v/>
      </c>
      <c r="M922" s="60"/>
      <c r="N922" s="61">
        <f t="shared" si="4"/>
        <v>11.19224323</v>
      </c>
      <c r="O922" s="63">
        <f>if(A922,_xlfn.WORKDAY.INTL(A922,O$5,"1000000",Holidays!A:A)+hour(A922)/24+MINUTE(A922)/1440,"")</f>
        <v>46122.57639</v>
      </c>
      <c r="P922" s="64" t="s">
        <v>2718</v>
      </c>
      <c r="R922" s="66">
        <f t="shared" si="5"/>
        <v>11.40752101</v>
      </c>
      <c r="S922" s="66"/>
      <c r="T922" s="66"/>
      <c r="U922" s="64">
        <f>if(O922,_xlfn.WORKDAY.INTL(O922,U$5,"1000000",Holidays!A:A)+hour(O922)/24+MINUTE(O922)/1440,"")</f>
        <v>46123.57639</v>
      </c>
      <c r="V922" s="64" t="str">
        <f t="shared" si="6"/>
        <v/>
      </c>
      <c r="W922" s="66"/>
      <c r="X922" s="66">
        <f t="shared" si="7"/>
        <v>10.40752101</v>
      </c>
      <c r="Y922" s="66"/>
      <c r="Z922" s="66"/>
      <c r="AA922" s="66"/>
      <c r="AB922" s="63"/>
      <c r="AC922" s="63"/>
      <c r="AD922" s="63"/>
      <c r="AE922" s="63"/>
      <c r="AF922" s="63"/>
      <c r="AG922" s="63"/>
      <c r="AH922" s="63" t="str">
        <f t="shared" si="14"/>
        <v/>
      </c>
      <c r="AI922" s="63" t="str">
        <f>if(AH922,_xlfn.workday.intl(int(AH922),0,"1000000",Holidays!A:A)+18/24,"")</f>
        <v/>
      </c>
      <c r="AJ922" s="64" t="str">
        <f t="shared" si="24"/>
        <v/>
      </c>
      <c r="AL922" s="66" t="str">
        <f t="shared" si="9"/>
        <v/>
      </c>
      <c r="AM922" s="66"/>
      <c r="AN922" s="63" t="str">
        <f>if(AJ922,if(and(hour(AJ922+AN$5)&gt;11,(hour(AJ922+AN$5)&lt;20)),AJ922+AN$5,_xlfn.workday.intl(int(AJ922),1,"1000000",Holidays!A:A)+hour(AJ922+AN$5-$B$1)/24+minute(AJ922)/1440),"")</f>
        <v/>
      </c>
      <c r="AO922" s="64" t="str">
        <f t="shared" si="15"/>
        <v/>
      </c>
      <c r="AQ922" s="66" t="str">
        <f t="shared" si="16"/>
        <v/>
      </c>
      <c r="AR922" s="66"/>
      <c r="AS922" s="63" t="str">
        <f>if(AJ922,if(and(hour(AJ922+AS$5)&gt;11,(hour(AJ922+AS$5)&lt;20)),AJ922+AS$5,_xlfn.workday.intl(int(AJ922),1,"1000000",Holidays!A:A)+hour(AJ922+AS$5-$B$1)/24+minute(AJ922)/1440),"")</f>
        <v/>
      </c>
      <c r="AT922" s="64" t="str">
        <f t="shared" si="21"/>
        <v/>
      </c>
      <c r="AV922" s="66" t="str">
        <f t="shared" si="25"/>
        <v/>
      </c>
      <c r="AW922" s="66"/>
      <c r="AX922" s="56"/>
    </row>
    <row r="923">
      <c r="A923" s="55">
        <v>46121.57766634259</v>
      </c>
      <c r="B923" s="56"/>
      <c r="C923" s="57"/>
      <c r="D923" s="57"/>
      <c r="E923" s="57"/>
      <c r="F923" s="57"/>
      <c r="G923" s="58">
        <f>if(A923,_xlfn.workday.intl(int(A923),1,"1000000",Holidays!A:A)+17/24,"")</f>
        <v>46122.70833</v>
      </c>
      <c r="H923" s="59" t="str">
        <f t="shared" si="23"/>
        <v/>
      </c>
      <c r="I923" s="60"/>
      <c r="J923" s="61">
        <f t="shared" si="2"/>
        <v>11.27557656</v>
      </c>
      <c r="K923" s="58">
        <f>if(G923,_xlfn.workday.intl(int(G923),0,"1000000",Holidays!A:A)+19/24,"")</f>
        <v>46122.79167</v>
      </c>
      <c r="L923" s="59" t="str">
        <f t="shared" si="3"/>
        <v/>
      </c>
      <c r="M923" s="60"/>
      <c r="N923" s="61">
        <f t="shared" si="4"/>
        <v>11.19224323</v>
      </c>
      <c r="O923" s="63">
        <f>if(A923,_xlfn.WORKDAY.INTL(A923,O$5,"1000000",Holidays!A:A)+hour(A923)/24+MINUTE(A923)/1440,"")</f>
        <v>46122.57708</v>
      </c>
      <c r="P923" s="64" t="s">
        <v>2718</v>
      </c>
      <c r="R923" s="66">
        <f t="shared" si="5"/>
        <v>11.40682656</v>
      </c>
      <c r="S923" s="66"/>
      <c r="T923" s="66"/>
      <c r="U923" s="64">
        <f>if(O923,_xlfn.WORKDAY.INTL(O923,U$5,"1000000",Holidays!A:A)+hour(O923)/24+MINUTE(O923)/1440,"")</f>
        <v>46123.57708</v>
      </c>
      <c r="V923" s="64" t="str">
        <f t="shared" si="6"/>
        <v/>
      </c>
      <c r="W923" s="66"/>
      <c r="X923" s="66">
        <f t="shared" si="7"/>
        <v>10.40682656</v>
      </c>
      <c r="Y923" s="66"/>
      <c r="Z923" s="66"/>
      <c r="AA923" s="66"/>
      <c r="AB923" s="63"/>
      <c r="AC923" s="63"/>
      <c r="AD923" s="63"/>
      <c r="AE923" s="63"/>
      <c r="AF923" s="63"/>
      <c r="AG923" s="63"/>
      <c r="AH923" s="63" t="str">
        <f t="shared" si="14"/>
        <v/>
      </c>
      <c r="AI923" s="63" t="str">
        <f>if(AH923,_xlfn.workday.intl(int(AH923),0,"1000000",Holidays!A:A)+18/24,"")</f>
        <v/>
      </c>
      <c r="AJ923" s="64" t="str">
        <f t="shared" si="24"/>
        <v/>
      </c>
      <c r="AL923" s="66" t="str">
        <f t="shared" si="9"/>
        <v/>
      </c>
      <c r="AM923" s="66"/>
      <c r="AN923" s="63" t="str">
        <f>if(AJ923,if(and(hour(AJ923+AN$5)&gt;11,(hour(AJ923+AN$5)&lt;20)),AJ923+AN$5,_xlfn.workday.intl(int(AJ923),1,"1000000",Holidays!A:A)+hour(AJ923+AN$5-$B$1)/24+minute(AJ923)/1440),"")</f>
        <v/>
      </c>
      <c r="AO923" s="64" t="str">
        <f t="shared" si="15"/>
        <v/>
      </c>
      <c r="AQ923" s="66" t="str">
        <f t="shared" si="16"/>
        <v/>
      </c>
      <c r="AR923" s="66"/>
      <c r="AS923" s="63" t="str">
        <f>if(AJ923,if(and(hour(AJ923+AS$5)&gt;11,(hour(AJ923+AS$5)&lt;20)),AJ923+AS$5,_xlfn.workday.intl(int(AJ923),1,"1000000",Holidays!A:A)+hour(AJ923+AS$5-$B$1)/24+minute(AJ923)/1440),"")</f>
        <v/>
      </c>
      <c r="AT923" s="64" t="str">
        <f t="shared" si="21"/>
        <v/>
      </c>
      <c r="AV923" s="66" t="str">
        <f t="shared" si="25"/>
        <v/>
      </c>
      <c r="AW923" s="66"/>
      <c r="AX923" s="56"/>
    </row>
    <row r="924">
      <c r="A924" s="55">
        <v>46121.578147002314</v>
      </c>
      <c r="B924" s="56"/>
      <c r="C924" s="57"/>
      <c r="D924" s="57"/>
      <c r="E924" s="57"/>
      <c r="F924" s="57"/>
      <c r="G924" s="58">
        <f>if(A924,_xlfn.workday.intl(int(A924),1,"1000000",Holidays!A:A)+17/24,"")</f>
        <v>46122.70833</v>
      </c>
      <c r="H924" s="59" t="str">
        <f t="shared" si="23"/>
        <v/>
      </c>
      <c r="I924" s="60"/>
      <c r="J924" s="61">
        <f t="shared" si="2"/>
        <v>11.27557656</v>
      </c>
      <c r="K924" s="58">
        <f>if(G924,_xlfn.workday.intl(int(G924),0,"1000000",Holidays!A:A)+19/24,"")</f>
        <v>46122.79167</v>
      </c>
      <c r="L924" s="59" t="str">
        <f t="shared" si="3"/>
        <v/>
      </c>
      <c r="M924" s="60"/>
      <c r="N924" s="61">
        <f t="shared" si="4"/>
        <v>11.19224323</v>
      </c>
      <c r="O924" s="63">
        <f>if(A924,_xlfn.WORKDAY.INTL(A924,O$5,"1000000",Holidays!A:A)+hour(A924)/24+MINUTE(A924)/1440,"")</f>
        <v>46122.57778</v>
      </c>
      <c r="P924" s="64" t="s">
        <v>2718</v>
      </c>
      <c r="R924" s="66">
        <f t="shared" si="5"/>
        <v>11.40613212</v>
      </c>
      <c r="S924" s="66"/>
      <c r="T924" s="66"/>
      <c r="U924" s="64">
        <f>if(O924,_xlfn.WORKDAY.INTL(O924,U$5,"1000000",Holidays!A:A)+hour(O924)/24+MINUTE(O924)/1440,"")</f>
        <v>46123.57778</v>
      </c>
      <c r="V924" s="64" t="str">
        <f t="shared" si="6"/>
        <v/>
      </c>
      <c r="W924" s="66"/>
      <c r="X924" s="66">
        <f t="shared" si="7"/>
        <v>10.40613212</v>
      </c>
      <c r="Y924" s="66"/>
      <c r="Z924" s="66"/>
      <c r="AA924" s="66"/>
      <c r="AB924" s="63"/>
      <c r="AC924" s="63"/>
      <c r="AD924" s="63"/>
      <c r="AE924" s="63"/>
      <c r="AF924" s="63"/>
      <c r="AG924" s="63"/>
      <c r="AH924" s="63" t="str">
        <f t="shared" si="14"/>
        <v/>
      </c>
      <c r="AI924" s="63" t="str">
        <f>if(AH924,_xlfn.workday.intl(int(AH924),0,"1000000",Holidays!A:A)+18/24,"")</f>
        <v/>
      </c>
      <c r="AJ924" s="64" t="str">
        <f t="shared" si="24"/>
        <v/>
      </c>
      <c r="AL924" s="66" t="str">
        <f t="shared" si="9"/>
        <v/>
      </c>
      <c r="AM924" s="66"/>
      <c r="AN924" s="63" t="str">
        <f>if(AJ924,if(and(hour(AJ924+AN$5)&gt;11,(hour(AJ924+AN$5)&lt;20)),AJ924+AN$5,_xlfn.workday.intl(int(AJ924),1,"1000000",Holidays!A:A)+hour(AJ924+AN$5-$B$1)/24+minute(AJ924)/1440),"")</f>
        <v/>
      </c>
      <c r="AO924" s="64" t="str">
        <f t="shared" si="15"/>
        <v/>
      </c>
      <c r="AQ924" s="66" t="str">
        <f t="shared" si="16"/>
        <v/>
      </c>
      <c r="AR924" s="66"/>
      <c r="AS924" s="63" t="str">
        <f>if(AJ924,if(and(hour(AJ924+AS$5)&gt;11,(hour(AJ924+AS$5)&lt;20)),AJ924+AS$5,_xlfn.workday.intl(int(AJ924),1,"1000000",Holidays!A:A)+hour(AJ924+AS$5-$B$1)/24+minute(AJ924)/1440),"")</f>
        <v/>
      </c>
      <c r="AT924" s="64" t="str">
        <f t="shared" si="21"/>
        <v/>
      </c>
      <c r="AV924" s="66" t="str">
        <f t="shared" si="25"/>
        <v/>
      </c>
      <c r="AW924" s="66"/>
      <c r="AX924" s="56"/>
    </row>
    <row r="925">
      <c r="A925" s="55">
        <v>46121.639554340276</v>
      </c>
      <c r="B925" s="56"/>
      <c r="C925" s="57"/>
      <c r="D925" s="57"/>
      <c r="E925" s="57"/>
      <c r="F925" s="57"/>
      <c r="G925" s="58">
        <f>if(A925,_xlfn.workday.intl(int(A925),1,"1000000",Holidays!A:A)+17/24,"")</f>
        <v>46122.70833</v>
      </c>
      <c r="H925" s="59" t="str">
        <f t="shared" si="23"/>
        <v/>
      </c>
      <c r="I925" s="60"/>
      <c r="J925" s="61">
        <f t="shared" si="2"/>
        <v>11.27557656</v>
      </c>
      <c r="K925" s="58">
        <f>if(G925,_xlfn.workday.intl(int(G925),0,"1000000",Holidays!A:A)+19/24,"")</f>
        <v>46122.79167</v>
      </c>
      <c r="L925" s="59" t="str">
        <f t="shared" si="3"/>
        <v/>
      </c>
      <c r="M925" s="60"/>
      <c r="N925" s="61">
        <f t="shared" si="4"/>
        <v>11.19224323</v>
      </c>
      <c r="O925" s="63">
        <f>if(A925,_xlfn.WORKDAY.INTL(A925,O$5,"1000000",Holidays!A:A)+hour(A925)/24+MINUTE(A925)/1440,"")</f>
        <v>46122.63889</v>
      </c>
      <c r="P925" s="64" t="s">
        <v>2718</v>
      </c>
      <c r="R925" s="66">
        <f t="shared" si="5"/>
        <v>11.34502101</v>
      </c>
      <c r="S925" s="66"/>
      <c r="T925" s="66"/>
      <c r="U925" s="64">
        <f>if(O925,_xlfn.WORKDAY.INTL(O925,U$5,"1000000",Holidays!A:A)+hour(O925)/24+MINUTE(O925)/1440,"")</f>
        <v>46123.63889</v>
      </c>
      <c r="V925" s="64" t="str">
        <f t="shared" si="6"/>
        <v/>
      </c>
      <c r="W925" s="66"/>
      <c r="X925" s="66">
        <f t="shared" si="7"/>
        <v>10.34502101</v>
      </c>
      <c r="Y925" s="66"/>
      <c r="Z925" s="66"/>
      <c r="AA925" s="66"/>
      <c r="AB925" s="63"/>
      <c r="AC925" s="63"/>
      <c r="AD925" s="63"/>
      <c r="AE925" s="63"/>
      <c r="AF925" s="63"/>
      <c r="AG925" s="63"/>
      <c r="AH925" s="63" t="str">
        <f t="shared" si="14"/>
        <v/>
      </c>
      <c r="AI925" s="63" t="str">
        <f>if(AH925,_xlfn.workday.intl(int(AH925),0,"1000000",Holidays!A:A)+18/24,"")</f>
        <v/>
      </c>
      <c r="AJ925" s="64" t="str">
        <f t="shared" si="24"/>
        <v/>
      </c>
      <c r="AL925" s="66" t="str">
        <f t="shared" si="9"/>
        <v/>
      </c>
      <c r="AM925" s="66"/>
      <c r="AN925" s="63" t="str">
        <f>if(AJ925,if(and(hour(AJ925+AN$5)&gt;11,(hour(AJ925+AN$5)&lt;20)),AJ925+AN$5,_xlfn.workday.intl(int(AJ925),1,"1000000",Holidays!A:A)+hour(AJ925+AN$5-$B$1)/24+minute(AJ925)/1440),"")</f>
        <v/>
      </c>
      <c r="AO925" s="64" t="str">
        <f t="shared" si="15"/>
        <v/>
      </c>
      <c r="AQ925" s="66" t="str">
        <f t="shared" si="16"/>
        <v/>
      </c>
      <c r="AR925" s="66"/>
      <c r="AS925" s="63" t="str">
        <f>if(AJ925,if(and(hour(AJ925+AS$5)&gt;11,(hour(AJ925+AS$5)&lt;20)),AJ925+AS$5,_xlfn.workday.intl(int(AJ925),1,"1000000",Holidays!A:A)+hour(AJ925+AS$5-$B$1)/24+minute(AJ925)/1440),"")</f>
        <v/>
      </c>
      <c r="AT925" s="64" t="str">
        <f t="shared" si="21"/>
        <v/>
      </c>
      <c r="AV925" s="66" t="str">
        <f t="shared" si="25"/>
        <v/>
      </c>
      <c r="AW925" s="66"/>
      <c r="AX925" s="56"/>
    </row>
    <row r="926">
      <c r="A926" s="55">
        <v>46122.73859690972</v>
      </c>
      <c r="B926" s="56"/>
      <c r="C926" s="57"/>
      <c r="D926" s="57"/>
      <c r="E926" s="57"/>
      <c r="F926" s="57"/>
      <c r="G926" s="58">
        <f>if(A926,_xlfn.workday.intl(int(A926),1,"1000000",Holidays!A:A)+17/24,"")</f>
        <v>46123.70833</v>
      </c>
      <c r="H926" s="59" t="str">
        <f t="shared" si="23"/>
        <v/>
      </c>
      <c r="I926" s="60"/>
      <c r="J926" s="61">
        <f t="shared" si="2"/>
        <v>10.27557656</v>
      </c>
      <c r="K926" s="58">
        <f>if(G926,_xlfn.workday.intl(int(G926),0,"1000000",Holidays!A:A)+19/24,"")</f>
        <v>46123.79167</v>
      </c>
      <c r="L926" s="59" t="str">
        <f t="shared" si="3"/>
        <v/>
      </c>
      <c r="M926" s="60"/>
      <c r="N926" s="61">
        <f t="shared" si="4"/>
        <v>10.19224323</v>
      </c>
      <c r="O926" s="63">
        <f>if(A926,_xlfn.WORKDAY.INTL(A926,O$5,"1000000",Holidays!A:A)+hour(A926)/24+MINUTE(A926)/1440,"")</f>
        <v>46123.73819</v>
      </c>
      <c r="P926" s="64" t="s">
        <v>2718</v>
      </c>
      <c r="R926" s="66">
        <f t="shared" si="5"/>
        <v>10.24571545</v>
      </c>
      <c r="S926" s="66"/>
      <c r="T926" s="66"/>
      <c r="U926" s="64">
        <f>if(O926,_xlfn.WORKDAY.INTL(O926,U$5,"1000000",Holidays!A:A)+hour(O926)/24+MINUTE(O926)/1440,"")</f>
        <v>46124.73819</v>
      </c>
      <c r="V926" s="64" t="str">
        <f t="shared" si="6"/>
        <v/>
      </c>
      <c r="W926" s="66"/>
      <c r="X926" s="66">
        <f t="shared" si="7"/>
        <v>9.245715451</v>
      </c>
      <c r="Y926" s="66"/>
      <c r="Z926" s="66"/>
      <c r="AA926" s="66"/>
      <c r="AB926" s="63"/>
      <c r="AC926" s="63"/>
      <c r="AD926" s="63"/>
      <c r="AE926" s="63"/>
      <c r="AF926" s="63"/>
      <c r="AG926" s="63"/>
      <c r="AH926" s="63" t="str">
        <f t="shared" si="14"/>
        <v/>
      </c>
      <c r="AI926" s="63" t="str">
        <f>if(AH926,_xlfn.workday.intl(int(AH926),0,"1000000",Holidays!A:A)+18/24,"")</f>
        <v/>
      </c>
      <c r="AJ926" s="64" t="str">
        <f t="shared" si="24"/>
        <v/>
      </c>
      <c r="AL926" s="66" t="str">
        <f t="shared" si="9"/>
        <v/>
      </c>
      <c r="AM926" s="66"/>
      <c r="AN926" s="63" t="str">
        <f>if(AJ926,if(and(hour(AJ926+AN$5)&gt;11,(hour(AJ926+AN$5)&lt;20)),AJ926+AN$5,_xlfn.workday.intl(int(AJ926),1,"1000000",Holidays!A:A)+hour(AJ926+AN$5-$B$1)/24+minute(AJ926)/1440),"")</f>
        <v/>
      </c>
      <c r="AO926" s="64" t="str">
        <f t="shared" si="15"/>
        <v/>
      </c>
      <c r="AQ926" s="66" t="str">
        <f t="shared" si="16"/>
        <v/>
      </c>
      <c r="AR926" s="66"/>
      <c r="AS926" s="63" t="str">
        <f>if(AJ926,if(and(hour(AJ926+AS$5)&gt;11,(hour(AJ926+AS$5)&lt;20)),AJ926+AS$5,_xlfn.workday.intl(int(AJ926),1,"1000000",Holidays!A:A)+hour(AJ926+AS$5-$B$1)/24+minute(AJ926)/1440),"")</f>
        <v/>
      </c>
      <c r="AT926" s="64" t="str">
        <f t="shared" si="21"/>
        <v/>
      </c>
      <c r="AV926" s="66" t="str">
        <f t="shared" si="25"/>
        <v/>
      </c>
      <c r="AW926" s="66"/>
      <c r="AX926" s="56"/>
    </row>
    <row r="927">
      <c r="A927" s="55">
        <v>46122.81245434028</v>
      </c>
      <c r="B927" s="56"/>
      <c r="C927" s="57"/>
      <c r="D927" s="57"/>
      <c r="E927" s="57"/>
      <c r="F927" s="57"/>
      <c r="G927" s="58">
        <f>if(A927,_xlfn.workday.intl(int(A927),1,"1000000",Holidays!A:A)+17/24,"")</f>
        <v>46123.70833</v>
      </c>
      <c r="H927" s="59" t="str">
        <f t="shared" si="23"/>
        <v/>
      </c>
      <c r="I927" s="60"/>
      <c r="J927" s="61">
        <f t="shared" si="2"/>
        <v>10.27557656</v>
      </c>
      <c r="K927" s="58">
        <f>if(G927,_xlfn.workday.intl(int(G927),0,"1000000",Holidays!A:A)+19/24,"")</f>
        <v>46123.79167</v>
      </c>
      <c r="L927" s="59" t="str">
        <f t="shared" si="3"/>
        <v/>
      </c>
      <c r="M927" s="60"/>
      <c r="N927" s="61">
        <f t="shared" si="4"/>
        <v>10.19224323</v>
      </c>
      <c r="O927" s="63">
        <f>if(A927,_xlfn.WORKDAY.INTL(A927,O$5,"1000000",Holidays!A:A)+hour(A927)/24+MINUTE(A927)/1440,"")</f>
        <v>46123.81181</v>
      </c>
      <c r="P927" s="64" t="s">
        <v>2718</v>
      </c>
      <c r="R927" s="66">
        <f t="shared" si="5"/>
        <v>10.17210434</v>
      </c>
      <c r="S927" s="66"/>
      <c r="T927" s="66"/>
      <c r="U927" s="64">
        <f>if(O927,_xlfn.WORKDAY.INTL(O927,U$5,"1000000",Holidays!A:A)+hour(O927)/24+MINUTE(O927)/1440,"")</f>
        <v>46124.81181</v>
      </c>
      <c r="V927" s="64" t="str">
        <f t="shared" si="6"/>
        <v/>
      </c>
      <c r="W927" s="66"/>
      <c r="X927" s="66">
        <f t="shared" si="7"/>
        <v>9.17210434</v>
      </c>
      <c r="Y927" s="66"/>
      <c r="Z927" s="66"/>
      <c r="AA927" s="66"/>
      <c r="AB927" s="63"/>
      <c r="AC927" s="63"/>
      <c r="AD927" s="63"/>
      <c r="AE927" s="63"/>
      <c r="AF927" s="63"/>
      <c r="AG927" s="63"/>
      <c r="AH927" s="63" t="str">
        <f t="shared" si="14"/>
        <v/>
      </c>
      <c r="AI927" s="63" t="str">
        <f>if(AH927,_xlfn.workday.intl(int(AH927),0,"1000000",Holidays!A:A)+18/24,"")</f>
        <v/>
      </c>
      <c r="AJ927" s="64" t="str">
        <f t="shared" si="24"/>
        <v/>
      </c>
      <c r="AL927" s="66" t="str">
        <f t="shared" si="9"/>
        <v/>
      </c>
      <c r="AM927" s="66"/>
      <c r="AN927" s="63" t="str">
        <f>if(AJ927,if(and(hour(AJ927+AN$5)&gt;11,(hour(AJ927+AN$5)&lt;20)),AJ927+AN$5,_xlfn.workday.intl(int(AJ927),1,"1000000",Holidays!A:A)+hour(AJ927+AN$5-$B$1)/24+minute(AJ927)/1440),"")</f>
        <v/>
      </c>
      <c r="AO927" s="64" t="str">
        <f t="shared" si="15"/>
        <v/>
      </c>
      <c r="AQ927" s="66" t="str">
        <f t="shared" si="16"/>
        <v/>
      </c>
      <c r="AR927" s="66"/>
      <c r="AS927" s="63" t="str">
        <f>if(AJ927,if(and(hour(AJ927+AS$5)&gt;11,(hour(AJ927+AS$5)&lt;20)),AJ927+AS$5,_xlfn.workday.intl(int(AJ927),1,"1000000",Holidays!A:A)+hour(AJ927+AS$5-$B$1)/24+minute(AJ927)/1440),"")</f>
        <v/>
      </c>
      <c r="AT927" s="64" t="str">
        <f t="shared" si="21"/>
        <v/>
      </c>
      <c r="AV927" s="66" t="str">
        <f t="shared" si="25"/>
        <v/>
      </c>
      <c r="AW927" s="66"/>
      <c r="AX927" s="56"/>
    </row>
    <row r="928">
      <c r="A928" s="55">
        <v>46122.81306083333</v>
      </c>
      <c r="B928" s="56"/>
      <c r="C928" s="57"/>
      <c r="D928" s="57"/>
      <c r="E928" s="57"/>
      <c r="F928" s="57"/>
      <c r="G928" s="58">
        <f>if(A928,_xlfn.workday.intl(int(A928),1,"1000000",Holidays!A:A)+17/24,"")</f>
        <v>46123.70833</v>
      </c>
      <c r="H928" s="59" t="str">
        <f t="shared" si="23"/>
        <v/>
      </c>
      <c r="I928" s="60"/>
      <c r="J928" s="61">
        <f t="shared" si="2"/>
        <v>10.27557656</v>
      </c>
      <c r="K928" s="58">
        <f>if(G928,_xlfn.workday.intl(int(G928),0,"1000000",Holidays!A:A)+19/24,"")</f>
        <v>46123.79167</v>
      </c>
      <c r="L928" s="59" t="str">
        <f t="shared" si="3"/>
        <v/>
      </c>
      <c r="M928" s="60"/>
      <c r="N928" s="61">
        <f t="shared" si="4"/>
        <v>10.19224323</v>
      </c>
      <c r="O928" s="63">
        <f>if(A928,_xlfn.WORKDAY.INTL(A928,O$5,"1000000",Holidays!A:A)+hour(A928)/24+MINUTE(A928)/1440,"")</f>
        <v>46123.8125</v>
      </c>
      <c r="P928" s="64" t="s">
        <v>2718</v>
      </c>
      <c r="R928" s="66">
        <f t="shared" si="5"/>
        <v>10.1714099</v>
      </c>
      <c r="S928" s="66"/>
      <c r="T928" s="66"/>
      <c r="U928" s="64">
        <f>if(O928,_xlfn.WORKDAY.INTL(O928,U$5,"1000000",Holidays!A:A)+hour(O928)/24+MINUTE(O928)/1440,"")</f>
        <v>46124.8125</v>
      </c>
      <c r="V928" s="64" t="str">
        <f t="shared" si="6"/>
        <v/>
      </c>
      <c r="W928" s="66"/>
      <c r="X928" s="66">
        <f t="shared" si="7"/>
        <v>9.171409896</v>
      </c>
      <c r="Y928" s="66"/>
      <c r="Z928" s="66"/>
      <c r="AA928" s="66"/>
      <c r="AB928" s="63"/>
      <c r="AC928" s="63"/>
      <c r="AD928" s="63"/>
      <c r="AE928" s="63"/>
      <c r="AF928" s="63"/>
      <c r="AG928" s="63"/>
      <c r="AH928" s="63" t="str">
        <f t="shared" si="14"/>
        <v/>
      </c>
      <c r="AI928" s="63" t="str">
        <f>if(AH928,_xlfn.workday.intl(int(AH928),0,"1000000",Holidays!A:A)+18/24,"")</f>
        <v/>
      </c>
      <c r="AJ928" s="64" t="str">
        <f t="shared" si="24"/>
        <v/>
      </c>
      <c r="AL928" s="66" t="str">
        <f t="shared" si="9"/>
        <v/>
      </c>
      <c r="AM928" s="66"/>
      <c r="AN928" s="63" t="str">
        <f>if(AJ928,if(and(hour(AJ928+AN$5)&gt;11,(hour(AJ928+AN$5)&lt;20)),AJ928+AN$5,_xlfn.workday.intl(int(AJ928),1,"1000000",Holidays!A:A)+hour(AJ928+AN$5-$B$1)/24+minute(AJ928)/1440),"")</f>
        <v/>
      </c>
      <c r="AO928" s="64" t="str">
        <f t="shared" si="15"/>
        <v/>
      </c>
      <c r="AQ928" s="66" t="str">
        <f t="shared" si="16"/>
        <v/>
      </c>
      <c r="AR928" s="66"/>
      <c r="AS928" s="63" t="str">
        <f>if(AJ928,if(and(hour(AJ928+AS$5)&gt;11,(hour(AJ928+AS$5)&lt;20)),AJ928+AS$5,_xlfn.workday.intl(int(AJ928),1,"1000000",Holidays!A:A)+hour(AJ928+AS$5-$B$1)/24+minute(AJ928)/1440),"")</f>
        <v/>
      </c>
      <c r="AT928" s="64" t="str">
        <f t="shared" si="21"/>
        <v/>
      </c>
      <c r="AV928" s="66" t="str">
        <f t="shared" si="25"/>
        <v/>
      </c>
      <c r="AW928" s="66"/>
      <c r="AX928" s="56"/>
    </row>
    <row r="929">
      <c r="A929" s="55">
        <v>46122.814128240745</v>
      </c>
      <c r="B929" s="56"/>
      <c r="C929" s="57"/>
      <c r="D929" s="57"/>
      <c r="E929" s="57"/>
      <c r="F929" s="57"/>
      <c r="G929" s="58">
        <f>if(A929,_xlfn.workday.intl(int(A929),1,"1000000",Holidays!A:A)+17/24,"")</f>
        <v>46123.70833</v>
      </c>
      <c r="H929" s="59" t="str">
        <f t="shared" si="23"/>
        <v/>
      </c>
      <c r="I929" s="60"/>
      <c r="J929" s="61">
        <f t="shared" si="2"/>
        <v>10.27557656</v>
      </c>
      <c r="K929" s="58">
        <f>if(G929,_xlfn.workday.intl(int(G929),0,"1000000",Holidays!A:A)+19/24,"")</f>
        <v>46123.79167</v>
      </c>
      <c r="L929" s="59" t="str">
        <f t="shared" si="3"/>
        <v/>
      </c>
      <c r="M929" s="60"/>
      <c r="N929" s="61">
        <f t="shared" si="4"/>
        <v>10.19224323</v>
      </c>
      <c r="O929" s="63">
        <f>if(A929,_xlfn.WORKDAY.INTL(A929,O$5,"1000000",Holidays!A:A)+hour(A929)/24+MINUTE(A929)/1440,"")</f>
        <v>46123.81389</v>
      </c>
      <c r="P929" s="64" t="s">
        <v>2718</v>
      </c>
      <c r="R929" s="66">
        <f t="shared" si="5"/>
        <v>10.17002101</v>
      </c>
      <c r="S929" s="66"/>
      <c r="T929" s="66"/>
      <c r="U929" s="64">
        <f>if(O929,_xlfn.WORKDAY.INTL(O929,U$5,"1000000",Holidays!A:A)+hour(O929)/24+MINUTE(O929)/1440,"")</f>
        <v>46124.81389</v>
      </c>
      <c r="V929" s="64" t="str">
        <f t="shared" si="6"/>
        <v/>
      </c>
      <c r="W929" s="66"/>
      <c r="X929" s="66">
        <f t="shared" si="7"/>
        <v>9.170021007</v>
      </c>
      <c r="Y929" s="66"/>
      <c r="Z929" s="66"/>
      <c r="AA929" s="66"/>
      <c r="AB929" s="63"/>
      <c r="AC929" s="63"/>
      <c r="AD929" s="63"/>
      <c r="AE929" s="63"/>
      <c r="AF929" s="63"/>
      <c r="AG929" s="63"/>
      <c r="AH929" s="63" t="str">
        <f t="shared" si="14"/>
        <v/>
      </c>
      <c r="AI929" s="63" t="str">
        <f>if(AH929,_xlfn.workday.intl(int(AH929),0,"1000000",Holidays!A:A)+18/24,"")</f>
        <v/>
      </c>
      <c r="AJ929" s="64" t="str">
        <f t="shared" si="24"/>
        <v/>
      </c>
      <c r="AL929" s="66" t="str">
        <f t="shared" si="9"/>
        <v/>
      </c>
      <c r="AM929" s="66"/>
      <c r="AN929" s="63" t="str">
        <f>if(AJ929,if(and(hour(AJ929+AN$5)&gt;11,(hour(AJ929+AN$5)&lt;20)),AJ929+AN$5,_xlfn.workday.intl(int(AJ929),1,"1000000",Holidays!A:A)+hour(AJ929+AN$5-$B$1)/24+minute(AJ929)/1440),"")</f>
        <v/>
      </c>
      <c r="AO929" s="64" t="str">
        <f t="shared" si="15"/>
        <v/>
      </c>
      <c r="AQ929" s="66" t="str">
        <f t="shared" si="16"/>
        <v/>
      </c>
      <c r="AR929" s="66"/>
      <c r="AS929" s="63" t="str">
        <f>if(AJ929,if(and(hour(AJ929+AS$5)&gt;11,(hour(AJ929+AS$5)&lt;20)),AJ929+AS$5,_xlfn.workday.intl(int(AJ929),1,"1000000",Holidays!A:A)+hour(AJ929+AS$5-$B$1)/24+minute(AJ929)/1440),"")</f>
        <v/>
      </c>
      <c r="AT929" s="64" t="str">
        <f t="shared" si="21"/>
        <v/>
      </c>
      <c r="AV929" s="66" t="str">
        <f t="shared" si="25"/>
        <v/>
      </c>
      <c r="AW929" s="66"/>
      <c r="AX929" s="56"/>
    </row>
    <row r="930">
      <c r="A930" s="55">
        <v>46124.649367025464</v>
      </c>
      <c r="B930" s="56"/>
      <c r="C930" s="57"/>
      <c r="D930" s="57"/>
      <c r="E930" s="57"/>
      <c r="F930" s="57"/>
      <c r="G930" s="58">
        <f>if(A930,_xlfn.workday.intl(int(A930),1,"1000000",Holidays!A:A)+17/24,"")</f>
        <v>46126.70833</v>
      </c>
      <c r="H930" s="59" t="str">
        <f t="shared" si="23"/>
        <v/>
      </c>
      <c r="I930" s="60"/>
      <c r="J930" s="61">
        <f t="shared" si="2"/>
        <v>7.275576562</v>
      </c>
      <c r="K930" s="58">
        <f>if(G930,_xlfn.workday.intl(int(G930),0,"1000000",Holidays!A:A)+19/24,"")</f>
        <v>46126.79167</v>
      </c>
      <c r="L930" s="59" t="str">
        <f t="shared" si="3"/>
        <v/>
      </c>
      <c r="M930" s="60"/>
      <c r="N930" s="61">
        <f t="shared" si="4"/>
        <v>7.192243229</v>
      </c>
      <c r="O930" s="63">
        <f>if(A930,_xlfn.WORKDAY.INTL(A930,O$5,"1000000",Holidays!A:A)+hour(A930)/24+MINUTE(A930)/1440,"")</f>
        <v>46126.64931</v>
      </c>
      <c r="P930" s="64" t="s">
        <v>2718</v>
      </c>
      <c r="R930" s="66">
        <f t="shared" si="5"/>
        <v>7.33460434</v>
      </c>
      <c r="S930" s="66"/>
      <c r="T930" s="66"/>
      <c r="U930" s="64">
        <f>if(O930,_xlfn.WORKDAY.INTL(O930,U$5,"1000000",Holidays!A:A)+hour(O930)/24+MINUTE(O930)/1440,"")</f>
        <v>46127.64931</v>
      </c>
      <c r="V930" s="64" t="str">
        <f t="shared" si="6"/>
        <v/>
      </c>
      <c r="W930" s="66"/>
      <c r="X930" s="66">
        <f t="shared" si="7"/>
        <v>6.33460434</v>
      </c>
      <c r="Y930" s="66"/>
      <c r="Z930" s="66"/>
      <c r="AA930" s="66"/>
      <c r="AB930" s="63"/>
      <c r="AC930" s="63"/>
      <c r="AD930" s="63"/>
      <c r="AE930" s="63"/>
      <c r="AF930" s="63"/>
      <c r="AG930" s="63"/>
      <c r="AH930" s="63" t="str">
        <f t="shared" si="14"/>
        <v/>
      </c>
      <c r="AI930" s="63" t="str">
        <f>if(AH930,_xlfn.workday.intl(int(AH930),0,"1000000",Holidays!A:A)+18/24,"")</f>
        <v/>
      </c>
      <c r="AJ930" s="64" t="str">
        <f t="shared" si="24"/>
        <v/>
      </c>
      <c r="AL930" s="66" t="str">
        <f t="shared" si="9"/>
        <v/>
      </c>
      <c r="AM930" s="66"/>
      <c r="AN930" s="63" t="str">
        <f>if(AJ930,if(and(hour(AJ930+AN$5)&gt;11,(hour(AJ930+AN$5)&lt;20)),AJ930+AN$5,_xlfn.workday.intl(int(AJ930),1,"1000000",Holidays!A:A)+hour(AJ930+AN$5-$B$1)/24+minute(AJ930)/1440),"")</f>
        <v/>
      </c>
      <c r="AO930" s="64" t="str">
        <f t="shared" si="15"/>
        <v/>
      </c>
      <c r="AQ930" s="66" t="str">
        <f t="shared" si="16"/>
        <v/>
      </c>
      <c r="AR930" s="66"/>
      <c r="AS930" s="63" t="str">
        <f>if(AJ930,if(and(hour(AJ930+AS$5)&gt;11,(hour(AJ930+AS$5)&lt;20)),AJ930+AS$5,_xlfn.workday.intl(int(AJ930),1,"1000000",Holidays!A:A)+hour(AJ930+AS$5-$B$1)/24+minute(AJ930)/1440),"")</f>
        <v/>
      </c>
      <c r="AT930" s="64" t="str">
        <f t="shared" si="21"/>
        <v/>
      </c>
      <c r="AV930" s="66" t="str">
        <f t="shared" si="25"/>
        <v/>
      </c>
      <c r="AW930" s="66"/>
      <c r="AX930" s="56"/>
    </row>
    <row r="931">
      <c r="A931" s="55">
        <v>46124.65044618056</v>
      </c>
      <c r="B931" s="56"/>
      <c r="C931" s="57"/>
      <c r="D931" s="57"/>
      <c r="E931" s="57"/>
      <c r="F931" s="57"/>
      <c r="G931" s="58">
        <f>if(A931,_xlfn.workday.intl(int(A931),1,"1000000",Holidays!A:A)+17/24,"")</f>
        <v>46126.70833</v>
      </c>
      <c r="H931" s="59" t="str">
        <f t="shared" si="23"/>
        <v/>
      </c>
      <c r="I931" s="60"/>
      <c r="J931" s="61">
        <f t="shared" si="2"/>
        <v>7.275576562</v>
      </c>
      <c r="K931" s="58">
        <f>if(G931,_xlfn.workday.intl(int(G931),0,"1000000",Holidays!A:A)+19/24,"")</f>
        <v>46126.79167</v>
      </c>
      <c r="L931" s="59" t="str">
        <f t="shared" si="3"/>
        <v/>
      </c>
      <c r="M931" s="60"/>
      <c r="N931" s="61">
        <f t="shared" si="4"/>
        <v>7.192243229</v>
      </c>
      <c r="O931" s="63">
        <f>if(A931,_xlfn.WORKDAY.INTL(A931,O$5,"1000000",Holidays!A:A)+hour(A931)/24+MINUTE(A931)/1440,"")</f>
        <v>46126.65</v>
      </c>
      <c r="P931" s="64" t="s">
        <v>2718</v>
      </c>
      <c r="R931" s="66">
        <f t="shared" si="5"/>
        <v>7.333909896</v>
      </c>
      <c r="S931" s="66"/>
      <c r="T931" s="66"/>
      <c r="U931" s="64">
        <f>if(O931,_xlfn.WORKDAY.INTL(O931,U$5,"1000000",Holidays!A:A)+hour(O931)/24+MINUTE(O931)/1440,"")</f>
        <v>46127.65</v>
      </c>
      <c r="V931" s="64" t="str">
        <f t="shared" si="6"/>
        <v/>
      </c>
      <c r="W931" s="66"/>
      <c r="X931" s="66">
        <f t="shared" si="7"/>
        <v>6.333909896</v>
      </c>
      <c r="Y931" s="66"/>
      <c r="Z931" s="66"/>
      <c r="AA931" s="66"/>
      <c r="AB931" s="63"/>
      <c r="AC931" s="63"/>
      <c r="AD931" s="63"/>
      <c r="AE931" s="63"/>
      <c r="AF931" s="63"/>
      <c r="AG931" s="63"/>
      <c r="AH931" s="63" t="str">
        <f t="shared" si="14"/>
        <v/>
      </c>
      <c r="AI931" s="63" t="str">
        <f>if(AH931,_xlfn.workday.intl(int(AH931),0,"1000000",Holidays!A:A)+18/24,"")</f>
        <v/>
      </c>
      <c r="AJ931" s="64" t="str">
        <f t="shared" si="24"/>
        <v/>
      </c>
      <c r="AL931" s="66" t="str">
        <f t="shared" si="9"/>
        <v/>
      </c>
      <c r="AM931" s="66"/>
      <c r="AN931" s="63" t="str">
        <f>if(AJ931,if(and(hour(AJ931+AN$5)&gt;11,(hour(AJ931+AN$5)&lt;20)),AJ931+AN$5,_xlfn.workday.intl(int(AJ931),1,"1000000",Holidays!A:A)+hour(AJ931+AN$5-$B$1)/24+minute(AJ931)/1440),"")</f>
        <v/>
      </c>
      <c r="AO931" s="64" t="str">
        <f t="shared" si="15"/>
        <v/>
      </c>
      <c r="AQ931" s="66" t="str">
        <f t="shared" si="16"/>
        <v/>
      </c>
      <c r="AR931" s="66"/>
      <c r="AS931" s="63" t="str">
        <f>if(AJ931,if(and(hour(AJ931+AS$5)&gt;11,(hour(AJ931+AS$5)&lt;20)),AJ931+AS$5,_xlfn.workday.intl(int(AJ931),1,"1000000",Holidays!A:A)+hour(AJ931+AS$5-$B$1)/24+minute(AJ931)/1440),"")</f>
        <v/>
      </c>
      <c r="AT931" s="64" t="str">
        <f t="shared" si="21"/>
        <v/>
      </c>
      <c r="AV931" s="66" t="str">
        <f t="shared" si="25"/>
        <v/>
      </c>
      <c r="AW931" s="66"/>
      <c r="AX931" s="56"/>
    </row>
    <row r="932">
      <c r="A932" s="55">
        <v>46124.651861817125</v>
      </c>
      <c r="B932" s="56"/>
      <c r="C932" s="57"/>
      <c r="D932" s="57"/>
      <c r="E932" s="57"/>
      <c r="F932" s="57"/>
      <c r="G932" s="58">
        <f>if(A932,_xlfn.workday.intl(int(A932),1,"1000000",Holidays!A:A)+17/24,"")</f>
        <v>46126.70833</v>
      </c>
      <c r="H932" s="59" t="str">
        <f t="shared" si="23"/>
        <v/>
      </c>
      <c r="I932" s="60"/>
      <c r="J932" s="61">
        <f t="shared" si="2"/>
        <v>7.275576562</v>
      </c>
      <c r="K932" s="58">
        <f>if(G932,_xlfn.workday.intl(int(G932),0,"1000000",Holidays!A:A)+19/24,"")</f>
        <v>46126.79167</v>
      </c>
      <c r="L932" s="59" t="str">
        <f t="shared" si="3"/>
        <v/>
      </c>
      <c r="M932" s="60"/>
      <c r="N932" s="61">
        <f t="shared" si="4"/>
        <v>7.192243229</v>
      </c>
      <c r="O932" s="63">
        <f>if(A932,_xlfn.WORKDAY.INTL(A932,O$5,"1000000",Holidays!A:A)+hour(A932)/24+MINUTE(A932)/1440,"")</f>
        <v>46126.65139</v>
      </c>
      <c r="P932" s="64" t="s">
        <v>2718</v>
      </c>
      <c r="R932" s="66">
        <f t="shared" si="5"/>
        <v>7.332521007</v>
      </c>
      <c r="S932" s="66"/>
      <c r="T932" s="66"/>
      <c r="U932" s="64">
        <f>if(O932,_xlfn.WORKDAY.INTL(O932,U$5,"1000000",Holidays!A:A)+hour(O932)/24+MINUTE(O932)/1440,"")</f>
        <v>46127.65139</v>
      </c>
      <c r="V932" s="64" t="str">
        <f t="shared" si="6"/>
        <v/>
      </c>
      <c r="W932" s="66"/>
      <c r="X932" s="66">
        <f t="shared" si="7"/>
        <v>6.332521007</v>
      </c>
      <c r="Y932" s="66"/>
      <c r="Z932" s="66"/>
      <c r="AA932" s="66"/>
      <c r="AB932" s="63"/>
      <c r="AC932" s="63"/>
      <c r="AD932" s="63"/>
      <c r="AE932" s="63"/>
      <c r="AF932" s="63"/>
      <c r="AG932" s="63"/>
      <c r="AH932" s="63" t="str">
        <f t="shared" si="14"/>
        <v/>
      </c>
      <c r="AI932" s="63" t="str">
        <f>if(AH932,_xlfn.workday.intl(int(AH932),0,"1000000",Holidays!A:A)+18/24,"")</f>
        <v/>
      </c>
      <c r="AJ932" s="64" t="str">
        <f t="shared" si="24"/>
        <v/>
      </c>
      <c r="AL932" s="66" t="str">
        <f t="shared" si="9"/>
        <v/>
      </c>
      <c r="AM932" s="66"/>
      <c r="AN932" s="63" t="str">
        <f>if(AJ932,if(and(hour(AJ932+AN$5)&gt;11,(hour(AJ932+AN$5)&lt;20)),AJ932+AN$5,_xlfn.workday.intl(int(AJ932),1,"1000000",Holidays!A:A)+hour(AJ932+AN$5-$B$1)/24+minute(AJ932)/1440),"")</f>
        <v/>
      </c>
      <c r="AO932" s="64" t="str">
        <f t="shared" si="15"/>
        <v/>
      </c>
      <c r="AQ932" s="66" t="str">
        <f t="shared" si="16"/>
        <v/>
      </c>
      <c r="AR932" s="66"/>
      <c r="AS932" s="63" t="str">
        <f>if(AJ932,if(and(hour(AJ932+AS$5)&gt;11,(hour(AJ932+AS$5)&lt;20)),AJ932+AS$5,_xlfn.workday.intl(int(AJ932),1,"1000000",Holidays!A:A)+hour(AJ932+AS$5-$B$1)/24+minute(AJ932)/1440),"")</f>
        <v/>
      </c>
      <c r="AT932" s="64" t="str">
        <f t="shared" si="21"/>
        <v/>
      </c>
      <c r="AV932" s="66" t="str">
        <f t="shared" si="25"/>
        <v/>
      </c>
      <c r="AW932" s="66"/>
      <c r="AX932" s="56"/>
    </row>
    <row r="933">
      <c r="A933" s="55">
        <v>46124.74215358796</v>
      </c>
      <c r="B933" s="56"/>
      <c r="C933" s="57"/>
      <c r="D933" s="57"/>
      <c r="E933" s="57"/>
      <c r="F933" s="57"/>
      <c r="G933" s="58">
        <f>if(A933,_xlfn.workday.intl(int(A933),1,"1000000",Holidays!A:A)+17/24,"")</f>
        <v>46126.70833</v>
      </c>
      <c r="H933" s="59" t="str">
        <f t="shared" si="23"/>
        <v/>
      </c>
      <c r="I933" s="60"/>
      <c r="J933" s="61">
        <f t="shared" si="2"/>
        <v>7.275576562</v>
      </c>
      <c r="K933" s="58">
        <f>if(G933,_xlfn.workday.intl(int(G933),0,"1000000",Holidays!A:A)+19/24,"")</f>
        <v>46126.79167</v>
      </c>
      <c r="L933" s="59" t="str">
        <f t="shared" si="3"/>
        <v/>
      </c>
      <c r="M933" s="60"/>
      <c r="N933" s="61">
        <f t="shared" si="4"/>
        <v>7.192243229</v>
      </c>
      <c r="O933" s="63">
        <f>if(A933,_xlfn.WORKDAY.INTL(A933,O$5,"1000000",Holidays!A:A)+hour(A933)/24+MINUTE(A933)/1440,"")</f>
        <v>46126.74167</v>
      </c>
      <c r="P933" s="64" t="s">
        <v>2718</v>
      </c>
      <c r="R933" s="66">
        <f t="shared" si="5"/>
        <v>7.242243229</v>
      </c>
      <c r="S933" s="66"/>
      <c r="T933" s="66"/>
      <c r="U933" s="64">
        <f>if(O933,_xlfn.WORKDAY.INTL(O933,U$5,"1000000",Holidays!A:A)+hour(O933)/24+MINUTE(O933)/1440,"")</f>
        <v>46127.74167</v>
      </c>
      <c r="V933" s="64" t="str">
        <f t="shared" si="6"/>
        <v/>
      </c>
      <c r="W933" s="66"/>
      <c r="X933" s="66">
        <f t="shared" si="7"/>
        <v>6.242243229</v>
      </c>
      <c r="Y933" s="66"/>
      <c r="Z933" s="66"/>
      <c r="AA933" s="66"/>
      <c r="AB933" s="63"/>
      <c r="AC933" s="63"/>
      <c r="AD933" s="63"/>
      <c r="AE933" s="63"/>
      <c r="AF933" s="63"/>
      <c r="AG933" s="63"/>
      <c r="AH933" s="63" t="str">
        <f t="shared" si="14"/>
        <v/>
      </c>
      <c r="AI933" s="63" t="str">
        <f>if(AH933,_xlfn.workday.intl(int(AH933),0,"1000000",Holidays!A:A)+18/24,"")</f>
        <v/>
      </c>
      <c r="AJ933" s="64" t="str">
        <f t="shared" si="24"/>
        <v/>
      </c>
      <c r="AL933" s="66" t="str">
        <f t="shared" si="9"/>
        <v/>
      </c>
      <c r="AM933" s="66"/>
      <c r="AN933" s="63" t="str">
        <f>if(AJ933,if(and(hour(AJ933+AN$5)&gt;11,(hour(AJ933+AN$5)&lt;20)),AJ933+AN$5,_xlfn.workday.intl(int(AJ933),1,"1000000",Holidays!A:A)+hour(AJ933+AN$5-$B$1)/24+minute(AJ933)/1440),"")</f>
        <v/>
      </c>
      <c r="AO933" s="64" t="str">
        <f t="shared" si="15"/>
        <v/>
      </c>
      <c r="AQ933" s="66" t="str">
        <f t="shared" si="16"/>
        <v/>
      </c>
      <c r="AR933" s="66"/>
      <c r="AS933" s="63" t="str">
        <f>if(AJ933,if(and(hour(AJ933+AS$5)&gt;11,(hour(AJ933+AS$5)&lt;20)),AJ933+AS$5,_xlfn.workday.intl(int(AJ933),1,"1000000",Holidays!A:A)+hour(AJ933+AS$5-$B$1)/24+minute(AJ933)/1440),"")</f>
        <v/>
      </c>
      <c r="AT933" s="64" t="str">
        <f t="shared" si="21"/>
        <v/>
      </c>
      <c r="AV933" s="66" t="str">
        <f t="shared" si="25"/>
        <v/>
      </c>
      <c r="AW933" s="66"/>
      <c r="AX933" s="56"/>
    </row>
    <row r="934">
      <c r="A934" s="55">
        <v>46124.75214439815</v>
      </c>
      <c r="B934" s="56"/>
      <c r="C934" s="57"/>
      <c r="D934" s="57"/>
      <c r="E934" s="57"/>
      <c r="F934" s="57"/>
      <c r="G934" s="58">
        <f>if(A934,_xlfn.workday.intl(int(A934),1,"1000000",Holidays!A:A)+17/24,"")</f>
        <v>46126.70833</v>
      </c>
      <c r="H934" s="59" t="str">
        <f t="shared" si="23"/>
        <v/>
      </c>
      <c r="I934" s="60"/>
      <c r="J934" s="61">
        <f t="shared" si="2"/>
        <v>7.275576562</v>
      </c>
      <c r="K934" s="58">
        <f>if(G934,_xlfn.workday.intl(int(G934),0,"1000000",Holidays!A:A)+19/24,"")</f>
        <v>46126.79167</v>
      </c>
      <c r="L934" s="59" t="str">
        <f t="shared" si="3"/>
        <v/>
      </c>
      <c r="M934" s="60"/>
      <c r="N934" s="61">
        <f t="shared" si="4"/>
        <v>7.192243229</v>
      </c>
      <c r="O934" s="63">
        <f>if(A934,_xlfn.WORKDAY.INTL(A934,O$5,"1000000",Holidays!A:A)+hour(A934)/24+MINUTE(A934)/1440,"")</f>
        <v>46126.75208</v>
      </c>
      <c r="P934" s="64" t="s">
        <v>2718</v>
      </c>
      <c r="R934" s="66">
        <f t="shared" si="5"/>
        <v>7.231826562</v>
      </c>
      <c r="S934" s="66"/>
      <c r="T934" s="66"/>
      <c r="U934" s="64">
        <f>if(O934,_xlfn.WORKDAY.INTL(O934,U$5,"1000000",Holidays!A:A)+hour(O934)/24+MINUTE(O934)/1440,"")</f>
        <v>46127.75208</v>
      </c>
      <c r="V934" s="64" t="str">
        <f t="shared" si="6"/>
        <v/>
      </c>
      <c r="W934" s="66"/>
      <c r="X934" s="66">
        <f t="shared" si="7"/>
        <v>6.231826562</v>
      </c>
      <c r="Y934" s="66"/>
      <c r="Z934" s="66"/>
      <c r="AA934" s="66"/>
      <c r="AB934" s="63"/>
      <c r="AC934" s="63"/>
      <c r="AD934" s="63"/>
      <c r="AE934" s="63"/>
      <c r="AF934" s="63"/>
      <c r="AG934" s="63"/>
      <c r="AH934" s="63" t="str">
        <f t="shared" si="14"/>
        <v/>
      </c>
      <c r="AI934" s="63" t="str">
        <f>if(AH934,_xlfn.workday.intl(int(AH934),0,"1000000",Holidays!A:A)+18/24,"")</f>
        <v/>
      </c>
      <c r="AJ934" s="64" t="str">
        <f t="shared" si="24"/>
        <v/>
      </c>
      <c r="AL934" s="66" t="str">
        <f t="shared" si="9"/>
        <v/>
      </c>
      <c r="AM934" s="66"/>
      <c r="AN934" s="63" t="str">
        <f>if(AJ934,if(and(hour(AJ934+AN$5)&gt;11,(hour(AJ934+AN$5)&lt;20)),AJ934+AN$5,_xlfn.workday.intl(int(AJ934),1,"1000000",Holidays!A:A)+hour(AJ934+AN$5-$B$1)/24+minute(AJ934)/1440),"")</f>
        <v/>
      </c>
      <c r="AO934" s="64" t="str">
        <f t="shared" si="15"/>
        <v/>
      </c>
      <c r="AQ934" s="66" t="str">
        <f t="shared" si="16"/>
        <v/>
      </c>
      <c r="AR934" s="66"/>
      <c r="AS934" s="63" t="str">
        <f>if(AJ934,if(and(hour(AJ934+AS$5)&gt;11,(hour(AJ934+AS$5)&lt;20)),AJ934+AS$5,_xlfn.workday.intl(int(AJ934),1,"1000000",Holidays!A:A)+hour(AJ934+AS$5-$B$1)/24+minute(AJ934)/1440),"")</f>
        <v/>
      </c>
      <c r="AT934" s="64" t="str">
        <f t="shared" si="21"/>
        <v/>
      </c>
      <c r="AV934" s="66" t="str">
        <f t="shared" si="25"/>
        <v/>
      </c>
      <c r="AW934" s="66"/>
      <c r="AX934" s="56"/>
    </row>
    <row r="935">
      <c r="A935" s="55">
        <v>46124.782232638885</v>
      </c>
      <c r="B935" s="56"/>
      <c r="C935" s="57"/>
      <c r="D935" s="57"/>
      <c r="E935" s="57"/>
      <c r="F935" s="57"/>
      <c r="G935" s="58">
        <f>if(A935,_xlfn.workday.intl(int(A935),1,"1000000",Holidays!A:A)+17/24,"")</f>
        <v>46126.70833</v>
      </c>
      <c r="H935" s="59" t="str">
        <f t="shared" si="23"/>
        <v/>
      </c>
      <c r="I935" s="60"/>
      <c r="J935" s="61">
        <f t="shared" si="2"/>
        <v>7.275576562</v>
      </c>
      <c r="K935" s="58">
        <f>if(G935,_xlfn.workday.intl(int(G935),0,"1000000",Holidays!A:A)+19/24,"")</f>
        <v>46126.79167</v>
      </c>
      <c r="L935" s="59" t="str">
        <f t="shared" si="3"/>
        <v/>
      </c>
      <c r="M935" s="60"/>
      <c r="N935" s="61">
        <f t="shared" si="4"/>
        <v>7.192243229</v>
      </c>
      <c r="O935" s="63">
        <f>if(A935,_xlfn.WORKDAY.INTL(A935,O$5,"1000000",Holidays!A:A)+hour(A935)/24+MINUTE(A935)/1440,"")</f>
        <v>46126.78194</v>
      </c>
      <c r="P935" s="64" t="s">
        <v>2718</v>
      </c>
      <c r="R935" s="66">
        <f t="shared" si="5"/>
        <v>7.201965451</v>
      </c>
      <c r="S935" s="66"/>
      <c r="T935" s="66"/>
      <c r="U935" s="64">
        <f>if(O935,_xlfn.WORKDAY.INTL(O935,U$5,"1000000",Holidays!A:A)+hour(O935)/24+MINUTE(O935)/1440,"")</f>
        <v>46127.78194</v>
      </c>
      <c r="V935" s="64" t="str">
        <f t="shared" si="6"/>
        <v/>
      </c>
      <c r="W935" s="66"/>
      <c r="X935" s="66">
        <f t="shared" si="7"/>
        <v>6.201965451</v>
      </c>
      <c r="Y935" s="66"/>
      <c r="Z935" s="66"/>
      <c r="AA935" s="66"/>
      <c r="AB935" s="63"/>
      <c r="AC935" s="63"/>
      <c r="AD935" s="63"/>
      <c r="AE935" s="63"/>
      <c r="AF935" s="63"/>
      <c r="AG935" s="63"/>
      <c r="AH935" s="63" t="str">
        <f t="shared" si="14"/>
        <v/>
      </c>
      <c r="AI935" s="63" t="str">
        <f>if(AH935,_xlfn.workday.intl(int(AH935),0,"1000000",Holidays!A:A)+18/24,"")</f>
        <v/>
      </c>
      <c r="AJ935" s="64" t="str">
        <f t="shared" si="24"/>
        <v/>
      </c>
      <c r="AL935" s="66" t="str">
        <f t="shared" si="9"/>
        <v/>
      </c>
      <c r="AM935" s="66"/>
      <c r="AN935" s="63" t="str">
        <f>if(AJ935,if(and(hour(AJ935+AN$5)&gt;11,(hour(AJ935+AN$5)&lt;20)),AJ935+AN$5,_xlfn.workday.intl(int(AJ935),1,"1000000",Holidays!A:A)+hour(AJ935+AN$5-$B$1)/24+minute(AJ935)/1440),"")</f>
        <v/>
      </c>
      <c r="AO935" s="64" t="str">
        <f t="shared" si="15"/>
        <v/>
      </c>
      <c r="AQ935" s="66" t="str">
        <f t="shared" si="16"/>
        <v/>
      </c>
      <c r="AR935" s="66"/>
      <c r="AS935" s="63" t="str">
        <f>if(AJ935,if(and(hour(AJ935+AS$5)&gt;11,(hour(AJ935+AS$5)&lt;20)),AJ935+AS$5,_xlfn.workday.intl(int(AJ935),1,"1000000",Holidays!A:A)+hour(AJ935+AS$5-$B$1)/24+minute(AJ935)/1440),"")</f>
        <v/>
      </c>
      <c r="AT935" s="64" t="str">
        <f t="shared" si="21"/>
        <v/>
      </c>
      <c r="AV935" s="66" t="str">
        <f t="shared" si="25"/>
        <v/>
      </c>
      <c r="AW935" s="66"/>
      <c r="AX935" s="56"/>
    </row>
    <row r="936">
      <c r="A936" s="55">
        <v>46127.797109374995</v>
      </c>
      <c r="B936" s="56"/>
      <c r="C936" s="57"/>
      <c r="D936" s="57"/>
      <c r="E936" s="57"/>
      <c r="F936" s="57"/>
      <c r="G936" s="58">
        <f>if(A936,_xlfn.workday.intl(int(A936),1,"1000000",Holidays!A:A)+17/24,"")</f>
        <v>46128.70833</v>
      </c>
      <c r="H936" s="59" t="str">
        <f t="shared" si="23"/>
        <v/>
      </c>
      <c r="I936" s="60"/>
      <c r="J936" s="61">
        <f t="shared" si="2"/>
        <v>5.275576562</v>
      </c>
      <c r="K936" s="58">
        <f>if(G936,_xlfn.workday.intl(int(G936),0,"1000000",Holidays!A:A)+19/24,"")</f>
        <v>46128.79167</v>
      </c>
      <c r="L936" s="59" t="str">
        <f t="shared" si="3"/>
        <v/>
      </c>
      <c r="M936" s="60"/>
      <c r="N936" s="61">
        <f t="shared" si="4"/>
        <v>5.192243229</v>
      </c>
      <c r="O936" s="63">
        <f>if(A936,_xlfn.WORKDAY.INTL(A936,O$5,"1000000",Holidays!A:A)+hour(A936)/24+MINUTE(A936)/1440,"")</f>
        <v>46128.79653</v>
      </c>
      <c r="P936" s="64" t="s">
        <v>2718</v>
      </c>
      <c r="R936" s="66">
        <f t="shared" si="5"/>
        <v>5.187382118</v>
      </c>
      <c r="S936" s="66"/>
      <c r="T936" s="66"/>
      <c r="U936" s="64">
        <f>if(O936,_xlfn.WORKDAY.INTL(O936,U$5,"1000000",Holidays!A:A)+hour(O936)/24+MINUTE(O936)/1440,"")</f>
        <v>46129.79653</v>
      </c>
      <c r="V936" s="64" t="str">
        <f t="shared" si="6"/>
        <v/>
      </c>
      <c r="W936" s="66"/>
      <c r="X936" s="66">
        <f t="shared" si="7"/>
        <v>4.187382118</v>
      </c>
      <c r="Y936" s="66"/>
      <c r="Z936" s="66"/>
      <c r="AA936" s="66"/>
      <c r="AB936" s="63"/>
      <c r="AC936" s="63"/>
      <c r="AD936" s="63"/>
      <c r="AE936" s="63"/>
      <c r="AF936" s="63"/>
      <c r="AG936" s="63"/>
      <c r="AH936" s="63" t="str">
        <f t="shared" si="14"/>
        <v/>
      </c>
      <c r="AI936" s="63" t="str">
        <f>if(AH936,_xlfn.workday.intl(int(AH936),0,"1000000",Holidays!A:A)+18/24,"")</f>
        <v/>
      </c>
      <c r="AJ936" s="64" t="str">
        <f t="shared" si="24"/>
        <v/>
      </c>
      <c r="AL936" s="66" t="str">
        <f t="shared" si="9"/>
        <v/>
      </c>
      <c r="AM936" s="66"/>
      <c r="AN936" s="63" t="str">
        <f>if(AJ936,if(and(hour(AJ936+AN$5)&gt;11,(hour(AJ936+AN$5)&lt;20)),AJ936+AN$5,_xlfn.workday.intl(int(AJ936),1,"1000000",Holidays!A:A)+hour(AJ936+AN$5-$B$1)/24+minute(AJ936)/1440),"")</f>
        <v/>
      </c>
      <c r="AO936" s="64" t="str">
        <f t="shared" si="15"/>
        <v/>
      </c>
      <c r="AQ936" s="66" t="str">
        <f t="shared" si="16"/>
        <v/>
      </c>
      <c r="AR936" s="66"/>
      <c r="AS936" s="63" t="str">
        <f>if(AJ936,if(and(hour(AJ936+AS$5)&gt;11,(hour(AJ936+AS$5)&lt;20)),AJ936+AS$5,_xlfn.workday.intl(int(AJ936),1,"1000000",Holidays!A:A)+hour(AJ936+AS$5-$B$1)/24+minute(AJ936)/1440),"")</f>
        <v/>
      </c>
      <c r="AT936" s="64" t="str">
        <f t="shared" si="21"/>
        <v/>
      </c>
      <c r="AV936" s="66" t="str">
        <f t="shared" si="25"/>
        <v/>
      </c>
      <c r="AW936" s="66"/>
      <c r="AX936" s="56"/>
    </row>
    <row r="937">
      <c r="A937" s="55">
        <v>46127.799240740744</v>
      </c>
      <c r="B937" s="56"/>
      <c r="C937" s="57"/>
      <c r="D937" s="57"/>
      <c r="E937" s="57"/>
      <c r="F937" s="57"/>
      <c r="G937" s="58">
        <f>if(A937,_xlfn.workday.intl(int(A937),1,"1000000",Holidays!A:A)+17/24,"")</f>
        <v>46128.70833</v>
      </c>
      <c r="H937" s="59" t="str">
        <f t="shared" si="23"/>
        <v/>
      </c>
      <c r="I937" s="60"/>
      <c r="J937" s="61">
        <f t="shared" si="2"/>
        <v>5.275576562</v>
      </c>
      <c r="K937" s="58">
        <f>if(G937,_xlfn.workday.intl(int(G937),0,"1000000",Holidays!A:A)+19/24,"")</f>
        <v>46128.79167</v>
      </c>
      <c r="L937" s="59" t="str">
        <f t="shared" si="3"/>
        <v/>
      </c>
      <c r="M937" s="60"/>
      <c r="N937" s="61">
        <f t="shared" si="4"/>
        <v>5.192243229</v>
      </c>
      <c r="O937" s="63">
        <f>if(A937,_xlfn.WORKDAY.INTL(A937,O$5,"1000000",Holidays!A:A)+hour(A937)/24+MINUTE(A937)/1440,"")</f>
        <v>46128.79861</v>
      </c>
      <c r="P937" s="64" t="s">
        <v>2718</v>
      </c>
      <c r="R937" s="66">
        <f t="shared" si="5"/>
        <v>5.185298785</v>
      </c>
      <c r="S937" s="66"/>
      <c r="T937" s="66"/>
      <c r="U937" s="64">
        <f>if(O937,_xlfn.WORKDAY.INTL(O937,U$5,"1000000",Holidays!A:A)+hour(O937)/24+MINUTE(O937)/1440,"")</f>
        <v>46129.79861</v>
      </c>
      <c r="V937" s="64" t="str">
        <f t="shared" si="6"/>
        <v/>
      </c>
      <c r="W937" s="66"/>
      <c r="X937" s="66">
        <f t="shared" si="7"/>
        <v>4.185298785</v>
      </c>
      <c r="Y937" s="66"/>
      <c r="Z937" s="66"/>
      <c r="AA937" s="66"/>
      <c r="AB937" s="63"/>
      <c r="AC937" s="63"/>
      <c r="AD937" s="63"/>
      <c r="AE937" s="63"/>
      <c r="AF937" s="63"/>
      <c r="AG937" s="63"/>
      <c r="AH937" s="63" t="str">
        <f t="shared" si="14"/>
        <v/>
      </c>
      <c r="AI937" s="63" t="str">
        <f>if(AH937,_xlfn.workday.intl(int(AH937),0,"1000000",Holidays!A:A)+18/24,"")</f>
        <v/>
      </c>
      <c r="AJ937" s="64" t="str">
        <f t="shared" si="24"/>
        <v/>
      </c>
      <c r="AL937" s="66" t="str">
        <f t="shared" si="9"/>
        <v/>
      </c>
      <c r="AM937" s="66"/>
      <c r="AN937" s="63" t="str">
        <f>if(AJ937,if(and(hour(AJ937+AN$5)&gt;11,(hour(AJ937+AN$5)&lt;20)),AJ937+AN$5,_xlfn.workday.intl(int(AJ937),1,"1000000",Holidays!A:A)+hour(AJ937+AN$5-$B$1)/24+minute(AJ937)/1440),"")</f>
        <v/>
      </c>
      <c r="AO937" s="64" t="str">
        <f t="shared" si="15"/>
        <v/>
      </c>
      <c r="AQ937" s="66" t="str">
        <f t="shared" si="16"/>
        <v/>
      </c>
      <c r="AR937" s="66"/>
      <c r="AS937" s="63" t="str">
        <f>if(AJ937,if(and(hour(AJ937+AS$5)&gt;11,(hour(AJ937+AS$5)&lt;20)),AJ937+AS$5,_xlfn.workday.intl(int(AJ937),1,"1000000",Holidays!A:A)+hour(AJ937+AS$5-$B$1)/24+minute(AJ937)/1440),"")</f>
        <v/>
      </c>
      <c r="AT937" s="64" t="str">
        <f t="shared" si="21"/>
        <v/>
      </c>
      <c r="AV937" s="66" t="str">
        <f t="shared" si="25"/>
        <v/>
      </c>
      <c r="AW937" s="66"/>
      <c r="AX937" s="56"/>
    </row>
    <row r="938">
      <c r="A938" s="55">
        <v>46127.80392719907</v>
      </c>
      <c r="B938" s="56"/>
      <c r="C938" s="57"/>
      <c r="D938" s="57"/>
      <c r="E938" s="57"/>
      <c r="F938" s="57"/>
      <c r="G938" s="58">
        <f>if(A938,_xlfn.workday.intl(int(A938),1,"1000000",Holidays!A:A)+17/24,"")</f>
        <v>46128.70833</v>
      </c>
      <c r="H938" s="59" t="str">
        <f t="shared" si="23"/>
        <v/>
      </c>
      <c r="I938" s="60"/>
      <c r="J938" s="61">
        <f t="shared" si="2"/>
        <v>5.275576562</v>
      </c>
      <c r="K938" s="58">
        <f>if(G938,_xlfn.workday.intl(int(G938),0,"1000000",Holidays!A:A)+19/24,"")</f>
        <v>46128.79167</v>
      </c>
      <c r="L938" s="59" t="str">
        <f t="shared" si="3"/>
        <v/>
      </c>
      <c r="M938" s="60"/>
      <c r="N938" s="61">
        <f t="shared" si="4"/>
        <v>5.192243229</v>
      </c>
      <c r="O938" s="63">
        <f>if(A938,_xlfn.WORKDAY.INTL(A938,O$5,"1000000",Holidays!A:A)+hour(A938)/24+MINUTE(A938)/1440,"")</f>
        <v>46128.80347</v>
      </c>
      <c r="P938" s="64" t="s">
        <v>2718</v>
      </c>
      <c r="R938" s="66">
        <f t="shared" si="5"/>
        <v>5.180437674</v>
      </c>
      <c r="S938" s="66"/>
      <c r="T938" s="66"/>
      <c r="U938" s="64">
        <f>if(O938,_xlfn.WORKDAY.INTL(O938,U$5,"1000000",Holidays!A:A)+hour(O938)/24+MINUTE(O938)/1440,"")</f>
        <v>46129.80347</v>
      </c>
      <c r="V938" s="64" t="str">
        <f t="shared" si="6"/>
        <v/>
      </c>
      <c r="W938" s="66"/>
      <c r="X938" s="66">
        <f t="shared" si="7"/>
        <v>4.180437674</v>
      </c>
      <c r="Y938" s="66"/>
      <c r="Z938" s="66"/>
      <c r="AA938" s="66"/>
      <c r="AB938" s="63"/>
      <c r="AC938" s="63"/>
      <c r="AD938" s="63"/>
      <c r="AE938" s="63"/>
      <c r="AF938" s="63"/>
      <c r="AG938" s="63"/>
      <c r="AH938" s="63" t="str">
        <f t="shared" si="14"/>
        <v/>
      </c>
      <c r="AI938" s="63" t="str">
        <f>if(AH938,_xlfn.workday.intl(int(AH938),0,"1000000",Holidays!A:A)+18/24,"")</f>
        <v/>
      </c>
      <c r="AJ938" s="64" t="str">
        <f t="shared" si="24"/>
        <v/>
      </c>
      <c r="AL938" s="66" t="str">
        <f t="shared" si="9"/>
        <v/>
      </c>
      <c r="AM938" s="66"/>
      <c r="AN938" s="63" t="str">
        <f>if(AJ938,if(and(hour(AJ938+AN$5)&gt;11,(hour(AJ938+AN$5)&lt;20)),AJ938+AN$5,_xlfn.workday.intl(int(AJ938),1,"1000000",Holidays!A:A)+hour(AJ938+AN$5-$B$1)/24+minute(AJ938)/1440),"")</f>
        <v/>
      </c>
      <c r="AO938" s="64" t="str">
        <f t="shared" si="15"/>
        <v/>
      </c>
      <c r="AQ938" s="66" t="str">
        <f t="shared" si="16"/>
        <v/>
      </c>
      <c r="AR938" s="66"/>
      <c r="AS938" s="63" t="str">
        <f>if(AJ938,if(and(hour(AJ938+AS$5)&gt;11,(hour(AJ938+AS$5)&lt;20)),AJ938+AS$5,_xlfn.workday.intl(int(AJ938),1,"1000000",Holidays!A:A)+hour(AJ938+AS$5-$B$1)/24+minute(AJ938)/1440),"")</f>
        <v/>
      </c>
      <c r="AT938" s="64" t="str">
        <f t="shared" si="21"/>
        <v/>
      </c>
      <c r="AV938" s="66" t="str">
        <f t="shared" si="25"/>
        <v/>
      </c>
      <c r="AW938" s="66"/>
      <c r="AX938" s="56"/>
    </row>
    <row r="939">
      <c r="A939" s="55">
        <v>46127.80618972222</v>
      </c>
      <c r="B939" s="56"/>
      <c r="C939" s="57"/>
      <c r="D939" s="57"/>
      <c r="E939" s="57"/>
      <c r="F939" s="57"/>
      <c r="G939" s="58">
        <f>if(A939,_xlfn.workday.intl(int(A939),1,"1000000",Holidays!A:A)+17/24,"")</f>
        <v>46128.70833</v>
      </c>
      <c r="H939" s="59" t="str">
        <f t="shared" si="23"/>
        <v/>
      </c>
      <c r="I939" s="60"/>
      <c r="J939" s="61">
        <f t="shared" si="2"/>
        <v>5.275576562</v>
      </c>
      <c r="K939" s="58">
        <f>if(G939,_xlfn.workday.intl(int(G939),0,"1000000",Holidays!A:A)+19/24,"")</f>
        <v>46128.79167</v>
      </c>
      <c r="L939" s="59" t="str">
        <f t="shared" si="3"/>
        <v/>
      </c>
      <c r="M939" s="60"/>
      <c r="N939" s="61">
        <f t="shared" si="4"/>
        <v>5.192243229</v>
      </c>
      <c r="O939" s="63">
        <f>if(A939,_xlfn.WORKDAY.INTL(A939,O$5,"1000000",Holidays!A:A)+hour(A939)/24+MINUTE(A939)/1440,"")</f>
        <v>46128.80556</v>
      </c>
      <c r="P939" s="64" t="s">
        <v>2718</v>
      </c>
      <c r="R939" s="66">
        <f t="shared" si="5"/>
        <v>5.17835434</v>
      </c>
      <c r="S939" s="66"/>
      <c r="T939" s="66"/>
      <c r="U939" s="64">
        <f>if(O939,_xlfn.WORKDAY.INTL(O939,U$5,"1000000",Holidays!A:A)+hour(O939)/24+MINUTE(O939)/1440,"")</f>
        <v>46129.80556</v>
      </c>
      <c r="V939" s="64" t="str">
        <f t="shared" si="6"/>
        <v/>
      </c>
      <c r="W939" s="66"/>
      <c r="X939" s="66">
        <f t="shared" si="7"/>
        <v>4.17835434</v>
      </c>
      <c r="Y939" s="66"/>
      <c r="Z939" s="66"/>
      <c r="AA939" s="66"/>
      <c r="AB939" s="63"/>
      <c r="AC939" s="63"/>
      <c r="AD939" s="63"/>
      <c r="AE939" s="63"/>
      <c r="AF939" s="63"/>
      <c r="AG939" s="63"/>
      <c r="AH939" s="63" t="str">
        <f t="shared" si="14"/>
        <v/>
      </c>
      <c r="AI939" s="63" t="str">
        <f>if(AH939,_xlfn.workday.intl(int(AH939),0,"1000000",Holidays!A:A)+18/24,"")</f>
        <v/>
      </c>
      <c r="AJ939" s="64" t="str">
        <f t="shared" si="24"/>
        <v/>
      </c>
      <c r="AL939" s="66" t="str">
        <f t="shared" si="9"/>
        <v/>
      </c>
      <c r="AM939" s="66"/>
      <c r="AN939" s="63" t="str">
        <f>if(AJ939,if(and(hour(AJ939+AN$5)&gt;11,(hour(AJ939+AN$5)&lt;20)),AJ939+AN$5,_xlfn.workday.intl(int(AJ939),1,"1000000",Holidays!A:A)+hour(AJ939+AN$5-$B$1)/24+minute(AJ939)/1440),"")</f>
        <v/>
      </c>
      <c r="AO939" s="64" t="str">
        <f t="shared" si="15"/>
        <v/>
      </c>
      <c r="AQ939" s="66" t="str">
        <f t="shared" si="16"/>
        <v/>
      </c>
      <c r="AR939" s="66"/>
      <c r="AS939" s="63" t="str">
        <f>if(AJ939,if(and(hour(AJ939+AS$5)&gt;11,(hour(AJ939+AS$5)&lt;20)),AJ939+AS$5,_xlfn.workday.intl(int(AJ939),1,"1000000",Holidays!A:A)+hour(AJ939+AS$5-$B$1)/24+minute(AJ939)/1440),"")</f>
        <v/>
      </c>
      <c r="AT939" s="64" t="str">
        <f t="shared" si="21"/>
        <v/>
      </c>
      <c r="AV939" s="66" t="str">
        <f t="shared" si="25"/>
        <v/>
      </c>
      <c r="AW939" s="66"/>
      <c r="AX939" s="56"/>
    </row>
    <row r="940">
      <c r="A940" s="55">
        <v>46127.81068892361</v>
      </c>
      <c r="B940" s="56"/>
      <c r="C940" s="57"/>
      <c r="D940" s="57"/>
      <c r="E940" s="57"/>
      <c r="F940" s="57"/>
      <c r="G940" s="58">
        <f>if(A940,_xlfn.workday.intl(int(A940),1,"1000000",Holidays!A:A)+17/24,"")</f>
        <v>46128.70833</v>
      </c>
      <c r="H940" s="59" t="str">
        <f t="shared" si="23"/>
        <v/>
      </c>
      <c r="I940" s="60"/>
      <c r="J940" s="61">
        <f t="shared" si="2"/>
        <v>5.275576562</v>
      </c>
      <c r="K940" s="58">
        <f>if(G940,_xlfn.workday.intl(int(G940),0,"1000000",Holidays!A:A)+19/24,"")</f>
        <v>46128.79167</v>
      </c>
      <c r="L940" s="59" t="str">
        <f t="shared" si="3"/>
        <v/>
      </c>
      <c r="M940" s="60"/>
      <c r="N940" s="61">
        <f t="shared" si="4"/>
        <v>5.192243229</v>
      </c>
      <c r="O940" s="63">
        <f>if(A940,_xlfn.WORKDAY.INTL(A940,O$5,"1000000",Holidays!A:A)+hour(A940)/24+MINUTE(A940)/1440,"")</f>
        <v>46128.81042</v>
      </c>
      <c r="P940" s="64" t="s">
        <v>2718</v>
      </c>
      <c r="R940" s="66">
        <f t="shared" si="5"/>
        <v>5.173493229</v>
      </c>
      <c r="S940" s="66"/>
      <c r="T940" s="66"/>
      <c r="U940" s="64">
        <f>if(O940,_xlfn.WORKDAY.INTL(O940,U$5,"1000000",Holidays!A:A)+hour(O940)/24+MINUTE(O940)/1440,"")</f>
        <v>46129.81042</v>
      </c>
      <c r="V940" s="64" t="str">
        <f t="shared" si="6"/>
        <v/>
      </c>
      <c r="W940" s="66"/>
      <c r="X940" s="66">
        <f t="shared" si="7"/>
        <v>4.173493229</v>
      </c>
      <c r="Y940" s="66"/>
      <c r="Z940" s="66"/>
      <c r="AA940" s="66"/>
      <c r="AB940" s="63"/>
      <c r="AC940" s="63"/>
      <c r="AD940" s="63"/>
      <c r="AE940" s="63"/>
      <c r="AF940" s="63"/>
      <c r="AG940" s="63"/>
      <c r="AH940" s="63" t="str">
        <f t="shared" si="14"/>
        <v/>
      </c>
      <c r="AI940" s="63" t="str">
        <f>if(AH940,_xlfn.workday.intl(int(AH940),0,"1000000",Holidays!A:A)+18/24,"")</f>
        <v/>
      </c>
      <c r="AJ940" s="64" t="str">
        <f t="shared" si="24"/>
        <v/>
      </c>
      <c r="AL940" s="66" t="str">
        <f t="shared" si="9"/>
        <v/>
      </c>
      <c r="AM940" s="66"/>
      <c r="AN940" s="63" t="str">
        <f>if(AJ940,if(and(hour(AJ940+AN$5)&gt;11,(hour(AJ940+AN$5)&lt;20)),AJ940+AN$5,_xlfn.workday.intl(int(AJ940),1,"1000000",Holidays!A:A)+hour(AJ940+AN$5-$B$1)/24+minute(AJ940)/1440),"")</f>
        <v/>
      </c>
      <c r="AO940" s="64" t="str">
        <f t="shared" si="15"/>
        <v/>
      </c>
      <c r="AQ940" s="66" t="str">
        <f t="shared" si="16"/>
        <v/>
      </c>
      <c r="AR940" s="66"/>
      <c r="AS940" s="63" t="str">
        <f>if(AJ940,if(and(hour(AJ940+AS$5)&gt;11,(hour(AJ940+AS$5)&lt;20)),AJ940+AS$5,_xlfn.workday.intl(int(AJ940),1,"1000000",Holidays!A:A)+hour(AJ940+AS$5-$B$1)/24+minute(AJ940)/1440),"")</f>
        <v/>
      </c>
      <c r="AT940" s="64" t="str">
        <f t="shared" si="21"/>
        <v/>
      </c>
      <c r="AV940" s="66" t="str">
        <f t="shared" si="25"/>
        <v/>
      </c>
      <c r="AW940" s="66"/>
      <c r="AX940" s="56"/>
    </row>
    <row r="941">
      <c r="A941" s="56"/>
      <c r="B941" s="56"/>
      <c r="C941" s="57"/>
      <c r="D941" s="57"/>
      <c r="E941" s="57"/>
      <c r="F941" s="57"/>
      <c r="G941" s="58" t="str">
        <f>if(A941,_xlfn.workday.intl(int(A941),1,"1000000",Holidays!A:A)+17/24,"")</f>
        <v/>
      </c>
      <c r="H941" s="59" t="str">
        <f t="shared" si="23"/>
        <v/>
      </c>
      <c r="I941" s="60"/>
      <c r="J941" s="61" t="str">
        <f t="shared" si="2"/>
        <v/>
      </c>
      <c r="K941" s="58" t="str">
        <f>if(G941,_xlfn.workday.intl(int(G941),0,"1000000",Holidays!A:A)+19/24,"")</f>
        <v/>
      </c>
      <c r="L941" s="59" t="str">
        <f t="shared" si="3"/>
        <v/>
      </c>
      <c r="M941" s="60"/>
      <c r="N941" s="61" t="str">
        <f t="shared" si="4"/>
        <v/>
      </c>
      <c r="O941" s="63" t="str">
        <f>if(A941,_xlfn.WORKDAY.INTL(A941,O$5,"1000000",Holidays!A:A)+hour(A941)/24+MINUTE(A941)/1440,"")</f>
        <v/>
      </c>
      <c r="P941" s="64" t="s">
        <v>2718</v>
      </c>
      <c r="R941" s="66" t="str">
        <f t="shared" si="5"/>
        <v/>
      </c>
      <c r="S941" s="66"/>
      <c r="T941" s="66"/>
      <c r="U941" s="64" t="str">
        <f>if(O941,_xlfn.WORKDAY.INTL(O941,U$5,"1000000",Holidays!A:A)+hour(O941)/24+MINUTE(O941)/1440,"")</f>
        <v/>
      </c>
      <c r="V941" s="64" t="str">
        <f t="shared" si="6"/>
        <v/>
      </c>
      <c r="W941" s="66"/>
      <c r="X941" s="66" t="str">
        <f t="shared" si="7"/>
        <v/>
      </c>
      <c r="Y941" s="66"/>
      <c r="Z941" s="66"/>
      <c r="AA941" s="66"/>
      <c r="AB941" s="63"/>
      <c r="AC941" s="63"/>
      <c r="AD941" s="63"/>
      <c r="AE941" s="63"/>
      <c r="AF941" s="63"/>
      <c r="AG941" s="63"/>
      <c r="AH941" s="63" t="str">
        <f t="shared" si="14"/>
        <v/>
      </c>
      <c r="AI941" s="63" t="str">
        <f>if(AH941,_xlfn.workday.intl(int(AH941),0,"1000000",Holidays!A:A)+18/24,"")</f>
        <v/>
      </c>
      <c r="AJ941" s="64" t="str">
        <f t="shared" si="24"/>
        <v/>
      </c>
      <c r="AL941" s="66" t="str">
        <f t="shared" si="9"/>
        <v/>
      </c>
      <c r="AM941" s="66"/>
      <c r="AN941" s="63" t="str">
        <f>if(AJ941,if(and(hour(AJ941+AN$5)&gt;11,(hour(AJ941+AN$5)&lt;20)),AJ941+AN$5,_xlfn.workday.intl(int(AJ941),1,"1000000",Holidays!A:A)+hour(AJ941+AN$5-$B$1)/24+minute(AJ941)/1440),"")</f>
        <v/>
      </c>
      <c r="AO941" s="64" t="str">
        <f t="shared" si="15"/>
        <v/>
      </c>
      <c r="AQ941" s="66" t="str">
        <f t="shared" si="16"/>
        <v/>
      </c>
      <c r="AR941" s="66"/>
      <c r="AS941" s="63" t="str">
        <f>if(AJ941,if(and(hour(AJ941+AS$5)&gt;11,(hour(AJ941+AS$5)&lt;20)),AJ941+AS$5,_xlfn.workday.intl(int(AJ941),1,"1000000",Holidays!A:A)+hour(AJ941+AS$5-$B$1)/24+minute(AJ941)/1440),"")</f>
        <v/>
      </c>
      <c r="AT941" s="64" t="str">
        <f t="shared" si="21"/>
        <v/>
      </c>
      <c r="AV941" s="66" t="str">
        <f t="shared" si="25"/>
        <v/>
      </c>
      <c r="AW941" s="66"/>
      <c r="AX941" s="56"/>
    </row>
    <row r="942">
      <c r="A942" s="56"/>
      <c r="B942" s="56"/>
      <c r="C942" s="57"/>
      <c r="D942" s="57"/>
      <c r="E942" s="57"/>
      <c r="F942" s="57"/>
      <c r="G942" s="58" t="str">
        <f>if(A942,_xlfn.workday.intl(int(A942),1,"1000000",Holidays!A:A)+17/24,"")</f>
        <v/>
      </c>
      <c r="H942" s="59" t="str">
        <f t="shared" si="23"/>
        <v/>
      </c>
      <c r="I942" s="60"/>
      <c r="J942" s="61" t="str">
        <f t="shared" si="2"/>
        <v/>
      </c>
      <c r="K942" s="58" t="str">
        <f>if(G942,_xlfn.workday.intl(int(G942),0,"1000000",Holidays!A:A)+19/24,"")</f>
        <v/>
      </c>
      <c r="L942" s="59" t="str">
        <f t="shared" si="3"/>
        <v/>
      </c>
      <c r="M942" s="60"/>
      <c r="N942" s="61" t="str">
        <f t="shared" si="4"/>
        <v/>
      </c>
      <c r="O942" s="63" t="str">
        <f>if(A942,_xlfn.WORKDAY.INTL(A942,O$5,"1000000",Holidays!A:A)+hour(A942)/24+MINUTE(A942)/1440,"")</f>
        <v/>
      </c>
      <c r="P942" s="64" t="s">
        <v>2718</v>
      </c>
      <c r="R942" s="66" t="str">
        <f t="shared" si="5"/>
        <v/>
      </c>
      <c r="S942" s="66"/>
      <c r="T942" s="66"/>
      <c r="U942" s="64" t="str">
        <f>if(O942,_xlfn.WORKDAY.INTL(O942,U$5,"1000000",Holidays!A:A)+hour(O942)/24+MINUTE(O942)/1440,"")</f>
        <v/>
      </c>
      <c r="V942" s="64" t="str">
        <f t="shared" si="6"/>
        <v/>
      </c>
      <c r="W942" s="66"/>
      <c r="X942" s="66" t="str">
        <f t="shared" si="7"/>
        <v/>
      </c>
      <c r="Y942" s="66"/>
      <c r="Z942" s="66"/>
      <c r="AA942" s="66"/>
      <c r="AB942" s="63"/>
      <c r="AC942" s="63"/>
      <c r="AD942" s="63"/>
      <c r="AE942" s="63"/>
      <c r="AF942" s="63"/>
      <c r="AG942" s="63"/>
      <c r="AH942" s="63" t="str">
        <f t="shared" si="14"/>
        <v/>
      </c>
      <c r="AI942" s="63" t="str">
        <f>if(AH942,_xlfn.workday.intl(int(AH942),0,"1000000",Holidays!A:A)+18/24,"")</f>
        <v/>
      </c>
      <c r="AJ942" s="64" t="str">
        <f t="shared" si="24"/>
        <v/>
      </c>
      <c r="AL942" s="66" t="str">
        <f t="shared" si="9"/>
        <v/>
      </c>
      <c r="AM942" s="66"/>
      <c r="AN942" s="63" t="str">
        <f>if(AJ942,if(and(hour(AJ942+AN$5)&gt;11,(hour(AJ942+AN$5)&lt;20)),AJ942+AN$5,_xlfn.workday.intl(int(AJ942),1,"1000000",Holidays!A:A)+hour(AJ942+AN$5-$B$1)/24+minute(AJ942)/1440),"")</f>
        <v/>
      </c>
      <c r="AO942" s="64" t="str">
        <f t="shared" si="15"/>
        <v/>
      </c>
      <c r="AQ942" s="66" t="str">
        <f t="shared" si="16"/>
        <v/>
      </c>
      <c r="AR942" s="66"/>
      <c r="AS942" s="63" t="str">
        <f>if(AJ942,if(and(hour(AJ942+AS$5)&gt;11,(hour(AJ942+AS$5)&lt;20)),AJ942+AS$5,_xlfn.workday.intl(int(AJ942),1,"1000000",Holidays!A:A)+hour(AJ942+AS$5-$B$1)/24+minute(AJ942)/1440),"")</f>
        <v/>
      </c>
      <c r="AT942" s="64" t="str">
        <f t="shared" si="21"/>
        <v/>
      </c>
      <c r="AV942" s="66" t="str">
        <f t="shared" si="25"/>
        <v/>
      </c>
      <c r="AW942" s="66"/>
      <c r="AX942" s="56"/>
    </row>
    <row r="943">
      <c r="A943" s="56"/>
      <c r="B943" s="56"/>
      <c r="C943" s="57"/>
      <c r="D943" s="57"/>
      <c r="E943" s="57"/>
      <c r="F943" s="57"/>
      <c r="G943" s="58" t="str">
        <f>if(A943,_xlfn.workday.intl(int(A943),1,"1000000",Holidays!A:A)+17/24,"")</f>
        <v/>
      </c>
      <c r="H943" s="59" t="str">
        <f t="shared" si="23"/>
        <v/>
      </c>
      <c r="I943" s="60"/>
      <c r="J943" s="61" t="str">
        <f t="shared" si="2"/>
        <v/>
      </c>
      <c r="K943" s="58" t="str">
        <f>if(G943,_xlfn.workday.intl(int(G943),0,"1000000",Holidays!A:A)+19/24,"")</f>
        <v/>
      </c>
      <c r="L943" s="59" t="str">
        <f t="shared" si="3"/>
        <v/>
      </c>
      <c r="M943" s="60"/>
      <c r="N943" s="61" t="str">
        <f t="shared" si="4"/>
        <v/>
      </c>
      <c r="O943" s="63" t="str">
        <f>if(A943,_xlfn.WORKDAY.INTL(A943,O$5,"1000000",Holidays!A:A)+hour(A943)/24+MINUTE(A943)/1440,"")</f>
        <v/>
      </c>
      <c r="P943" s="64" t="s">
        <v>2718</v>
      </c>
      <c r="R943" s="66" t="str">
        <f t="shared" si="5"/>
        <v/>
      </c>
      <c r="S943" s="66"/>
      <c r="T943" s="66"/>
      <c r="U943" s="64" t="str">
        <f>if(O943,_xlfn.WORKDAY.INTL(O943,U$5,"1000000",Holidays!A:A)+hour(O943)/24+MINUTE(O943)/1440,"")</f>
        <v/>
      </c>
      <c r="V943" s="64" t="str">
        <f t="shared" si="6"/>
        <v/>
      </c>
      <c r="W943" s="66"/>
      <c r="X943" s="66" t="str">
        <f t="shared" si="7"/>
        <v/>
      </c>
      <c r="Y943" s="66"/>
      <c r="Z943" s="66"/>
      <c r="AA943" s="66"/>
      <c r="AB943" s="63"/>
      <c r="AC943" s="63"/>
      <c r="AD943" s="63"/>
      <c r="AE943" s="63"/>
      <c r="AF943" s="63"/>
      <c r="AG943" s="63"/>
      <c r="AH943" s="63" t="str">
        <f t="shared" si="14"/>
        <v/>
      </c>
      <c r="AI943" s="63" t="str">
        <f>if(AH943,_xlfn.workday.intl(int(AH943),0,"1000000",Holidays!A:A)+18/24,"")</f>
        <v/>
      </c>
      <c r="AJ943" s="64" t="str">
        <f t="shared" si="24"/>
        <v/>
      </c>
      <c r="AL943" s="66" t="str">
        <f t="shared" si="9"/>
        <v/>
      </c>
      <c r="AM943" s="66"/>
      <c r="AN943" s="63" t="str">
        <f>if(AJ943,if(and(hour(AJ943+AN$5)&gt;11,(hour(AJ943+AN$5)&lt;20)),AJ943+AN$5,_xlfn.workday.intl(int(AJ943),1,"1000000",Holidays!A:A)+hour(AJ943+AN$5-$B$1)/24+minute(AJ943)/1440),"")</f>
        <v/>
      </c>
      <c r="AO943" s="64" t="str">
        <f t="shared" si="15"/>
        <v/>
      </c>
      <c r="AQ943" s="66" t="str">
        <f t="shared" si="16"/>
        <v/>
      </c>
      <c r="AR943" s="66"/>
      <c r="AS943" s="63" t="str">
        <f>if(AJ943,if(and(hour(AJ943+AS$5)&gt;11,(hour(AJ943+AS$5)&lt;20)),AJ943+AS$5,_xlfn.workday.intl(int(AJ943),1,"1000000",Holidays!A:A)+hour(AJ943+AS$5-$B$1)/24+minute(AJ943)/1440),"")</f>
        <v/>
      </c>
      <c r="AT943" s="64" t="str">
        <f t="shared" si="21"/>
        <v/>
      </c>
      <c r="AV943" s="66" t="str">
        <f t="shared" si="25"/>
        <v/>
      </c>
      <c r="AW943" s="66"/>
      <c r="AX943" s="56"/>
    </row>
    <row r="944">
      <c r="A944" s="56"/>
      <c r="B944" s="56"/>
      <c r="C944" s="57"/>
      <c r="D944" s="57"/>
      <c r="E944" s="57"/>
      <c r="F944" s="57"/>
      <c r="G944" s="58" t="str">
        <f>if(A944,_xlfn.workday.intl(int(A944),1,"1000000",Holidays!A:A)+17/24,"")</f>
        <v/>
      </c>
      <c r="H944" s="59" t="str">
        <f t="shared" si="23"/>
        <v/>
      </c>
      <c r="I944" s="60"/>
      <c r="J944" s="61" t="str">
        <f t="shared" si="2"/>
        <v/>
      </c>
      <c r="K944" s="58" t="str">
        <f>if(G944,_xlfn.workday.intl(int(G944),0,"1000000",Holidays!A:A)+19/24,"")</f>
        <v/>
      </c>
      <c r="L944" s="59" t="str">
        <f t="shared" si="3"/>
        <v/>
      </c>
      <c r="M944" s="60"/>
      <c r="N944" s="61" t="str">
        <f t="shared" si="4"/>
        <v/>
      </c>
      <c r="O944" s="63" t="str">
        <f>if(A944,_xlfn.WORKDAY.INTL(A944,O$5,"1000000",Holidays!A:A)+hour(A944)/24+MINUTE(A944)/1440,"")</f>
        <v/>
      </c>
      <c r="P944" s="64" t="s">
        <v>2718</v>
      </c>
      <c r="R944" s="66" t="str">
        <f t="shared" si="5"/>
        <v/>
      </c>
      <c r="S944" s="66"/>
      <c r="T944" s="66"/>
      <c r="U944" s="64" t="str">
        <f>if(O944,_xlfn.WORKDAY.INTL(O944,U$5,"1000000",Holidays!A:A)+hour(O944)/24+MINUTE(O944)/1440,"")</f>
        <v/>
      </c>
      <c r="V944" s="64" t="str">
        <f t="shared" si="6"/>
        <v/>
      </c>
      <c r="W944" s="66"/>
      <c r="X944" s="66" t="str">
        <f t="shared" si="7"/>
        <v/>
      </c>
      <c r="Y944" s="66"/>
      <c r="Z944" s="66"/>
      <c r="AA944" s="66"/>
      <c r="AB944" s="63"/>
      <c r="AC944" s="63"/>
      <c r="AD944" s="63"/>
      <c r="AE944" s="63"/>
      <c r="AF944" s="63"/>
      <c r="AG944" s="63"/>
      <c r="AH944" s="63" t="str">
        <f t="shared" si="14"/>
        <v/>
      </c>
      <c r="AI944" s="63" t="str">
        <f>if(AH944,_xlfn.workday.intl(int(AH944),0,"1000000",Holidays!A:A)+18/24,"")</f>
        <v/>
      </c>
      <c r="AJ944" s="64" t="str">
        <f t="shared" si="24"/>
        <v/>
      </c>
      <c r="AL944" s="66" t="str">
        <f t="shared" si="9"/>
        <v/>
      </c>
      <c r="AM944" s="66"/>
      <c r="AN944" s="63" t="str">
        <f>if(AJ944,if(and(hour(AJ944+AN$5)&gt;11,(hour(AJ944+AN$5)&lt;20)),AJ944+AN$5,_xlfn.workday.intl(int(AJ944),1,"1000000",Holidays!A:A)+hour(AJ944+AN$5-$B$1)/24+minute(AJ944)/1440),"")</f>
        <v/>
      </c>
      <c r="AO944" s="64" t="str">
        <f t="shared" si="15"/>
        <v/>
      </c>
      <c r="AQ944" s="66" t="str">
        <f t="shared" si="16"/>
        <v/>
      </c>
      <c r="AR944" s="66"/>
      <c r="AS944" s="63" t="str">
        <f>if(AJ944,if(and(hour(AJ944+AS$5)&gt;11,(hour(AJ944+AS$5)&lt;20)),AJ944+AS$5,_xlfn.workday.intl(int(AJ944),1,"1000000",Holidays!A:A)+hour(AJ944+AS$5-$B$1)/24+minute(AJ944)/1440),"")</f>
        <v/>
      </c>
      <c r="AT944" s="64" t="str">
        <f t="shared" si="21"/>
        <v/>
      </c>
      <c r="AV944" s="66" t="str">
        <f t="shared" si="25"/>
        <v/>
      </c>
      <c r="AW944" s="66"/>
      <c r="AX944" s="56"/>
    </row>
    <row r="945">
      <c r="A945" s="56"/>
      <c r="B945" s="56"/>
      <c r="C945" s="57"/>
      <c r="D945" s="57"/>
      <c r="E945" s="57"/>
      <c r="F945" s="57"/>
      <c r="G945" s="58" t="str">
        <f>if(A945,_xlfn.workday.intl(int(A945),1,"1000000",Holidays!A:A)+17/24,"")</f>
        <v/>
      </c>
      <c r="H945" s="59" t="str">
        <f t="shared" si="23"/>
        <v/>
      </c>
      <c r="I945" s="60"/>
      <c r="J945" s="61" t="str">
        <f t="shared" si="2"/>
        <v/>
      </c>
      <c r="K945" s="58" t="str">
        <f>if(G945,_xlfn.workday.intl(int(G945),0,"1000000",Holidays!A:A)+19/24,"")</f>
        <v/>
      </c>
      <c r="L945" s="59" t="str">
        <f t="shared" si="3"/>
        <v/>
      </c>
      <c r="M945" s="60"/>
      <c r="N945" s="61" t="str">
        <f t="shared" si="4"/>
        <v/>
      </c>
      <c r="O945" s="63" t="str">
        <f>if(A945,_xlfn.WORKDAY.INTL(A945,O$5,"1000000",Holidays!A:A)+hour(A945)/24+MINUTE(A945)/1440,"")</f>
        <v/>
      </c>
      <c r="P945" s="64" t="s">
        <v>2718</v>
      </c>
      <c r="R945" s="66" t="str">
        <f t="shared" si="5"/>
        <v/>
      </c>
      <c r="S945" s="66"/>
      <c r="T945" s="66"/>
      <c r="U945" s="64" t="str">
        <f>if(O945,_xlfn.WORKDAY.INTL(O945,U$5,"1000000",Holidays!A:A)+hour(O945)/24+MINUTE(O945)/1440,"")</f>
        <v/>
      </c>
      <c r="V945" s="64" t="str">
        <f t="shared" si="6"/>
        <v/>
      </c>
      <c r="W945" s="66"/>
      <c r="X945" s="66" t="str">
        <f t="shared" si="7"/>
        <v/>
      </c>
      <c r="Y945" s="66"/>
      <c r="Z945" s="66"/>
      <c r="AA945" s="66"/>
      <c r="AB945" s="63"/>
      <c r="AC945" s="63"/>
      <c r="AD945" s="63"/>
      <c r="AE945" s="63"/>
      <c r="AF945" s="63"/>
      <c r="AG945" s="63"/>
      <c r="AH945" s="63" t="str">
        <f t="shared" si="14"/>
        <v/>
      </c>
      <c r="AI945" s="63" t="str">
        <f>if(AH945,_xlfn.workday.intl(int(AH945),0,"1000000",Holidays!A:A)+18/24,"")</f>
        <v/>
      </c>
      <c r="AJ945" s="64" t="str">
        <f t="shared" si="24"/>
        <v/>
      </c>
      <c r="AL945" s="66" t="str">
        <f t="shared" si="9"/>
        <v/>
      </c>
      <c r="AM945" s="66"/>
      <c r="AN945" s="63" t="str">
        <f>if(AJ945,if(and(hour(AJ945+AN$5)&gt;11,(hour(AJ945+AN$5)&lt;20)),AJ945+AN$5,_xlfn.workday.intl(int(AJ945),1,"1000000",Holidays!A:A)+hour(AJ945+AN$5-$B$1)/24+minute(AJ945)/1440),"")</f>
        <v/>
      </c>
      <c r="AO945" s="64" t="str">
        <f t="shared" si="15"/>
        <v/>
      </c>
      <c r="AQ945" s="66" t="str">
        <f t="shared" si="16"/>
        <v/>
      </c>
      <c r="AR945" s="66"/>
      <c r="AS945" s="63" t="str">
        <f>if(AJ945,if(and(hour(AJ945+AS$5)&gt;11,(hour(AJ945+AS$5)&lt;20)),AJ945+AS$5,_xlfn.workday.intl(int(AJ945),1,"1000000",Holidays!A:A)+hour(AJ945+AS$5-$B$1)/24+minute(AJ945)/1440),"")</f>
        <v/>
      </c>
      <c r="AT945" s="64" t="str">
        <f t="shared" si="21"/>
        <v/>
      </c>
      <c r="AV945" s="66" t="str">
        <f t="shared" si="25"/>
        <v/>
      </c>
      <c r="AW945" s="66"/>
      <c r="AX945" s="56"/>
    </row>
    <row r="946">
      <c r="A946" s="56"/>
      <c r="B946" s="56"/>
      <c r="C946" s="57"/>
      <c r="D946" s="57"/>
      <c r="E946" s="57"/>
      <c r="F946" s="57"/>
      <c r="G946" s="58" t="str">
        <f>if(A946,_xlfn.workday.intl(int(A946),1,"1000000",Holidays!A:A)+17/24,"")</f>
        <v/>
      </c>
      <c r="H946" s="59" t="str">
        <f t="shared" si="23"/>
        <v/>
      </c>
      <c r="I946" s="60"/>
      <c r="J946" s="61" t="str">
        <f t="shared" si="2"/>
        <v/>
      </c>
      <c r="K946" s="58" t="str">
        <f>if(G946,_xlfn.workday.intl(int(G946),0,"1000000",Holidays!A:A)+19/24,"")</f>
        <v/>
      </c>
      <c r="L946" s="59" t="str">
        <f t="shared" si="3"/>
        <v/>
      </c>
      <c r="M946" s="60"/>
      <c r="N946" s="61" t="str">
        <f t="shared" si="4"/>
        <v/>
      </c>
      <c r="O946" s="63" t="str">
        <f>if(A946,_xlfn.WORKDAY.INTL(A946,O$5,"1000000",Holidays!A:A)+hour(A946)/24+MINUTE(A946)/1440,"")</f>
        <v/>
      </c>
      <c r="P946" s="64" t="s">
        <v>2718</v>
      </c>
      <c r="R946" s="66" t="str">
        <f t="shared" si="5"/>
        <v/>
      </c>
      <c r="S946" s="66"/>
      <c r="T946" s="66"/>
      <c r="U946" s="64" t="str">
        <f>if(O946,_xlfn.WORKDAY.INTL(O946,U$5,"1000000",Holidays!A:A)+hour(O946)/24+MINUTE(O946)/1440,"")</f>
        <v/>
      </c>
      <c r="V946" s="64" t="str">
        <f t="shared" si="6"/>
        <v/>
      </c>
      <c r="W946" s="66"/>
      <c r="X946" s="66" t="str">
        <f t="shared" si="7"/>
        <v/>
      </c>
      <c r="Y946" s="66"/>
      <c r="Z946" s="66"/>
      <c r="AA946" s="66"/>
      <c r="AB946" s="63"/>
      <c r="AC946" s="63"/>
      <c r="AD946" s="63"/>
      <c r="AE946" s="63"/>
      <c r="AF946" s="63"/>
      <c r="AG946" s="63"/>
      <c r="AH946" s="63" t="str">
        <f t="shared" si="14"/>
        <v/>
      </c>
      <c r="AI946" s="63" t="str">
        <f>if(AH946,_xlfn.workday.intl(int(AH946),0,"1000000",Holidays!A:A)+18/24,"")</f>
        <v/>
      </c>
      <c r="AJ946" s="64" t="str">
        <f t="shared" si="24"/>
        <v/>
      </c>
      <c r="AL946" s="66" t="str">
        <f t="shared" si="9"/>
        <v/>
      </c>
      <c r="AM946" s="66"/>
      <c r="AN946" s="63" t="str">
        <f>if(AJ946,if(and(hour(AJ946+AN$5)&gt;11,(hour(AJ946+AN$5)&lt;20)),AJ946+AN$5,_xlfn.workday.intl(int(AJ946),1,"1000000",Holidays!A:A)+hour(AJ946+AN$5-$B$1)/24+minute(AJ946)/1440),"")</f>
        <v/>
      </c>
      <c r="AO946" s="64" t="str">
        <f t="shared" si="15"/>
        <v/>
      </c>
      <c r="AQ946" s="66" t="str">
        <f t="shared" si="16"/>
        <v/>
      </c>
      <c r="AR946" s="66"/>
      <c r="AS946" s="63" t="str">
        <f>if(AJ946,if(and(hour(AJ946+AS$5)&gt;11,(hour(AJ946+AS$5)&lt;20)),AJ946+AS$5,_xlfn.workday.intl(int(AJ946),1,"1000000",Holidays!A:A)+hour(AJ946+AS$5-$B$1)/24+minute(AJ946)/1440),"")</f>
        <v/>
      </c>
      <c r="AT946" s="64" t="str">
        <f t="shared" si="21"/>
        <v/>
      </c>
      <c r="AV946" s="66" t="str">
        <f t="shared" si="25"/>
        <v/>
      </c>
      <c r="AW946" s="66"/>
      <c r="AX946" s="56"/>
    </row>
    <row r="947">
      <c r="A947" s="56"/>
      <c r="B947" s="56"/>
      <c r="C947" s="57"/>
      <c r="D947" s="57"/>
      <c r="E947" s="57"/>
      <c r="F947" s="57"/>
      <c r="G947" s="58" t="str">
        <f>if(A947,_xlfn.workday.intl(int(A947),1,"1000000",Holidays!A:A)+17/24,"")</f>
        <v/>
      </c>
      <c r="H947" s="59" t="str">
        <f t="shared" si="23"/>
        <v/>
      </c>
      <c r="I947" s="60"/>
      <c r="J947" s="61" t="str">
        <f t="shared" si="2"/>
        <v/>
      </c>
      <c r="K947" s="58" t="str">
        <f>if(G947,_xlfn.workday.intl(int(G947),0,"1000000",Holidays!A:A)+19/24,"")</f>
        <v/>
      </c>
      <c r="L947" s="59" t="str">
        <f t="shared" si="3"/>
        <v/>
      </c>
      <c r="M947" s="60"/>
      <c r="N947" s="61" t="str">
        <f t="shared" si="4"/>
        <v/>
      </c>
      <c r="O947" s="63" t="str">
        <f>if(A947,_xlfn.WORKDAY.INTL(A947,O$5,"1000000",Holidays!A:A)+hour(A947)/24+MINUTE(A947)/1440,"")</f>
        <v/>
      </c>
      <c r="P947" s="64" t="s">
        <v>2718</v>
      </c>
      <c r="R947" s="66" t="str">
        <f t="shared" si="5"/>
        <v/>
      </c>
      <c r="S947" s="66"/>
      <c r="T947" s="66"/>
      <c r="U947" s="64" t="str">
        <f>if(O947,_xlfn.WORKDAY.INTL(O947,U$5,"1000000",Holidays!A:A)+hour(O947)/24+MINUTE(O947)/1440,"")</f>
        <v/>
      </c>
      <c r="V947" s="64" t="str">
        <f t="shared" si="6"/>
        <v/>
      </c>
      <c r="W947" s="66"/>
      <c r="X947" s="66" t="str">
        <f t="shared" si="7"/>
        <v/>
      </c>
      <c r="Y947" s="66"/>
      <c r="Z947" s="66"/>
      <c r="AA947" s="66"/>
      <c r="AB947" s="63"/>
      <c r="AC947" s="63"/>
      <c r="AD947" s="63"/>
      <c r="AE947" s="63"/>
      <c r="AF947" s="63"/>
      <c r="AG947" s="63"/>
      <c r="AH947" s="63" t="str">
        <f t="shared" si="14"/>
        <v/>
      </c>
      <c r="AI947" s="63" t="str">
        <f>if(AH947,_xlfn.workday.intl(int(AH947),0,"1000000",Holidays!A:A)+18/24,"")</f>
        <v/>
      </c>
      <c r="AJ947" s="64" t="str">
        <f t="shared" si="24"/>
        <v/>
      </c>
      <c r="AL947" s="66" t="str">
        <f t="shared" si="9"/>
        <v/>
      </c>
      <c r="AM947" s="66"/>
      <c r="AN947" s="63" t="str">
        <f>if(AJ947,if(and(hour(AJ947+AN$5)&gt;11,(hour(AJ947+AN$5)&lt;20)),AJ947+AN$5,_xlfn.workday.intl(int(AJ947),1,"1000000",Holidays!A:A)+hour(AJ947+AN$5-$B$1)/24+minute(AJ947)/1440),"")</f>
        <v/>
      </c>
      <c r="AO947" s="64" t="str">
        <f t="shared" si="15"/>
        <v/>
      </c>
      <c r="AQ947" s="66" t="str">
        <f t="shared" si="16"/>
        <v/>
      </c>
      <c r="AR947" s="66"/>
      <c r="AS947" s="63" t="str">
        <f>if(AJ947,if(and(hour(AJ947+AS$5)&gt;11,(hour(AJ947+AS$5)&lt;20)),AJ947+AS$5,_xlfn.workday.intl(int(AJ947),1,"1000000",Holidays!A:A)+hour(AJ947+AS$5-$B$1)/24+minute(AJ947)/1440),"")</f>
        <v/>
      </c>
      <c r="AT947" s="64" t="str">
        <f t="shared" si="21"/>
        <v/>
      </c>
      <c r="AV947" s="66" t="str">
        <f t="shared" si="25"/>
        <v/>
      </c>
      <c r="AW947" s="66"/>
      <c r="AX947" s="56"/>
    </row>
    <row r="948">
      <c r="A948" s="56"/>
      <c r="B948" s="56"/>
      <c r="C948" s="57"/>
      <c r="D948" s="57"/>
      <c r="E948" s="57"/>
      <c r="F948" s="57"/>
      <c r="G948" s="58" t="str">
        <f>if(A948,_xlfn.workday.intl(int(A948),1,"1000000",Holidays!A:A)+17/24,"")</f>
        <v/>
      </c>
      <c r="H948" s="59" t="str">
        <f t="shared" si="23"/>
        <v/>
      </c>
      <c r="I948" s="60"/>
      <c r="J948" s="61" t="str">
        <f t="shared" si="2"/>
        <v/>
      </c>
      <c r="K948" s="58" t="str">
        <f>if(G948,_xlfn.workday.intl(int(G948),0,"1000000",Holidays!A:A)+19/24,"")</f>
        <v/>
      </c>
      <c r="L948" s="59" t="str">
        <f t="shared" si="3"/>
        <v/>
      </c>
      <c r="M948" s="60"/>
      <c r="N948" s="61" t="str">
        <f t="shared" si="4"/>
        <v/>
      </c>
      <c r="O948" s="63" t="str">
        <f>if(A948,_xlfn.WORKDAY.INTL(A948,O$5,"1000000",Holidays!A:A)+hour(A948)/24+MINUTE(A948)/1440,"")</f>
        <v/>
      </c>
      <c r="P948" s="64" t="s">
        <v>2718</v>
      </c>
      <c r="R948" s="66" t="str">
        <f t="shared" si="5"/>
        <v/>
      </c>
      <c r="S948" s="66"/>
      <c r="T948" s="66"/>
      <c r="U948" s="64" t="str">
        <f>if(O948,_xlfn.WORKDAY.INTL(O948,U$5,"1000000",Holidays!A:A)+hour(O948)/24+MINUTE(O948)/1440,"")</f>
        <v/>
      </c>
      <c r="V948" s="64" t="str">
        <f t="shared" si="6"/>
        <v/>
      </c>
      <c r="W948" s="66"/>
      <c r="X948" s="66" t="str">
        <f t="shared" si="7"/>
        <v/>
      </c>
      <c r="Y948" s="66"/>
      <c r="Z948" s="66"/>
      <c r="AA948" s="66"/>
      <c r="AB948" s="63"/>
      <c r="AC948" s="63"/>
      <c r="AD948" s="63"/>
      <c r="AE948" s="63"/>
      <c r="AF948" s="63"/>
      <c r="AG948" s="63"/>
      <c r="AH948" s="63" t="str">
        <f t="shared" si="14"/>
        <v/>
      </c>
      <c r="AI948" s="63" t="str">
        <f>if(AH948,_xlfn.workday.intl(int(AH948),0,"1000000",Holidays!A:A)+18/24,"")</f>
        <v/>
      </c>
      <c r="AJ948" s="64" t="str">
        <f t="shared" si="24"/>
        <v/>
      </c>
      <c r="AL948" s="66" t="str">
        <f t="shared" si="9"/>
        <v/>
      </c>
      <c r="AM948" s="66"/>
      <c r="AN948" s="63" t="str">
        <f>if(AJ948,if(and(hour(AJ948+AN$5)&gt;11,(hour(AJ948+AN$5)&lt;20)),AJ948+AN$5,_xlfn.workday.intl(int(AJ948),1,"1000000",Holidays!A:A)+hour(AJ948+AN$5-$B$1)/24+minute(AJ948)/1440),"")</f>
        <v/>
      </c>
      <c r="AO948" s="64" t="str">
        <f t="shared" si="15"/>
        <v/>
      </c>
      <c r="AQ948" s="66" t="str">
        <f t="shared" si="16"/>
        <v/>
      </c>
      <c r="AR948" s="66"/>
      <c r="AS948" s="63" t="str">
        <f>if(AJ948,if(and(hour(AJ948+AS$5)&gt;11,(hour(AJ948+AS$5)&lt;20)),AJ948+AS$5,_xlfn.workday.intl(int(AJ948),1,"1000000",Holidays!A:A)+hour(AJ948+AS$5-$B$1)/24+minute(AJ948)/1440),"")</f>
        <v/>
      </c>
      <c r="AT948" s="64" t="str">
        <f t="shared" si="21"/>
        <v/>
      </c>
      <c r="AV948" s="66" t="str">
        <f t="shared" si="25"/>
        <v/>
      </c>
      <c r="AW948" s="66"/>
      <c r="AX948" s="56"/>
    </row>
    <row r="949">
      <c r="A949" s="56"/>
      <c r="B949" s="56"/>
      <c r="C949" s="57"/>
      <c r="D949" s="57"/>
      <c r="E949" s="57"/>
      <c r="F949" s="57"/>
      <c r="G949" s="58" t="str">
        <f>if(A949,_xlfn.workday.intl(int(A949),1,"1000000",Holidays!A:A)+17/24,"")</f>
        <v/>
      </c>
      <c r="H949" s="59" t="str">
        <f t="shared" si="23"/>
        <v/>
      </c>
      <c r="I949" s="60"/>
      <c r="J949" s="61" t="str">
        <f t="shared" si="2"/>
        <v/>
      </c>
      <c r="K949" s="58" t="str">
        <f>if(G949,_xlfn.workday.intl(int(G949),0,"1000000",Holidays!A:A)+19/24,"")</f>
        <v/>
      </c>
      <c r="L949" s="59" t="str">
        <f t="shared" si="3"/>
        <v/>
      </c>
      <c r="M949" s="60"/>
      <c r="N949" s="61" t="str">
        <f t="shared" si="4"/>
        <v/>
      </c>
      <c r="O949" s="63" t="str">
        <f>if(A949,_xlfn.WORKDAY.INTL(A949,O$5,"1000000",Holidays!A:A)+hour(A949)/24+MINUTE(A949)/1440,"")</f>
        <v/>
      </c>
      <c r="P949" s="64" t="s">
        <v>2718</v>
      </c>
      <c r="R949" s="66" t="str">
        <f t="shared" si="5"/>
        <v/>
      </c>
      <c r="S949" s="66"/>
      <c r="T949" s="66"/>
      <c r="U949" s="64" t="str">
        <f>if(O949,_xlfn.WORKDAY.INTL(O949,U$5,"1000000",Holidays!A:A)+hour(O949)/24+MINUTE(O949)/1440,"")</f>
        <v/>
      </c>
      <c r="V949" s="64" t="str">
        <f t="shared" si="6"/>
        <v/>
      </c>
      <c r="W949" s="66"/>
      <c r="X949" s="66" t="str">
        <f t="shared" si="7"/>
        <v/>
      </c>
      <c r="Y949" s="66"/>
      <c r="Z949" s="66"/>
      <c r="AA949" s="66"/>
      <c r="AB949" s="63"/>
      <c r="AC949" s="63"/>
      <c r="AD949" s="63"/>
      <c r="AE949" s="63"/>
      <c r="AF949" s="63"/>
      <c r="AG949" s="63"/>
      <c r="AH949" s="63" t="str">
        <f t="shared" si="14"/>
        <v/>
      </c>
      <c r="AI949" s="63" t="str">
        <f>if(AH949,_xlfn.workday.intl(int(AH949),0,"1000000",Holidays!A:A)+18/24,"")</f>
        <v/>
      </c>
      <c r="AJ949" s="64" t="str">
        <f t="shared" si="24"/>
        <v/>
      </c>
      <c r="AL949" s="66" t="str">
        <f t="shared" si="9"/>
        <v/>
      </c>
      <c r="AM949" s="66"/>
      <c r="AN949" s="63" t="str">
        <f>if(AJ949,if(and(hour(AJ949+AN$5)&gt;11,(hour(AJ949+AN$5)&lt;20)),AJ949+AN$5,_xlfn.workday.intl(int(AJ949),1,"1000000",Holidays!A:A)+hour(AJ949+AN$5-$B$1)/24+minute(AJ949)/1440),"")</f>
        <v/>
      </c>
      <c r="AO949" s="64" t="str">
        <f t="shared" si="15"/>
        <v/>
      </c>
      <c r="AQ949" s="66" t="str">
        <f t="shared" si="16"/>
        <v/>
      </c>
      <c r="AR949" s="66"/>
      <c r="AS949" s="63" t="str">
        <f>if(AJ949,if(and(hour(AJ949+AS$5)&gt;11,(hour(AJ949+AS$5)&lt;20)),AJ949+AS$5,_xlfn.workday.intl(int(AJ949),1,"1000000",Holidays!A:A)+hour(AJ949+AS$5-$B$1)/24+minute(AJ949)/1440),"")</f>
        <v/>
      </c>
      <c r="AT949" s="64" t="str">
        <f t="shared" si="21"/>
        <v/>
      </c>
      <c r="AV949" s="66" t="str">
        <f t="shared" si="25"/>
        <v/>
      </c>
      <c r="AW949" s="66"/>
      <c r="AX949" s="56"/>
    </row>
    <row r="950">
      <c r="A950" s="56"/>
      <c r="B950" s="56"/>
      <c r="C950" s="57"/>
      <c r="D950" s="57"/>
      <c r="E950" s="57"/>
      <c r="F950" s="57"/>
      <c r="G950" s="58" t="str">
        <f>if(A950,_xlfn.workday.intl(int(A950),1,"1000000",Holidays!A:A)+17/24,"")</f>
        <v/>
      </c>
      <c r="H950" s="59" t="str">
        <f t="shared" si="23"/>
        <v/>
      </c>
      <c r="I950" s="60"/>
      <c r="J950" s="61" t="str">
        <f t="shared" si="2"/>
        <v/>
      </c>
      <c r="K950" s="58" t="str">
        <f>if(G950,_xlfn.workday.intl(int(G950),0,"1000000",Holidays!A:A)+19/24,"")</f>
        <v/>
      </c>
      <c r="L950" s="59" t="str">
        <f t="shared" si="3"/>
        <v/>
      </c>
      <c r="M950" s="60"/>
      <c r="N950" s="61" t="str">
        <f t="shared" si="4"/>
        <v/>
      </c>
      <c r="O950" s="63" t="str">
        <f>if(A950,_xlfn.WORKDAY.INTL(A950,O$5,"1000000",Holidays!A:A)+hour(A950)/24+MINUTE(A950)/1440,"")</f>
        <v/>
      </c>
      <c r="P950" s="64" t="s">
        <v>2718</v>
      </c>
      <c r="R950" s="66" t="str">
        <f t="shared" si="5"/>
        <v/>
      </c>
      <c r="S950" s="66"/>
      <c r="T950" s="66"/>
      <c r="U950" s="64" t="str">
        <f>if(O950,_xlfn.WORKDAY.INTL(O950,U$5,"1000000",Holidays!A:A)+hour(O950)/24+MINUTE(O950)/1440,"")</f>
        <v/>
      </c>
      <c r="V950" s="64" t="str">
        <f t="shared" si="6"/>
        <v/>
      </c>
      <c r="W950" s="66"/>
      <c r="X950" s="66" t="str">
        <f t="shared" si="7"/>
        <v/>
      </c>
      <c r="Y950" s="66"/>
      <c r="Z950" s="66"/>
      <c r="AA950" s="66"/>
      <c r="AB950" s="63"/>
      <c r="AC950" s="63"/>
      <c r="AD950" s="63"/>
      <c r="AE950" s="63"/>
      <c r="AF950" s="63"/>
      <c r="AG950" s="63"/>
      <c r="AH950" s="63" t="str">
        <f t="shared" si="14"/>
        <v/>
      </c>
      <c r="AI950" s="63" t="str">
        <f>if(AH950,_xlfn.workday.intl(int(AH950),0,"1000000",Holidays!A:A)+18/24,"")</f>
        <v/>
      </c>
      <c r="AJ950" s="64" t="str">
        <f t="shared" si="24"/>
        <v/>
      </c>
      <c r="AL950" s="66" t="str">
        <f t="shared" si="9"/>
        <v/>
      </c>
      <c r="AM950" s="66"/>
      <c r="AN950" s="63" t="str">
        <f>if(AJ950,if(and(hour(AJ950+AN$5)&gt;11,(hour(AJ950+AN$5)&lt;20)),AJ950+AN$5,_xlfn.workday.intl(int(AJ950),1,"1000000",Holidays!A:A)+hour(AJ950+AN$5-$B$1)/24+minute(AJ950)/1440),"")</f>
        <v/>
      </c>
      <c r="AO950" s="64" t="str">
        <f t="shared" si="15"/>
        <v/>
      </c>
      <c r="AQ950" s="66" t="str">
        <f t="shared" si="16"/>
        <v/>
      </c>
      <c r="AR950" s="66"/>
      <c r="AS950" s="63" t="str">
        <f>if(AJ950,if(and(hour(AJ950+AS$5)&gt;11,(hour(AJ950+AS$5)&lt;20)),AJ950+AS$5,_xlfn.workday.intl(int(AJ950),1,"1000000",Holidays!A:A)+hour(AJ950+AS$5-$B$1)/24+minute(AJ950)/1440),"")</f>
        <v/>
      </c>
      <c r="AT950" s="64" t="str">
        <f t="shared" si="21"/>
        <v/>
      </c>
      <c r="AV950" s="66" t="str">
        <f t="shared" si="25"/>
        <v/>
      </c>
      <c r="AW950" s="66"/>
      <c r="AX950" s="56"/>
    </row>
    <row r="951">
      <c r="A951" s="56"/>
      <c r="B951" s="56"/>
      <c r="C951" s="57"/>
      <c r="D951" s="57"/>
      <c r="E951" s="57"/>
      <c r="F951" s="57"/>
      <c r="G951" s="58" t="str">
        <f>if(A951,_xlfn.workday.intl(int(A951),1,"1000000",Holidays!A:A)+17/24,"")</f>
        <v/>
      </c>
      <c r="H951" s="59" t="str">
        <f t="shared" si="23"/>
        <v/>
      </c>
      <c r="I951" s="60"/>
      <c r="J951" s="61" t="str">
        <f t="shared" si="2"/>
        <v/>
      </c>
      <c r="K951" s="58" t="str">
        <f>if(G951,_xlfn.workday.intl(int(G951),0,"1000000",Holidays!A:A)+19/24,"")</f>
        <v/>
      </c>
      <c r="L951" s="59" t="str">
        <f t="shared" si="3"/>
        <v/>
      </c>
      <c r="M951" s="60"/>
      <c r="N951" s="61" t="str">
        <f t="shared" si="4"/>
        <v/>
      </c>
      <c r="O951" s="63" t="str">
        <f>if(A951,_xlfn.WORKDAY.INTL(A951,O$5,"1000000",Holidays!A:A)+hour(A951)/24+MINUTE(A951)/1440,"")</f>
        <v/>
      </c>
      <c r="P951" s="64" t="s">
        <v>2718</v>
      </c>
      <c r="R951" s="66" t="str">
        <f t="shared" si="5"/>
        <v/>
      </c>
      <c r="S951" s="66"/>
      <c r="T951" s="66"/>
      <c r="U951" s="64" t="str">
        <f>if(O951,_xlfn.WORKDAY.INTL(O951,U$5,"1000000",Holidays!A:A)+hour(O951)/24+MINUTE(O951)/1440,"")</f>
        <v/>
      </c>
      <c r="V951" s="64" t="str">
        <f t="shared" si="6"/>
        <v/>
      </c>
      <c r="W951" s="66"/>
      <c r="X951" s="66" t="str">
        <f t="shared" si="7"/>
        <v/>
      </c>
      <c r="Y951" s="66"/>
      <c r="Z951" s="66"/>
      <c r="AA951" s="66"/>
      <c r="AB951" s="63"/>
      <c r="AC951" s="63"/>
      <c r="AD951" s="63"/>
      <c r="AE951" s="63"/>
      <c r="AF951" s="63"/>
      <c r="AG951" s="63"/>
      <c r="AH951" s="63" t="str">
        <f t="shared" si="14"/>
        <v/>
      </c>
      <c r="AI951" s="63" t="str">
        <f>if(AH951,_xlfn.workday.intl(int(AH951),0,"1000000",Holidays!A:A)+18/24,"")</f>
        <v/>
      </c>
      <c r="AJ951" s="64" t="str">
        <f t="shared" si="24"/>
        <v/>
      </c>
      <c r="AL951" s="66" t="str">
        <f t="shared" si="9"/>
        <v/>
      </c>
      <c r="AM951" s="66"/>
      <c r="AN951" s="63" t="str">
        <f>if(AJ951,if(and(hour(AJ951+AN$5)&gt;11,(hour(AJ951+AN$5)&lt;20)),AJ951+AN$5,_xlfn.workday.intl(int(AJ951),1,"1000000",Holidays!A:A)+hour(AJ951+AN$5-$B$1)/24+minute(AJ951)/1440),"")</f>
        <v/>
      </c>
      <c r="AO951" s="64" t="str">
        <f t="shared" si="15"/>
        <v/>
      </c>
      <c r="AQ951" s="66" t="str">
        <f t="shared" si="16"/>
        <v/>
      </c>
      <c r="AR951" s="66"/>
      <c r="AS951" s="63" t="str">
        <f>if(AJ951,if(and(hour(AJ951+AS$5)&gt;11,(hour(AJ951+AS$5)&lt;20)),AJ951+AS$5,_xlfn.workday.intl(int(AJ951),1,"1000000",Holidays!A:A)+hour(AJ951+AS$5-$B$1)/24+minute(AJ951)/1440),"")</f>
        <v/>
      </c>
      <c r="AT951" s="64" t="str">
        <f t="shared" si="21"/>
        <v/>
      </c>
      <c r="AV951" s="66" t="str">
        <f t="shared" si="25"/>
        <v/>
      </c>
      <c r="AW951" s="66"/>
      <c r="AX951" s="56"/>
    </row>
    <row r="952">
      <c r="A952" s="56"/>
      <c r="B952" s="56"/>
      <c r="C952" s="57"/>
      <c r="D952" s="57"/>
      <c r="E952" s="57"/>
      <c r="F952" s="57"/>
      <c r="G952" s="58" t="str">
        <f>if(A952,_xlfn.workday.intl(int(A952),1,"1000000",Holidays!A:A)+17/24,"")</f>
        <v/>
      </c>
      <c r="H952" s="59" t="str">
        <f t="shared" si="23"/>
        <v/>
      </c>
      <c r="I952" s="60"/>
      <c r="J952" s="61" t="str">
        <f t="shared" si="2"/>
        <v/>
      </c>
      <c r="K952" s="58" t="str">
        <f>if(G952,_xlfn.workday.intl(int(G952),0,"1000000",Holidays!A:A)+19/24,"")</f>
        <v/>
      </c>
      <c r="L952" s="59" t="str">
        <f t="shared" si="3"/>
        <v/>
      </c>
      <c r="M952" s="60"/>
      <c r="N952" s="61" t="str">
        <f t="shared" si="4"/>
        <v/>
      </c>
      <c r="O952" s="63" t="str">
        <f>if(A952,_xlfn.WORKDAY.INTL(A952,O$5,"1000000",Holidays!A:A)+hour(A952)/24+MINUTE(A952)/1440,"")</f>
        <v/>
      </c>
      <c r="P952" s="64" t="s">
        <v>2718</v>
      </c>
      <c r="R952" s="66" t="str">
        <f t="shared" si="5"/>
        <v/>
      </c>
      <c r="S952" s="66"/>
      <c r="T952" s="66"/>
      <c r="U952" s="64" t="str">
        <f>if(O952,_xlfn.WORKDAY.INTL(O952,U$5,"1000000",Holidays!A:A)+hour(O952)/24+MINUTE(O952)/1440,"")</f>
        <v/>
      </c>
      <c r="V952" s="64" t="str">
        <f t="shared" si="6"/>
        <v/>
      </c>
      <c r="W952" s="66"/>
      <c r="X952" s="66" t="str">
        <f t="shared" si="7"/>
        <v/>
      </c>
      <c r="Y952" s="66"/>
      <c r="Z952" s="66"/>
      <c r="AA952" s="66"/>
      <c r="AB952" s="63"/>
      <c r="AC952" s="63"/>
      <c r="AD952" s="63"/>
      <c r="AE952" s="63"/>
      <c r="AF952" s="63"/>
      <c r="AG952" s="63"/>
      <c r="AH952" s="63" t="str">
        <f t="shared" si="14"/>
        <v/>
      </c>
      <c r="AI952" s="63" t="str">
        <f>if(AH952,_xlfn.workday.intl(int(AH952),0,"1000000",Holidays!A:A)+18/24,"")</f>
        <v/>
      </c>
      <c r="AJ952" s="64" t="str">
        <f t="shared" si="24"/>
        <v/>
      </c>
      <c r="AL952" s="66" t="str">
        <f t="shared" si="9"/>
        <v/>
      </c>
      <c r="AM952" s="66"/>
      <c r="AN952" s="63" t="str">
        <f>if(AJ952,if(and(hour(AJ952+AN$5)&gt;11,(hour(AJ952+AN$5)&lt;20)),AJ952+AN$5,_xlfn.workday.intl(int(AJ952),1,"1000000",Holidays!A:A)+hour(AJ952+AN$5-$B$1)/24+minute(AJ952)/1440),"")</f>
        <v/>
      </c>
      <c r="AO952" s="64" t="str">
        <f t="shared" si="15"/>
        <v/>
      </c>
      <c r="AQ952" s="66" t="str">
        <f t="shared" si="16"/>
        <v/>
      </c>
      <c r="AR952" s="66"/>
      <c r="AS952" s="63" t="str">
        <f>if(AJ952,if(and(hour(AJ952+AS$5)&gt;11,(hour(AJ952+AS$5)&lt;20)),AJ952+AS$5,_xlfn.workday.intl(int(AJ952),1,"1000000",Holidays!A:A)+hour(AJ952+AS$5-$B$1)/24+minute(AJ952)/1440),"")</f>
        <v/>
      </c>
      <c r="AT952" s="64" t="str">
        <f t="shared" si="21"/>
        <v/>
      </c>
      <c r="AV952" s="66" t="str">
        <f t="shared" si="25"/>
        <v/>
      </c>
      <c r="AW952" s="66"/>
      <c r="AX952" s="56"/>
    </row>
    <row r="953">
      <c r="A953" s="56"/>
      <c r="B953" s="56"/>
      <c r="C953" s="57"/>
      <c r="D953" s="57"/>
      <c r="E953" s="57"/>
      <c r="F953" s="57"/>
      <c r="G953" s="58" t="str">
        <f>if(A953,_xlfn.workday.intl(int(A953),1,"1000000",Holidays!A:A)+17/24,"")</f>
        <v/>
      </c>
      <c r="H953" s="59" t="str">
        <f t="shared" si="23"/>
        <v/>
      </c>
      <c r="I953" s="60"/>
      <c r="J953" s="61" t="str">
        <f t="shared" si="2"/>
        <v/>
      </c>
      <c r="K953" s="58" t="str">
        <f>if(G953,_xlfn.workday.intl(int(G953),0,"1000000",Holidays!A:A)+19/24,"")</f>
        <v/>
      </c>
      <c r="L953" s="59" t="str">
        <f t="shared" si="3"/>
        <v/>
      </c>
      <c r="M953" s="60"/>
      <c r="N953" s="61" t="str">
        <f t="shared" si="4"/>
        <v/>
      </c>
      <c r="O953" s="63" t="str">
        <f>if(A953,_xlfn.WORKDAY.INTL(A953,O$5,"1000000",Holidays!A:A)+hour(A953)/24+MINUTE(A953)/1440,"")</f>
        <v/>
      </c>
      <c r="P953" s="64" t="s">
        <v>2718</v>
      </c>
      <c r="R953" s="66" t="str">
        <f t="shared" si="5"/>
        <v/>
      </c>
      <c r="S953" s="66"/>
      <c r="T953" s="66"/>
      <c r="U953" s="64" t="str">
        <f>if(O953,_xlfn.WORKDAY.INTL(O953,U$5,"1000000",Holidays!A:A)+hour(O953)/24+MINUTE(O953)/1440,"")</f>
        <v/>
      </c>
      <c r="V953" s="64" t="str">
        <f t="shared" si="6"/>
        <v/>
      </c>
      <c r="W953" s="66"/>
      <c r="X953" s="66" t="str">
        <f t="shared" si="7"/>
        <v/>
      </c>
      <c r="Y953" s="66"/>
      <c r="Z953" s="66"/>
      <c r="AA953" s="66"/>
      <c r="AB953" s="63"/>
      <c r="AC953" s="63"/>
      <c r="AD953" s="63"/>
      <c r="AE953" s="63"/>
      <c r="AF953" s="63"/>
      <c r="AG953" s="63"/>
      <c r="AH953" s="63" t="str">
        <f t="shared" si="14"/>
        <v/>
      </c>
      <c r="AI953" s="63" t="str">
        <f>if(AH953,_xlfn.workday.intl(int(AH953),0,"1000000",Holidays!A:A)+18/24,"")</f>
        <v/>
      </c>
      <c r="AJ953" s="64" t="str">
        <f t="shared" si="24"/>
        <v/>
      </c>
      <c r="AL953" s="66" t="str">
        <f t="shared" si="9"/>
        <v/>
      </c>
      <c r="AM953" s="66"/>
      <c r="AN953" s="63" t="str">
        <f>if(AJ953,if(and(hour(AJ953+AN$5)&gt;11,(hour(AJ953+AN$5)&lt;20)),AJ953+AN$5,_xlfn.workday.intl(int(AJ953),1,"1000000",Holidays!A:A)+hour(AJ953+AN$5-$B$1)/24+minute(AJ953)/1440),"")</f>
        <v/>
      </c>
      <c r="AO953" s="64" t="str">
        <f t="shared" si="15"/>
        <v/>
      </c>
      <c r="AQ953" s="66" t="str">
        <f t="shared" si="16"/>
        <v/>
      </c>
      <c r="AR953" s="66"/>
      <c r="AS953" s="63" t="str">
        <f>if(AJ953,if(and(hour(AJ953+AS$5)&gt;11,(hour(AJ953+AS$5)&lt;20)),AJ953+AS$5,_xlfn.workday.intl(int(AJ953),1,"1000000",Holidays!A:A)+hour(AJ953+AS$5-$B$1)/24+minute(AJ953)/1440),"")</f>
        <v/>
      </c>
      <c r="AT953" s="64" t="str">
        <f t="shared" si="21"/>
        <v/>
      </c>
      <c r="AV953" s="66" t="str">
        <f t="shared" si="25"/>
        <v/>
      </c>
      <c r="AW953" s="66"/>
      <c r="AX953" s="56"/>
    </row>
    <row r="954">
      <c r="A954" s="56"/>
      <c r="B954" s="56"/>
      <c r="C954" s="57"/>
      <c r="D954" s="57"/>
      <c r="E954" s="57"/>
      <c r="F954" s="57"/>
      <c r="G954" s="58" t="str">
        <f>if(A954,_xlfn.workday.intl(int(A954),1,"1000000",Holidays!A:A)+17/24,"")</f>
        <v/>
      </c>
      <c r="H954" s="59" t="str">
        <f t="shared" si="23"/>
        <v/>
      </c>
      <c r="I954" s="60"/>
      <c r="J954" s="61" t="str">
        <f t="shared" si="2"/>
        <v/>
      </c>
      <c r="K954" s="58" t="str">
        <f>if(G954,_xlfn.workday.intl(int(G954),0,"1000000",Holidays!A:A)+19/24,"")</f>
        <v/>
      </c>
      <c r="L954" s="59" t="str">
        <f t="shared" si="3"/>
        <v/>
      </c>
      <c r="M954" s="60"/>
      <c r="N954" s="61" t="str">
        <f t="shared" si="4"/>
        <v/>
      </c>
      <c r="O954" s="63" t="str">
        <f>if(A954,_xlfn.WORKDAY.INTL(A954,O$5,"1000000",Holidays!A:A)+hour(A954)/24+MINUTE(A954)/1440,"")</f>
        <v/>
      </c>
      <c r="P954" s="64" t="s">
        <v>2718</v>
      </c>
      <c r="R954" s="66" t="str">
        <f t="shared" si="5"/>
        <v/>
      </c>
      <c r="S954" s="66"/>
      <c r="T954" s="66"/>
      <c r="U954" s="64" t="str">
        <f>if(O954,_xlfn.WORKDAY.INTL(O954,U$5,"1000000",Holidays!A:A)+hour(O954)/24+MINUTE(O954)/1440,"")</f>
        <v/>
      </c>
      <c r="V954" s="64" t="str">
        <f t="shared" si="6"/>
        <v/>
      </c>
      <c r="W954" s="66"/>
      <c r="X954" s="66" t="str">
        <f t="shared" si="7"/>
        <v/>
      </c>
      <c r="Y954" s="66"/>
      <c r="Z954" s="66"/>
      <c r="AA954" s="66"/>
      <c r="AB954" s="63"/>
      <c r="AC954" s="63"/>
      <c r="AD954" s="63"/>
      <c r="AE954" s="63"/>
      <c r="AF954" s="63"/>
      <c r="AG954" s="63"/>
      <c r="AH954" s="63" t="str">
        <f t="shared" si="14"/>
        <v/>
      </c>
      <c r="AI954" s="63" t="str">
        <f>if(AH954,_xlfn.workday.intl(int(AH954),0,"1000000",Holidays!A:A)+18/24,"")</f>
        <v/>
      </c>
      <c r="AJ954" s="64" t="str">
        <f t="shared" si="24"/>
        <v/>
      </c>
      <c r="AL954" s="66" t="str">
        <f t="shared" si="9"/>
        <v/>
      </c>
      <c r="AM954" s="66"/>
      <c r="AN954" s="63" t="str">
        <f>if(AJ954,if(and(hour(AJ954+AN$5)&gt;11,(hour(AJ954+AN$5)&lt;20)),AJ954+AN$5,_xlfn.workday.intl(int(AJ954),1,"1000000",Holidays!A:A)+hour(AJ954+AN$5-$B$1)/24+minute(AJ954)/1440),"")</f>
        <v/>
      </c>
      <c r="AO954" s="64" t="str">
        <f t="shared" si="15"/>
        <v/>
      </c>
      <c r="AQ954" s="66" t="str">
        <f t="shared" si="16"/>
        <v/>
      </c>
      <c r="AR954" s="66"/>
      <c r="AS954" s="63" t="str">
        <f>if(AJ954,if(and(hour(AJ954+AS$5)&gt;11,(hour(AJ954+AS$5)&lt;20)),AJ954+AS$5,_xlfn.workday.intl(int(AJ954),1,"1000000",Holidays!A:A)+hour(AJ954+AS$5-$B$1)/24+minute(AJ954)/1440),"")</f>
        <v/>
      </c>
      <c r="AT954" s="64" t="str">
        <f t="shared" si="21"/>
        <v/>
      </c>
      <c r="AV954" s="66" t="str">
        <f t="shared" si="25"/>
        <v/>
      </c>
      <c r="AW954" s="66"/>
      <c r="AX954" s="56"/>
    </row>
    <row r="955">
      <c r="A955" s="56"/>
      <c r="B955" s="56"/>
      <c r="C955" s="57"/>
      <c r="D955" s="57"/>
      <c r="E955" s="57"/>
      <c r="F955" s="57"/>
      <c r="G955" s="58" t="str">
        <f>if(A955,_xlfn.workday.intl(int(A955),1,"1000000",Holidays!A:A)+17/24,"")</f>
        <v/>
      </c>
      <c r="H955" s="59" t="str">
        <f t="shared" si="23"/>
        <v/>
      </c>
      <c r="I955" s="60"/>
      <c r="J955" s="61" t="str">
        <f t="shared" si="2"/>
        <v/>
      </c>
      <c r="K955" s="58" t="str">
        <f>if(G955,_xlfn.workday.intl(int(G955),0,"1000000",Holidays!A:A)+19/24,"")</f>
        <v/>
      </c>
      <c r="L955" s="59" t="str">
        <f t="shared" si="3"/>
        <v/>
      </c>
      <c r="M955" s="60"/>
      <c r="N955" s="61" t="str">
        <f t="shared" si="4"/>
        <v/>
      </c>
      <c r="O955" s="63" t="str">
        <f>if(A955,_xlfn.WORKDAY.INTL(A955,O$5,"1000000",Holidays!A:A)+hour(A955)/24+MINUTE(A955)/1440,"")</f>
        <v/>
      </c>
      <c r="P955" s="64" t="s">
        <v>2718</v>
      </c>
      <c r="R955" s="66" t="str">
        <f t="shared" si="5"/>
        <v/>
      </c>
      <c r="S955" s="66"/>
      <c r="T955" s="66"/>
      <c r="U955" s="64" t="str">
        <f>if(O955,_xlfn.WORKDAY.INTL(O955,U$5,"1000000",Holidays!A:A)+hour(O955)/24+MINUTE(O955)/1440,"")</f>
        <v/>
      </c>
      <c r="V955" s="64" t="str">
        <f t="shared" si="6"/>
        <v/>
      </c>
      <c r="W955" s="66"/>
      <c r="X955" s="66" t="str">
        <f t="shared" si="7"/>
        <v/>
      </c>
      <c r="Y955" s="66"/>
      <c r="Z955" s="66"/>
      <c r="AA955" s="66"/>
      <c r="AB955" s="63"/>
      <c r="AC955" s="63"/>
      <c r="AD955" s="63"/>
      <c r="AE955" s="63"/>
      <c r="AF955" s="63"/>
      <c r="AG955" s="63"/>
      <c r="AH955" s="63" t="str">
        <f t="shared" si="14"/>
        <v/>
      </c>
      <c r="AI955" s="63" t="str">
        <f>if(AH955,_xlfn.workday.intl(int(AH955),0,"1000000",Holidays!A:A)+18/24,"")</f>
        <v/>
      </c>
      <c r="AJ955" s="64" t="str">
        <f t="shared" si="24"/>
        <v/>
      </c>
      <c r="AL955" s="66" t="str">
        <f t="shared" si="9"/>
        <v/>
      </c>
      <c r="AM955" s="66"/>
      <c r="AN955" s="63" t="str">
        <f>if(AJ955,if(and(hour(AJ955+AN$5)&gt;11,(hour(AJ955+AN$5)&lt;20)),AJ955+AN$5,_xlfn.workday.intl(int(AJ955),1,"1000000",Holidays!A:A)+hour(AJ955+AN$5-$B$1)/24+minute(AJ955)/1440),"")</f>
        <v/>
      </c>
      <c r="AO955" s="64" t="str">
        <f t="shared" si="15"/>
        <v/>
      </c>
      <c r="AQ955" s="66" t="str">
        <f t="shared" si="16"/>
        <v/>
      </c>
      <c r="AR955" s="66"/>
      <c r="AS955" s="63" t="str">
        <f>if(AJ955,if(and(hour(AJ955+AS$5)&gt;11,(hour(AJ955+AS$5)&lt;20)),AJ955+AS$5,_xlfn.workday.intl(int(AJ955),1,"1000000",Holidays!A:A)+hour(AJ955+AS$5-$B$1)/24+minute(AJ955)/1440),"")</f>
        <v/>
      </c>
      <c r="AT955" s="64" t="str">
        <f t="shared" si="21"/>
        <v/>
      </c>
      <c r="AV955" s="66" t="str">
        <f t="shared" si="25"/>
        <v/>
      </c>
      <c r="AW955" s="66"/>
      <c r="AX955" s="56"/>
    </row>
    <row r="956">
      <c r="A956" s="56"/>
      <c r="B956" s="56"/>
      <c r="C956" s="57"/>
      <c r="D956" s="57"/>
      <c r="E956" s="57"/>
      <c r="F956" s="57"/>
      <c r="G956" s="58" t="str">
        <f>if(A956,_xlfn.workday.intl(int(A956),1,"1000000",Holidays!A:A)+17/24,"")</f>
        <v/>
      </c>
      <c r="H956" s="59" t="str">
        <f t="shared" si="23"/>
        <v/>
      </c>
      <c r="I956" s="60"/>
      <c r="J956" s="61" t="str">
        <f t="shared" si="2"/>
        <v/>
      </c>
      <c r="K956" s="58" t="str">
        <f>if(G956,_xlfn.workday.intl(int(G956),0,"1000000",Holidays!A:A)+19/24,"")</f>
        <v/>
      </c>
      <c r="L956" s="59" t="str">
        <f t="shared" si="3"/>
        <v/>
      </c>
      <c r="M956" s="60"/>
      <c r="N956" s="61" t="str">
        <f t="shared" si="4"/>
        <v/>
      </c>
      <c r="O956" s="63" t="str">
        <f>if(A956,_xlfn.WORKDAY.INTL(A956,O$5,"1000000",Holidays!A:A)+hour(A956)/24+MINUTE(A956)/1440,"")</f>
        <v/>
      </c>
      <c r="P956" s="64" t="s">
        <v>2718</v>
      </c>
      <c r="R956" s="66" t="str">
        <f t="shared" si="5"/>
        <v/>
      </c>
      <c r="S956" s="66"/>
      <c r="T956" s="66"/>
      <c r="U956" s="64" t="str">
        <f>if(O956,_xlfn.WORKDAY.INTL(O956,U$5,"1000000",Holidays!A:A)+hour(O956)/24+MINUTE(O956)/1440,"")</f>
        <v/>
      </c>
      <c r="V956" s="64" t="str">
        <f t="shared" si="6"/>
        <v/>
      </c>
      <c r="W956" s="66"/>
      <c r="X956" s="66" t="str">
        <f t="shared" si="7"/>
        <v/>
      </c>
      <c r="Y956" s="66"/>
      <c r="Z956" s="66"/>
      <c r="AA956" s="66"/>
      <c r="AB956" s="63"/>
      <c r="AC956" s="63"/>
      <c r="AD956" s="63"/>
      <c r="AE956" s="63"/>
      <c r="AF956" s="63"/>
      <c r="AG956" s="63"/>
      <c r="AH956" s="63" t="str">
        <f t="shared" si="14"/>
        <v/>
      </c>
      <c r="AI956" s="63" t="str">
        <f>if(AH956,_xlfn.workday.intl(int(AH956),0,"1000000",Holidays!A:A)+18/24,"")</f>
        <v/>
      </c>
      <c r="AJ956" s="64" t="str">
        <f t="shared" si="24"/>
        <v/>
      </c>
      <c r="AL956" s="66" t="str">
        <f t="shared" si="9"/>
        <v/>
      </c>
      <c r="AM956" s="66"/>
      <c r="AN956" s="63" t="str">
        <f>if(AJ956,if(and(hour(AJ956+AN$5)&gt;11,(hour(AJ956+AN$5)&lt;20)),AJ956+AN$5,_xlfn.workday.intl(int(AJ956),1,"1000000",Holidays!A:A)+hour(AJ956+AN$5-$B$1)/24+minute(AJ956)/1440),"")</f>
        <v/>
      </c>
      <c r="AO956" s="64" t="str">
        <f t="shared" si="15"/>
        <v/>
      </c>
      <c r="AQ956" s="66" t="str">
        <f t="shared" si="16"/>
        <v/>
      </c>
      <c r="AR956" s="66"/>
      <c r="AS956" s="63" t="str">
        <f>if(AJ956,if(and(hour(AJ956+AS$5)&gt;11,(hour(AJ956+AS$5)&lt;20)),AJ956+AS$5,_xlfn.workday.intl(int(AJ956),1,"1000000",Holidays!A:A)+hour(AJ956+AS$5-$B$1)/24+minute(AJ956)/1440),"")</f>
        <v/>
      </c>
      <c r="AT956" s="64" t="str">
        <f t="shared" si="21"/>
        <v/>
      </c>
      <c r="AV956" s="66" t="str">
        <f t="shared" si="25"/>
        <v/>
      </c>
      <c r="AW956" s="66"/>
      <c r="AX956" s="56"/>
    </row>
    <row r="957">
      <c r="A957" s="56"/>
      <c r="B957" s="56"/>
      <c r="C957" s="57"/>
      <c r="D957" s="57"/>
      <c r="E957" s="57"/>
      <c r="F957" s="57"/>
      <c r="G957" s="58" t="str">
        <f>if(A957,_xlfn.workday.intl(int(A957),1,"1000000",Holidays!A:A)+17/24,"")</f>
        <v/>
      </c>
      <c r="H957" s="59" t="str">
        <f t="shared" si="23"/>
        <v/>
      </c>
      <c r="I957" s="60"/>
      <c r="J957" s="61" t="str">
        <f t="shared" si="2"/>
        <v/>
      </c>
      <c r="K957" s="58" t="str">
        <f>if(G957,_xlfn.workday.intl(int(G957),0,"1000000",Holidays!A:A)+19/24,"")</f>
        <v/>
      </c>
      <c r="L957" s="59" t="str">
        <f t="shared" si="3"/>
        <v/>
      </c>
      <c r="M957" s="60"/>
      <c r="N957" s="61" t="str">
        <f t="shared" si="4"/>
        <v/>
      </c>
      <c r="O957" s="63" t="str">
        <f>if(A957,_xlfn.WORKDAY.INTL(A957,O$5,"1000000",Holidays!A:A)+hour(A957)/24+MINUTE(A957)/1440,"")</f>
        <v/>
      </c>
      <c r="P957" s="64" t="s">
        <v>2718</v>
      </c>
      <c r="R957" s="66" t="str">
        <f t="shared" si="5"/>
        <v/>
      </c>
      <c r="S957" s="66"/>
      <c r="T957" s="66"/>
      <c r="U957" s="64" t="str">
        <f>if(O957,_xlfn.WORKDAY.INTL(O957,U$5,"1000000",Holidays!A:A)+hour(O957)/24+MINUTE(O957)/1440,"")</f>
        <v/>
      </c>
      <c r="V957" s="64" t="str">
        <f t="shared" si="6"/>
        <v/>
      </c>
      <c r="W957" s="66"/>
      <c r="X957" s="66" t="str">
        <f t="shared" si="7"/>
        <v/>
      </c>
      <c r="Y957" s="66"/>
      <c r="Z957" s="66"/>
      <c r="AA957" s="66"/>
      <c r="AB957" s="63"/>
      <c r="AC957" s="63"/>
      <c r="AD957" s="63"/>
      <c r="AE957" s="63"/>
      <c r="AF957" s="63"/>
      <c r="AG957" s="63"/>
      <c r="AH957" s="63" t="str">
        <f t="shared" si="14"/>
        <v/>
      </c>
      <c r="AI957" s="63" t="str">
        <f>if(AH957,_xlfn.workday.intl(int(AH957),0,"1000000",Holidays!A:A)+18/24,"")</f>
        <v/>
      </c>
      <c r="AJ957" s="64" t="str">
        <f t="shared" si="24"/>
        <v/>
      </c>
      <c r="AL957" s="66" t="str">
        <f t="shared" si="9"/>
        <v/>
      </c>
      <c r="AM957" s="66"/>
      <c r="AN957" s="63" t="str">
        <f>if(AJ957,if(and(hour(AJ957+AN$5)&gt;11,(hour(AJ957+AN$5)&lt;20)),AJ957+AN$5,_xlfn.workday.intl(int(AJ957),1,"1000000",Holidays!A:A)+hour(AJ957+AN$5-$B$1)/24+minute(AJ957)/1440),"")</f>
        <v/>
      </c>
      <c r="AO957" s="64" t="str">
        <f t="shared" si="15"/>
        <v/>
      </c>
      <c r="AQ957" s="66" t="str">
        <f t="shared" si="16"/>
        <v/>
      </c>
      <c r="AR957" s="66"/>
      <c r="AS957" s="63" t="str">
        <f>if(AJ957,if(and(hour(AJ957+AS$5)&gt;11,(hour(AJ957+AS$5)&lt;20)),AJ957+AS$5,_xlfn.workday.intl(int(AJ957),1,"1000000",Holidays!A:A)+hour(AJ957+AS$5-$B$1)/24+minute(AJ957)/1440),"")</f>
        <v/>
      </c>
      <c r="AT957" s="64" t="str">
        <f t="shared" si="21"/>
        <v/>
      </c>
      <c r="AV957" s="66" t="str">
        <f t="shared" si="25"/>
        <v/>
      </c>
      <c r="AW957" s="66"/>
      <c r="AX957" s="56"/>
    </row>
    <row r="958">
      <c r="A958" s="56"/>
      <c r="B958" s="56"/>
      <c r="C958" s="57"/>
      <c r="D958" s="57"/>
      <c r="E958" s="57"/>
      <c r="F958" s="57"/>
      <c r="G958" s="58" t="str">
        <f>if(A958,_xlfn.workday.intl(int(A958),1,"1000000",Holidays!A:A)+17/24,"")</f>
        <v/>
      </c>
      <c r="H958" s="59" t="str">
        <f t="shared" si="23"/>
        <v/>
      </c>
      <c r="I958" s="60"/>
      <c r="J958" s="61" t="str">
        <f t="shared" si="2"/>
        <v/>
      </c>
      <c r="K958" s="58" t="str">
        <f>if(G958,_xlfn.workday.intl(int(G958),0,"1000000",Holidays!A:A)+19/24,"")</f>
        <v/>
      </c>
      <c r="L958" s="59" t="str">
        <f t="shared" si="3"/>
        <v/>
      </c>
      <c r="M958" s="60"/>
      <c r="N958" s="61" t="str">
        <f t="shared" si="4"/>
        <v/>
      </c>
      <c r="O958" s="63" t="str">
        <f>if(A958,_xlfn.WORKDAY.INTL(A958,O$5,"1000000",Holidays!A:A)+hour(A958)/24+MINUTE(A958)/1440,"")</f>
        <v/>
      </c>
      <c r="P958" s="64" t="s">
        <v>2718</v>
      </c>
      <c r="R958" s="66" t="str">
        <f t="shared" si="5"/>
        <v/>
      </c>
      <c r="S958" s="66"/>
      <c r="T958" s="66"/>
      <c r="U958" s="64" t="str">
        <f>if(O958,_xlfn.WORKDAY.INTL(O958,U$5,"1000000",Holidays!A:A)+hour(O958)/24+MINUTE(O958)/1440,"")</f>
        <v/>
      </c>
      <c r="V958" s="64" t="str">
        <f t="shared" si="6"/>
        <v/>
      </c>
      <c r="W958" s="66"/>
      <c r="X958" s="66" t="str">
        <f t="shared" si="7"/>
        <v/>
      </c>
      <c r="Y958" s="66"/>
      <c r="Z958" s="66"/>
      <c r="AA958" s="66"/>
      <c r="AB958" s="63"/>
      <c r="AC958" s="63"/>
      <c r="AD958" s="63"/>
      <c r="AE958" s="63"/>
      <c r="AF958" s="63"/>
      <c r="AG958" s="63"/>
      <c r="AH958" s="63" t="str">
        <f t="shared" si="14"/>
        <v/>
      </c>
      <c r="AI958" s="63" t="str">
        <f>if(AH958,_xlfn.workday.intl(int(AH958),0,"1000000",Holidays!A:A)+18/24,"")</f>
        <v/>
      </c>
      <c r="AJ958" s="64" t="str">
        <f t="shared" si="24"/>
        <v/>
      </c>
      <c r="AL958" s="66" t="str">
        <f t="shared" si="9"/>
        <v/>
      </c>
      <c r="AM958" s="66"/>
      <c r="AN958" s="63" t="str">
        <f>if(AJ958,if(and(hour(AJ958+AN$5)&gt;11,(hour(AJ958+AN$5)&lt;20)),AJ958+AN$5,_xlfn.workday.intl(int(AJ958),1,"1000000",Holidays!A:A)+hour(AJ958+AN$5-$B$1)/24+minute(AJ958)/1440),"")</f>
        <v/>
      </c>
      <c r="AO958" s="64" t="str">
        <f t="shared" si="15"/>
        <v/>
      </c>
      <c r="AQ958" s="66" t="str">
        <f t="shared" si="16"/>
        <v/>
      </c>
      <c r="AR958" s="66"/>
      <c r="AS958" s="63" t="str">
        <f>if(AJ958,if(and(hour(AJ958+AS$5)&gt;11,(hour(AJ958+AS$5)&lt;20)),AJ958+AS$5,_xlfn.workday.intl(int(AJ958),1,"1000000",Holidays!A:A)+hour(AJ958+AS$5-$B$1)/24+minute(AJ958)/1440),"")</f>
        <v/>
      </c>
      <c r="AT958" s="64" t="str">
        <f t="shared" si="21"/>
        <v/>
      </c>
      <c r="AV958" s="66" t="str">
        <f t="shared" si="25"/>
        <v/>
      </c>
      <c r="AW958" s="66"/>
      <c r="AX958" s="56"/>
    </row>
    <row r="959">
      <c r="A959" s="56"/>
      <c r="B959" s="56"/>
      <c r="C959" s="57"/>
      <c r="D959" s="57"/>
      <c r="E959" s="57"/>
      <c r="F959" s="57"/>
      <c r="G959" s="58" t="str">
        <f>if(A959,_xlfn.workday.intl(int(A959),1,"1000000",Holidays!A:A)+17/24,"")</f>
        <v/>
      </c>
      <c r="H959" s="59" t="str">
        <f t="shared" si="23"/>
        <v/>
      </c>
      <c r="I959" s="60"/>
      <c r="J959" s="61" t="str">
        <f t="shared" si="2"/>
        <v/>
      </c>
      <c r="K959" s="58" t="str">
        <f>if(G959,_xlfn.workday.intl(int(G959),0,"1000000",Holidays!A:A)+19/24,"")</f>
        <v/>
      </c>
      <c r="L959" s="59" t="str">
        <f t="shared" si="3"/>
        <v/>
      </c>
      <c r="M959" s="60"/>
      <c r="N959" s="61" t="str">
        <f t="shared" si="4"/>
        <v/>
      </c>
      <c r="O959" s="63" t="str">
        <f>if(A959,_xlfn.WORKDAY.INTL(A959,O$5,"1000000",Holidays!A:A)+hour(A959)/24+MINUTE(A959)/1440,"")</f>
        <v/>
      </c>
      <c r="P959" s="64" t="s">
        <v>2718</v>
      </c>
      <c r="R959" s="66" t="str">
        <f t="shared" si="5"/>
        <v/>
      </c>
      <c r="S959" s="66"/>
      <c r="T959" s="66"/>
      <c r="U959" s="64" t="str">
        <f>if(O959,_xlfn.WORKDAY.INTL(O959,U$5,"1000000",Holidays!A:A)+hour(O959)/24+MINUTE(O959)/1440,"")</f>
        <v/>
      </c>
      <c r="V959" s="64" t="str">
        <f t="shared" si="6"/>
        <v/>
      </c>
      <c r="W959" s="66"/>
      <c r="X959" s="66" t="str">
        <f t="shared" si="7"/>
        <v/>
      </c>
      <c r="Y959" s="66"/>
      <c r="Z959" s="66"/>
      <c r="AA959" s="66"/>
      <c r="AB959" s="63"/>
      <c r="AC959" s="63"/>
      <c r="AD959" s="63"/>
      <c r="AE959" s="63"/>
      <c r="AF959" s="63"/>
      <c r="AG959" s="63"/>
      <c r="AH959" s="63" t="str">
        <f t="shared" si="14"/>
        <v/>
      </c>
      <c r="AI959" s="63" t="str">
        <f>if(AH959,_xlfn.workday.intl(int(AH959),0,"1000000",Holidays!A:A)+18/24,"")</f>
        <v/>
      </c>
      <c r="AJ959" s="64" t="str">
        <f t="shared" si="24"/>
        <v/>
      </c>
      <c r="AL959" s="66" t="str">
        <f t="shared" si="9"/>
        <v/>
      </c>
      <c r="AM959" s="66"/>
      <c r="AN959" s="63" t="str">
        <f>if(AJ959,if(and(hour(AJ959+AN$5)&gt;11,(hour(AJ959+AN$5)&lt;20)),AJ959+AN$5,_xlfn.workday.intl(int(AJ959),1,"1000000",Holidays!A:A)+hour(AJ959+AN$5-$B$1)/24+minute(AJ959)/1440),"")</f>
        <v/>
      </c>
      <c r="AO959" s="64" t="str">
        <f t="shared" si="15"/>
        <v/>
      </c>
      <c r="AQ959" s="66" t="str">
        <f t="shared" si="16"/>
        <v/>
      </c>
      <c r="AR959" s="66"/>
      <c r="AS959" s="63" t="str">
        <f>if(AJ959,if(and(hour(AJ959+AS$5)&gt;11,(hour(AJ959+AS$5)&lt;20)),AJ959+AS$5,_xlfn.workday.intl(int(AJ959),1,"1000000",Holidays!A:A)+hour(AJ959+AS$5-$B$1)/24+minute(AJ959)/1440),"")</f>
        <v/>
      </c>
      <c r="AT959" s="64" t="str">
        <f t="shared" si="21"/>
        <v/>
      </c>
      <c r="AV959" s="66" t="str">
        <f t="shared" si="25"/>
        <v/>
      </c>
      <c r="AW959" s="66"/>
      <c r="AX959" s="56"/>
    </row>
    <row r="960">
      <c r="A960" s="56"/>
      <c r="B960" s="56"/>
      <c r="C960" s="57"/>
      <c r="D960" s="57"/>
      <c r="E960" s="57"/>
      <c r="F960" s="57"/>
      <c r="G960" s="58" t="str">
        <f>if(A960,_xlfn.workday.intl(int(A960),1,"1000000",Holidays!A:A)+17/24,"")</f>
        <v/>
      </c>
      <c r="H960" s="59" t="str">
        <f t="shared" si="23"/>
        <v/>
      </c>
      <c r="I960" s="60"/>
      <c r="J960" s="61" t="str">
        <f t="shared" si="2"/>
        <v/>
      </c>
      <c r="K960" s="58" t="str">
        <f>if(G960,_xlfn.workday.intl(int(G960),0,"1000000",Holidays!A:A)+19/24,"")</f>
        <v/>
      </c>
      <c r="L960" s="59" t="str">
        <f t="shared" si="3"/>
        <v/>
      </c>
      <c r="M960" s="60"/>
      <c r="N960" s="61" t="str">
        <f t="shared" si="4"/>
        <v/>
      </c>
      <c r="O960" s="63" t="str">
        <f>if(A960,_xlfn.WORKDAY.INTL(A960,O$5,"1000000",Holidays!A:A)+hour(A960)/24+MINUTE(A960)/1440,"")</f>
        <v/>
      </c>
      <c r="P960" s="64" t="s">
        <v>2718</v>
      </c>
      <c r="R960" s="66" t="str">
        <f t="shared" si="5"/>
        <v/>
      </c>
      <c r="S960" s="66"/>
      <c r="T960" s="66"/>
      <c r="U960" s="64" t="str">
        <f>if(O960,_xlfn.WORKDAY.INTL(O960,U$5,"1000000",Holidays!A:A)+hour(O960)/24+MINUTE(O960)/1440,"")</f>
        <v/>
      </c>
      <c r="V960" s="64" t="str">
        <f t="shared" si="6"/>
        <v/>
      </c>
      <c r="W960" s="66"/>
      <c r="X960" s="66" t="str">
        <f t="shared" si="7"/>
        <v/>
      </c>
      <c r="Y960" s="66"/>
      <c r="Z960" s="66"/>
      <c r="AA960" s="66"/>
      <c r="AB960" s="63"/>
      <c r="AC960" s="63"/>
      <c r="AD960" s="63"/>
      <c r="AE960" s="63"/>
      <c r="AF960" s="63"/>
      <c r="AG960" s="63"/>
      <c r="AH960" s="63" t="str">
        <f t="shared" si="14"/>
        <v/>
      </c>
      <c r="AI960" s="63" t="str">
        <f>if(AH960,_xlfn.workday.intl(int(AH960),0,"1000000",Holidays!A:A)+18/24,"")</f>
        <v/>
      </c>
      <c r="AJ960" s="64" t="str">
        <f t="shared" si="24"/>
        <v/>
      </c>
      <c r="AL960" s="66" t="str">
        <f t="shared" si="9"/>
        <v/>
      </c>
      <c r="AM960" s="66"/>
      <c r="AN960" s="63" t="str">
        <f>if(AJ960,if(and(hour(AJ960+AN$5)&gt;11,(hour(AJ960+AN$5)&lt;20)),AJ960+AN$5,_xlfn.workday.intl(int(AJ960),1,"1000000",Holidays!A:A)+hour(AJ960+AN$5-$B$1)/24+minute(AJ960)/1440),"")</f>
        <v/>
      </c>
      <c r="AO960" s="64" t="str">
        <f t="shared" si="15"/>
        <v/>
      </c>
      <c r="AQ960" s="66" t="str">
        <f t="shared" si="16"/>
        <v/>
      </c>
      <c r="AR960" s="66"/>
      <c r="AS960" s="63" t="str">
        <f>if(AJ960,if(and(hour(AJ960+AS$5)&gt;11,(hour(AJ960+AS$5)&lt;20)),AJ960+AS$5,_xlfn.workday.intl(int(AJ960),1,"1000000",Holidays!A:A)+hour(AJ960+AS$5-$B$1)/24+minute(AJ960)/1440),"")</f>
        <v/>
      </c>
      <c r="AT960" s="64" t="str">
        <f t="shared" si="21"/>
        <v/>
      </c>
      <c r="AV960" s="66" t="str">
        <f t="shared" si="25"/>
        <v/>
      </c>
      <c r="AW960" s="66"/>
      <c r="AX960" s="56"/>
    </row>
    <row r="961">
      <c r="A961" s="56"/>
      <c r="B961" s="56"/>
      <c r="C961" s="57"/>
      <c r="D961" s="57"/>
      <c r="E961" s="57"/>
      <c r="F961" s="57"/>
      <c r="G961" s="58" t="str">
        <f>if(A961,_xlfn.workday.intl(int(A961),1,"1000000",Holidays!A:A)+17/24,"")</f>
        <v/>
      </c>
      <c r="H961" s="59" t="str">
        <f t="shared" si="23"/>
        <v/>
      </c>
      <c r="I961" s="60"/>
      <c r="J961" s="61" t="str">
        <f t="shared" si="2"/>
        <v/>
      </c>
      <c r="K961" s="58" t="str">
        <f>if(G961,_xlfn.workday.intl(int(G961),0,"1000000",Holidays!A:A)+19/24,"")</f>
        <v/>
      </c>
      <c r="L961" s="59" t="str">
        <f t="shared" si="3"/>
        <v/>
      </c>
      <c r="M961" s="60"/>
      <c r="N961" s="61" t="str">
        <f t="shared" si="4"/>
        <v/>
      </c>
      <c r="O961" s="63" t="str">
        <f>if(A961,_xlfn.WORKDAY.INTL(A961,O$5,"1000000",Holidays!A:A)+hour(A961)/24+MINUTE(A961)/1440,"")</f>
        <v/>
      </c>
      <c r="P961" s="64" t="s">
        <v>2718</v>
      </c>
      <c r="R961" s="66" t="str">
        <f t="shared" si="5"/>
        <v/>
      </c>
      <c r="S961" s="66"/>
      <c r="T961" s="66"/>
      <c r="U961" s="64" t="str">
        <f>if(O961,_xlfn.WORKDAY.INTL(O961,U$5,"1000000",Holidays!A:A)+hour(O961)/24+MINUTE(O961)/1440,"")</f>
        <v/>
      </c>
      <c r="V961" s="64" t="str">
        <f t="shared" si="6"/>
        <v/>
      </c>
      <c r="W961" s="66"/>
      <c r="X961" s="66" t="str">
        <f t="shared" si="7"/>
        <v/>
      </c>
      <c r="Y961" s="66"/>
      <c r="Z961" s="66"/>
      <c r="AA961" s="66"/>
      <c r="AB961" s="63"/>
      <c r="AC961" s="63"/>
      <c r="AD961" s="63"/>
      <c r="AE961" s="63"/>
      <c r="AF961" s="63"/>
      <c r="AG961" s="63"/>
      <c r="AH961" s="63" t="str">
        <f t="shared" si="14"/>
        <v/>
      </c>
      <c r="AI961" s="63" t="str">
        <f>if(AH961,_xlfn.workday.intl(int(AH961),0,"1000000",Holidays!A:A)+18/24,"")</f>
        <v/>
      </c>
      <c r="AJ961" s="64" t="str">
        <f t="shared" si="24"/>
        <v/>
      </c>
      <c r="AL961" s="66" t="str">
        <f t="shared" si="9"/>
        <v/>
      </c>
      <c r="AM961" s="66"/>
      <c r="AN961" s="63" t="str">
        <f>if(AJ961,if(and(hour(AJ961+AN$5)&gt;11,(hour(AJ961+AN$5)&lt;20)),AJ961+AN$5,_xlfn.workday.intl(int(AJ961),1,"1000000",Holidays!A:A)+hour(AJ961+AN$5-$B$1)/24+minute(AJ961)/1440),"")</f>
        <v/>
      </c>
      <c r="AO961" s="64" t="str">
        <f t="shared" si="15"/>
        <v/>
      </c>
      <c r="AQ961" s="66" t="str">
        <f t="shared" si="16"/>
        <v/>
      </c>
      <c r="AR961" s="66"/>
      <c r="AS961" s="63" t="str">
        <f>if(AJ961,if(and(hour(AJ961+AS$5)&gt;11,(hour(AJ961+AS$5)&lt;20)),AJ961+AS$5,_xlfn.workday.intl(int(AJ961),1,"1000000",Holidays!A:A)+hour(AJ961+AS$5-$B$1)/24+minute(AJ961)/1440),"")</f>
        <v/>
      </c>
      <c r="AT961" s="64" t="str">
        <f t="shared" si="21"/>
        <v/>
      </c>
      <c r="AV961" s="66" t="str">
        <f t="shared" si="25"/>
        <v/>
      </c>
      <c r="AW961" s="66"/>
      <c r="AX961" s="56"/>
    </row>
    <row r="962">
      <c r="A962" s="56"/>
      <c r="B962" s="56"/>
      <c r="C962" s="57"/>
      <c r="D962" s="57"/>
      <c r="E962" s="57"/>
      <c r="F962" s="57"/>
      <c r="G962" s="58" t="str">
        <f>if(A962,_xlfn.workday.intl(int(A962),1,"1000000",Holidays!A:A)+17/24,"")</f>
        <v/>
      </c>
      <c r="H962" s="59" t="str">
        <f t="shared" si="23"/>
        <v/>
      </c>
      <c r="I962" s="60"/>
      <c r="J962" s="61" t="str">
        <f t="shared" si="2"/>
        <v/>
      </c>
      <c r="K962" s="58" t="str">
        <f>if(G962,_xlfn.workday.intl(int(G962),0,"1000000",Holidays!A:A)+19/24,"")</f>
        <v/>
      </c>
      <c r="L962" s="59" t="str">
        <f t="shared" si="3"/>
        <v/>
      </c>
      <c r="M962" s="60"/>
      <c r="N962" s="61" t="str">
        <f t="shared" si="4"/>
        <v/>
      </c>
      <c r="O962" s="63" t="str">
        <f>if(A962,_xlfn.WORKDAY.INTL(A962,O$5,"1000000",Holidays!A:A)+hour(A962)/24+MINUTE(A962)/1440,"")</f>
        <v/>
      </c>
      <c r="P962" s="64" t="s">
        <v>2718</v>
      </c>
      <c r="R962" s="66" t="str">
        <f t="shared" si="5"/>
        <v/>
      </c>
      <c r="S962" s="66"/>
      <c r="T962" s="66"/>
      <c r="U962" s="64" t="str">
        <f>if(O962,_xlfn.WORKDAY.INTL(O962,U$5,"1000000",Holidays!A:A)+hour(O962)/24+MINUTE(O962)/1440,"")</f>
        <v/>
      </c>
      <c r="V962" s="64" t="str">
        <f t="shared" si="6"/>
        <v/>
      </c>
      <c r="W962" s="66"/>
      <c r="X962" s="66" t="str">
        <f t="shared" si="7"/>
        <v/>
      </c>
      <c r="Y962" s="66"/>
      <c r="Z962" s="66"/>
      <c r="AA962" s="66"/>
      <c r="AB962" s="63"/>
      <c r="AC962" s="63"/>
      <c r="AD962" s="63"/>
      <c r="AE962" s="63"/>
      <c r="AF962" s="63"/>
      <c r="AG962" s="63"/>
      <c r="AH962" s="63" t="str">
        <f t="shared" si="14"/>
        <v/>
      </c>
      <c r="AI962" s="63" t="str">
        <f>if(AH962,_xlfn.workday.intl(int(AH962),0,"1000000",Holidays!A:A)+18/24,"")</f>
        <v/>
      </c>
      <c r="AJ962" s="64" t="str">
        <f t="shared" si="24"/>
        <v/>
      </c>
      <c r="AL962" s="66" t="str">
        <f t="shared" si="9"/>
        <v/>
      </c>
      <c r="AM962" s="66"/>
      <c r="AN962" s="63" t="str">
        <f>if(AJ962,if(and(hour(AJ962+AN$5)&gt;11,(hour(AJ962+AN$5)&lt;20)),AJ962+AN$5,_xlfn.workday.intl(int(AJ962),1,"1000000",Holidays!A:A)+hour(AJ962+AN$5-$B$1)/24+minute(AJ962)/1440),"")</f>
        <v/>
      </c>
      <c r="AO962" s="64" t="str">
        <f t="shared" si="15"/>
        <v/>
      </c>
      <c r="AQ962" s="66" t="str">
        <f t="shared" si="16"/>
        <v/>
      </c>
      <c r="AR962" s="66"/>
      <c r="AS962" s="63" t="str">
        <f>if(AJ962,if(and(hour(AJ962+AS$5)&gt;11,(hour(AJ962+AS$5)&lt;20)),AJ962+AS$5,_xlfn.workday.intl(int(AJ962),1,"1000000",Holidays!A:A)+hour(AJ962+AS$5-$B$1)/24+minute(AJ962)/1440),"")</f>
        <v/>
      </c>
      <c r="AT962" s="64" t="str">
        <f t="shared" si="21"/>
        <v/>
      </c>
      <c r="AV962" s="66" t="str">
        <f t="shared" si="25"/>
        <v/>
      </c>
      <c r="AW962" s="66"/>
      <c r="AX962" s="56"/>
    </row>
    <row r="963">
      <c r="A963" s="56"/>
      <c r="B963" s="56"/>
      <c r="C963" s="57"/>
      <c r="D963" s="57"/>
      <c r="E963" s="57"/>
      <c r="F963" s="57"/>
      <c r="G963" s="58" t="str">
        <f>if(A963,_xlfn.workday.intl(int(A963),1,"1000000",Holidays!A:A)+17/24,"")</f>
        <v/>
      </c>
      <c r="H963" s="59" t="str">
        <f t="shared" si="23"/>
        <v/>
      </c>
      <c r="I963" s="60"/>
      <c r="J963" s="61" t="str">
        <f t="shared" si="2"/>
        <v/>
      </c>
      <c r="K963" s="58" t="str">
        <f>if(G963,_xlfn.workday.intl(int(G963),0,"1000000",Holidays!A:A)+19/24,"")</f>
        <v/>
      </c>
      <c r="L963" s="59" t="str">
        <f t="shared" si="3"/>
        <v/>
      </c>
      <c r="M963" s="60"/>
      <c r="N963" s="61" t="str">
        <f t="shared" si="4"/>
        <v/>
      </c>
      <c r="O963" s="63" t="str">
        <f>if(A963,_xlfn.WORKDAY.INTL(A963,O$5,"1000000",Holidays!A:A)+hour(A963)/24+MINUTE(A963)/1440,"")</f>
        <v/>
      </c>
      <c r="P963" s="64" t="s">
        <v>2718</v>
      </c>
      <c r="R963" s="66" t="str">
        <f t="shared" si="5"/>
        <v/>
      </c>
      <c r="S963" s="66"/>
      <c r="T963" s="66"/>
      <c r="U963" s="64" t="str">
        <f>if(O963,_xlfn.WORKDAY.INTL(O963,U$5,"1000000",Holidays!A:A)+hour(O963)/24+MINUTE(O963)/1440,"")</f>
        <v/>
      </c>
      <c r="V963" s="64" t="str">
        <f t="shared" si="6"/>
        <v/>
      </c>
      <c r="W963" s="66"/>
      <c r="X963" s="66" t="str">
        <f t="shared" si="7"/>
        <v/>
      </c>
      <c r="Y963" s="66"/>
      <c r="Z963" s="66"/>
      <c r="AA963" s="66"/>
      <c r="AB963" s="63"/>
      <c r="AC963" s="63"/>
      <c r="AD963" s="63"/>
      <c r="AE963" s="63"/>
      <c r="AF963" s="63"/>
      <c r="AG963" s="63"/>
      <c r="AH963" s="63" t="str">
        <f t="shared" si="14"/>
        <v/>
      </c>
      <c r="AI963" s="63" t="str">
        <f>if(AH963,_xlfn.workday.intl(int(AH963),0,"1000000",Holidays!A:A)+18/24,"")</f>
        <v/>
      </c>
      <c r="AJ963" s="64" t="str">
        <f t="shared" si="24"/>
        <v/>
      </c>
      <c r="AL963" s="66" t="str">
        <f t="shared" si="9"/>
        <v/>
      </c>
      <c r="AM963" s="66"/>
      <c r="AN963" s="63" t="str">
        <f>if(AJ963,if(and(hour(AJ963+AN$5)&gt;11,(hour(AJ963+AN$5)&lt;20)),AJ963+AN$5,_xlfn.workday.intl(int(AJ963),1,"1000000",Holidays!A:A)+hour(AJ963+AN$5-$B$1)/24+minute(AJ963)/1440),"")</f>
        <v/>
      </c>
      <c r="AO963" s="64" t="str">
        <f t="shared" si="15"/>
        <v/>
      </c>
      <c r="AQ963" s="66" t="str">
        <f t="shared" si="16"/>
        <v/>
      </c>
      <c r="AR963" s="66"/>
      <c r="AS963" s="63" t="str">
        <f>if(AJ963,if(and(hour(AJ963+AS$5)&gt;11,(hour(AJ963+AS$5)&lt;20)),AJ963+AS$5,_xlfn.workday.intl(int(AJ963),1,"1000000",Holidays!A:A)+hour(AJ963+AS$5-$B$1)/24+minute(AJ963)/1440),"")</f>
        <v/>
      </c>
      <c r="AT963" s="64" t="str">
        <f t="shared" si="21"/>
        <v/>
      </c>
      <c r="AV963" s="66" t="str">
        <f t="shared" si="25"/>
        <v/>
      </c>
      <c r="AW963" s="66"/>
      <c r="AX963" s="56"/>
    </row>
    <row r="964">
      <c r="A964" s="56"/>
      <c r="B964" s="56"/>
      <c r="C964" s="57"/>
      <c r="D964" s="57"/>
      <c r="E964" s="57"/>
      <c r="F964" s="57"/>
      <c r="G964" s="58" t="str">
        <f>if(A964,_xlfn.workday.intl(int(A964),1,"1000000",Holidays!A:A)+17/24,"")</f>
        <v/>
      </c>
      <c r="H964" s="59" t="str">
        <f t="shared" si="23"/>
        <v/>
      </c>
      <c r="I964" s="60"/>
      <c r="J964" s="61" t="str">
        <f t="shared" si="2"/>
        <v/>
      </c>
      <c r="K964" s="58" t="str">
        <f>if(G964,_xlfn.workday.intl(int(G964),0,"1000000",Holidays!A:A)+19/24,"")</f>
        <v/>
      </c>
      <c r="L964" s="59" t="str">
        <f t="shared" si="3"/>
        <v/>
      </c>
      <c r="M964" s="60"/>
      <c r="N964" s="61" t="str">
        <f t="shared" si="4"/>
        <v/>
      </c>
      <c r="O964" s="63" t="str">
        <f>if(A964,_xlfn.WORKDAY.INTL(A964,O$5,"1000000",Holidays!A:A)+hour(A964)/24+MINUTE(A964)/1440,"")</f>
        <v/>
      </c>
      <c r="P964" s="64" t="s">
        <v>2718</v>
      </c>
      <c r="R964" s="66" t="str">
        <f t="shared" si="5"/>
        <v/>
      </c>
      <c r="S964" s="66"/>
      <c r="T964" s="66"/>
      <c r="U964" s="64" t="str">
        <f>if(O964,_xlfn.WORKDAY.INTL(O964,U$5,"1000000",Holidays!A:A)+hour(O964)/24+MINUTE(O964)/1440,"")</f>
        <v/>
      </c>
      <c r="V964" s="64" t="str">
        <f t="shared" si="6"/>
        <v/>
      </c>
      <c r="W964" s="66"/>
      <c r="X964" s="66" t="str">
        <f t="shared" si="7"/>
        <v/>
      </c>
      <c r="Y964" s="66"/>
      <c r="Z964" s="66"/>
      <c r="AA964" s="66"/>
      <c r="AB964" s="63"/>
      <c r="AC964" s="63"/>
      <c r="AD964" s="63"/>
      <c r="AE964" s="63"/>
      <c r="AF964" s="63"/>
      <c r="AG964" s="63"/>
      <c r="AH964" s="63" t="str">
        <f t="shared" si="14"/>
        <v/>
      </c>
      <c r="AI964" s="63" t="str">
        <f>if(AH964,_xlfn.workday.intl(int(AH964),0,"1000000",Holidays!A:A)+18/24,"")</f>
        <v/>
      </c>
      <c r="AJ964" s="64" t="str">
        <f t="shared" si="24"/>
        <v/>
      </c>
      <c r="AL964" s="66" t="str">
        <f t="shared" si="9"/>
        <v/>
      </c>
      <c r="AM964" s="66"/>
      <c r="AN964" s="63" t="str">
        <f>if(AJ964,if(and(hour(AJ964+AN$5)&gt;11,(hour(AJ964+AN$5)&lt;20)),AJ964+AN$5,_xlfn.workday.intl(int(AJ964),1,"1000000",Holidays!A:A)+hour(AJ964+AN$5-$B$1)/24+minute(AJ964)/1440),"")</f>
        <v/>
      </c>
      <c r="AO964" s="64" t="str">
        <f t="shared" si="15"/>
        <v/>
      </c>
      <c r="AQ964" s="66" t="str">
        <f t="shared" si="16"/>
        <v/>
      </c>
      <c r="AR964" s="66"/>
      <c r="AS964" s="63" t="str">
        <f>if(AJ964,if(and(hour(AJ964+AS$5)&gt;11,(hour(AJ964+AS$5)&lt;20)),AJ964+AS$5,_xlfn.workday.intl(int(AJ964),1,"1000000",Holidays!A:A)+hour(AJ964+AS$5-$B$1)/24+minute(AJ964)/1440),"")</f>
        <v/>
      </c>
      <c r="AT964" s="64" t="str">
        <f t="shared" si="21"/>
        <v/>
      </c>
      <c r="AV964" s="66" t="str">
        <f t="shared" si="25"/>
        <v/>
      </c>
      <c r="AW964" s="66"/>
      <c r="AX964" s="56"/>
    </row>
    <row r="965">
      <c r="A965" s="56"/>
      <c r="B965" s="56"/>
      <c r="C965" s="57"/>
      <c r="D965" s="57"/>
      <c r="E965" s="57"/>
      <c r="F965" s="57"/>
      <c r="G965" s="58" t="str">
        <f>if(A965,_xlfn.workday.intl(int(A965),1,"1000000",Holidays!A:A)+17/24,"")</f>
        <v/>
      </c>
      <c r="H965" s="59" t="str">
        <f t="shared" si="23"/>
        <v/>
      </c>
      <c r="I965" s="60"/>
      <c r="J965" s="61" t="str">
        <f t="shared" si="2"/>
        <v/>
      </c>
      <c r="K965" s="58" t="str">
        <f>if(G965,_xlfn.workday.intl(int(G965),0,"1000000",Holidays!A:A)+19/24,"")</f>
        <v/>
      </c>
      <c r="L965" s="59" t="str">
        <f t="shared" si="3"/>
        <v/>
      </c>
      <c r="M965" s="60"/>
      <c r="N965" s="61" t="str">
        <f t="shared" si="4"/>
        <v/>
      </c>
      <c r="O965" s="63" t="str">
        <f>if(A965,_xlfn.WORKDAY.INTL(A965,O$5,"1000000",Holidays!A:A)+hour(A965)/24+MINUTE(A965)/1440,"")</f>
        <v/>
      </c>
      <c r="P965" s="64" t="s">
        <v>2718</v>
      </c>
      <c r="R965" s="66" t="str">
        <f t="shared" si="5"/>
        <v/>
      </c>
      <c r="S965" s="66"/>
      <c r="T965" s="66"/>
      <c r="U965" s="64" t="str">
        <f>if(O965,_xlfn.WORKDAY.INTL(O965,U$5,"1000000",Holidays!A:A)+hour(O965)/24+MINUTE(O965)/1440,"")</f>
        <v/>
      </c>
      <c r="V965" s="64" t="str">
        <f t="shared" si="6"/>
        <v/>
      </c>
      <c r="W965" s="66"/>
      <c r="X965" s="66" t="str">
        <f t="shared" si="7"/>
        <v/>
      </c>
      <c r="Y965" s="66"/>
      <c r="Z965" s="66"/>
      <c r="AA965" s="66"/>
      <c r="AB965" s="63"/>
      <c r="AC965" s="63"/>
      <c r="AD965" s="63"/>
      <c r="AE965" s="63"/>
      <c r="AF965" s="63"/>
      <c r="AG965" s="63"/>
      <c r="AH965" s="63" t="str">
        <f t="shared" si="14"/>
        <v/>
      </c>
      <c r="AI965" s="63" t="str">
        <f>if(AH965,_xlfn.workday.intl(int(AH965),0,"1000000",Holidays!A:A)+18/24,"")</f>
        <v/>
      </c>
      <c r="AJ965" s="64" t="str">
        <f t="shared" si="24"/>
        <v/>
      </c>
      <c r="AL965" s="66" t="str">
        <f t="shared" si="9"/>
        <v/>
      </c>
      <c r="AM965" s="66"/>
      <c r="AN965" s="63" t="str">
        <f>if(AJ965,if(and(hour(AJ965+AN$5)&gt;11,(hour(AJ965+AN$5)&lt;20)),AJ965+AN$5,_xlfn.workday.intl(int(AJ965),1,"1000000",Holidays!A:A)+hour(AJ965+AN$5-$B$1)/24+minute(AJ965)/1440),"")</f>
        <v/>
      </c>
      <c r="AO965" s="64" t="str">
        <f t="shared" si="15"/>
        <v/>
      </c>
      <c r="AQ965" s="66" t="str">
        <f t="shared" si="16"/>
        <v/>
      </c>
      <c r="AR965" s="66"/>
      <c r="AS965" s="63" t="str">
        <f>if(AJ965,if(and(hour(AJ965+AS$5)&gt;11,(hour(AJ965+AS$5)&lt;20)),AJ965+AS$5,_xlfn.workday.intl(int(AJ965),1,"1000000",Holidays!A:A)+hour(AJ965+AS$5-$B$1)/24+minute(AJ965)/1440),"")</f>
        <v/>
      </c>
      <c r="AT965" s="64" t="str">
        <f t="shared" si="21"/>
        <v/>
      </c>
      <c r="AV965" s="66" t="str">
        <f t="shared" si="25"/>
        <v/>
      </c>
      <c r="AW965" s="66"/>
      <c r="AX965" s="56"/>
    </row>
    <row r="966">
      <c r="A966" s="56"/>
      <c r="B966" s="56"/>
      <c r="C966" s="57"/>
      <c r="D966" s="57"/>
      <c r="E966" s="57"/>
      <c r="F966" s="57"/>
      <c r="G966" s="58" t="str">
        <f>if(A966,_xlfn.workday.intl(int(A966),1,"1000000",Holidays!A:A)+17/24,"")</f>
        <v/>
      </c>
      <c r="H966" s="59" t="str">
        <f t="shared" si="23"/>
        <v/>
      </c>
      <c r="I966" s="60"/>
      <c r="J966" s="61" t="str">
        <f t="shared" si="2"/>
        <v/>
      </c>
      <c r="K966" s="58" t="str">
        <f>if(G966,_xlfn.workday.intl(int(G966),0,"1000000",Holidays!A:A)+19/24,"")</f>
        <v/>
      </c>
      <c r="L966" s="59" t="str">
        <f t="shared" si="3"/>
        <v/>
      </c>
      <c r="M966" s="60"/>
      <c r="N966" s="61" t="str">
        <f t="shared" si="4"/>
        <v/>
      </c>
      <c r="O966" s="63" t="str">
        <f>if(A966,_xlfn.WORKDAY.INTL(A966,O$5,"1000000",Holidays!A:A)+hour(A966)/24+MINUTE(A966)/1440,"")</f>
        <v/>
      </c>
      <c r="P966" s="64" t="s">
        <v>2718</v>
      </c>
      <c r="R966" s="66" t="str">
        <f t="shared" si="5"/>
        <v/>
      </c>
      <c r="S966" s="66"/>
      <c r="T966" s="66"/>
      <c r="U966" s="64" t="str">
        <f>if(O966,_xlfn.WORKDAY.INTL(O966,U$5,"1000000",Holidays!A:A)+hour(O966)/24+MINUTE(O966)/1440,"")</f>
        <v/>
      </c>
      <c r="V966" s="64" t="str">
        <f t="shared" si="6"/>
        <v/>
      </c>
      <c r="W966" s="66"/>
      <c r="X966" s="66" t="str">
        <f t="shared" si="7"/>
        <v/>
      </c>
      <c r="Y966" s="66"/>
      <c r="Z966" s="66"/>
      <c r="AA966" s="66"/>
      <c r="AB966" s="63"/>
      <c r="AC966" s="63"/>
      <c r="AD966" s="63"/>
      <c r="AE966" s="63"/>
      <c r="AF966" s="63"/>
      <c r="AG966" s="63"/>
      <c r="AH966" s="63" t="str">
        <f t="shared" si="14"/>
        <v/>
      </c>
      <c r="AI966" s="63" t="str">
        <f>if(AH966,_xlfn.workday.intl(int(AH966),0,"1000000",Holidays!A:A)+18/24,"")</f>
        <v/>
      </c>
      <c r="AJ966" s="64" t="str">
        <f t="shared" si="24"/>
        <v/>
      </c>
      <c r="AL966" s="66" t="str">
        <f t="shared" si="9"/>
        <v/>
      </c>
      <c r="AM966" s="66"/>
      <c r="AN966" s="63" t="str">
        <f>if(AJ966,if(and(hour(AJ966+AN$5)&gt;11,(hour(AJ966+AN$5)&lt;20)),AJ966+AN$5,_xlfn.workday.intl(int(AJ966),1,"1000000",Holidays!A:A)+hour(AJ966+AN$5-$B$1)/24+minute(AJ966)/1440),"")</f>
        <v/>
      </c>
      <c r="AO966" s="64" t="str">
        <f t="shared" si="15"/>
        <v/>
      </c>
      <c r="AQ966" s="66" t="str">
        <f t="shared" si="16"/>
        <v/>
      </c>
      <c r="AR966" s="66"/>
      <c r="AS966" s="63" t="str">
        <f>if(AJ966,if(and(hour(AJ966+AS$5)&gt;11,(hour(AJ966+AS$5)&lt;20)),AJ966+AS$5,_xlfn.workday.intl(int(AJ966),1,"1000000",Holidays!A:A)+hour(AJ966+AS$5-$B$1)/24+minute(AJ966)/1440),"")</f>
        <v/>
      </c>
      <c r="AT966" s="64" t="str">
        <f t="shared" si="21"/>
        <v/>
      </c>
      <c r="AV966" s="66" t="str">
        <f t="shared" si="25"/>
        <v/>
      </c>
      <c r="AW966" s="66"/>
      <c r="AX966" s="56"/>
    </row>
    <row r="967">
      <c r="A967" s="56"/>
      <c r="B967" s="56"/>
      <c r="C967" s="57"/>
      <c r="D967" s="57"/>
      <c r="E967" s="57"/>
      <c r="F967" s="57"/>
      <c r="G967" s="58" t="str">
        <f>if(A967,_xlfn.workday.intl(int(A967),1,"1000000",Holidays!A:A)+17/24,"")</f>
        <v/>
      </c>
      <c r="H967" s="59" t="str">
        <f t="shared" si="23"/>
        <v/>
      </c>
      <c r="I967" s="60"/>
      <c r="J967" s="61" t="str">
        <f t="shared" si="2"/>
        <v/>
      </c>
      <c r="K967" s="58" t="str">
        <f>if(G967,_xlfn.workday.intl(int(G967),0,"1000000",Holidays!A:A)+19/24,"")</f>
        <v/>
      </c>
      <c r="L967" s="59" t="str">
        <f t="shared" si="3"/>
        <v/>
      </c>
      <c r="M967" s="60"/>
      <c r="N967" s="61" t="str">
        <f t="shared" si="4"/>
        <v/>
      </c>
      <c r="O967" s="63" t="str">
        <f>if(A967,_xlfn.WORKDAY.INTL(A967,O$5,"1000000",Holidays!A:A)+hour(A967)/24+MINUTE(A967)/1440,"")</f>
        <v/>
      </c>
      <c r="P967" s="64" t="s">
        <v>2718</v>
      </c>
      <c r="R967" s="66" t="str">
        <f t="shared" si="5"/>
        <v/>
      </c>
      <c r="S967" s="66"/>
      <c r="T967" s="66"/>
      <c r="U967" s="64" t="str">
        <f>if(O967,_xlfn.WORKDAY.INTL(O967,U$5,"1000000",Holidays!A:A)+hour(O967)/24+MINUTE(O967)/1440,"")</f>
        <v/>
      </c>
      <c r="V967" s="64" t="str">
        <f t="shared" si="6"/>
        <v/>
      </c>
      <c r="W967" s="66"/>
      <c r="X967" s="66" t="str">
        <f t="shared" si="7"/>
        <v/>
      </c>
      <c r="Y967" s="66"/>
      <c r="Z967" s="66"/>
      <c r="AA967" s="66"/>
      <c r="AB967" s="63"/>
      <c r="AC967" s="63"/>
      <c r="AD967" s="63"/>
      <c r="AE967" s="63"/>
      <c r="AF967" s="63"/>
      <c r="AG967" s="63"/>
      <c r="AH967" s="63" t="str">
        <f t="shared" si="14"/>
        <v/>
      </c>
      <c r="AI967" s="63" t="str">
        <f>if(AH967,_xlfn.workday.intl(int(AH967),0,"1000000",Holidays!A:A)+18/24,"")</f>
        <v/>
      </c>
      <c r="AJ967" s="64" t="str">
        <f t="shared" si="24"/>
        <v/>
      </c>
      <c r="AL967" s="66" t="str">
        <f t="shared" si="9"/>
        <v/>
      </c>
      <c r="AM967" s="66"/>
      <c r="AN967" s="63" t="str">
        <f>if(AJ967,if(and(hour(AJ967+AN$5)&gt;11,(hour(AJ967+AN$5)&lt;20)),AJ967+AN$5,_xlfn.workday.intl(int(AJ967),1,"1000000",Holidays!A:A)+hour(AJ967+AN$5-$B$1)/24+minute(AJ967)/1440),"")</f>
        <v/>
      </c>
      <c r="AO967" s="64" t="str">
        <f t="shared" si="15"/>
        <v/>
      </c>
      <c r="AQ967" s="66" t="str">
        <f t="shared" si="16"/>
        <v/>
      </c>
      <c r="AR967" s="66"/>
      <c r="AS967" s="63" t="str">
        <f>if(AJ967,if(and(hour(AJ967+AS$5)&gt;11,(hour(AJ967+AS$5)&lt;20)),AJ967+AS$5,_xlfn.workday.intl(int(AJ967),1,"1000000",Holidays!A:A)+hour(AJ967+AS$5-$B$1)/24+minute(AJ967)/1440),"")</f>
        <v/>
      </c>
      <c r="AT967" s="64" t="str">
        <f t="shared" si="21"/>
        <v/>
      </c>
      <c r="AV967" s="66" t="str">
        <f t="shared" si="25"/>
        <v/>
      </c>
      <c r="AW967" s="66"/>
      <c r="AX967" s="56"/>
    </row>
    <row r="968">
      <c r="A968" s="56"/>
      <c r="B968" s="56"/>
      <c r="C968" s="57"/>
      <c r="D968" s="57"/>
      <c r="E968" s="57"/>
      <c r="F968" s="57"/>
      <c r="G968" s="58" t="str">
        <f>if(A968,_xlfn.workday.intl(int(A968),1,"1000000",Holidays!A:A)+17/24,"")</f>
        <v/>
      </c>
      <c r="H968" s="59" t="str">
        <f t="shared" si="23"/>
        <v/>
      </c>
      <c r="I968" s="60"/>
      <c r="J968" s="61" t="str">
        <f t="shared" si="2"/>
        <v/>
      </c>
      <c r="K968" s="58" t="str">
        <f>if(G968,_xlfn.workday.intl(int(G968),0,"1000000",Holidays!A:A)+19/24,"")</f>
        <v/>
      </c>
      <c r="L968" s="59" t="str">
        <f t="shared" si="3"/>
        <v/>
      </c>
      <c r="M968" s="60"/>
      <c r="N968" s="61" t="str">
        <f t="shared" si="4"/>
        <v/>
      </c>
      <c r="O968" s="63" t="str">
        <f>if(A968,_xlfn.WORKDAY.INTL(A968,O$5,"1000000",Holidays!A:A)+hour(A968)/24+MINUTE(A968)/1440,"")</f>
        <v/>
      </c>
      <c r="P968" s="64" t="s">
        <v>2718</v>
      </c>
      <c r="R968" s="66" t="str">
        <f t="shared" si="5"/>
        <v/>
      </c>
      <c r="S968" s="66"/>
      <c r="T968" s="66"/>
      <c r="U968" s="64" t="str">
        <f>if(O968,_xlfn.WORKDAY.INTL(O968,U$5,"1000000",Holidays!A:A)+hour(O968)/24+MINUTE(O968)/1440,"")</f>
        <v/>
      </c>
      <c r="V968" s="64" t="str">
        <f t="shared" si="6"/>
        <v/>
      </c>
      <c r="W968" s="66"/>
      <c r="X968" s="66" t="str">
        <f t="shared" si="7"/>
        <v/>
      </c>
      <c r="Y968" s="66"/>
      <c r="Z968" s="66"/>
      <c r="AA968" s="66"/>
      <c r="AB968" s="63"/>
      <c r="AC968" s="63"/>
      <c r="AD968" s="63"/>
      <c r="AE968" s="63"/>
      <c r="AF968" s="63"/>
      <c r="AG968" s="63"/>
      <c r="AH968" s="63" t="str">
        <f t="shared" si="14"/>
        <v/>
      </c>
      <c r="AI968" s="63" t="str">
        <f>if(AH968,_xlfn.workday.intl(int(AH968),0,"1000000",Holidays!A:A)+18/24,"")</f>
        <v/>
      </c>
      <c r="AJ968" s="64" t="str">
        <f t="shared" si="24"/>
        <v/>
      </c>
      <c r="AL968" s="66" t="str">
        <f t="shared" si="9"/>
        <v/>
      </c>
      <c r="AM968" s="66"/>
      <c r="AN968" s="63" t="str">
        <f>if(AJ968,if(and(hour(AJ968+AN$5)&gt;11,(hour(AJ968+AN$5)&lt;20)),AJ968+AN$5,_xlfn.workday.intl(int(AJ968),1,"1000000",Holidays!A:A)+hour(AJ968+AN$5-$B$1)/24+minute(AJ968)/1440),"")</f>
        <v/>
      </c>
      <c r="AO968" s="64" t="str">
        <f t="shared" si="15"/>
        <v/>
      </c>
      <c r="AQ968" s="66" t="str">
        <f t="shared" si="16"/>
        <v/>
      </c>
      <c r="AR968" s="66"/>
      <c r="AS968" s="63" t="str">
        <f>if(AJ968,if(and(hour(AJ968+AS$5)&gt;11,(hour(AJ968+AS$5)&lt;20)),AJ968+AS$5,_xlfn.workday.intl(int(AJ968),1,"1000000",Holidays!A:A)+hour(AJ968+AS$5-$B$1)/24+minute(AJ968)/1440),"")</f>
        <v/>
      </c>
      <c r="AT968" s="64" t="str">
        <f t="shared" si="21"/>
        <v/>
      </c>
      <c r="AV968" s="66" t="str">
        <f t="shared" si="25"/>
        <v/>
      </c>
      <c r="AW968" s="66"/>
      <c r="AX968" s="56"/>
    </row>
    <row r="969">
      <c r="A969" s="56"/>
      <c r="B969" s="56"/>
      <c r="C969" s="57"/>
      <c r="D969" s="57"/>
      <c r="E969" s="57"/>
      <c r="F969" s="57"/>
      <c r="G969" s="58" t="str">
        <f>if(A969,_xlfn.workday.intl(int(A969),1,"1000000",Holidays!A:A)+17/24,"")</f>
        <v/>
      </c>
      <c r="H969" s="59" t="str">
        <f t="shared" si="23"/>
        <v/>
      </c>
      <c r="I969" s="60"/>
      <c r="J969" s="61" t="str">
        <f t="shared" si="2"/>
        <v/>
      </c>
      <c r="K969" s="58" t="str">
        <f>if(G969,_xlfn.workday.intl(int(G969),0,"1000000",Holidays!A:A)+19/24,"")</f>
        <v/>
      </c>
      <c r="L969" s="59" t="str">
        <f t="shared" si="3"/>
        <v/>
      </c>
      <c r="M969" s="60"/>
      <c r="N969" s="61" t="str">
        <f t="shared" si="4"/>
        <v/>
      </c>
      <c r="O969" s="63" t="str">
        <f>if(A969,_xlfn.WORKDAY.INTL(A969,O$5,"1000000",Holidays!A:A)+hour(A969)/24+MINUTE(A969)/1440,"")</f>
        <v/>
      </c>
      <c r="P969" s="64" t="s">
        <v>2718</v>
      </c>
      <c r="R969" s="66" t="str">
        <f t="shared" si="5"/>
        <v/>
      </c>
      <c r="S969" s="66"/>
      <c r="T969" s="66"/>
      <c r="U969" s="64" t="str">
        <f>if(O969,_xlfn.WORKDAY.INTL(O969,U$5,"1000000",Holidays!A:A)+hour(O969)/24+MINUTE(O969)/1440,"")</f>
        <v/>
      </c>
      <c r="V969" s="64" t="str">
        <f t="shared" si="6"/>
        <v/>
      </c>
      <c r="W969" s="66"/>
      <c r="X969" s="66" t="str">
        <f t="shared" si="7"/>
        <v/>
      </c>
      <c r="Y969" s="66"/>
      <c r="Z969" s="66"/>
      <c r="AA969" s="66"/>
      <c r="AB969" s="63"/>
      <c r="AC969" s="63"/>
      <c r="AD969" s="63"/>
      <c r="AE969" s="63"/>
      <c r="AF969" s="63"/>
      <c r="AG969" s="63"/>
      <c r="AH969" s="63" t="str">
        <f t="shared" si="14"/>
        <v/>
      </c>
      <c r="AI969" s="63" t="str">
        <f>if(AH969,_xlfn.workday.intl(int(AH969),0,"1000000",Holidays!A:A)+18/24,"")</f>
        <v/>
      </c>
      <c r="AJ969" s="64" t="str">
        <f t="shared" si="24"/>
        <v/>
      </c>
      <c r="AL969" s="66" t="str">
        <f t="shared" si="9"/>
        <v/>
      </c>
      <c r="AM969" s="66"/>
      <c r="AN969" s="63" t="str">
        <f>if(AJ969,if(and(hour(AJ969+AN$5)&gt;11,(hour(AJ969+AN$5)&lt;20)),AJ969+AN$5,_xlfn.workday.intl(int(AJ969),1,"1000000",Holidays!A:A)+hour(AJ969+AN$5-$B$1)/24+minute(AJ969)/1440),"")</f>
        <v/>
      </c>
      <c r="AO969" s="64" t="str">
        <f t="shared" si="15"/>
        <v/>
      </c>
      <c r="AQ969" s="66" t="str">
        <f t="shared" si="16"/>
        <v/>
      </c>
      <c r="AR969" s="66"/>
      <c r="AS969" s="63" t="str">
        <f>if(AJ969,if(and(hour(AJ969+AS$5)&gt;11,(hour(AJ969+AS$5)&lt;20)),AJ969+AS$5,_xlfn.workday.intl(int(AJ969),1,"1000000",Holidays!A:A)+hour(AJ969+AS$5-$B$1)/24+minute(AJ969)/1440),"")</f>
        <v/>
      </c>
      <c r="AT969" s="64" t="str">
        <f t="shared" si="21"/>
        <v/>
      </c>
      <c r="AV969" s="66" t="str">
        <f t="shared" si="25"/>
        <v/>
      </c>
      <c r="AW969" s="66"/>
      <c r="AX969" s="56"/>
    </row>
    <row r="970">
      <c r="A970" s="56"/>
      <c r="B970" s="56"/>
      <c r="C970" s="57"/>
      <c r="D970" s="57"/>
      <c r="E970" s="57"/>
      <c r="F970" s="57"/>
      <c r="G970" s="58" t="str">
        <f>if(A970,_xlfn.workday.intl(int(A970),1,"1000000",Holidays!A:A)+17/24,"")</f>
        <v/>
      </c>
      <c r="H970" s="59" t="str">
        <f t="shared" si="23"/>
        <v/>
      </c>
      <c r="I970" s="60"/>
      <c r="J970" s="61" t="str">
        <f t="shared" si="2"/>
        <v/>
      </c>
      <c r="K970" s="58" t="str">
        <f>if(G970,_xlfn.workday.intl(int(G970),0,"1000000",Holidays!A:A)+19/24,"")</f>
        <v/>
      </c>
      <c r="L970" s="59" t="str">
        <f t="shared" si="3"/>
        <v/>
      </c>
      <c r="M970" s="60"/>
      <c r="N970" s="61" t="str">
        <f t="shared" si="4"/>
        <v/>
      </c>
      <c r="O970" s="63" t="str">
        <f>if(A970,_xlfn.WORKDAY.INTL(A970,O$5,"1000000",Holidays!A:A)+hour(A970)/24+MINUTE(A970)/1440,"")</f>
        <v/>
      </c>
      <c r="P970" s="64" t="s">
        <v>2718</v>
      </c>
      <c r="R970" s="66" t="str">
        <f t="shared" si="5"/>
        <v/>
      </c>
      <c r="S970" s="66"/>
      <c r="T970" s="66"/>
      <c r="U970" s="64" t="str">
        <f>if(O970,_xlfn.WORKDAY.INTL(O970,U$5,"1000000",Holidays!A:A)+hour(O970)/24+MINUTE(O970)/1440,"")</f>
        <v/>
      </c>
      <c r="V970" s="64" t="str">
        <f t="shared" si="6"/>
        <v/>
      </c>
      <c r="W970" s="66"/>
      <c r="X970" s="66" t="str">
        <f t="shared" si="7"/>
        <v/>
      </c>
      <c r="Y970" s="66"/>
      <c r="Z970" s="66"/>
      <c r="AA970" s="66"/>
      <c r="AB970" s="63"/>
      <c r="AC970" s="63"/>
      <c r="AD970" s="63"/>
      <c r="AE970" s="63"/>
      <c r="AF970" s="63"/>
      <c r="AG970" s="63"/>
      <c r="AH970" s="63" t="str">
        <f t="shared" si="14"/>
        <v/>
      </c>
      <c r="AI970" s="63" t="str">
        <f>if(AH970,_xlfn.workday.intl(int(AH970),0,"1000000",Holidays!A:A)+18/24,"")</f>
        <v/>
      </c>
      <c r="AJ970" s="64" t="str">
        <f t="shared" si="24"/>
        <v/>
      </c>
      <c r="AL970" s="66" t="str">
        <f t="shared" si="9"/>
        <v/>
      </c>
      <c r="AM970" s="66"/>
      <c r="AN970" s="63" t="str">
        <f>if(AJ970,if(and(hour(AJ970+AN$5)&gt;11,(hour(AJ970+AN$5)&lt;20)),AJ970+AN$5,_xlfn.workday.intl(int(AJ970),1,"1000000",Holidays!A:A)+hour(AJ970+AN$5-$B$1)/24+minute(AJ970)/1440),"")</f>
        <v/>
      </c>
      <c r="AO970" s="64" t="str">
        <f t="shared" si="15"/>
        <v/>
      </c>
      <c r="AQ970" s="66" t="str">
        <f t="shared" si="16"/>
        <v/>
      </c>
      <c r="AR970" s="66"/>
      <c r="AS970" s="63" t="str">
        <f>if(AJ970,if(and(hour(AJ970+AS$5)&gt;11,(hour(AJ970+AS$5)&lt;20)),AJ970+AS$5,_xlfn.workday.intl(int(AJ970),1,"1000000",Holidays!A:A)+hour(AJ970+AS$5-$B$1)/24+minute(AJ970)/1440),"")</f>
        <v/>
      </c>
      <c r="AT970" s="64" t="str">
        <f t="shared" si="21"/>
        <v/>
      </c>
      <c r="AV970" s="66" t="str">
        <f t="shared" si="25"/>
        <v/>
      </c>
      <c r="AW970" s="66"/>
      <c r="AX970" s="56"/>
    </row>
    <row r="971">
      <c r="A971" s="56"/>
      <c r="B971" s="56"/>
      <c r="C971" s="57"/>
      <c r="D971" s="57"/>
      <c r="E971" s="57"/>
      <c r="F971" s="57"/>
      <c r="G971" s="58" t="str">
        <f>if(A971,_xlfn.workday.intl(int(A971),1,"1000000",Holidays!A:A)+17/24,"")</f>
        <v/>
      </c>
      <c r="H971" s="59" t="str">
        <f t="shared" si="23"/>
        <v/>
      </c>
      <c r="I971" s="60"/>
      <c r="J971" s="61" t="str">
        <f t="shared" si="2"/>
        <v/>
      </c>
      <c r="K971" s="58" t="str">
        <f>if(G971,_xlfn.workday.intl(int(G971),0,"1000000",Holidays!A:A)+19/24,"")</f>
        <v/>
      </c>
      <c r="L971" s="59" t="str">
        <f t="shared" si="3"/>
        <v/>
      </c>
      <c r="M971" s="60"/>
      <c r="N971" s="61" t="str">
        <f t="shared" si="4"/>
        <v/>
      </c>
      <c r="O971" s="63" t="str">
        <f>if(A971,_xlfn.WORKDAY.INTL(A971,O$5,"1000000",Holidays!A:A)+hour(A971)/24+MINUTE(A971)/1440,"")</f>
        <v/>
      </c>
      <c r="P971" s="64" t="s">
        <v>2718</v>
      </c>
      <c r="R971" s="66" t="str">
        <f t="shared" si="5"/>
        <v/>
      </c>
      <c r="S971" s="66"/>
      <c r="T971" s="66"/>
      <c r="U971" s="64" t="str">
        <f>if(O971,_xlfn.WORKDAY.INTL(O971,U$5,"1000000",Holidays!A:A)+hour(O971)/24+MINUTE(O971)/1440,"")</f>
        <v/>
      </c>
      <c r="V971" s="64" t="str">
        <f t="shared" si="6"/>
        <v/>
      </c>
      <c r="W971" s="66"/>
      <c r="X971" s="66" t="str">
        <f t="shared" si="7"/>
        <v/>
      </c>
      <c r="Y971" s="66"/>
      <c r="Z971" s="66"/>
      <c r="AA971" s="66"/>
      <c r="AB971" s="63"/>
      <c r="AC971" s="63"/>
      <c r="AD971" s="63"/>
      <c r="AE971" s="63"/>
      <c r="AF971" s="63"/>
      <c r="AG971" s="63"/>
      <c r="AH971" s="63" t="str">
        <f t="shared" si="14"/>
        <v/>
      </c>
      <c r="AI971" s="63" t="str">
        <f>if(AH971,_xlfn.workday.intl(int(AH971),0,"1000000",Holidays!A:A)+18/24,"")</f>
        <v/>
      </c>
      <c r="AJ971" s="64" t="str">
        <f t="shared" si="24"/>
        <v/>
      </c>
      <c r="AL971" s="66" t="str">
        <f t="shared" si="9"/>
        <v/>
      </c>
      <c r="AM971" s="66"/>
      <c r="AN971" s="63" t="str">
        <f>if(AJ971,if(and(hour(AJ971+AN$5)&gt;11,(hour(AJ971+AN$5)&lt;20)),AJ971+AN$5,_xlfn.workday.intl(int(AJ971),1,"1000000",Holidays!A:A)+hour(AJ971+AN$5-$B$1)/24+minute(AJ971)/1440),"")</f>
        <v/>
      </c>
      <c r="AO971" s="64" t="str">
        <f t="shared" si="15"/>
        <v/>
      </c>
      <c r="AQ971" s="66" t="str">
        <f t="shared" si="16"/>
        <v/>
      </c>
      <c r="AR971" s="66"/>
      <c r="AS971" s="63" t="str">
        <f>if(AJ971,if(and(hour(AJ971+AS$5)&gt;11,(hour(AJ971+AS$5)&lt;20)),AJ971+AS$5,_xlfn.workday.intl(int(AJ971),1,"1000000",Holidays!A:A)+hour(AJ971+AS$5-$B$1)/24+minute(AJ971)/1440),"")</f>
        <v/>
      </c>
      <c r="AT971" s="64" t="str">
        <f t="shared" si="21"/>
        <v/>
      </c>
      <c r="AV971" s="66" t="str">
        <f t="shared" si="25"/>
        <v/>
      </c>
      <c r="AW971" s="66"/>
      <c r="AX971" s="56"/>
    </row>
    <row r="972">
      <c r="A972" s="56"/>
      <c r="B972" s="56"/>
      <c r="C972" s="57"/>
      <c r="D972" s="57"/>
      <c r="E972" s="57"/>
      <c r="F972" s="57"/>
      <c r="G972" s="58" t="str">
        <f>if(A972,_xlfn.workday.intl(int(A972),1,"1000000",Holidays!A:A)+17/24,"")</f>
        <v/>
      </c>
      <c r="H972" s="59" t="str">
        <f t="shared" si="23"/>
        <v/>
      </c>
      <c r="I972" s="60"/>
      <c r="J972" s="61" t="str">
        <f t="shared" si="2"/>
        <v/>
      </c>
      <c r="K972" s="58" t="str">
        <f>if(G972,_xlfn.workday.intl(int(G972),0,"1000000",Holidays!A:A)+19/24,"")</f>
        <v/>
      </c>
      <c r="L972" s="59" t="str">
        <f t="shared" si="3"/>
        <v/>
      </c>
      <c r="M972" s="60"/>
      <c r="N972" s="61" t="str">
        <f t="shared" si="4"/>
        <v/>
      </c>
      <c r="O972" s="63" t="str">
        <f>if(A972,_xlfn.WORKDAY.INTL(A972,O$5,"1000000",Holidays!A:A)+hour(A972)/24+MINUTE(A972)/1440,"")</f>
        <v/>
      </c>
      <c r="P972" s="64" t="s">
        <v>2718</v>
      </c>
      <c r="R972" s="66" t="str">
        <f t="shared" si="5"/>
        <v/>
      </c>
      <c r="S972" s="66"/>
      <c r="T972" s="66"/>
      <c r="U972" s="64" t="str">
        <f>if(O972,_xlfn.WORKDAY.INTL(O972,U$5,"1000000",Holidays!A:A)+hour(O972)/24+MINUTE(O972)/1440,"")</f>
        <v/>
      </c>
      <c r="V972" s="64" t="str">
        <f t="shared" si="6"/>
        <v/>
      </c>
      <c r="W972" s="66"/>
      <c r="X972" s="66" t="str">
        <f t="shared" si="7"/>
        <v/>
      </c>
      <c r="Y972" s="66"/>
      <c r="Z972" s="66"/>
      <c r="AA972" s="66"/>
      <c r="AB972" s="63"/>
      <c r="AC972" s="63"/>
      <c r="AD972" s="63"/>
      <c r="AE972" s="63"/>
      <c r="AF972" s="63"/>
      <c r="AG972" s="63"/>
      <c r="AH972" s="63" t="str">
        <f t="shared" si="14"/>
        <v/>
      </c>
      <c r="AI972" s="63" t="str">
        <f>if(AH972,_xlfn.workday.intl(int(AH972),0,"1000000",Holidays!A:A)+18/24,"")</f>
        <v/>
      </c>
      <c r="AJ972" s="64" t="str">
        <f t="shared" si="24"/>
        <v/>
      </c>
      <c r="AL972" s="66" t="str">
        <f t="shared" si="9"/>
        <v/>
      </c>
      <c r="AM972" s="66"/>
      <c r="AN972" s="63" t="str">
        <f>if(AJ972,if(and(hour(AJ972+AN$5)&gt;11,(hour(AJ972+AN$5)&lt;20)),AJ972+AN$5,_xlfn.workday.intl(int(AJ972),1,"1000000",Holidays!A:A)+hour(AJ972+AN$5-$B$1)/24+minute(AJ972)/1440),"")</f>
        <v/>
      </c>
      <c r="AO972" s="64" t="str">
        <f t="shared" si="15"/>
        <v/>
      </c>
      <c r="AQ972" s="66" t="str">
        <f t="shared" si="16"/>
        <v/>
      </c>
      <c r="AR972" s="66"/>
      <c r="AS972" s="63" t="str">
        <f>if(AJ972,if(and(hour(AJ972+AS$5)&gt;11,(hour(AJ972+AS$5)&lt;20)),AJ972+AS$5,_xlfn.workday.intl(int(AJ972),1,"1000000",Holidays!A:A)+hour(AJ972+AS$5-$B$1)/24+minute(AJ972)/1440),"")</f>
        <v/>
      </c>
      <c r="AT972" s="64" t="str">
        <f t="shared" si="21"/>
        <v/>
      </c>
      <c r="AV972" s="66" t="str">
        <f t="shared" si="25"/>
        <v/>
      </c>
      <c r="AW972" s="66"/>
      <c r="AX972" s="56"/>
    </row>
    <row r="973">
      <c r="A973" s="56"/>
      <c r="B973" s="56"/>
      <c r="C973" s="57"/>
      <c r="D973" s="57"/>
      <c r="E973" s="57"/>
      <c r="F973" s="57"/>
      <c r="G973" s="58" t="str">
        <f>if(A973,_xlfn.workday.intl(int(A973),1,"1000000",Holidays!A:A)+17/24,"")</f>
        <v/>
      </c>
      <c r="H973" s="59" t="str">
        <f t="shared" si="23"/>
        <v/>
      </c>
      <c r="I973" s="60"/>
      <c r="J973" s="61" t="str">
        <f t="shared" si="2"/>
        <v/>
      </c>
      <c r="K973" s="58" t="str">
        <f>if(G973,_xlfn.workday.intl(int(G973),0,"1000000",Holidays!A:A)+19/24,"")</f>
        <v/>
      </c>
      <c r="L973" s="59" t="str">
        <f t="shared" si="3"/>
        <v/>
      </c>
      <c r="M973" s="60"/>
      <c r="N973" s="61" t="str">
        <f t="shared" si="4"/>
        <v/>
      </c>
      <c r="O973" s="63" t="str">
        <f>if(A973,_xlfn.WORKDAY.INTL(A973,O$5,"1000000",Holidays!A:A)+hour(A973)/24+MINUTE(A973)/1440,"")</f>
        <v/>
      </c>
      <c r="P973" s="64" t="s">
        <v>2718</v>
      </c>
      <c r="R973" s="66" t="str">
        <f t="shared" si="5"/>
        <v/>
      </c>
      <c r="S973" s="66"/>
      <c r="T973" s="66"/>
      <c r="U973" s="64" t="str">
        <f>if(O973,_xlfn.WORKDAY.INTL(O973,U$5,"1000000",Holidays!A:A)+hour(O973)/24+MINUTE(O973)/1440,"")</f>
        <v/>
      </c>
      <c r="V973" s="64" t="str">
        <f t="shared" si="6"/>
        <v/>
      </c>
      <c r="W973" s="66"/>
      <c r="X973" s="66" t="str">
        <f t="shared" si="7"/>
        <v/>
      </c>
      <c r="Y973" s="66"/>
      <c r="Z973" s="66"/>
      <c r="AA973" s="66"/>
      <c r="AB973" s="63"/>
      <c r="AC973" s="63"/>
      <c r="AD973" s="63"/>
      <c r="AE973" s="63"/>
      <c r="AF973" s="63"/>
      <c r="AG973" s="63"/>
      <c r="AH973" s="63" t="str">
        <f t="shared" si="14"/>
        <v/>
      </c>
      <c r="AI973" s="63" t="str">
        <f>if(AH973,_xlfn.workday.intl(int(AH973),0,"1000000",Holidays!A:A)+18/24,"")</f>
        <v/>
      </c>
      <c r="AJ973" s="64" t="str">
        <f t="shared" si="24"/>
        <v/>
      </c>
      <c r="AL973" s="66" t="str">
        <f t="shared" si="9"/>
        <v/>
      </c>
      <c r="AM973" s="66"/>
      <c r="AN973" s="63" t="str">
        <f>if(AJ973,if(and(hour(AJ973+AN$5)&gt;11,(hour(AJ973+AN$5)&lt;20)),AJ973+AN$5,_xlfn.workday.intl(int(AJ973),1,"1000000",Holidays!A:A)+hour(AJ973+AN$5-$B$1)/24+minute(AJ973)/1440),"")</f>
        <v/>
      </c>
      <c r="AO973" s="64" t="str">
        <f t="shared" si="15"/>
        <v/>
      </c>
      <c r="AQ973" s="66" t="str">
        <f t="shared" si="16"/>
        <v/>
      </c>
      <c r="AR973" s="66"/>
      <c r="AS973" s="63" t="str">
        <f>if(AJ973,if(and(hour(AJ973+AS$5)&gt;11,(hour(AJ973+AS$5)&lt;20)),AJ973+AS$5,_xlfn.workday.intl(int(AJ973),1,"1000000",Holidays!A:A)+hour(AJ973+AS$5-$B$1)/24+minute(AJ973)/1440),"")</f>
        <v/>
      </c>
      <c r="AT973" s="64" t="str">
        <f t="shared" si="21"/>
        <v/>
      </c>
      <c r="AV973" s="66" t="str">
        <f t="shared" si="25"/>
        <v/>
      </c>
      <c r="AW973" s="66"/>
      <c r="AX973" s="56"/>
    </row>
    <row r="974">
      <c r="A974" s="56"/>
      <c r="B974" s="56"/>
      <c r="C974" s="57"/>
      <c r="D974" s="57"/>
      <c r="E974" s="57"/>
      <c r="F974" s="57"/>
      <c r="G974" s="58" t="str">
        <f>if(A974,_xlfn.workday.intl(int(A974),1,"1000000",Holidays!A:A)+17/24,"")</f>
        <v/>
      </c>
      <c r="H974" s="59" t="str">
        <f t="shared" si="23"/>
        <v/>
      </c>
      <c r="I974" s="60"/>
      <c r="J974" s="61" t="str">
        <f t="shared" si="2"/>
        <v/>
      </c>
      <c r="K974" s="58" t="str">
        <f>if(G974,_xlfn.workday.intl(int(G974),0,"1000000",Holidays!A:A)+19/24,"")</f>
        <v/>
      </c>
      <c r="L974" s="59" t="str">
        <f t="shared" si="3"/>
        <v/>
      </c>
      <c r="M974" s="60"/>
      <c r="N974" s="61" t="str">
        <f t="shared" si="4"/>
        <v/>
      </c>
      <c r="O974" s="63" t="str">
        <f>if(A974,_xlfn.WORKDAY.INTL(A974,O$5,"1000000",Holidays!A:A)+hour(A974)/24+MINUTE(A974)/1440,"")</f>
        <v/>
      </c>
      <c r="P974" s="64" t="s">
        <v>2718</v>
      </c>
      <c r="R974" s="66" t="str">
        <f t="shared" si="5"/>
        <v/>
      </c>
      <c r="S974" s="66"/>
      <c r="T974" s="66"/>
      <c r="U974" s="64" t="str">
        <f>if(O974,_xlfn.WORKDAY.INTL(O974,U$5,"1000000",Holidays!A:A)+hour(O974)/24+MINUTE(O974)/1440,"")</f>
        <v/>
      </c>
      <c r="V974" s="64" t="str">
        <f t="shared" si="6"/>
        <v/>
      </c>
      <c r="W974" s="66"/>
      <c r="X974" s="66" t="str">
        <f t="shared" si="7"/>
        <v/>
      </c>
      <c r="Y974" s="66"/>
      <c r="Z974" s="66"/>
      <c r="AA974" s="66"/>
      <c r="AB974" s="63"/>
      <c r="AC974" s="63"/>
      <c r="AD974" s="63"/>
      <c r="AE974" s="63"/>
      <c r="AF974" s="63"/>
      <c r="AG974" s="63"/>
      <c r="AH974" s="63" t="str">
        <f t="shared" si="14"/>
        <v/>
      </c>
      <c r="AI974" s="63" t="str">
        <f>if(AH974,_xlfn.workday.intl(int(AH974),0,"1000000",Holidays!A:A)+18/24,"")</f>
        <v/>
      </c>
      <c r="AJ974" s="64" t="str">
        <f t="shared" si="24"/>
        <v/>
      </c>
      <c r="AL974" s="66" t="str">
        <f t="shared" si="9"/>
        <v/>
      </c>
      <c r="AM974" s="66"/>
      <c r="AN974" s="63" t="str">
        <f>if(AJ974,if(and(hour(AJ974+AN$5)&gt;11,(hour(AJ974+AN$5)&lt;20)),AJ974+AN$5,_xlfn.workday.intl(int(AJ974),1,"1000000",Holidays!A:A)+hour(AJ974+AN$5-$B$1)/24+minute(AJ974)/1440),"")</f>
        <v/>
      </c>
      <c r="AO974" s="64" t="str">
        <f t="shared" si="15"/>
        <v/>
      </c>
      <c r="AQ974" s="66" t="str">
        <f t="shared" si="16"/>
        <v/>
      </c>
      <c r="AR974" s="66"/>
      <c r="AS974" s="63" t="str">
        <f>if(AJ974,if(and(hour(AJ974+AS$5)&gt;11,(hour(AJ974+AS$5)&lt;20)),AJ974+AS$5,_xlfn.workday.intl(int(AJ974),1,"1000000",Holidays!A:A)+hour(AJ974+AS$5-$B$1)/24+minute(AJ974)/1440),"")</f>
        <v/>
      </c>
      <c r="AT974" s="64" t="str">
        <f t="shared" si="21"/>
        <v/>
      </c>
      <c r="AV974" s="66" t="str">
        <f t="shared" si="25"/>
        <v/>
      </c>
      <c r="AW974" s="66"/>
      <c r="AX974" s="56"/>
    </row>
    <row r="975">
      <c r="A975" s="56"/>
      <c r="B975" s="56"/>
      <c r="C975" s="57"/>
      <c r="D975" s="57"/>
      <c r="E975" s="57"/>
      <c r="F975" s="57"/>
      <c r="G975" s="58" t="str">
        <f>if(A975,_xlfn.workday.intl(int(A975),1,"1000000",Holidays!A:A)+17/24,"")</f>
        <v/>
      </c>
      <c r="H975" s="59" t="str">
        <f t="shared" si="23"/>
        <v/>
      </c>
      <c r="I975" s="60"/>
      <c r="J975" s="61" t="str">
        <f t="shared" si="2"/>
        <v/>
      </c>
      <c r="K975" s="58" t="str">
        <f>if(G975,_xlfn.workday.intl(int(G975),0,"1000000",Holidays!A:A)+19/24,"")</f>
        <v/>
      </c>
      <c r="L975" s="59" t="str">
        <f t="shared" si="3"/>
        <v/>
      </c>
      <c r="M975" s="60"/>
      <c r="N975" s="61" t="str">
        <f t="shared" si="4"/>
        <v/>
      </c>
      <c r="O975" s="63" t="str">
        <f>if(A975,_xlfn.WORKDAY.INTL(A975,O$5,"1000000",Holidays!A:A)+hour(A975)/24+MINUTE(A975)/1440,"")</f>
        <v/>
      </c>
      <c r="P975" s="64" t="s">
        <v>2718</v>
      </c>
      <c r="R975" s="66" t="str">
        <f t="shared" si="5"/>
        <v/>
      </c>
      <c r="S975" s="66"/>
      <c r="T975" s="66"/>
      <c r="U975" s="64" t="str">
        <f>if(O975,_xlfn.WORKDAY.INTL(O975,U$5,"1000000",Holidays!A:A)+hour(O975)/24+MINUTE(O975)/1440,"")</f>
        <v/>
      </c>
      <c r="V975" s="64" t="str">
        <f t="shared" si="6"/>
        <v/>
      </c>
      <c r="W975" s="66"/>
      <c r="X975" s="66" t="str">
        <f t="shared" si="7"/>
        <v/>
      </c>
      <c r="Y975" s="66"/>
      <c r="Z975" s="66"/>
      <c r="AA975" s="66"/>
      <c r="AB975" s="63"/>
      <c r="AC975" s="63"/>
      <c r="AD975" s="63"/>
      <c r="AE975" s="63"/>
      <c r="AF975" s="63"/>
      <c r="AG975" s="63"/>
      <c r="AH975" s="63" t="str">
        <f t="shared" si="14"/>
        <v/>
      </c>
      <c r="AI975" s="63" t="str">
        <f>if(AH975,_xlfn.workday.intl(int(AH975),0,"1000000",Holidays!A:A)+18/24,"")</f>
        <v/>
      </c>
      <c r="AJ975" s="64" t="str">
        <f t="shared" si="24"/>
        <v/>
      </c>
      <c r="AL975" s="66" t="str">
        <f t="shared" si="9"/>
        <v/>
      </c>
      <c r="AM975" s="66"/>
      <c r="AN975" s="63" t="str">
        <f>if(AJ975,if(and(hour(AJ975+AN$5)&gt;11,(hour(AJ975+AN$5)&lt;20)),AJ975+AN$5,_xlfn.workday.intl(int(AJ975),1,"1000000",Holidays!A:A)+hour(AJ975+AN$5-$B$1)/24+minute(AJ975)/1440),"")</f>
        <v/>
      </c>
      <c r="AO975" s="64" t="str">
        <f t="shared" si="15"/>
        <v/>
      </c>
      <c r="AQ975" s="66" t="str">
        <f t="shared" si="16"/>
        <v/>
      </c>
      <c r="AR975" s="66"/>
      <c r="AS975" s="63" t="str">
        <f>if(AJ975,if(and(hour(AJ975+AS$5)&gt;11,(hour(AJ975+AS$5)&lt;20)),AJ975+AS$5,_xlfn.workday.intl(int(AJ975),1,"1000000",Holidays!A:A)+hour(AJ975+AS$5-$B$1)/24+minute(AJ975)/1440),"")</f>
        <v/>
      </c>
      <c r="AT975" s="64" t="str">
        <f t="shared" si="21"/>
        <v/>
      </c>
      <c r="AV975" s="66" t="str">
        <f t="shared" si="25"/>
        <v/>
      </c>
      <c r="AW975" s="66"/>
      <c r="AX975" s="56"/>
    </row>
    <row r="976">
      <c r="A976" s="56"/>
      <c r="B976" s="56"/>
      <c r="C976" s="57"/>
      <c r="D976" s="57"/>
      <c r="E976" s="57"/>
      <c r="F976" s="57"/>
      <c r="G976" s="58" t="str">
        <f>if(A976,_xlfn.workday.intl(int(A976),1,"1000000",Holidays!A:A)+17/24,"")</f>
        <v/>
      </c>
      <c r="H976" s="59" t="str">
        <f t="shared" si="23"/>
        <v/>
      </c>
      <c r="I976" s="60"/>
      <c r="J976" s="61" t="str">
        <f t="shared" si="2"/>
        <v/>
      </c>
      <c r="K976" s="58" t="str">
        <f>if(G976,_xlfn.workday.intl(int(G976),0,"1000000",Holidays!A:A)+19/24,"")</f>
        <v/>
      </c>
      <c r="L976" s="59" t="str">
        <f t="shared" si="3"/>
        <v/>
      </c>
      <c r="M976" s="60"/>
      <c r="N976" s="61" t="str">
        <f t="shared" si="4"/>
        <v/>
      </c>
      <c r="O976" s="63" t="str">
        <f>if(A976,_xlfn.WORKDAY.INTL(A976,O$5,"1000000",Holidays!A:A)+hour(A976)/24+MINUTE(A976)/1440,"")</f>
        <v/>
      </c>
      <c r="P976" s="64" t="s">
        <v>2718</v>
      </c>
      <c r="R976" s="66" t="str">
        <f t="shared" si="5"/>
        <v/>
      </c>
      <c r="S976" s="66"/>
      <c r="T976" s="66"/>
      <c r="U976" s="64" t="str">
        <f>if(O976,_xlfn.WORKDAY.INTL(O976,U$5,"1000000",Holidays!A:A)+hour(O976)/24+MINUTE(O976)/1440,"")</f>
        <v/>
      </c>
      <c r="V976" s="64" t="str">
        <f t="shared" si="6"/>
        <v/>
      </c>
      <c r="W976" s="66"/>
      <c r="X976" s="66" t="str">
        <f t="shared" si="7"/>
        <v/>
      </c>
      <c r="Y976" s="66"/>
      <c r="Z976" s="66"/>
      <c r="AA976" s="66"/>
      <c r="AB976" s="63"/>
      <c r="AC976" s="63"/>
      <c r="AD976" s="63"/>
      <c r="AE976" s="63"/>
      <c r="AF976" s="63"/>
      <c r="AG976" s="63"/>
      <c r="AH976" s="63" t="str">
        <f t="shared" si="14"/>
        <v/>
      </c>
      <c r="AI976" s="63" t="str">
        <f>if(AH976,_xlfn.workday.intl(int(AH976),0,"1000000",Holidays!A:A)+18/24,"")</f>
        <v/>
      </c>
      <c r="AJ976" s="64" t="str">
        <f t="shared" si="24"/>
        <v/>
      </c>
      <c r="AL976" s="66" t="str">
        <f t="shared" si="9"/>
        <v/>
      </c>
      <c r="AM976" s="66"/>
      <c r="AN976" s="63" t="str">
        <f>if(AJ976,if(and(hour(AJ976+AN$5)&gt;11,(hour(AJ976+AN$5)&lt;20)),AJ976+AN$5,_xlfn.workday.intl(int(AJ976),1,"1000000",Holidays!A:A)+hour(AJ976+AN$5-$B$1)/24+minute(AJ976)/1440),"")</f>
        <v/>
      </c>
      <c r="AO976" s="64" t="str">
        <f t="shared" si="15"/>
        <v/>
      </c>
      <c r="AQ976" s="66" t="str">
        <f t="shared" si="16"/>
        <v/>
      </c>
      <c r="AR976" s="66"/>
      <c r="AS976" s="63" t="str">
        <f>if(AJ976,if(and(hour(AJ976+AS$5)&gt;11,(hour(AJ976+AS$5)&lt;20)),AJ976+AS$5,_xlfn.workday.intl(int(AJ976),1,"1000000",Holidays!A:A)+hour(AJ976+AS$5-$B$1)/24+minute(AJ976)/1440),"")</f>
        <v/>
      </c>
      <c r="AT976" s="64" t="str">
        <f t="shared" si="21"/>
        <v/>
      </c>
      <c r="AV976" s="66" t="str">
        <f t="shared" si="25"/>
        <v/>
      </c>
      <c r="AW976" s="66"/>
      <c r="AX976" s="56"/>
    </row>
    <row r="977">
      <c r="A977" s="56"/>
      <c r="B977" s="56"/>
      <c r="C977" s="57"/>
      <c r="D977" s="57"/>
      <c r="E977" s="57"/>
      <c r="F977" s="57"/>
      <c r="G977" s="58" t="str">
        <f>if(A977,_xlfn.workday.intl(int(A977),1,"1000000",Holidays!A:A)+17/24,"")</f>
        <v/>
      </c>
      <c r="H977" s="59" t="str">
        <f t="shared" si="23"/>
        <v/>
      </c>
      <c r="I977" s="60"/>
      <c r="J977" s="61" t="str">
        <f t="shared" si="2"/>
        <v/>
      </c>
      <c r="K977" s="58" t="str">
        <f>if(G977,_xlfn.workday.intl(int(G977),0,"1000000",Holidays!A:A)+19/24,"")</f>
        <v/>
      </c>
      <c r="L977" s="59" t="str">
        <f t="shared" si="3"/>
        <v/>
      </c>
      <c r="M977" s="60"/>
      <c r="N977" s="61" t="str">
        <f t="shared" si="4"/>
        <v/>
      </c>
      <c r="O977" s="63" t="str">
        <f>if(A977,_xlfn.WORKDAY.INTL(A977,O$5,"1000000",Holidays!A:A)+hour(A977)/24+MINUTE(A977)/1440,"")</f>
        <v/>
      </c>
      <c r="P977" s="64" t="s">
        <v>2718</v>
      </c>
      <c r="R977" s="66" t="str">
        <f t="shared" si="5"/>
        <v/>
      </c>
      <c r="S977" s="66"/>
      <c r="T977" s="66"/>
      <c r="U977" s="64" t="str">
        <f>if(O977,_xlfn.WORKDAY.INTL(O977,U$5,"1000000",Holidays!A:A)+hour(O977)/24+MINUTE(O977)/1440,"")</f>
        <v/>
      </c>
      <c r="V977" s="64" t="str">
        <f t="shared" si="6"/>
        <v/>
      </c>
      <c r="W977" s="66"/>
      <c r="X977" s="66" t="str">
        <f t="shared" si="7"/>
        <v/>
      </c>
      <c r="Y977" s="66"/>
      <c r="Z977" s="66"/>
      <c r="AA977" s="66"/>
      <c r="AB977" s="63"/>
      <c r="AC977" s="63"/>
      <c r="AD977" s="63"/>
      <c r="AE977" s="63"/>
      <c r="AF977" s="63"/>
      <c r="AG977" s="63"/>
      <c r="AH977" s="63" t="str">
        <f t="shared" si="14"/>
        <v/>
      </c>
      <c r="AI977" s="63" t="str">
        <f>if(AH977,_xlfn.workday.intl(int(AH977),0,"1000000",Holidays!A:A)+18/24,"")</f>
        <v/>
      </c>
      <c r="AJ977" s="64" t="str">
        <f t="shared" si="24"/>
        <v/>
      </c>
      <c r="AL977" s="66" t="str">
        <f t="shared" si="9"/>
        <v/>
      </c>
      <c r="AM977" s="66"/>
      <c r="AN977" s="63" t="str">
        <f>if(AJ977,if(and(hour(AJ977+AN$5)&gt;11,(hour(AJ977+AN$5)&lt;20)),AJ977+AN$5,_xlfn.workday.intl(int(AJ977),1,"1000000",Holidays!A:A)+hour(AJ977+AN$5-$B$1)/24+minute(AJ977)/1440),"")</f>
        <v/>
      </c>
      <c r="AO977" s="64" t="str">
        <f t="shared" si="15"/>
        <v/>
      </c>
      <c r="AQ977" s="66" t="str">
        <f t="shared" si="16"/>
        <v/>
      </c>
      <c r="AR977" s="66"/>
      <c r="AS977" s="63" t="str">
        <f>if(AJ977,if(and(hour(AJ977+AS$5)&gt;11,(hour(AJ977+AS$5)&lt;20)),AJ977+AS$5,_xlfn.workday.intl(int(AJ977),1,"1000000",Holidays!A:A)+hour(AJ977+AS$5-$B$1)/24+minute(AJ977)/1440),"")</f>
        <v/>
      </c>
      <c r="AT977" s="64" t="str">
        <f t="shared" si="21"/>
        <v/>
      </c>
      <c r="AV977" s="66" t="str">
        <f t="shared" si="25"/>
        <v/>
      </c>
      <c r="AW977" s="66"/>
      <c r="AX977" s="56"/>
    </row>
    <row r="978">
      <c r="A978" s="56"/>
      <c r="B978" s="56"/>
      <c r="C978" s="57"/>
      <c r="D978" s="57"/>
      <c r="E978" s="57"/>
      <c r="F978" s="57"/>
      <c r="G978" s="58" t="str">
        <f>if(A978,_xlfn.workday.intl(int(A978),1,"1000000",Holidays!A:A)+17/24,"")</f>
        <v/>
      </c>
      <c r="H978" s="59" t="str">
        <f t="shared" si="23"/>
        <v/>
      </c>
      <c r="I978" s="60"/>
      <c r="J978" s="61" t="str">
        <f t="shared" si="2"/>
        <v/>
      </c>
      <c r="K978" s="58" t="str">
        <f>if(G978,_xlfn.workday.intl(int(G978),0,"1000000",Holidays!A:A)+19/24,"")</f>
        <v/>
      </c>
      <c r="L978" s="59" t="str">
        <f t="shared" si="3"/>
        <v/>
      </c>
      <c r="M978" s="60"/>
      <c r="N978" s="61" t="str">
        <f t="shared" si="4"/>
        <v/>
      </c>
      <c r="O978" s="63" t="str">
        <f>if(A978,_xlfn.WORKDAY.INTL(A978,O$5,"1000000",Holidays!A:A)+hour(A978)/24+MINUTE(A978)/1440,"")</f>
        <v/>
      </c>
      <c r="P978" s="64" t="s">
        <v>2718</v>
      </c>
      <c r="R978" s="66" t="str">
        <f t="shared" si="5"/>
        <v/>
      </c>
      <c r="S978" s="66"/>
      <c r="T978" s="66"/>
      <c r="U978" s="64" t="str">
        <f>if(O978,_xlfn.WORKDAY.INTL(O978,U$5,"1000000",Holidays!A:A)+hour(O978)/24+MINUTE(O978)/1440,"")</f>
        <v/>
      </c>
      <c r="V978" s="64" t="str">
        <f t="shared" si="6"/>
        <v/>
      </c>
      <c r="W978" s="66"/>
      <c r="X978" s="66" t="str">
        <f t="shared" si="7"/>
        <v/>
      </c>
      <c r="Y978" s="66"/>
      <c r="Z978" s="66"/>
      <c r="AA978" s="66"/>
      <c r="AB978" s="63"/>
      <c r="AC978" s="63"/>
      <c r="AD978" s="63"/>
      <c r="AE978" s="63"/>
      <c r="AF978" s="63"/>
      <c r="AG978" s="63"/>
      <c r="AH978" s="63" t="str">
        <f t="shared" si="14"/>
        <v/>
      </c>
      <c r="AI978" s="63" t="str">
        <f>if(AH978,_xlfn.workday.intl(int(AH978),0,"1000000",Holidays!A:A)+18/24,"")</f>
        <v/>
      </c>
      <c r="AJ978" s="64" t="str">
        <f t="shared" si="24"/>
        <v/>
      </c>
      <c r="AL978" s="66" t="str">
        <f t="shared" si="9"/>
        <v/>
      </c>
      <c r="AM978" s="66"/>
      <c r="AN978" s="63" t="str">
        <f>if(AJ978,if(and(hour(AJ978+AN$5)&gt;11,(hour(AJ978+AN$5)&lt;20)),AJ978+AN$5,_xlfn.workday.intl(int(AJ978),1,"1000000",Holidays!A:A)+hour(AJ978+AN$5-$B$1)/24+minute(AJ978)/1440),"")</f>
        <v/>
      </c>
      <c r="AO978" s="64" t="str">
        <f t="shared" si="15"/>
        <v/>
      </c>
      <c r="AQ978" s="66" t="str">
        <f t="shared" si="16"/>
        <v/>
      </c>
      <c r="AR978" s="66"/>
      <c r="AS978" s="63" t="str">
        <f>if(AJ978,if(and(hour(AJ978+AS$5)&gt;11,(hour(AJ978+AS$5)&lt;20)),AJ978+AS$5,_xlfn.workday.intl(int(AJ978),1,"1000000",Holidays!A:A)+hour(AJ978+AS$5-$B$1)/24+minute(AJ978)/1440),"")</f>
        <v/>
      </c>
      <c r="AT978" s="64" t="str">
        <f t="shared" si="21"/>
        <v/>
      </c>
      <c r="AV978" s="66" t="str">
        <f t="shared" si="25"/>
        <v/>
      </c>
      <c r="AW978" s="66"/>
      <c r="AX978" s="56"/>
    </row>
    <row r="979">
      <c r="A979" s="56"/>
      <c r="B979" s="56"/>
      <c r="C979" s="57"/>
      <c r="D979" s="57"/>
      <c r="E979" s="57"/>
      <c r="F979" s="57"/>
      <c r="G979" s="58" t="str">
        <f>if(A979,_xlfn.workday.intl(int(A979),1,"1000000",Holidays!A:A)+17/24,"")</f>
        <v/>
      </c>
      <c r="H979" s="59" t="str">
        <f t="shared" si="23"/>
        <v/>
      </c>
      <c r="I979" s="60"/>
      <c r="J979" s="61" t="str">
        <f t="shared" si="2"/>
        <v/>
      </c>
      <c r="K979" s="58" t="str">
        <f>if(G979,_xlfn.workday.intl(int(G979),0,"1000000",Holidays!A:A)+19/24,"")</f>
        <v/>
      </c>
      <c r="L979" s="59" t="str">
        <f t="shared" si="3"/>
        <v/>
      </c>
      <c r="M979" s="60"/>
      <c r="N979" s="61" t="str">
        <f t="shared" si="4"/>
        <v/>
      </c>
      <c r="O979" s="63" t="str">
        <f>if(A979,_xlfn.WORKDAY.INTL(A979,O$5,"1000000",Holidays!A:A)+hour(A979)/24+MINUTE(A979)/1440,"")</f>
        <v/>
      </c>
      <c r="P979" s="64" t="s">
        <v>2718</v>
      </c>
      <c r="R979" s="66" t="str">
        <f t="shared" si="5"/>
        <v/>
      </c>
      <c r="S979" s="66"/>
      <c r="T979" s="66"/>
      <c r="U979" s="64" t="str">
        <f>if(O979,_xlfn.WORKDAY.INTL(O979,U$5,"1000000",Holidays!A:A)+hour(O979)/24+MINUTE(O979)/1440,"")</f>
        <v/>
      </c>
      <c r="V979" s="64" t="str">
        <f t="shared" si="6"/>
        <v/>
      </c>
      <c r="W979" s="66"/>
      <c r="X979" s="66" t="str">
        <f t="shared" si="7"/>
        <v/>
      </c>
      <c r="Y979" s="66"/>
      <c r="Z979" s="66"/>
      <c r="AA979" s="66"/>
      <c r="AB979" s="63"/>
      <c r="AC979" s="63"/>
      <c r="AD979" s="63"/>
      <c r="AE979" s="63"/>
      <c r="AF979" s="63"/>
      <c r="AG979" s="63"/>
      <c r="AH979" s="63" t="str">
        <f t="shared" si="14"/>
        <v/>
      </c>
      <c r="AI979" s="63" t="str">
        <f>if(AH979,_xlfn.workday.intl(int(AH979),0,"1000000",Holidays!A:A)+18/24,"")</f>
        <v/>
      </c>
      <c r="AJ979" s="64" t="str">
        <f t="shared" si="24"/>
        <v/>
      </c>
      <c r="AL979" s="66" t="str">
        <f t="shared" si="9"/>
        <v/>
      </c>
      <c r="AM979" s="66"/>
      <c r="AN979" s="63" t="str">
        <f>if(AJ979,if(and(hour(AJ979+AN$5)&gt;11,(hour(AJ979+AN$5)&lt;20)),AJ979+AN$5,_xlfn.workday.intl(int(AJ979),1,"1000000",Holidays!A:A)+hour(AJ979+AN$5-$B$1)/24+minute(AJ979)/1440),"")</f>
        <v/>
      </c>
      <c r="AO979" s="64" t="str">
        <f t="shared" si="15"/>
        <v/>
      </c>
      <c r="AQ979" s="66" t="str">
        <f t="shared" si="16"/>
        <v/>
      </c>
      <c r="AR979" s="66"/>
      <c r="AS979" s="63" t="str">
        <f>if(AJ979,if(and(hour(AJ979+AS$5)&gt;11,(hour(AJ979+AS$5)&lt;20)),AJ979+AS$5,_xlfn.workday.intl(int(AJ979),1,"1000000",Holidays!A:A)+hour(AJ979+AS$5-$B$1)/24+minute(AJ979)/1440),"")</f>
        <v/>
      </c>
      <c r="AT979" s="64" t="str">
        <f t="shared" si="21"/>
        <v/>
      </c>
      <c r="AV979" s="66" t="str">
        <f t="shared" si="25"/>
        <v/>
      </c>
      <c r="AW979" s="66"/>
      <c r="AX979" s="56"/>
    </row>
    <row r="980">
      <c r="A980" s="56"/>
      <c r="B980" s="56"/>
      <c r="C980" s="57"/>
      <c r="D980" s="57"/>
      <c r="E980" s="57"/>
      <c r="F980" s="57"/>
      <c r="G980" s="58" t="str">
        <f>if(A980,_xlfn.workday.intl(int(A980),1,"1000000",Holidays!A:A)+17/24,"")</f>
        <v/>
      </c>
      <c r="H980" s="59" t="str">
        <f t="shared" si="23"/>
        <v/>
      </c>
      <c r="I980" s="60"/>
      <c r="J980" s="61" t="str">
        <f t="shared" si="2"/>
        <v/>
      </c>
      <c r="K980" s="58" t="str">
        <f>if(G980,_xlfn.workday.intl(int(G980),0,"1000000",Holidays!A:A)+19/24,"")</f>
        <v/>
      </c>
      <c r="L980" s="59" t="str">
        <f t="shared" si="3"/>
        <v/>
      </c>
      <c r="M980" s="60"/>
      <c r="N980" s="61" t="str">
        <f t="shared" si="4"/>
        <v/>
      </c>
      <c r="O980" s="63" t="str">
        <f>if(A980,_xlfn.WORKDAY.INTL(A980,O$5,"1000000",Holidays!A:A)+hour(A980)/24+MINUTE(A980)/1440,"")</f>
        <v/>
      </c>
      <c r="P980" s="64" t="s">
        <v>2718</v>
      </c>
      <c r="R980" s="66" t="str">
        <f t="shared" si="5"/>
        <v/>
      </c>
      <c r="S980" s="66"/>
      <c r="T980" s="66"/>
      <c r="U980" s="64" t="str">
        <f>if(O980,_xlfn.WORKDAY.INTL(O980,U$5,"1000000",Holidays!A:A)+hour(O980)/24+MINUTE(O980)/1440,"")</f>
        <v/>
      </c>
      <c r="V980" s="64" t="str">
        <f t="shared" si="6"/>
        <v/>
      </c>
      <c r="W980" s="66"/>
      <c r="X980" s="66" t="str">
        <f t="shared" si="7"/>
        <v/>
      </c>
      <c r="Y980" s="66"/>
      <c r="Z980" s="66"/>
      <c r="AA980" s="66"/>
      <c r="AB980" s="63"/>
      <c r="AC980" s="63"/>
      <c r="AD980" s="63"/>
      <c r="AE980" s="63"/>
      <c r="AF980" s="63"/>
      <c r="AG980" s="63"/>
      <c r="AH980" s="63" t="str">
        <f t="shared" si="14"/>
        <v/>
      </c>
      <c r="AI980" s="63" t="str">
        <f>if(AH980,_xlfn.workday.intl(int(AH980),0,"1000000",Holidays!A:A)+18/24,"")</f>
        <v/>
      </c>
      <c r="AJ980" s="64" t="str">
        <f t="shared" si="24"/>
        <v/>
      </c>
      <c r="AL980" s="66" t="str">
        <f t="shared" si="9"/>
        <v/>
      </c>
      <c r="AM980" s="66"/>
      <c r="AN980" s="63" t="str">
        <f>if(AJ980,if(and(hour(AJ980+AN$5)&gt;11,(hour(AJ980+AN$5)&lt;20)),AJ980+AN$5,_xlfn.workday.intl(int(AJ980),1,"1000000",Holidays!A:A)+hour(AJ980+AN$5-$B$1)/24+minute(AJ980)/1440),"")</f>
        <v/>
      </c>
      <c r="AO980" s="64" t="str">
        <f t="shared" si="15"/>
        <v/>
      </c>
      <c r="AQ980" s="66" t="str">
        <f t="shared" si="16"/>
        <v/>
      </c>
      <c r="AR980" s="66"/>
      <c r="AS980" s="63" t="str">
        <f>if(AJ980,if(and(hour(AJ980+AS$5)&gt;11,(hour(AJ980+AS$5)&lt;20)),AJ980+AS$5,_xlfn.workday.intl(int(AJ980),1,"1000000",Holidays!A:A)+hour(AJ980+AS$5-$B$1)/24+minute(AJ980)/1440),"")</f>
        <v/>
      </c>
      <c r="AT980" s="64" t="str">
        <f t="shared" si="21"/>
        <v/>
      </c>
      <c r="AV980" s="66" t="str">
        <f t="shared" si="25"/>
        <v/>
      </c>
      <c r="AW980" s="66"/>
      <c r="AX980" s="56"/>
    </row>
    <row r="981">
      <c r="A981" s="56"/>
      <c r="B981" s="56"/>
      <c r="C981" s="57"/>
      <c r="D981" s="57"/>
      <c r="E981" s="57"/>
      <c r="F981" s="57"/>
      <c r="G981" s="58" t="str">
        <f>if(A981,_xlfn.workday.intl(int(A981),1,"1000000",Holidays!A:A)+17/24,"")</f>
        <v/>
      </c>
      <c r="H981" s="59" t="str">
        <f t="shared" si="23"/>
        <v/>
      </c>
      <c r="I981" s="60"/>
      <c r="J981" s="61" t="str">
        <f t="shared" si="2"/>
        <v/>
      </c>
      <c r="K981" s="58" t="str">
        <f>if(G981,_xlfn.workday.intl(int(G981),0,"1000000",Holidays!A:A)+19/24,"")</f>
        <v/>
      </c>
      <c r="L981" s="59" t="str">
        <f t="shared" si="3"/>
        <v/>
      </c>
      <c r="M981" s="60"/>
      <c r="N981" s="61" t="str">
        <f t="shared" si="4"/>
        <v/>
      </c>
      <c r="O981" s="63" t="str">
        <f>if(A981,_xlfn.WORKDAY.INTL(A981,O$5,"1000000",Holidays!A:A)+hour(A981)/24+MINUTE(A981)/1440,"")</f>
        <v/>
      </c>
      <c r="P981" s="64" t="s">
        <v>2718</v>
      </c>
      <c r="R981" s="66" t="str">
        <f t="shared" si="5"/>
        <v/>
      </c>
      <c r="S981" s="66"/>
      <c r="T981" s="66"/>
      <c r="U981" s="64" t="str">
        <f>if(O981,_xlfn.WORKDAY.INTL(O981,U$5,"1000000",Holidays!A:A)+hour(O981)/24+MINUTE(O981)/1440,"")</f>
        <v/>
      </c>
      <c r="V981" s="64" t="str">
        <f t="shared" si="6"/>
        <v/>
      </c>
      <c r="W981" s="66"/>
      <c r="X981" s="66" t="str">
        <f t="shared" si="7"/>
        <v/>
      </c>
      <c r="Y981" s="66"/>
      <c r="Z981" s="66"/>
      <c r="AA981" s="66"/>
      <c r="AB981" s="63"/>
      <c r="AC981" s="63"/>
      <c r="AD981" s="63"/>
      <c r="AE981" s="63"/>
      <c r="AF981" s="63"/>
      <c r="AG981" s="63"/>
      <c r="AH981" s="63" t="str">
        <f t="shared" si="14"/>
        <v/>
      </c>
      <c r="AI981" s="63" t="str">
        <f>if(AH981,_xlfn.workday.intl(int(AH981),0,"1000000",Holidays!A:A)+18/24,"")</f>
        <v/>
      </c>
      <c r="AJ981" s="64" t="str">
        <f t="shared" si="24"/>
        <v/>
      </c>
      <c r="AL981" s="66" t="str">
        <f t="shared" si="9"/>
        <v/>
      </c>
      <c r="AM981" s="66"/>
      <c r="AN981" s="63" t="str">
        <f>if(AJ981,if(and(hour(AJ981+AN$5)&gt;11,(hour(AJ981+AN$5)&lt;20)),AJ981+AN$5,_xlfn.workday.intl(int(AJ981),1,"1000000",Holidays!A:A)+hour(AJ981+AN$5-$B$1)/24+minute(AJ981)/1440),"")</f>
        <v/>
      </c>
      <c r="AO981" s="64" t="str">
        <f t="shared" si="15"/>
        <v/>
      </c>
      <c r="AQ981" s="66" t="str">
        <f t="shared" si="16"/>
        <v/>
      </c>
      <c r="AR981" s="66"/>
      <c r="AS981" s="63" t="str">
        <f>if(AJ981,if(and(hour(AJ981+AS$5)&gt;11,(hour(AJ981+AS$5)&lt;20)),AJ981+AS$5,_xlfn.workday.intl(int(AJ981),1,"1000000",Holidays!A:A)+hour(AJ981+AS$5-$B$1)/24+minute(AJ981)/1440),"")</f>
        <v/>
      </c>
      <c r="AT981" s="64" t="str">
        <f t="shared" si="21"/>
        <v/>
      </c>
      <c r="AV981" s="66" t="str">
        <f t="shared" si="25"/>
        <v/>
      </c>
      <c r="AW981" s="66"/>
      <c r="AX981" s="56"/>
    </row>
    <row r="982">
      <c r="A982" s="56"/>
      <c r="B982" s="56"/>
      <c r="C982" s="57"/>
      <c r="D982" s="57"/>
      <c r="E982" s="57"/>
      <c r="F982" s="57"/>
      <c r="G982" s="58" t="str">
        <f>if(A982,_xlfn.workday.intl(int(A982),1,"1000000",Holidays!A:A)+17/24,"")</f>
        <v/>
      </c>
      <c r="H982" s="59" t="str">
        <f t="shared" si="23"/>
        <v/>
      </c>
      <c r="I982" s="60"/>
      <c r="J982" s="61" t="str">
        <f t="shared" si="2"/>
        <v/>
      </c>
      <c r="K982" s="58" t="str">
        <f>if(G982,_xlfn.workday.intl(int(G982),0,"1000000",Holidays!A:A)+19/24,"")</f>
        <v/>
      </c>
      <c r="L982" s="59" t="str">
        <f t="shared" si="3"/>
        <v/>
      </c>
      <c r="M982" s="60"/>
      <c r="N982" s="61" t="str">
        <f t="shared" si="4"/>
        <v/>
      </c>
      <c r="O982" s="63" t="str">
        <f>if(A982,_xlfn.WORKDAY.INTL(A982,O$5,"1000000",Holidays!A:A)+hour(A982)/24+MINUTE(A982)/1440,"")</f>
        <v/>
      </c>
      <c r="P982" s="64" t="s">
        <v>2718</v>
      </c>
      <c r="R982" s="66" t="str">
        <f t="shared" si="5"/>
        <v/>
      </c>
      <c r="S982" s="66"/>
      <c r="T982" s="66"/>
      <c r="U982" s="64" t="str">
        <f>if(O982,_xlfn.WORKDAY.INTL(O982,U$5,"1000000",Holidays!A:A)+hour(O982)/24+MINUTE(O982)/1440,"")</f>
        <v/>
      </c>
      <c r="V982" s="64" t="str">
        <f t="shared" si="6"/>
        <v/>
      </c>
      <c r="W982" s="66"/>
      <c r="X982" s="66" t="str">
        <f t="shared" si="7"/>
        <v/>
      </c>
      <c r="Y982" s="66"/>
      <c r="Z982" s="66"/>
      <c r="AA982" s="66"/>
      <c r="AB982" s="63"/>
      <c r="AC982" s="63"/>
      <c r="AD982" s="63"/>
      <c r="AE982" s="63"/>
      <c r="AF982" s="63"/>
      <c r="AG982" s="63"/>
      <c r="AH982" s="63" t="str">
        <f t="shared" si="14"/>
        <v/>
      </c>
      <c r="AI982" s="63" t="str">
        <f>if(AH982,_xlfn.workday.intl(int(AH982),0,"1000000",Holidays!A:A)+18/24,"")</f>
        <v/>
      </c>
      <c r="AJ982" s="64" t="str">
        <f t="shared" si="24"/>
        <v/>
      </c>
      <c r="AL982" s="66" t="str">
        <f t="shared" si="9"/>
        <v/>
      </c>
      <c r="AM982" s="66"/>
      <c r="AN982" s="63" t="str">
        <f>if(AJ982,if(and(hour(AJ982+AN$5)&gt;11,(hour(AJ982+AN$5)&lt;20)),AJ982+AN$5,_xlfn.workday.intl(int(AJ982),1,"1000000",Holidays!A:A)+hour(AJ982+AN$5-$B$1)/24+minute(AJ982)/1440),"")</f>
        <v/>
      </c>
      <c r="AO982" s="64" t="str">
        <f t="shared" si="15"/>
        <v/>
      </c>
      <c r="AQ982" s="66" t="str">
        <f t="shared" si="16"/>
        <v/>
      </c>
      <c r="AR982" s="66"/>
      <c r="AS982" s="63" t="str">
        <f>if(AJ982,if(and(hour(AJ982+AS$5)&gt;11,(hour(AJ982+AS$5)&lt;20)),AJ982+AS$5,_xlfn.workday.intl(int(AJ982),1,"1000000",Holidays!A:A)+hour(AJ982+AS$5-$B$1)/24+minute(AJ982)/1440),"")</f>
        <v/>
      </c>
      <c r="AT982" s="64" t="str">
        <f t="shared" si="21"/>
        <v/>
      </c>
      <c r="AV982" s="66" t="str">
        <f t="shared" si="25"/>
        <v/>
      </c>
      <c r="AW982" s="66"/>
      <c r="AX982" s="56"/>
    </row>
    <row r="983">
      <c r="A983" s="56"/>
      <c r="B983" s="56"/>
      <c r="C983" s="57"/>
      <c r="D983" s="57"/>
      <c r="E983" s="57"/>
      <c r="F983" s="57"/>
      <c r="G983" s="58" t="str">
        <f>if(A983,_xlfn.workday.intl(int(A983),1,"1000000",Holidays!A:A)+17/24,"")</f>
        <v/>
      </c>
      <c r="H983" s="59" t="str">
        <f t="shared" si="23"/>
        <v/>
      </c>
      <c r="I983" s="60"/>
      <c r="J983" s="61" t="str">
        <f t="shared" si="2"/>
        <v/>
      </c>
      <c r="K983" s="58" t="str">
        <f>if(G983,_xlfn.workday.intl(int(G983),0,"1000000",Holidays!A:A)+19/24,"")</f>
        <v/>
      </c>
      <c r="L983" s="59" t="str">
        <f t="shared" si="3"/>
        <v/>
      </c>
      <c r="M983" s="60"/>
      <c r="N983" s="61" t="str">
        <f t="shared" si="4"/>
        <v/>
      </c>
      <c r="O983" s="63" t="str">
        <f>if(A983,_xlfn.WORKDAY.INTL(A983,O$5,"1000000",Holidays!A:A)+hour(A983)/24+MINUTE(A983)/1440,"")</f>
        <v/>
      </c>
      <c r="P983" s="64" t="s">
        <v>2718</v>
      </c>
      <c r="R983" s="66" t="str">
        <f t="shared" si="5"/>
        <v/>
      </c>
      <c r="S983" s="66"/>
      <c r="T983" s="66"/>
      <c r="U983" s="64" t="str">
        <f>if(O983,_xlfn.WORKDAY.INTL(O983,U$5,"1000000",Holidays!A:A)+hour(O983)/24+MINUTE(O983)/1440,"")</f>
        <v/>
      </c>
      <c r="V983" s="64" t="str">
        <f t="shared" si="6"/>
        <v/>
      </c>
      <c r="W983" s="66"/>
      <c r="X983" s="66" t="str">
        <f t="shared" si="7"/>
        <v/>
      </c>
      <c r="Y983" s="66"/>
      <c r="Z983" s="66"/>
      <c r="AA983" s="66"/>
      <c r="AB983" s="63"/>
      <c r="AC983" s="63"/>
      <c r="AD983" s="63"/>
      <c r="AE983" s="63"/>
      <c r="AF983" s="63"/>
      <c r="AG983" s="63"/>
      <c r="AH983" s="63" t="str">
        <f t="shared" si="14"/>
        <v/>
      </c>
      <c r="AI983" s="63" t="str">
        <f>if(AH983,_xlfn.workday.intl(int(AH983),0,"1000000",Holidays!A:A)+18/24,"")</f>
        <v/>
      </c>
      <c r="AJ983" s="64" t="str">
        <f t="shared" si="24"/>
        <v/>
      </c>
      <c r="AL983" s="66" t="str">
        <f t="shared" si="9"/>
        <v/>
      </c>
      <c r="AM983" s="66"/>
      <c r="AN983" s="63" t="str">
        <f>if(AJ983,if(and(hour(AJ983+AN$5)&gt;11,(hour(AJ983+AN$5)&lt;20)),AJ983+AN$5,_xlfn.workday.intl(int(AJ983),1,"1000000",Holidays!A:A)+hour(AJ983+AN$5-$B$1)/24+minute(AJ983)/1440),"")</f>
        <v/>
      </c>
      <c r="AO983" s="64" t="str">
        <f t="shared" si="15"/>
        <v/>
      </c>
      <c r="AQ983" s="66" t="str">
        <f t="shared" si="16"/>
        <v/>
      </c>
      <c r="AR983" s="66"/>
      <c r="AS983" s="63" t="str">
        <f>if(AJ983,if(and(hour(AJ983+AS$5)&gt;11,(hour(AJ983+AS$5)&lt;20)),AJ983+AS$5,_xlfn.workday.intl(int(AJ983),1,"1000000",Holidays!A:A)+hour(AJ983+AS$5-$B$1)/24+minute(AJ983)/1440),"")</f>
        <v/>
      </c>
      <c r="AT983" s="64" t="str">
        <f t="shared" si="21"/>
        <v/>
      </c>
      <c r="AV983" s="66" t="str">
        <f t="shared" si="25"/>
        <v/>
      </c>
      <c r="AW983" s="66"/>
      <c r="AX983" s="56"/>
    </row>
    <row r="984">
      <c r="A984" s="56"/>
      <c r="B984" s="56"/>
      <c r="C984" s="57"/>
      <c r="D984" s="57"/>
      <c r="E984" s="57"/>
      <c r="F984" s="57"/>
      <c r="G984" s="58" t="str">
        <f>if(A984,_xlfn.workday.intl(int(A984),1,"1000000",Holidays!A:A)+17/24,"")</f>
        <v/>
      </c>
      <c r="H984" s="59" t="str">
        <f t="shared" si="23"/>
        <v/>
      </c>
      <c r="I984" s="60"/>
      <c r="J984" s="61" t="str">
        <f t="shared" si="2"/>
        <v/>
      </c>
      <c r="K984" s="58" t="str">
        <f>if(G984,_xlfn.workday.intl(int(G984),0,"1000000",Holidays!A:A)+19/24,"")</f>
        <v/>
      </c>
      <c r="L984" s="59" t="str">
        <f t="shared" si="3"/>
        <v/>
      </c>
      <c r="M984" s="60"/>
      <c r="N984" s="61" t="str">
        <f t="shared" si="4"/>
        <v/>
      </c>
      <c r="O984" s="63" t="str">
        <f>if(A984,_xlfn.WORKDAY.INTL(A984,O$5,"1000000",Holidays!A:A)+hour(A984)/24+MINUTE(A984)/1440,"")</f>
        <v/>
      </c>
      <c r="P984" s="64" t="s">
        <v>2718</v>
      </c>
      <c r="R984" s="66" t="str">
        <f t="shared" si="5"/>
        <v/>
      </c>
      <c r="S984" s="66"/>
      <c r="T984" s="66"/>
      <c r="U984" s="64" t="str">
        <f>if(O984,_xlfn.WORKDAY.INTL(O984,U$5,"1000000",Holidays!A:A)+hour(O984)/24+MINUTE(O984)/1440,"")</f>
        <v/>
      </c>
      <c r="V984" s="64" t="str">
        <f t="shared" si="6"/>
        <v/>
      </c>
      <c r="W984" s="66"/>
      <c r="X984" s="66" t="str">
        <f t="shared" si="7"/>
        <v/>
      </c>
      <c r="Y984" s="66"/>
      <c r="Z984" s="66"/>
      <c r="AA984" s="66"/>
      <c r="AB984" s="63"/>
      <c r="AC984" s="63"/>
      <c r="AD984" s="63"/>
      <c r="AE984" s="63"/>
      <c r="AF984" s="63"/>
      <c r="AG984" s="63"/>
      <c r="AH984" s="63" t="str">
        <f t="shared" si="14"/>
        <v/>
      </c>
      <c r="AI984" s="63" t="str">
        <f>if(AH984,_xlfn.workday.intl(int(AH984),0,"1000000",Holidays!A:A)+18/24,"")</f>
        <v/>
      </c>
      <c r="AJ984" s="64" t="str">
        <f t="shared" si="24"/>
        <v/>
      </c>
      <c r="AL984" s="66" t="str">
        <f t="shared" si="9"/>
        <v/>
      </c>
      <c r="AM984" s="66"/>
      <c r="AN984" s="63" t="str">
        <f>if(AJ984,if(and(hour(AJ984+AN$5)&gt;11,(hour(AJ984+AN$5)&lt;20)),AJ984+AN$5,_xlfn.workday.intl(int(AJ984),1,"1000000",Holidays!A:A)+hour(AJ984+AN$5-$B$1)/24+minute(AJ984)/1440),"")</f>
        <v/>
      </c>
      <c r="AO984" s="64" t="str">
        <f t="shared" si="15"/>
        <v/>
      </c>
      <c r="AQ984" s="66" t="str">
        <f t="shared" si="16"/>
        <v/>
      </c>
      <c r="AR984" s="66"/>
      <c r="AS984" s="63" t="str">
        <f>if(AJ984,if(and(hour(AJ984+AS$5)&gt;11,(hour(AJ984+AS$5)&lt;20)),AJ984+AS$5,_xlfn.workday.intl(int(AJ984),1,"1000000",Holidays!A:A)+hour(AJ984+AS$5-$B$1)/24+minute(AJ984)/1440),"")</f>
        <v/>
      </c>
      <c r="AT984" s="64" t="str">
        <f t="shared" si="21"/>
        <v/>
      </c>
      <c r="AV984" s="66" t="str">
        <f t="shared" si="25"/>
        <v/>
      </c>
      <c r="AW984" s="66"/>
      <c r="AX984" s="56"/>
    </row>
    <row r="985">
      <c r="A985" s="56"/>
      <c r="B985" s="56"/>
      <c r="C985" s="57"/>
      <c r="D985" s="57"/>
      <c r="E985" s="57"/>
      <c r="F985" s="57"/>
      <c r="G985" s="58" t="str">
        <f>if(A985,_xlfn.workday.intl(int(A985),1,"1000000",Holidays!A:A)+17/24,"")</f>
        <v/>
      </c>
      <c r="H985" s="59" t="str">
        <f t="shared" si="23"/>
        <v/>
      </c>
      <c r="I985" s="60"/>
      <c r="J985" s="61" t="str">
        <f t="shared" si="2"/>
        <v/>
      </c>
      <c r="K985" s="58" t="str">
        <f>if(G985,_xlfn.workday.intl(int(G985),0,"1000000",Holidays!A:A)+19/24,"")</f>
        <v/>
      </c>
      <c r="L985" s="59" t="str">
        <f t="shared" si="3"/>
        <v/>
      </c>
      <c r="M985" s="60"/>
      <c r="N985" s="61" t="str">
        <f t="shared" si="4"/>
        <v/>
      </c>
      <c r="O985" s="63" t="str">
        <f>if(A985,_xlfn.WORKDAY.INTL(A985,O$5,"1000000",Holidays!A:A)+hour(A985)/24+MINUTE(A985)/1440,"")</f>
        <v/>
      </c>
      <c r="P985" s="64" t="s">
        <v>2718</v>
      </c>
      <c r="R985" s="66" t="str">
        <f t="shared" si="5"/>
        <v/>
      </c>
      <c r="S985" s="66"/>
      <c r="T985" s="66"/>
      <c r="U985" s="64" t="str">
        <f>if(O985,_xlfn.WORKDAY.INTL(O985,U$5,"1000000",Holidays!A:A)+hour(O985)/24+MINUTE(O985)/1440,"")</f>
        <v/>
      </c>
      <c r="V985" s="64" t="str">
        <f t="shared" si="6"/>
        <v/>
      </c>
      <c r="W985" s="66"/>
      <c r="X985" s="66" t="str">
        <f t="shared" si="7"/>
        <v/>
      </c>
      <c r="Y985" s="66"/>
      <c r="Z985" s="66"/>
      <c r="AA985" s="66"/>
      <c r="AB985" s="63"/>
      <c r="AC985" s="63"/>
      <c r="AD985" s="63"/>
      <c r="AE985" s="63"/>
      <c r="AF985" s="63"/>
      <c r="AG985" s="63"/>
      <c r="AH985" s="63" t="str">
        <f t="shared" si="14"/>
        <v/>
      </c>
      <c r="AI985" s="63" t="str">
        <f>if(AH985,_xlfn.workday.intl(int(AH985),0,"1000000",Holidays!A:A)+18/24,"")</f>
        <v/>
      </c>
      <c r="AJ985" s="64" t="str">
        <f t="shared" si="24"/>
        <v/>
      </c>
      <c r="AL985" s="66" t="str">
        <f t="shared" si="9"/>
        <v/>
      </c>
      <c r="AM985" s="66"/>
      <c r="AN985" s="63" t="str">
        <f>if(AJ985,if(and(hour(AJ985+AN$5)&gt;11,(hour(AJ985+AN$5)&lt;20)),AJ985+AN$5,_xlfn.workday.intl(int(AJ985),1,"1000000",Holidays!A:A)+hour(AJ985+AN$5-$B$1)/24+minute(AJ985)/1440),"")</f>
        <v/>
      </c>
      <c r="AO985" s="64" t="str">
        <f t="shared" si="15"/>
        <v/>
      </c>
      <c r="AQ985" s="66" t="str">
        <f t="shared" si="16"/>
        <v/>
      </c>
      <c r="AR985" s="66"/>
      <c r="AS985" s="63" t="str">
        <f>if(AJ985,if(and(hour(AJ985+AS$5)&gt;11,(hour(AJ985+AS$5)&lt;20)),AJ985+AS$5,_xlfn.workday.intl(int(AJ985),1,"1000000",Holidays!A:A)+hour(AJ985+AS$5-$B$1)/24+minute(AJ985)/1440),"")</f>
        <v/>
      </c>
      <c r="AT985" s="64" t="str">
        <f t="shared" si="21"/>
        <v/>
      </c>
      <c r="AV985" s="66" t="str">
        <f t="shared" si="25"/>
        <v/>
      </c>
      <c r="AW985" s="66"/>
      <c r="AX985" s="56"/>
    </row>
    <row r="986">
      <c r="A986" s="56"/>
      <c r="B986" s="56"/>
      <c r="C986" s="57"/>
      <c r="D986" s="57"/>
      <c r="E986" s="57"/>
      <c r="F986" s="57"/>
      <c r="G986" s="58" t="str">
        <f>if(A986,_xlfn.workday.intl(int(A986),1,"1000000",Holidays!A:A)+17/24,"")</f>
        <v/>
      </c>
      <c r="H986" s="59" t="str">
        <f t="shared" si="23"/>
        <v/>
      </c>
      <c r="I986" s="60"/>
      <c r="J986" s="61" t="str">
        <f t="shared" si="2"/>
        <v/>
      </c>
      <c r="K986" s="58" t="str">
        <f>if(G986,_xlfn.workday.intl(int(G986),0,"1000000",Holidays!A:A)+19/24,"")</f>
        <v/>
      </c>
      <c r="L986" s="59" t="str">
        <f t="shared" si="3"/>
        <v/>
      </c>
      <c r="M986" s="60"/>
      <c r="N986" s="61" t="str">
        <f t="shared" si="4"/>
        <v/>
      </c>
      <c r="O986" s="63" t="str">
        <f>if(A986,_xlfn.WORKDAY.INTL(A986,O$5,"1000000",Holidays!A:A)+hour(A986)/24+MINUTE(A986)/1440,"")</f>
        <v/>
      </c>
      <c r="P986" s="64" t="s">
        <v>2718</v>
      </c>
      <c r="R986" s="66" t="str">
        <f t="shared" si="5"/>
        <v/>
      </c>
      <c r="S986" s="66"/>
      <c r="T986" s="66"/>
      <c r="U986" s="64" t="str">
        <f>if(O986,_xlfn.WORKDAY.INTL(O986,U$5,"1000000",Holidays!A:A)+hour(O986)/24+MINUTE(O986)/1440,"")</f>
        <v/>
      </c>
      <c r="V986" s="64" t="str">
        <f t="shared" si="6"/>
        <v/>
      </c>
      <c r="W986" s="66"/>
      <c r="X986" s="66" t="str">
        <f t="shared" si="7"/>
        <v/>
      </c>
      <c r="Y986" s="66"/>
      <c r="Z986" s="66"/>
      <c r="AA986" s="66"/>
      <c r="AB986" s="63"/>
      <c r="AC986" s="63"/>
      <c r="AD986" s="63"/>
      <c r="AE986" s="63"/>
      <c r="AF986" s="63"/>
      <c r="AG986" s="63"/>
      <c r="AH986" s="63" t="str">
        <f t="shared" si="14"/>
        <v/>
      </c>
      <c r="AI986" s="63" t="str">
        <f>if(AH986,_xlfn.workday.intl(int(AH986),0,"1000000",Holidays!A:A)+18/24,"")</f>
        <v/>
      </c>
      <c r="AJ986" s="64" t="str">
        <f t="shared" si="24"/>
        <v/>
      </c>
      <c r="AL986" s="66" t="str">
        <f t="shared" si="9"/>
        <v/>
      </c>
      <c r="AM986" s="66"/>
      <c r="AN986" s="63" t="str">
        <f>if(AJ986,if(and(hour(AJ986+AN$5)&gt;11,(hour(AJ986+AN$5)&lt;20)),AJ986+AN$5,_xlfn.workday.intl(int(AJ986),1,"1000000",Holidays!A:A)+hour(AJ986+AN$5-$B$1)/24+minute(AJ986)/1440),"")</f>
        <v/>
      </c>
      <c r="AO986" s="64" t="str">
        <f t="shared" si="15"/>
        <v/>
      </c>
      <c r="AQ986" s="66" t="str">
        <f t="shared" si="16"/>
        <v/>
      </c>
      <c r="AR986" s="66"/>
      <c r="AS986" s="63" t="str">
        <f>if(AJ986,if(and(hour(AJ986+AS$5)&gt;11,(hour(AJ986+AS$5)&lt;20)),AJ986+AS$5,_xlfn.workday.intl(int(AJ986),1,"1000000",Holidays!A:A)+hour(AJ986+AS$5-$B$1)/24+minute(AJ986)/1440),"")</f>
        <v/>
      </c>
      <c r="AT986" s="64" t="str">
        <f t="shared" si="21"/>
        <v/>
      </c>
      <c r="AV986" s="66" t="str">
        <f t="shared" si="25"/>
        <v/>
      </c>
      <c r="AW986" s="66"/>
      <c r="AX986" s="56"/>
    </row>
    <row r="987">
      <c r="A987" s="56"/>
      <c r="B987" s="56"/>
      <c r="C987" s="57"/>
      <c r="D987" s="57"/>
      <c r="E987" s="57"/>
      <c r="F987" s="57"/>
      <c r="G987" s="58" t="str">
        <f>if(A987,_xlfn.workday.intl(int(A987),1,"1000000",Holidays!A:A)+17/24,"")</f>
        <v/>
      </c>
      <c r="H987" s="59" t="str">
        <f t="shared" si="23"/>
        <v/>
      </c>
      <c r="I987" s="60"/>
      <c r="J987" s="61" t="str">
        <f t="shared" si="2"/>
        <v/>
      </c>
      <c r="K987" s="58" t="str">
        <f>if(G987,_xlfn.workday.intl(int(G987),0,"1000000",Holidays!A:A)+19/24,"")</f>
        <v/>
      </c>
      <c r="L987" s="59" t="str">
        <f t="shared" si="3"/>
        <v/>
      </c>
      <c r="M987" s="60"/>
      <c r="N987" s="61" t="str">
        <f t="shared" si="4"/>
        <v/>
      </c>
      <c r="O987" s="63" t="str">
        <f>if(A987,_xlfn.WORKDAY.INTL(A987,O$5,"1000000",Holidays!A:A)+hour(A987)/24+MINUTE(A987)/1440,"")</f>
        <v/>
      </c>
      <c r="P987" s="64" t="s">
        <v>2718</v>
      </c>
      <c r="R987" s="66" t="str">
        <f t="shared" si="5"/>
        <v/>
      </c>
      <c r="S987" s="66"/>
      <c r="T987" s="66"/>
      <c r="U987" s="64" t="str">
        <f>if(O987,_xlfn.WORKDAY.INTL(O987,U$5,"1000000",Holidays!A:A)+hour(O987)/24+MINUTE(O987)/1440,"")</f>
        <v/>
      </c>
      <c r="V987" s="64" t="str">
        <f t="shared" si="6"/>
        <v/>
      </c>
      <c r="W987" s="66"/>
      <c r="X987" s="66" t="str">
        <f t="shared" si="7"/>
        <v/>
      </c>
      <c r="Y987" s="66"/>
      <c r="Z987" s="66"/>
      <c r="AA987" s="66"/>
      <c r="AB987" s="63"/>
      <c r="AC987" s="63"/>
      <c r="AD987" s="63"/>
      <c r="AE987" s="63"/>
      <c r="AF987" s="63"/>
      <c r="AG987" s="63"/>
      <c r="AH987" s="63" t="str">
        <f t="shared" si="14"/>
        <v/>
      </c>
      <c r="AI987" s="63" t="str">
        <f>if(AH987,_xlfn.workday.intl(int(AH987),0,"1000000",Holidays!A:A)+18/24,"")</f>
        <v/>
      </c>
      <c r="AJ987" s="64" t="str">
        <f t="shared" si="24"/>
        <v/>
      </c>
      <c r="AL987" s="66" t="str">
        <f t="shared" si="9"/>
        <v/>
      </c>
      <c r="AM987" s="66"/>
      <c r="AN987" s="63" t="str">
        <f>if(AJ987,if(and(hour(AJ987+AN$5)&gt;11,(hour(AJ987+AN$5)&lt;20)),AJ987+AN$5,_xlfn.workday.intl(int(AJ987),1,"1000000",Holidays!A:A)+hour(AJ987+AN$5-$B$1)/24+minute(AJ987)/1440),"")</f>
        <v/>
      </c>
      <c r="AO987" s="64" t="str">
        <f t="shared" si="15"/>
        <v/>
      </c>
      <c r="AQ987" s="66" t="str">
        <f t="shared" si="16"/>
        <v/>
      </c>
      <c r="AR987" s="66"/>
      <c r="AS987" s="63" t="str">
        <f>if(AJ987,if(and(hour(AJ987+AS$5)&gt;11,(hour(AJ987+AS$5)&lt;20)),AJ987+AS$5,_xlfn.workday.intl(int(AJ987),1,"1000000",Holidays!A:A)+hour(AJ987+AS$5-$B$1)/24+minute(AJ987)/1440),"")</f>
        <v/>
      </c>
      <c r="AT987" s="64" t="str">
        <f t="shared" si="21"/>
        <v/>
      </c>
      <c r="AV987" s="66" t="str">
        <f t="shared" si="25"/>
        <v/>
      </c>
      <c r="AW987" s="66"/>
      <c r="AX987" s="56"/>
    </row>
    <row r="988">
      <c r="A988" s="56"/>
      <c r="B988" s="56"/>
      <c r="C988" s="57"/>
      <c r="D988" s="57"/>
      <c r="E988" s="57"/>
      <c r="F988" s="57"/>
      <c r="G988" s="58" t="str">
        <f>if(A988,_xlfn.workday.intl(int(A988),1,"1000000",Holidays!A:A)+17/24,"")</f>
        <v/>
      </c>
      <c r="H988" s="59" t="str">
        <f t="shared" si="23"/>
        <v/>
      </c>
      <c r="I988" s="60"/>
      <c r="J988" s="61" t="str">
        <f t="shared" si="2"/>
        <v/>
      </c>
      <c r="K988" s="58" t="str">
        <f>if(G988,_xlfn.workday.intl(int(G988),0,"1000000",Holidays!A:A)+19/24,"")</f>
        <v/>
      </c>
      <c r="L988" s="59" t="str">
        <f t="shared" si="3"/>
        <v/>
      </c>
      <c r="M988" s="60"/>
      <c r="N988" s="61" t="str">
        <f t="shared" si="4"/>
        <v/>
      </c>
      <c r="O988" s="63" t="str">
        <f>if(A988,_xlfn.WORKDAY.INTL(A988,O$5,"1000000",Holidays!A:A)+hour(A988)/24+MINUTE(A988)/1440,"")</f>
        <v/>
      </c>
      <c r="P988" s="64" t="s">
        <v>2718</v>
      </c>
      <c r="R988" s="66" t="str">
        <f t="shared" si="5"/>
        <v/>
      </c>
      <c r="S988" s="66"/>
      <c r="T988" s="66"/>
      <c r="U988" s="64" t="str">
        <f>if(O988,_xlfn.WORKDAY.INTL(O988,U$5,"1000000",Holidays!A:A)+hour(O988)/24+MINUTE(O988)/1440,"")</f>
        <v/>
      </c>
      <c r="V988" s="64" t="str">
        <f t="shared" si="6"/>
        <v/>
      </c>
      <c r="W988" s="66"/>
      <c r="X988" s="66" t="str">
        <f t="shared" si="7"/>
        <v/>
      </c>
      <c r="Y988" s="66"/>
      <c r="Z988" s="66"/>
      <c r="AA988" s="66"/>
      <c r="AB988" s="63"/>
      <c r="AC988" s="63"/>
      <c r="AD988" s="63"/>
      <c r="AE988" s="63"/>
      <c r="AF988" s="63"/>
      <c r="AG988" s="63"/>
      <c r="AH988" s="63" t="str">
        <f t="shared" si="14"/>
        <v/>
      </c>
      <c r="AI988" s="63" t="str">
        <f>if(AH988,_xlfn.workday.intl(int(AH988),0,"1000000",Holidays!A:A)+18/24,"")</f>
        <v/>
      </c>
      <c r="AJ988" s="64" t="str">
        <f t="shared" si="24"/>
        <v/>
      </c>
      <c r="AL988" s="66" t="str">
        <f t="shared" si="9"/>
        <v/>
      </c>
      <c r="AM988" s="66"/>
      <c r="AN988" s="63" t="str">
        <f>if(AJ988,if(and(hour(AJ988+AN$5)&gt;11,(hour(AJ988+AN$5)&lt;20)),AJ988+AN$5,_xlfn.workday.intl(int(AJ988),1,"1000000",Holidays!A:A)+hour(AJ988+AN$5-$B$1)/24+minute(AJ988)/1440),"")</f>
        <v/>
      </c>
      <c r="AO988" s="64" t="str">
        <f t="shared" si="15"/>
        <v/>
      </c>
      <c r="AQ988" s="66" t="str">
        <f t="shared" si="16"/>
        <v/>
      </c>
      <c r="AR988" s="66"/>
      <c r="AS988" s="63" t="str">
        <f>if(AJ988,if(and(hour(AJ988+AS$5)&gt;11,(hour(AJ988+AS$5)&lt;20)),AJ988+AS$5,_xlfn.workday.intl(int(AJ988),1,"1000000",Holidays!A:A)+hour(AJ988+AS$5-$B$1)/24+minute(AJ988)/1440),"")</f>
        <v/>
      </c>
      <c r="AT988" s="64" t="str">
        <f t="shared" si="21"/>
        <v/>
      </c>
      <c r="AV988" s="66" t="str">
        <f t="shared" si="25"/>
        <v/>
      </c>
      <c r="AW988" s="66"/>
      <c r="AX988" s="56"/>
    </row>
    <row r="989">
      <c r="A989" s="56"/>
      <c r="B989" s="56"/>
      <c r="C989" s="57"/>
      <c r="D989" s="57"/>
      <c r="E989" s="57"/>
      <c r="F989" s="57"/>
      <c r="G989" s="58" t="str">
        <f>if(A989,_xlfn.workday.intl(int(A989),1,"1000000",Holidays!A:A)+17/24,"")</f>
        <v/>
      </c>
      <c r="H989" s="59" t="str">
        <f t="shared" si="23"/>
        <v/>
      </c>
      <c r="I989" s="60"/>
      <c r="J989" s="61" t="str">
        <f t="shared" si="2"/>
        <v/>
      </c>
      <c r="K989" s="58" t="str">
        <f>if(G989,_xlfn.workday.intl(int(G989),0,"1000000",Holidays!A:A)+19/24,"")</f>
        <v/>
      </c>
      <c r="L989" s="59" t="str">
        <f t="shared" si="3"/>
        <v/>
      </c>
      <c r="M989" s="60"/>
      <c r="N989" s="61" t="str">
        <f t="shared" si="4"/>
        <v/>
      </c>
      <c r="O989" s="63" t="str">
        <f>if(A989,_xlfn.WORKDAY.INTL(A989,O$5,"1000000",Holidays!A:A)+hour(A989)/24+MINUTE(A989)/1440,"")</f>
        <v/>
      </c>
      <c r="P989" s="64" t="s">
        <v>2718</v>
      </c>
      <c r="R989" s="66" t="str">
        <f t="shared" si="5"/>
        <v/>
      </c>
      <c r="S989" s="66"/>
      <c r="T989" s="66"/>
      <c r="U989" s="64" t="str">
        <f>if(O989,_xlfn.WORKDAY.INTL(O989,U$5,"1000000",Holidays!A:A)+hour(O989)/24+MINUTE(O989)/1440,"")</f>
        <v/>
      </c>
      <c r="V989" s="64" t="str">
        <f t="shared" si="6"/>
        <v/>
      </c>
      <c r="W989" s="66"/>
      <c r="X989" s="66" t="str">
        <f t="shared" si="7"/>
        <v/>
      </c>
      <c r="Y989" s="66"/>
      <c r="Z989" s="66"/>
      <c r="AA989" s="66"/>
      <c r="AB989" s="63"/>
      <c r="AC989" s="63"/>
      <c r="AD989" s="63"/>
      <c r="AE989" s="63"/>
      <c r="AF989" s="63"/>
      <c r="AG989" s="63"/>
      <c r="AH989" s="63" t="str">
        <f t="shared" si="14"/>
        <v/>
      </c>
      <c r="AI989" s="63" t="str">
        <f>if(AH989,_xlfn.workday.intl(int(AH989),0,"1000000",Holidays!A:A)+18/24,"")</f>
        <v/>
      </c>
      <c r="AJ989" s="64" t="str">
        <f t="shared" si="24"/>
        <v/>
      </c>
      <c r="AL989" s="66" t="str">
        <f t="shared" si="9"/>
        <v/>
      </c>
      <c r="AM989" s="66"/>
      <c r="AN989" s="63" t="str">
        <f>if(AJ989,if(and(hour(AJ989+AN$5)&gt;11,(hour(AJ989+AN$5)&lt;20)),AJ989+AN$5,_xlfn.workday.intl(int(AJ989),1,"1000000",Holidays!A:A)+hour(AJ989+AN$5-$B$1)/24+minute(AJ989)/1440),"")</f>
        <v/>
      </c>
      <c r="AO989" s="64" t="str">
        <f t="shared" si="15"/>
        <v/>
      </c>
      <c r="AQ989" s="66" t="str">
        <f t="shared" si="16"/>
        <v/>
      </c>
      <c r="AR989" s="66"/>
      <c r="AS989" s="63" t="str">
        <f>if(AJ989,if(and(hour(AJ989+AS$5)&gt;11,(hour(AJ989+AS$5)&lt;20)),AJ989+AS$5,_xlfn.workday.intl(int(AJ989),1,"1000000",Holidays!A:A)+hour(AJ989+AS$5-$B$1)/24+minute(AJ989)/1440),"")</f>
        <v/>
      </c>
      <c r="AT989" s="64" t="str">
        <f t="shared" si="21"/>
        <v/>
      </c>
      <c r="AV989" s="66" t="str">
        <f t="shared" si="25"/>
        <v/>
      </c>
      <c r="AW989" s="66"/>
      <c r="AX989" s="56"/>
    </row>
    <row r="990">
      <c r="A990" s="56"/>
      <c r="B990" s="56"/>
      <c r="C990" s="57"/>
      <c r="D990" s="57"/>
      <c r="E990" s="57"/>
      <c r="F990" s="57"/>
      <c r="G990" s="58" t="str">
        <f>if(A990,_xlfn.workday.intl(int(A990),1,"1000000",Holidays!A:A)+17/24,"")</f>
        <v/>
      </c>
      <c r="H990" s="59" t="str">
        <f t="shared" si="23"/>
        <v/>
      </c>
      <c r="I990" s="60"/>
      <c r="J990" s="61" t="str">
        <f t="shared" si="2"/>
        <v/>
      </c>
      <c r="K990" s="58" t="str">
        <f>if(G990,_xlfn.workday.intl(int(G990),0,"1000000",Holidays!A:A)+19/24,"")</f>
        <v/>
      </c>
      <c r="L990" s="59" t="str">
        <f t="shared" si="3"/>
        <v/>
      </c>
      <c r="M990" s="60"/>
      <c r="N990" s="61" t="str">
        <f t="shared" si="4"/>
        <v/>
      </c>
      <c r="O990" s="63" t="str">
        <f>if(A990,_xlfn.WORKDAY.INTL(A990,O$5,"1000000",Holidays!A:A)+hour(A990)/24+MINUTE(A990)/1440,"")</f>
        <v/>
      </c>
      <c r="P990" s="64" t="s">
        <v>2718</v>
      </c>
      <c r="R990" s="66" t="str">
        <f t="shared" si="5"/>
        <v/>
      </c>
      <c r="S990" s="66"/>
      <c r="T990" s="66"/>
      <c r="U990" s="64" t="str">
        <f>if(O990,_xlfn.WORKDAY.INTL(O990,U$5,"1000000",Holidays!A:A)+hour(O990)/24+MINUTE(O990)/1440,"")</f>
        <v/>
      </c>
      <c r="V990" s="64" t="str">
        <f t="shared" si="6"/>
        <v/>
      </c>
      <c r="W990" s="66"/>
      <c r="X990" s="66" t="str">
        <f t="shared" si="7"/>
        <v/>
      </c>
      <c r="Y990" s="66"/>
      <c r="Z990" s="66"/>
      <c r="AA990" s="66"/>
      <c r="AB990" s="63"/>
      <c r="AC990" s="63"/>
      <c r="AD990" s="63"/>
      <c r="AE990" s="63"/>
      <c r="AF990" s="63"/>
      <c r="AG990" s="63"/>
      <c r="AH990" s="63" t="str">
        <f t="shared" si="14"/>
        <v/>
      </c>
      <c r="AI990" s="63" t="str">
        <f>if(AH990,_xlfn.workday.intl(int(AH990),0,"1000000",Holidays!A:A)+18/24,"")</f>
        <v/>
      </c>
      <c r="AJ990" s="64" t="str">
        <f t="shared" si="24"/>
        <v/>
      </c>
      <c r="AL990" s="66" t="str">
        <f t="shared" si="9"/>
        <v/>
      </c>
      <c r="AM990" s="66"/>
      <c r="AN990" s="63" t="str">
        <f>if(AJ990,if(and(hour(AJ990+AN$5)&gt;11,(hour(AJ990+AN$5)&lt;20)),AJ990+AN$5,_xlfn.workday.intl(int(AJ990),1,"1000000",Holidays!A:A)+hour(AJ990+AN$5-$B$1)/24+minute(AJ990)/1440),"")</f>
        <v/>
      </c>
      <c r="AO990" s="64" t="str">
        <f t="shared" si="15"/>
        <v/>
      </c>
      <c r="AQ990" s="66" t="str">
        <f t="shared" si="16"/>
        <v/>
      </c>
      <c r="AR990" s="66"/>
      <c r="AS990" s="63" t="str">
        <f>if(AJ990,if(and(hour(AJ990+AS$5)&gt;11,(hour(AJ990+AS$5)&lt;20)),AJ990+AS$5,_xlfn.workday.intl(int(AJ990),1,"1000000",Holidays!A:A)+hour(AJ990+AS$5-$B$1)/24+minute(AJ990)/1440),"")</f>
        <v/>
      </c>
      <c r="AT990" s="64" t="str">
        <f t="shared" si="21"/>
        <v/>
      </c>
      <c r="AV990" s="66" t="str">
        <f t="shared" si="25"/>
        <v/>
      </c>
      <c r="AW990" s="66"/>
      <c r="AX990" s="56"/>
    </row>
    <row r="991">
      <c r="A991" s="56"/>
      <c r="B991" s="56"/>
      <c r="C991" s="57"/>
      <c r="D991" s="57"/>
      <c r="E991" s="57"/>
      <c r="F991" s="57"/>
      <c r="G991" s="58" t="str">
        <f>if(A991,_xlfn.workday.intl(int(A991),1,"1000000",Holidays!A:A)+17/24,"")</f>
        <v/>
      </c>
      <c r="H991" s="59" t="str">
        <f t="shared" si="23"/>
        <v/>
      </c>
      <c r="I991" s="60"/>
      <c r="J991" s="61" t="str">
        <f t="shared" si="2"/>
        <v/>
      </c>
      <c r="K991" s="58" t="str">
        <f>if(G991,_xlfn.workday.intl(int(G991),0,"1000000",Holidays!A:A)+19/24,"")</f>
        <v/>
      </c>
      <c r="L991" s="59" t="str">
        <f t="shared" si="3"/>
        <v/>
      </c>
      <c r="M991" s="60"/>
      <c r="N991" s="61" t="str">
        <f t="shared" si="4"/>
        <v/>
      </c>
      <c r="O991" s="63" t="str">
        <f>if(A991,_xlfn.WORKDAY.INTL(A991,O$5,"1000000",Holidays!A:A)+hour(A991)/24+MINUTE(A991)/1440,"")</f>
        <v/>
      </c>
      <c r="P991" s="64" t="s">
        <v>2718</v>
      </c>
      <c r="R991" s="66" t="str">
        <f t="shared" si="5"/>
        <v/>
      </c>
      <c r="S991" s="66"/>
      <c r="T991" s="66"/>
      <c r="U991" s="64" t="str">
        <f>if(O991,_xlfn.WORKDAY.INTL(O991,U$5,"1000000",Holidays!A:A)+hour(O991)/24+MINUTE(O991)/1440,"")</f>
        <v/>
      </c>
      <c r="V991" s="64" t="str">
        <f t="shared" si="6"/>
        <v/>
      </c>
      <c r="W991" s="66"/>
      <c r="X991" s="66" t="str">
        <f t="shared" si="7"/>
        <v/>
      </c>
      <c r="Y991" s="66"/>
      <c r="Z991" s="66"/>
      <c r="AA991" s="66"/>
      <c r="AB991" s="63"/>
      <c r="AC991" s="63"/>
      <c r="AD991" s="63"/>
      <c r="AE991" s="63"/>
      <c r="AF991" s="63"/>
      <c r="AG991" s="63"/>
      <c r="AH991" s="63" t="str">
        <f t="shared" si="14"/>
        <v/>
      </c>
      <c r="AI991" s="63" t="str">
        <f>if(AH991,_xlfn.workday.intl(int(AH991),0,"1000000",Holidays!A:A)+18/24,"")</f>
        <v/>
      </c>
      <c r="AJ991" s="64" t="str">
        <f t="shared" si="24"/>
        <v/>
      </c>
      <c r="AL991" s="66" t="str">
        <f t="shared" si="9"/>
        <v/>
      </c>
      <c r="AM991" s="66"/>
      <c r="AN991" s="63" t="str">
        <f>if(AJ991,if(and(hour(AJ991+AN$5)&gt;11,(hour(AJ991+AN$5)&lt;20)),AJ991+AN$5,_xlfn.workday.intl(int(AJ991),1,"1000000",Holidays!A:A)+hour(AJ991+AN$5-$B$1)/24+minute(AJ991)/1440),"")</f>
        <v/>
      </c>
      <c r="AO991" s="64" t="str">
        <f t="shared" si="15"/>
        <v/>
      </c>
      <c r="AQ991" s="66" t="str">
        <f t="shared" si="16"/>
        <v/>
      </c>
      <c r="AR991" s="66"/>
      <c r="AS991" s="63" t="str">
        <f>if(AJ991,if(and(hour(AJ991+AS$5)&gt;11,(hour(AJ991+AS$5)&lt;20)),AJ991+AS$5,_xlfn.workday.intl(int(AJ991),1,"1000000",Holidays!A:A)+hour(AJ991+AS$5-$B$1)/24+minute(AJ991)/1440),"")</f>
        <v/>
      </c>
      <c r="AT991" s="64" t="str">
        <f t="shared" si="21"/>
        <v/>
      </c>
      <c r="AV991" s="66" t="str">
        <f t="shared" si="25"/>
        <v/>
      </c>
      <c r="AW991" s="66"/>
      <c r="AX991" s="56"/>
    </row>
    <row r="992">
      <c r="A992" s="56"/>
      <c r="B992" s="56"/>
      <c r="C992" s="57"/>
      <c r="D992" s="57"/>
      <c r="E992" s="57"/>
      <c r="F992" s="57"/>
      <c r="G992" s="58" t="str">
        <f>if(A992,_xlfn.workday.intl(int(A992),1,"1000000",Holidays!A:A)+17/24,"")</f>
        <v/>
      </c>
      <c r="H992" s="59" t="str">
        <f t="shared" si="23"/>
        <v/>
      </c>
      <c r="I992" s="60"/>
      <c r="J992" s="61" t="str">
        <f t="shared" si="2"/>
        <v/>
      </c>
      <c r="K992" s="58" t="str">
        <f>if(G992,_xlfn.workday.intl(int(G992),0,"1000000",Holidays!A:A)+19/24,"")</f>
        <v/>
      </c>
      <c r="L992" s="59" t="str">
        <f t="shared" si="3"/>
        <v/>
      </c>
      <c r="M992" s="60"/>
      <c r="N992" s="61" t="str">
        <f t="shared" si="4"/>
        <v/>
      </c>
      <c r="O992" s="63" t="str">
        <f>if(A992,_xlfn.WORKDAY.INTL(A992,O$5,"1000000",Holidays!A:A)+hour(A992)/24+MINUTE(A992)/1440,"")</f>
        <v/>
      </c>
      <c r="P992" s="64" t="s">
        <v>2718</v>
      </c>
      <c r="R992" s="66" t="str">
        <f t="shared" si="5"/>
        <v/>
      </c>
      <c r="S992" s="66"/>
      <c r="T992" s="66"/>
      <c r="U992" s="64" t="str">
        <f>if(O992,_xlfn.WORKDAY.INTL(O992,U$5,"1000000",Holidays!A:A)+hour(O992)/24+MINUTE(O992)/1440,"")</f>
        <v/>
      </c>
      <c r="V992" s="64" t="str">
        <f t="shared" si="6"/>
        <v/>
      </c>
      <c r="W992" s="66"/>
      <c r="X992" s="66" t="str">
        <f t="shared" si="7"/>
        <v/>
      </c>
      <c r="Y992" s="66"/>
      <c r="Z992" s="66"/>
      <c r="AA992" s="66"/>
      <c r="AB992" s="63"/>
      <c r="AC992" s="63"/>
      <c r="AD992" s="63"/>
      <c r="AE992" s="63"/>
      <c r="AF992" s="63"/>
      <c r="AG992" s="63"/>
      <c r="AH992" s="63" t="str">
        <f t="shared" si="14"/>
        <v/>
      </c>
      <c r="AI992" s="63" t="str">
        <f>if(AH992,_xlfn.workday.intl(int(AH992),0,"1000000",Holidays!A:A)+18/24,"")</f>
        <v/>
      </c>
      <c r="AJ992" s="64" t="str">
        <f t="shared" si="24"/>
        <v/>
      </c>
      <c r="AL992" s="66" t="str">
        <f t="shared" si="9"/>
        <v/>
      </c>
      <c r="AM992" s="66"/>
      <c r="AN992" s="63" t="str">
        <f>if(AJ992,if(and(hour(AJ992+AN$5)&gt;11,(hour(AJ992+AN$5)&lt;20)),AJ992+AN$5,_xlfn.workday.intl(int(AJ992),1,"1000000",Holidays!A:A)+hour(AJ992+AN$5-$B$1)/24+minute(AJ992)/1440),"")</f>
        <v/>
      </c>
      <c r="AO992" s="64" t="str">
        <f t="shared" si="15"/>
        <v/>
      </c>
      <c r="AQ992" s="66" t="str">
        <f t="shared" si="16"/>
        <v/>
      </c>
      <c r="AR992" s="66"/>
      <c r="AS992" s="63" t="str">
        <f>if(AJ992,if(and(hour(AJ992+AS$5)&gt;11,(hour(AJ992+AS$5)&lt;20)),AJ992+AS$5,_xlfn.workday.intl(int(AJ992),1,"1000000",Holidays!A:A)+hour(AJ992+AS$5-$B$1)/24+minute(AJ992)/1440),"")</f>
        <v/>
      </c>
      <c r="AT992" s="64" t="str">
        <f t="shared" si="21"/>
        <v/>
      </c>
      <c r="AV992" s="66" t="str">
        <f t="shared" si="25"/>
        <v/>
      </c>
      <c r="AW992" s="66"/>
      <c r="AX992" s="56"/>
    </row>
    <row r="993">
      <c r="A993" s="56"/>
      <c r="B993" s="56"/>
      <c r="C993" s="57"/>
      <c r="D993" s="57"/>
      <c r="E993" s="57"/>
      <c r="F993" s="57"/>
      <c r="G993" s="58" t="str">
        <f>if(A993,_xlfn.workday.intl(int(A993),1,"1000000",Holidays!A:A)+17/24,"")</f>
        <v/>
      </c>
      <c r="H993" s="59" t="str">
        <f t="shared" si="23"/>
        <v/>
      </c>
      <c r="I993" s="60"/>
      <c r="J993" s="61" t="str">
        <f t="shared" si="2"/>
        <v/>
      </c>
      <c r="K993" s="58" t="str">
        <f>if(G993,_xlfn.workday.intl(int(G993),0,"1000000",Holidays!A:A)+19/24,"")</f>
        <v/>
      </c>
      <c r="L993" s="59" t="str">
        <f t="shared" si="3"/>
        <v/>
      </c>
      <c r="M993" s="60"/>
      <c r="N993" s="61" t="str">
        <f t="shared" si="4"/>
        <v/>
      </c>
      <c r="O993" s="63" t="str">
        <f>if(A993,_xlfn.WORKDAY.INTL(A993,O$5,"1000000",Holidays!A:A)+hour(A993)/24+MINUTE(A993)/1440,"")</f>
        <v/>
      </c>
      <c r="P993" s="64" t="s">
        <v>2718</v>
      </c>
      <c r="R993" s="66" t="str">
        <f t="shared" si="5"/>
        <v/>
      </c>
      <c r="S993" s="66"/>
      <c r="T993" s="66"/>
      <c r="U993" s="64" t="str">
        <f>if(O993,_xlfn.WORKDAY.INTL(O993,U$5,"1000000",Holidays!A:A)+hour(O993)/24+MINUTE(O993)/1440,"")</f>
        <v/>
      </c>
      <c r="V993" s="64" t="str">
        <f t="shared" si="6"/>
        <v/>
      </c>
      <c r="W993" s="66"/>
      <c r="X993" s="66" t="str">
        <f t="shared" si="7"/>
        <v/>
      </c>
      <c r="Y993" s="66"/>
      <c r="Z993" s="66"/>
      <c r="AA993" s="66"/>
      <c r="AB993" s="63"/>
      <c r="AC993" s="63"/>
      <c r="AD993" s="63"/>
      <c r="AE993" s="63"/>
      <c r="AF993" s="63"/>
      <c r="AG993" s="63"/>
      <c r="AH993" s="63" t="str">
        <f t="shared" si="14"/>
        <v/>
      </c>
      <c r="AI993" s="63" t="str">
        <f>if(AH993,_xlfn.workday.intl(int(AH993),0,"1000000",Holidays!A:A)+18/24,"")</f>
        <v/>
      </c>
      <c r="AJ993" s="64" t="str">
        <f t="shared" si="24"/>
        <v/>
      </c>
      <c r="AL993" s="66" t="str">
        <f t="shared" si="9"/>
        <v/>
      </c>
      <c r="AM993" s="66"/>
      <c r="AN993" s="63" t="str">
        <f>if(AJ993,if(and(hour(AJ993+AN$5)&gt;11,(hour(AJ993+AN$5)&lt;20)),AJ993+AN$5,_xlfn.workday.intl(int(AJ993),1,"1000000",Holidays!A:A)+hour(AJ993+AN$5-$B$1)/24+minute(AJ993)/1440),"")</f>
        <v/>
      </c>
      <c r="AO993" s="64" t="str">
        <f t="shared" si="15"/>
        <v/>
      </c>
      <c r="AQ993" s="66" t="str">
        <f t="shared" si="16"/>
        <v/>
      </c>
      <c r="AR993" s="66"/>
      <c r="AS993" s="63" t="str">
        <f>if(AJ993,if(and(hour(AJ993+AS$5)&gt;11,(hour(AJ993+AS$5)&lt;20)),AJ993+AS$5,_xlfn.workday.intl(int(AJ993),1,"1000000",Holidays!A:A)+hour(AJ993+AS$5-$B$1)/24+minute(AJ993)/1440),"")</f>
        <v/>
      </c>
      <c r="AT993" s="64" t="str">
        <f t="shared" si="21"/>
        <v/>
      </c>
      <c r="AV993" s="66" t="str">
        <f t="shared" si="25"/>
        <v/>
      </c>
      <c r="AW993" s="66"/>
      <c r="AX993" s="56"/>
    </row>
    <row r="994">
      <c r="A994" s="56"/>
      <c r="B994" s="56"/>
      <c r="C994" s="57"/>
      <c r="D994" s="57"/>
      <c r="E994" s="57"/>
      <c r="F994" s="57"/>
      <c r="G994" s="58" t="str">
        <f>if(A994,_xlfn.workday.intl(int(A994),1,"1000000",Holidays!A:A)+17/24,"")</f>
        <v/>
      </c>
      <c r="H994" s="59" t="str">
        <f t="shared" si="23"/>
        <v/>
      </c>
      <c r="I994" s="60"/>
      <c r="J994" s="61" t="str">
        <f t="shared" si="2"/>
        <v/>
      </c>
      <c r="K994" s="58" t="str">
        <f>if(G994,_xlfn.workday.intl(int(G994),0,"1000000",Holidays!A:A)+19/24,"")</f>
        <v/>
      </c>
      <c r="L994" s="59" t="str">
        <f t="shared" si="3"/>
        <v/>
      </c>
      <c r="M994" s="60"/>
      <c r="N994" s="61" t="str">
        <f t="shared" si="4"/>
        <v/>
      </c>
      <c r="O994" s="63" t="str">
        <f>if(A994,_xlfn.WORKDAY.INTL(A994,O$5,"1000000",Holidays!A:A)+hour(A994)/24+MINUTE(A994)/1440,"")</f>
        <v/>
      </c>
      <c r="P994" s="64" t="s">
        <v>2718</v>
      </c>
      <c r="R994" s="66" t="str">
        <f t="shared" si="5"/>
        <v/>
      </c>
      <c r="S994" s="66"/>
      <c r="T994" s="66"/>
      <c r="U994" s="64" t="str">
        <f>if(O994,_xlfn.WORKDAY.INTL(O994,U$5,"1000000",Holidays!A:A)+hour(O994)/24+MINUTE(O994)/1440,"")</f>
        <v/>
      </c>
      <c r="V994" s="64" t="str">
        <f t="shared" si="6"/>
        <v/>
      </c>
      <c r="W994" s="66"/>
      <c r="X994" s="66" t="str">
        <f t="shared" si="7"/>
        <v/>
      </c>
      <c r="Y994" s="66"/>
      <c r="Z994" s="66"/>
      <c r="AA994" s="66"/>
      <c r="AB994" s="63"/>
      <c r="AC994" s="63"/>
      <c r="AD994" s="63"/>
      <c r="AE994" s="63"/>
      <c r="AF994" s="63"/>
      <c r="AG994" s="63"/>
      <c r="AH994" s="63" t="str">
        <f t="shared" si="14"/>
        <v/>
      </c>
      <c r="AI994" s="63" t="str">
        <f>if(AH994,_xlfn.workday.intl(int(AH994),0,"1000000",Holidays!A:A)+18/24,"")</f>
        <v/>
      </c>
      <c r="AJ994" s="64" t="str">
        <f t="shared" si="24"/>
        <v/>
      </c>
      <c r="AL994" s="66" t="str">
        <f t="shared" si="9"/>
        <v/>
      </c>
      <c r="AM994" s="66"/>
      <c r="AN994" s="63" t="str">
        <f>if(AJ994,if(and(hour(AJ994+AN$5)&gt;11,(hour(AJ994+AN$5)&lt;20)),AJ994+AN$5,_xlfn.workday.intl(int(AJ994),1,"1000000",Holidays!A:A)+hour(AJ994+AN$5-$B$1)/24+minute(AJ994)/1440),"")</f>
        <v/>
      </c>
      <c r="AO994" s="64" t="str">
        <f t="shared" si="15"/>
        <v/>
      </c>
      <c r="AQ994" s="66" t="str">
        <f t="shared" si="16"/>
        <v/>
      </c>
      <c r="AR994" s="66"/>
      <c r="AS994" s="63" t="str">
        <f>if(AJ994,if(and(hour(AJ994+AS$5)&gt;11,(hour(AJ994+AS$5)&lt;20)),AJ994+AS$5,_xlfn.workday.intl(int(AJ994),1,"1000000",Holidays!A:A)+hour(AJ994+AS$5-$B$1)/24+minute(AJ994)/1440),"")</f>
        <v/>
      </c>
      <c r="AT994" s="64" t="str">
        <f t="shared" si="21"/>
        <v/>
      </c>
      <c r="AV994" s="66" t="str">
        <f t="shared" si="25"/>
        <v/>
      </c>
      <c r="AW994" s="66"/>
      <c r="AX994" s="56"/>
    </row>
    <row r="995">
      <c r="A995" s="56"/>
      <c r="B995" s="56"/>
      <c r="C995" s="57"/>
      <c r="D995" s="57"/>
      <c r="E995" s="57"/>
      <c r="F995" s="57"/>
      <c r="G995" s="58" t="str">
        <f>if(A995,_xlfn.workday.intl(int(A995),1,"1000000",Holidays!A:A)+17/24,"")</f>
        <v/>
      </c>
      <c r="H995" s="59" t="str">
        <f t="shared" si="23"/>
        <v/>
      </c>
      <c r="I995" s="60"/>
      <c r="J995" s="61" t="str">
        <f t="shared" si="2"/>
        <v/>
      </c>
      <c r="K995" s="58" t="str">
        <f>if(G995,_xlfn.workday.intl(int(G995),0,"1000000",Holidays!A:A)+19/24,"")</f>
        <v/>
      </c>
      <c r="L995" s="59" t="str">
        <f t="shared" si="3"/>
        <v/>
      </c>
      <c r="M995" s="60"/>
      <c r="N995" s="61" t="str">
        <f t="shared" si="4"/>
        <v/>
      </c>
      <c r="O995" s="63" t="str">
        <f>if(A995,_xlfn.WORKDAY.INTL(A995,O$5,"1000000",Holidays!A:A)+hour(A995)/24+MINUTE(A995)/1440,"")</f>
        <v/>
      </c>
      <c r="P995" s="64" t="s">
        <v>2718</v>
      </c>
      <c r="R995" s="66" t="str">
        <f t="shared" si="5"/>
        <v/>
      </c>
      <c r="S995" s="66"/>
      <c r="T995" s="66"/>
      <c r="U995" s="64" t="str">
        <f>if(O995,_xlfn.WORKDAY.INTL(O995,U$5,"1000000",Holidays!A:A)+hour(O995)/24+MINUTE(O995)/1440,"")</f>
        <v/>
      </c>
      <c r="V995" s="64" t="str">
        <f t="shared" si="6"/>
        <v/>
      </c>
      <c r="W995" s="66"/>
      <c r="X995" s="66" t="str">
        <f t="shared" si="7"/>
        <v/>
      </c>
      <c r="Y995" s="66"/>
      <c r="Z995" s="66"/>
      <c r="AA995" s="66"/>
      <c r="AB995" s="63"/>
      <c r="AC995" s="63"/>
      <c r="AD995" s="63"/>
      <c r="AE995" s="63"/>
      <c r="AF995" s="63"/>
      <c r="AG995" s="63"/>
      <c r="AH995" s="63" t="str">
        <f t="shared" si="14"/>
        <v/>
      </c>
      <c r="AI995" s="63" t="str">
        <f>if(AH995,_xlfn.workday.intl(int(AH995),0,"1000000",Holidays!A:A)+18/24,"")</f>
        <v/>
      </c>
      <c r="AJ995" s="64" t="str">
        <f t="shared" si="24"/>
        <v/>
      </c>
      <c r="AL995" s="66" t="str">
        <f t="shared" si="9"/>
        <v/>
      </c>
      <c r="AM995" s="66"/>
      <c r="AN995" s="63" t="str">
        <f>if(AJ995,if(and(hour(AJ995+AN$5)&gt;11,(hour(AJ995+AN$5)&lt;20)),AJ995+AN$5,_xlfn.workday.intl(int(AJ995),1,"1000000",Holidays!A:A)+hour(AJ995+AN$5-$B$1)/24+minute(AJ995)/1440),"")</f>
        <v/>
      </c>
      <c r="AO995" s="64" t="str">
        <f t="shared" si="15"/>
        <v/>
      </c>
      <c r="AQ995" s="66" t="str">
        <f t="shared" si="16"/>
        <v/>
      </c>
      <c r="AR995" s="66"/>
      <c r="AS995" s="63" t="str">
        <f>if(AJ995,if(and(hour(AJ995+AS$5)&gt;11,(hour(AJ995+AS$5)&lt;20)),AJ995+AS$5,_xlfn.workday.intl(int(AJ995),1,"1000000",Holidays!A:A)+hour(AJ995+AS$5-$B$1)/24+minute(AJ995)/1440),"")</f>
        <v/>
      </c>
      <c r="AT995" s="64" t="str">
        <f t="shared" si="21"/>
        <v/>
      </c>
      <c r="AV995" s="66" t="str">
        <f t="shared" si="25"/>
        <v/>
      </c>
      <c r="AW995" s="66"/>
      <c r="AX995" s="56"/>
    </row>
    <row r="996">
      <c r="A996" s="56"/>
      <c r="B996" s="56"/>
      <c r="C996" s="57"/>
      <c r="D996" s="57"/>
      <c r="E996" s="57"/>
      <c r="F996" s="57"/>
      <c r="G996" s="58" t="str">
        <f>if(A996,_xlfn.workday.intl(int(A996),1,"1000000",Holidays!A:A)+17/24,"")</f>
        <v/>
      </c>
      <c r="H996" s="59" t="str">
        <f t="shared" si="23"/>
        <v/>
      </c>
      <c r="I996" s="60"/>
      <c r="J996" s="61" t="str">
        <f t="shared" si="2"/>
        <v/>
      </c>
      <c r="K996" s="58" t="str">
        <f>if(G996,_xlfn.workday.intl(int(G996),0,"1000000",Holidays!A:A)+19/24,"")</f>
        <v/>
      </c>
      <c r="L996" s="59" t="str">
        <f t="shared" si="3"/>
        <v/>
      </c>
      <c r="M996" s="60"/>
      <c r="N996" s="61" t="str">
        <f t="shared" si="4"/>
        <v/>
      </c>
      <c r="O996" s="63" t="str">
        <f>if(A996,_xlfn.WORKDAY.INTL(A996,O$5,"1000000",Holidays!A:A)+hour(A996)/24+MINUTE(A996)/1440,"")</f>
        <v/>
      </c>
      <c r="P996" s="64" t="s">
        <v>2718</v>
      </c>
      <c r="R996" s="66" t="str">
        <f t="shared" si="5"/>
        <v/>
      </c>
      <c r="S996" s="66"/>
      <c r="T996" s="66"/>
      <c r="U996" s="64" t="str">
        <f>if(O996,_xlfn.WORKDAY.INTL(O996,U$5,"1000000",Holidays!A:A)+hour(O996)/24+MINUTE(O996)/1440,"")</f>
        <v/>
      </c>
      <c r="V996" s="64" t="str">
        <f t="shared" si="6"/>
        <v/>
      </c>
      <c r="W996" s="66"/>
      <c r="X996" s="66" t="str">
        <f t="shared" si="7"/>
        <v/>
      </c>
      <c r="Y996" s="66"/>
      <c r="Z996" s="66"/>
      <c r="AA996" s="66"/>
      <c r="AB996" s="63"/>
      <c r="AC996" s="63"/>
      <c r="AD996" s="63"/>
      <c r="AE996" s="63"/>
      <c r="AF996" s="63"/>
      <c r="AG996" s="63"/>
      <c r="AH996" s="63" t="str">
        <f t="shared" si="14"/>
        <v/>
      </c>
      <c r="AI996" s="63" t="str">
        <f>if(AH996,_xlfn.workday.intl(int(AH996),0,"1000000",Holidays!A:A)+18/24,"")</f>
        <v/>
      </c>
      <c r="AJ996" s="64" t="str">
        <f t="shared" si="24"/>
        <v/>
      </c>
      <c r="AL996" s="66" t="str">
        <f t="shared" si="9"/>
        <v/>
      </c>
      <c r="AM996" s="66"/>
      <c r="AN996" s="63" t="str">
        <f>if(AJ996,if(and(hour(AJ996+AN$5)&gt;11,(hour(AJ996+AN$5)&lt;20)),AJ996+AN$5,_xlfn.workday.intl(int(AJ996),1,"1000000",Holidays!A:A)+hour(AJ996+AN$5-$B$1)/24+minute(AJ996)/1440),"")</f>
        <v/>
      </c>
      <c r="AO996" s="64" t="str">
        <f t="shared" si="15"/>
        <v/>
      </c>
      <c r="AQ996" s="66" t="str">
        <f t="shared" si="16"/>
        <v/>
      </c>
      <c r="AR996" s="66"/>
      <c r="AS996" s="63" t="str">
        <f>if(AJ996,if(and(hour(AJ996+AS$5)&gt;11,(hour(AJ996+AS$5)&lt;20)),AJ996+AS$5,_xlfn.workday.intl(int(AJ996),1,"1000000",Holidays!A:A)+hour(AJ996+AS$5-$B$1)/24+minute(AJ996)/1440),"")</f>
        <v/>
      </c>
      <c r="AT996" s="64" t="str">
        <f t="shared" si="21"/>
        <v/>
      </c>
      <c r="AV996" s="66" t="str">
        <f t="shared" si="25"/>
        <v/>
      </c>
      <c r="AW996" s="66"/>
      <c r="AX996" s="56"/>
    </row>
    <row r="997">
      <c r="A997" s="56"/>
      <c r="B997" s="56"/>
      <c r="C997" s="57"/>
      <c r="D997" s="57"/>
      <c r="E997" s="57"/>
      <c r="F997" s="57"/>
      <c r="G997" s="58" t="str">
        <f>if(A997,_xlfn.workday.intl(int(A997),1,"1000000",Holidays!A:A)+17/24,"")</f>
        <v/>
      </c>
      <c r="H997" s="59" t="str">
        <f t="shared" si="23"/>
        <v/>
      </c>
      <c r="I997" s="60"/>
      <c r="J997" s="61" t="str">
        <f t="shared" si="2"/>
        <v/>
      </c>
      <c r="K997" s="58" t="str">
        <f>if(G997,_xlfn.workday.intl(int(G997),0,"1000000",Holidays!A:A)+19/24,"")</f>
        <v/>
      </c>
      <c r="L997" s="59" t="str">
        <f t="shared" si="3"/>
        <v/>
      </c>
      <c r="M997" s="60"/>
      <c r="N997" s="61" t="str">
        <f t="shared" si="4"/>
        <v/>
      </c>
      <c r="O997" s="63" t="str">
        <f>if(A997,_xlfn.WORKDAY.INTL(A997,O$5,"1000000",Holidays!A:A)+hour(A997)/24+MINUTE(A997)/1440,"")</f>
        <v/>
      </c>
      <c r="P997" s="64" t="s">
        <v>2718</v>
      </c>
      <c r="R997" s="66" t="str">
        <f t="shared" si="5"/>
        <v/>
      </c>
      <c r="S997" s="66"/>
      <c r="T997" s="66"/>
      <c r="U997" s="64" t="str">
        <f>if(O997,_xlfn.WORKDAY.INTL(O997,U$5,"1000000",Holidays!A:A)+hour(O997)/24+MINUTE(O997)/1440,"")</f>
        <v/>
      </c>
      <c r="V997" s="64" t="str">
        <f t="shared" si="6"/>
        <v/>
      </c>
      <c r="W997" s="66"/>
      <c r="X997" s="66" t="str">
        <f t="shared" si="7"/>
        <v/>
      </c>
      <c r="Y997" s="66"/>
      <c r="Z997" s="66"/>
      <c r="AA997" s="66"/>
      <c r="AB997" s="63"/>
      <c r="AC997" s="63"/>
      <c r="AD997" s="63"/>
      <c r="AE997" s="63"/>
      <c r="AF997" s="63"/>
      <c r="AG997" s="63"/>
      <c r="AH997" s="63" t="str">
        <f t="shared" si="14"/>
        <v/>
      </c>
      <c r="AI997" s="63" t="str">
        <f>if(AH997,_xlfn.workday.intl(int(AH997),0,"1000000",Holidays!A:A)+18/24,"")</f>
        <v/>
      </c>
      <c r="AJ997" s="64" t="str">
        <f t="shared" si="24"/>
        <v/>
      </c>
      <c r="AL997" s="66" t="str">
        <f t="shared" si="9"/>
        <v/>
      </c>
      <c r="AM997" s="66"/>
      <c r="AN997" s="63" t="str">
        <f>if(AJ997,if(and(hour(AJ997+AN$5)&gt;11,(hour(AJ997+AN$5)&lt;20)),AJ997+AN$5,_xlfn.workday.intl(int(AJ997),1,"1000000",Holidays!A:A)+hour(AJ997+AN$5-$B$1)/24+minute(AJ997)/1440),"")</f>
        <v/>
      </c>
      <c r="AO997" s="64" t="str">
        <f t="shared" si="15"/>
        <v/>
      </c>
      <c r="AQ997" s="66" t="str">
        <f t="shared" si="16"/>
        <v/>
      </c>
      <c r="AR997" s="66"/>
      <c r="AS997" s="63" t="str">
        <f>if(AJ997,if(and(hour(AJ997+AS$5)&gt;11,(hour(AJ997+AS$5)&lt;20)),AJ997+AS$5,_xlfn.workday.intl(int(AJ997),1,"1000000",Holidays!A:A)+hour(AJ997+AS$5-$B$1)/24+minute(AJ997)/1440),"")</f>
        <v/>
      </c>
      <c r="AT997" s="64" t="str">
        <f t="shared" si="21"/>
        <v/>
      </c>
      <c r="AV997" s="66" t="str">
        <f t="shared" si="25"/>
        <v/>
      </c>
      <c r="AW997" s="66"/>
      <c r="AX997" s="56"/>
    </row>
    <row r="998">
      <c r="A998" s="56"/>
      <c r="B998" s="56"/>
      <c r="C998" s="57"/>
      <c r="D998" s="57"/>
      <c r="E998" s="57"/>
      <c r="F998" s="57"/>
      <c r="G998" s="58" t="str">
        <f>if(A998,_xlfn.workday.intl(int(A998),1,"1000000",Holidays!A:A)+17/24,"")</f>
        <v/>
      </c>
      <c r="H998" s="59" t="str">
        <f t="shared" si="23"/>
        <v/>
      </c>
      <c r="I998" s="60"/>
      <c r="J998" s="61" t="str">
        <f t="shared" si="2"/>
        <v/>
      </c>
      <c r="K998" s="58" t="str">
        <f>if(G998,_xlfn.workday.intl(int(G998),0,"1000000",Holidays!A:A)+19/24,"")</f>
        <v/>
      </c>
      <c r="L998" s="59" t="str">
        <f t="shared" si="3"/>
        <v/>
      </c>
      <c r="M998" s="60"/>
      <c r="N998" s="61" t="str">
        <f t="shared" si="4"/>
        <v/>
      </c>
      <c r="O998" s="63" t="str">
        <f>if(A998,_xlfn.WORKDAY.INTL(A998,O$5,"1000000",Holidays!A:A)+hour(A998)/24+MINUTE(A998)/1440,"")</f>
        <v/>
      </c>
      <c r="P998" s="64" t="s">
        <v>2718</v>
      </c>
      <c r="R998" s="66" t="str">
        <f t="shared" si="5"/>
        <v/>
      </c>
      <c r="S998" s="66"/>
      <c r="T998" s="66"/>
      <c r="U998" s="64" t="str">
        <f>if(O998,_xlfn.WORKDAY.INTL(O998,U$5,"1000000",Holidays!A:A)+hour(O998)/24+MINUTE(O998)/1440,"")</f>
        <v/>
      </c>
      <c r="V998" s="64" t="str">
        <f t="shared" si="6"/>
        <v/>
      </c>
      <c r="W998" s="66"/>
      <c r="X998" s="66" t="str">
        <f t="shared" si="7"/>
        <v/>
      </c>
      <c r="Y998" s="66"/>
      <c r="Z998" s="66"/>
      <c r="AA998" s="66"/>
      <c r="AB998" s="63"/>
      <c r="AC998" s="63"/>
      <c r="AD998" s="63"/>
      <c r="AE998" s="63"/>
      <c r="AF998" s="63"/>
      <c r="AG998" s="63"/>
      <c r="AH998" s="63" t="str">
        <f t="shared" si="14"/>
        <v/>
      </c>
      <c r="AI998" s="63" t="str">
        <f>if(AH998,_xlfn.workday.intl(int(AH998),0,"1000000",Holidays!A:A)+18/24,"")</f>
        <v/>
      </c>
      <c r="AJ998" s="64" t="str">
        <f t="shared" si="24"/>
        <v/>
      </c>
      <c r="AL998" s="66" t="str">
        <f t="shared" si="9"/>
        <v/>
      </c>
      <c r="AM998" s="66"/>
      <c r="AN998" s="63" t="str">
        <f>if(AJ998,if(and(hour(AJ998+AN$5)&gt;11,(hour(AJ998+AN$5)&lt;20)),AJ998+AN$5,_xlfn.workday.intl(int(AJ998),1,"1000000",Holidays!A:A)+hour(AJ998+AN$5-$B$1)/24+minute(AJ998)/1440),"")</f>
        <v/>
      </c>
      <c r="AO998" s="64" t="str">
        <f t="shared" si="15"/>
        <v/>
      </c>
      <c r="AQ998" s="66" t="str">
        <f t="shared" si="16"/>
        <v/>
      </c>
      <c r="AR998" s="66"/>
      <c r="AS998" s="63" t="str">
        <f>if(AJ998,if(and(hour(AJ998+AS$5)&gt;11,(hour(AJ998+AS$5)&lt;20)),AJ998+AS$5,_xlfn.workday.intl(int(AJ998),1,"1000000",Holidays!A:A)+hour(AJ998+AS$5-$B$1)/24+minute(AJ998)/1440),"")</f>
        <v/>
      </c>
      <c r="AT998" s="64" t="str">
        <f t="shared" si="21"/>
        <v/>
      </c>
      <c r="AV998" s="66" t="str">
        <f t="shared" si="25"/>
        <v/>
      </c>
      <c r="AW998" s="66"/>
      <c r="AX998" s="56"/>
    </row>
    <row r="999">
      <c r="A999" s="56"/>
      <c r="B999" s="56"/>
      <c r="C999" s="57"/>
      <c r="D999" s="57"/>
      <c r="E999" s="57"/>
      <c r="F999" s="57"/>
      <c r="G999" s="58" t="str">
        <f>if(A999,_xlfn.workday.intl(int(A999),1,"1000000",Holidays!A:A)+17/24,"")</f>
        <v/>
      </c>
      <c r="H999" s="59" t="str">
        <f t="shared" si="23"/>
        <v/>
      </c>
      <c r="I999" s="60"/>
      <c r="J999" s="61" t="str">
        <f t="shared" si="2"/>
        <v/>
      </c>
      <c r="K999" s="58" t="str">
        <f>if(G999,_xlfn.workday.intl(int(G999),0,"1000000",Holidays!A:A)+19/24,"")</f>
        <v/>
      </c>
      <c r="L999" s="59" t="str">
        <f t="shared" si="3"/>
        <v/>
      </c>
      <c r="M999" s="60"/>
      <c r="N999" s="61" t="str">
        <f t="shared" si="4"/>
        <v/>
      </c>
      <c r="O999" s="63" t="str">
        <f>if(A999,_xlfn.WORKDAY.INTL(A999,O$5,"1000000",Holidays!A:A)+hour(A999)/24+MINUTE(A999)/1440,"")</f>
        <v/>
      </c>
      <c r="P999" s="64" t="s">
        <v>2718</v>
      </c>
      <c r="R999" s="66" t="str">
        <f t="shared" si="5"/>
        <v/>
      </c>
      <c r="S999" s="66"/>
      <c r="T999" s="66"/>
      <c r="U999" s="64" t="str">
        <f>if(O999,_xlfn.WORKDAY.INTL(O999,U$5,"1000000",Holidays!A:A)+hour(O999)/24+MINUTE(O999)/1440,"")</f>
        <v/>
      </c>
      <c r="V999" s="64" t="str">
        <f t="shared" si="6"/>
        <v/>
      </c>
      <c r="W999" s="66"/>
      <c r="X999" s="66" t="str">
        <f t="shared" si="7"/>
        <v/>
      </c>
      <c r="Y999" s="66"/>
      <c r="Z999" s="66"/>
      <c r="AA999" s="66"/>
      <c r="AB999" s="63"/>
      <c r="AC999" s="63"/>
      <c r="AD999" s="63"/>
      <c r="AE999" s="63"/>
      <c r="AF999" s="63"/>
      <c r="AG999" s="63"/>
      <c r="AH999" s="63" t="str">
        <f t="shared" si="14"/>
        <v/>
      </c>
      <c r="AI999" s="63" t="str">
        <f>if(AH999,_xlfn.workday.intl(int(AH999),0,"1000000",Holidays!A:A)+18/24,"")</f>
        <v/>
      </c>
      <c r="AJ999" s="64" t="str">
        <f t="shared" si="24"/>
        <v/>
      </c>
      <c r="AL999" s="66" t="str">
        <f t="shared" si="9"/>
        <v/>
      </c>
      <c r="AM999" s="66"/>
      <c r="AN999" s="63" t="str">
        <f>if(AJ999,if(and(hour(AJ999+AN$5)&gt;11,(hour(AJ999+AN$5)&lt;20)),AJ999+AN$5,_xlfn.workday.intl(int(AJ999),1,"1000000",Holidays!A:A)+hour(AJ999+AN$5-$B$1)/24+minute(AJ999)/1440),"")</f>
        <v/>
      </c>
      <c r="AO999" s="64" t="str">
        <f t="shared" si="15"/>
        <v/>
      </c>
      <c r="AQ999" s="66" t="str">
        <f t="shared" si="16"/>
        <v/>
      </c>
      <c r="AR999" s="66"/>
      <c r="AS999" s="63" t="str">
        <f>if(AJ999,if(and(hour(AJ999+AS$5)&gt;11,(hour(AJ999+AS$5)&lt;20)),AJ999+AS$5,_xlfn.workday.intl(int(AJ999),1,"1000000",Holidays!A:A)+hour(AJ999+AS$5-$B$1)/24+minute(AJ999)/1440),"")</f>
        <v/>
      </c>
      <c r="AT999" s="64" t="str">
        <f t="shared" si="21"/>
        <v/>
      </c>
      <c r="AV999" s="66" t="str">
        <f t="shared" si="25"/>
        <v/>
      </c>
      <c r="AW999" s="66"/>
      <c r="AX999" s="56"/>
    </row>
    <row r="1000">
      <c r="A1000" s="56"/>
      <c r="B1000" s="56"/>
      <c r="C1000" s="57"/>
      <c r="D1000" s="57"/>
      <c r="E1000" s="57"/>
      <c r="F1000" s="57"/>
      <c r="G1000" s="58" t="str">
        <f>if(A1000,_xlfn.workday.intl(int(A1000),1,"1000000",Holidays!A:A)+17/24,"")</f>
        <v/>
      </c>
      <c r="H1000" s="59" t="str">
        <f t="shared" si="23"/>
        <v/>
      </c>
      <c r="I1000" s="60"/>
      <c r="J1000" s="61" t="str">
        <f t="shared" si="2"/>
        <v/>
      </c>
      <c r="K1000" s="58" t="str">
        <f>if(G1000,_xlfn.workday.intl(int(G1000),0,"1000000",Holidays!A:A)+19/24,"")</f>
        <v/>
      </c>
      <c r="L1000" s="59" t="str">
        <f t="shared" si="3"/>
        <v/>
      </c>
      <c r="M1000" s="60"/>
      <c r="N1000" s="61" t="str">
        <f t="shared" si="4"/>
        <v/>
      </c>
      <c r="O1000" s="63" t="str">
        <f>if(A1000,_xlfn.WORKDAY.INTL(A1000,O$5,"1000000",Holidays!A:A)+hour(A1000)/24+MINUTE(A1000)/1440,"")</f>
        <v/>
      </c>
      <c r="P1000" s="64" t="s">
        <v>2718</v>
      </c>
      <c r="R1000" s="66" t="str">
        <f t="shared" si="5"/>
        <v/>
      </c>
      <c r="S1000" s="66"/>
      <c r="T1000" s="66"/>
      <c r="U1000" s="64" t="str">
        <f>if(O1000,_xlfn.WORKDAY.INTL(O1000,U$5,"1000000",Holidays!A:A)+hour(O1000)/24+MINUTE(O1000)/1440,"")</f>
        <v/>
      </c>
      <c r="V1000" s="64" t="str">
        <f t="shared" si="6"/>
        <v/>
      </c>
      <c r="W1000" s="66"/>
      <c r="X1000" s="66" t="str">
        <f t="shared" si="7"/>
        <v/>
      </c>
      <c r="Y1000" s="66"/>
      <c r="Z1000" s="66"/>
      <c r="AA1000" s="66"/>
      <c r="AB1000" s="63"/>
      <c r="AC1000" s="63"/>
      <c r="AD1000" s="63"/>
      <c r="AE1000" s="63"/>
      <c r="AF1000" s="63"/>
      <c r="AG1000" s="63"/>
      <c r="AH1000" s="63" t="str">
        <f t="shared" si="14"/>
        <v/>
      </c>
      <c r="AI1000" s="63" t="str">
        <f>if(AH1000,_xlfn.workday.intl(int(AH1000),0,"1000000",Holidays!A:A)+18/24,"")</f>
        <v/>
      </c>
      <c r="AJ1000" s="64" t="str">
        <f t="shared" si="24"/>
        <v/>
      </c>
      <c r="AL1000" s="66" t="str">
        <f t="shared" si="9"/>
        <v/>
      </c>
      <c r="AM1000" s="66"/>
      <c r="AN1000" s="63" t="str">
        <f>if(AJ1000,if(and(hour(AJ1000+AN$5)&gt;11,(hour(AJ1000+AN$5)&lt;20)),AJ1000+AN$5,_xlfn.workday.intl(int(AJ1000),1,"1000000",Holidays!A:A)+hour(AJ1000+AN$5-$B$1)/24+minute(AJ1000)/1440),"")</f>
        <v/>
      </c>
      <c r="AO1000" s="64" t="str">
        <f t="shared" si="15"/>
        <v/>
      </c>
      <c r="AQ1000" s="66" t="str">
        <f t="shared" si="16"/>
        <v/>
      </c>
      <c r="AR1000" s="66"/>
      <c r="AS1000" s="63" t="str">
        <f>if(AJ1000,if(and(hour(AJ1000+AS$5)&gt;11,(hour(AJ1000+AS$5)&lt;20)),AJ1000+AS$5,_xlfn.workday.intl(int(AJ1000),1,"1000000",Holidays!A:A)+hour(AJ1000+AS$5-$B$1)/24+minute(AJ1000)/1440),"")</f>
        <v/>
      </c>
      <c r="AT1000" s="64" t="str">
        <f t="shared" si="21"/>
        <v/>
      </c>
      <c r="AV1000" s="66" t="str">
        <f t="shared" si="25"/>
        <v/>
      </c>
      <c r="AW1000" s="66"/>
      <c r="AX1000" s="56"/>
    </row>
  </sheetData>
  <customSheetViews>
    <customSheetView guid="{5CBB6EB5-E4D6-472A-868E-A3FDF49DB9E3}" filter="1" showAutoFilter="1">
      <autoFilter ref="$A$6:$BB$207"/>
    </customSheetView>
  </customSheetViews>
  <mergeCells count="35">
    <mergeCell ref="G2:K2"/>
    <mergeCell ref="O2:T2"/>
    <mergeCell ref="U2:AA2"/>
    <mergeCell ref="AB2:AH2"/>
    <mergeCell ref="AI2:AM2"/>
    <mergeCell ref="AN2:AQ2"/>
    <mergeCell ref="AS2:AV2"/>
    <mergeCell ref="AI3:AM3"/>
    <mergeCell ref="AN3:AQ3"/>
    <mergeCell ref="AS3:AV3"/>
    <mergeCell ref="B2:F2"/>
    <mergeCell ref="B3:F3"/>
    <mergeCell ref="G3:J3"/>
    <mergeCell ref="K3:N3"/>
    <mergeCell ref="O3:T3"/>
    <mergeCell ref="U3:AA3"/>
    <mergeCell ref="AB3:AH3"/>
    <mergeCell ref="AN4:AQ4"/>
    <mergeCell ref="AS4:AV4"/>
    <mergeCell ref="B4:F4"/>
    <mergeCell ref="G4:J4"/>
    <mergeCell ref="K4:N4"/>
    <mergeCell ref="O4:T4"/>
    <mergeCell ref="U4:AA4"/>
    <mergeCell ref="AB4:AH4"/>
    <mergeCell ref="AI4:AM4"/>
    <mergeCell ref="AN5:AQ5"/>
    <mergeCell ref="AS5:AV5"/>
    <mergeCell ref="B5:F5"/>
    <mergeCell ref="G5:J5"/>
    <mergeCell ref="K5:N5"/>
    <mergeCell ref="O5:T5"/>
    <mergeCell ref="U5:AA5"/>
    <mergeCell ref="AB5:AH5"/>
    <mergeCell ref="AI5:AM5"/>
  </mergeCells>
  <conditionalFormatting sqref="N7:N1000">
    <cfRule type="expression" dxfId="0" priority="1" stopIfTrue="1">
      <formula>if(L7,if(L7&gt;K7,1,0),0)</formula>
    </cfRule>
  </conditionalFormatting>
  <conditionalFormatting sqref="AL7:AM1000">
    <cfRule type="expression" dxfId="0" priority="2" stopIfTrue="1">
      <formula>if(AJ7,if(AJ7&gt;AI7,1,0),0)</formula>
    </cfRule>
  </conditionalFormatting>
  <conditionalFormatting sqref="AL7:AM1000">
    <cfRule type="expression" dxfId="1" priority="3" stopIfTrue="1">
      <formula>if(AJ7,0,if(AI7&lt;$A$1,1,0))</formula>
    </cfRule>
  </conditionalFormatting>
  <conditionalFormatting sqref="N7:N1000">
    <cfRule type="expression" dxfId="0" priority="4" stopIfTrue="1">
      <formula>if(L7,if(L7&gt;K7,1,0),0)</formula>
    </cfRule>
  </conditionalFormatting>
  <conditionalFormatting sqref="AL7:AM1000">
    <cfRule type="expression" dxfId="0" priority="5" stopIfTrue="1">
      <formula>if(AJ7,if(AJ7&gt;AI7,1,0),0)</formula>
    </cfRule>
  </conditionalFormatting>
  <conditionalFormatting sqref="AL7:AM1000">
    <cfRule type="expression" dxfId="1" priority="6" stopIfTrue="1">
      <formula>if(AJ7,0,if(AI7&lt;$A$1,1,0))</formula>
    </cfRule>
  </conditionalFormatting>
  <conditionalFormatting sqref="AQ7:AR1000">
    <cfRule type="expression" dxfId="0" priority="7" stopIfTrue="1">
      <formula>if(AO7,if(AO7&gt;AN7,1,0),0)</formula>
    </cfRule>
  </conditionalFormatting>
  <conditionalFormatting sqref="AQ7:AR1000">
    <cfRule type="expression" dxfId="1" priority="8" stopIfTrue="1">
      <formula>if(AO7,0,if(AN7&lt;$A$1,1,0))</formula>
    </cfRule>
  </conditionalFormatting>
  <conditionalFormatting sqref="AV7:AW1000">
    <cfRule type="expression" dxfId="0" priority="9" stopIfTrue="1">
      <formula>if(AT7,if(AT7&gt;AS7,1,0),0)</formula>
    </cfRule>
  </conditionalFormatting>
  <conditionalFormatting sqref="AV7:AW1000">
    <cfRule type="expression" dxfId="1" priority="10" stopIfTrue="1">
      <formula>if(AT7,0,if(AS7&lt;$A$1,1,0))</formula>
    </cfRule>
  </conditionalFormatting>
  <conditionalFormatting sqref="J7:J1000">
    <cfRule type="expression" dxfId="0" priority="11" stopIfTrue="1">
      <formula>if(H7,if(H7&gt;G7,1,0),0)</formula>
    </cfRule>
  </conditionalFormatting>
  <conditionalFormatting sqref="J7:J1000">
    <cfRule type="expression" dxfId="1" priority="12" stopIfTrue="1">
      <formula>if(H7,0,if(G7&lt;$A$1,1,0))</formula>
    </cfRule>
  </conditionalFormatting>
  <conditionalFormatting sqref="N7:N1000">
    <cfRule type="expression" dxfId="0" priority="13" stopIfTrue="1">
      <formula>if(L7,if(L7&gt;K7,1,0),0)</formula>
    </cfRule>
  </conditionalFormatting>
  <conditionalFormatting sqref="N7:N1000">
    <cfRule type="expression" dxfId="1" priority="14" stopIfTrue="1">
      <formula>if(L7,0,if(K7&lt;$A$1,1,0))</formula>
    </cfRule>
  </conditionalFormatting>
  <conditionalFormatting sqref="AU7:AU155 AU157:AU1000">
    <cfRule type="containsText" dxfId="0" priority="15" stopIfTrue="1" operator="containsText" text="no">
      <formula>NOT(ISERROR(SEARCH(("no"),(AU7))))</formula>
    </cfRule>
  </conditionalFormatting>
  <conditionalFormatting sqref="AU7:AU155 AU157:AU1000">
    <cfRule type="containsText" dxfId="2" priority="16" stopIfTrue="1" operator="containsText" text="yes">
      <formula>NOT(ISERROR(SEARCH(("yes"),(AU7))))</formula>
    </cfRule>
  </conditionalFormatting>
  <conditionalFormatting sqref="AU8">
    <cfRule type="notContainsBlanks" dxfId="2" priority="17" stopIfTrue="1">
      <formula>LEN(TRIM(AU8))&gt;0</formula>
    </cfRule>
  </conditionalFormatting>
  <conditionalFormatting sqref="X7:X1000">
    <cfRule type="expression" dxfId="0" priority="18" stopIfTrue="1">
      <formula>if(V7,if(V7&gt;U7,1,0),0)</formula>
    </cfRule>
  </conditionalFormatting>
  <conditionalFormatting sqref="X7:X1000">
    <cfRule type="expression" dxfId="1" priority="19" stopIfTrue="1">
      <formula>if(V7,0,if(U7&lt;$A$1,1,0))</formula>
    </cfRule>
  </conditionalFormatting>
  <dataValidations>
    <dataValidation type="list" allowBlank="1" sqref="W7:W181 W183:W1000">
      <formula1>"done"</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13"/>
  </cols>
  <sheetData>
    <row r="1">
      <c r="A1" s="4" t="s">
        <v>10</v>
      </c>
      <c r="B1" s="83" t="s">
        <v>2705</v>
      </c>
      <c r="C1" s="6" t="s">
        <v>2760</v>
      </c>
      <c r="D1" s="6" t="s">
        <v>2761</v>
      </c>
      <c r="E1" s="84" t="s">
        <v>2762</v>
      </c>
    </row>
    <row r="2">
      <c r="A2" s="4" t="str">
        <f>IFERROR(__xludf.DUMMYFUNCTION("{iferror(QUERY({FMS!F7:F2004,FMS!O7:P2004},""Select Col1,Col2 , ' ""&amp;FMS!O2&amp;""' where Col2 is not null and Col3 is null label ' ""&amp;FMS!O2&amp;""' ''  "" ));iferror(QUERY({FMS!F7:F2004,FMS!U7:V2004},""Select Col1,Col2 , ' ""&amp;FMS!U2&amp;""' where Col2 is not null a"&amp;"nd Col3 is null label ' ""&amp;FMS!U2&amp;""' ''  "" ));iferror(QUERY({FMS!F7:F2004,FMS!AI7:AJ2004},""Select Col1,Col2 , ' ""&amp;FMS!AI2&amp;""' where Col2 is not null and Col3 is null label ' ""&amp;FMS!AI2&amp;""' ''  "" ));iferror(QUERY({FMS!F7:F2004,FMS!AN7:AO2004},""Select"&amp;" Col1,Col2 , ' ""&amp;FMS!AN2&amp;""' where Col2 is not null and Col3 is null label ' ""&amp;FMS!AN2&amp;""' ''  "" ));iferror(QUERY({FMS!F7:F2004,FMS!AS7:AT2004},""Select Col1,Col2 , ' ""&amp;FMS!AS2&amp;""' where Col2 is not null and Col3 is null label ' ""&amp;FMS!AS2&amp;""' ''  "" "&amp;"))}"),"")</f>
        <v/>
      </c>
      <c r="B2" s="85">
        <f>IFERROR(__xludf.DUMMYFUNCTION("""COMPUTED_VALUE"""),44628.50208333333)</f>
        <v>44628.50208</v>
      </c>
      <c r="C2" s="4" t="str">
        <f>IFERROR(__xludf.DUMMYFUNCTION("""COMPUTED_VALUE""")," Enquire &amp; Coordinate with client")</f>
        <v> Enquire &amp; Coordinate with client</v>
      </c>
      <c r="D2" s="4" t="str">
        <f>IFERROR(__xludf.DUMMYFUNCTION("FILTER(FMS!F7:F2004,FMS!AU7:AU2004=""Yes"")"),"")</f>
        <v/>
      </c>
      <c r="E2" s="86" t="str">
        <f>IFERROR(__xludf.DUMMYFUNCTION("FILTER(FMS!C7:C2004,FMS!C7:C2004&lt;&gt;"""")"),"#N/A")</f>
        <v>#N/A</v>
      </c>
    </row>
    <row r="3">
      <c r="A3" s="4"/>
      <c r="B3" s="85">
        <f>IFERROR(__xludf.DUMMYFUNCTION("""COMPUTED_VALUE"""),44628.66805555555)</f>
        <v>44628.66806</v>
      </c>
      <c r="C3" s="4" t="str">
        <f>IFERROR(__xludf.DUMMYFUNCTION("""COMPUTED_VALUE""")," Enquire &amp; Coordinate with client")</f>
        <v> Enquire &amp; Coordinate with client</v>
      </c>
      <c r="D3" s="4"/>
      <c r="E3" s="86"/>
    </row>
    <row r="4">
      <c r="A4" s="4"/>
      <c r="B4" s="85">
        <f>IFERROR(__xludf.DUMMYFUNCTION("""COMPUTED_VALUE"""),44628.66875)</f>
        <v>44628.66875</v>
      </c>
      <c r="C4" s="4" t="str">
        <f>IFERROR(__xludf.DUMMYFUNCTION("""COMPUTED_VALUE""")," Enquire &amp; Coordinate with client")</f>
        <v> Enquire &amp; Coordinate with client</v>
      </c>
      <c r="D4" s="4"/>
      <c r="E4" s="86"/>
    </row>
    <row r="5">
      <c r="A5" s="4"/>
      <c r="B5" s="85">
        <f>IFERROR(__xludf.DUMMYFUNCTION("""COMPUTED_VALUE"""),44628.67083333334)</f>
        <v>44628.67083</v>
      </c>
      <c r="C5" s="4" t="str">
        <f>IFERROR(__xludf.DUMMYFUNCTION("""COMPUTED_VALUE""")," Enquire &amp; Coordinate with client")</f>
        <v> Enquire &amp; Coordinate with client</v>
      </c>
      <c r="D5" s="4"/>
      <c r="E5" s="86"/>
    </row>
    <row r="6">
      <c r="A6" s="4"/>
      <c r="B6" s="85">
        <f>IFERROR(__xludf.DUMMYFUNCTION("""COMPUTED_VALUE"""),44636.72152777778)</f>
        <v>44636.72153</v>
      </c>
      <c r="C6" s="4" t="str">
        <f>IFERROR(__xludf.DUMMYFUNCTION("""COMPUTED_VALUE""")," Enquire &amp; Coordinate with client")</f>
        <v> Enquire &amp; Coordinate with client</v>
      </c>
      <c r="D6" s="4"/>
      <c r="E6" s="86"/>
    </row>
    <row r="7">
      <c r="A7" s="4"/>
      <c r="B7" s="85">
        <f>IFERROR(__xludf.DUMMYFUNCTION("""COMPUTED_VALUE"""),44637.49722222222)</f>
        <v>44637.49722</v>
      </c>
      <c r="C7" s="4" t="str">
        <f>IFERROR(__xludf.DUMMYFUNCTION("""COMPUTED_VALUE""")," Enquire &amp; Coordinate with client")</f>
        <v> Enquire &amp; Coordinate with client</v>
      </c>
      <c r="D7" s="4"/>
      <c r="E7" s="86"/>
    </row>
    <row r="8">
      <c r="A8" s="4"/>
      <c r="B8" s="85">
        <f>IFERROR(__xludf.DUMMYFUNCTION("""COMPUTED_VALUE"""),44637.50138888889)</f>
        <v>44637.50139</v>
      </c>
      <c r="C8" s="4" t="str">
        <f>IFERROR(__xludf.DUMMYFUNCTION("""COMPUTED_VALUE""")," Enquire &amp; Coordinate with client")</f>
        <v> Enquire &amp; Coordinate with client</v>
      </c>
      <c r="D8" s="4"/>
      <c r="E8" s="86"/>
    </row>
    <row r="9">
      <c r="A9" s="4"/>
      <c r="B9" s="85">
        <f>IFERROR(__xludf.DUMMYFUNCTION("""COMPUTED_VALUE"""),44637.50902777778)</f>
        <v>44637.50903</v>
      </c>
      <c r="C9" s="4" t="str">
        <f>IFERROR(__xludf.DUMMYFUNCTION("""COMPUTED_VALUE""")," Enquire &amp; Coordinate with client")</f>
        <v> Enquire &amp; Coordinate with client</v>
      </c>
      <c r="D9" s="4"/>
      <c r="E9" s="86"/>
    </row>
    <row r="10">
      <c r="A10" s="4"/>
      <c r="B10" s="85">
        <f>IFERROR(__xludf.DUMMYFUNCTION("""COMPUTED_VALUE"""),44644.68819444445)</f>
        <v>44644.68819</v>
      </c>
      <c r="C10" s="4" t="str">
        <f>IFERROR(__xludf.DUMMYFUNCTION("""COMPUTED_VALUE""")," Enquire &amp; Coordinate with client")</f>
        <v> Enquire &amp; Coordinate with client</v>
      </c>
      <c r="D10" s="4"/>
      <c r="E10" s="86"/>
    </row>
    <row r="11">
      <c r="A11" s="4"/>
      <c r="B11" s="85">
        <f>IFERROR(__xludf.DUMMYFUNCTION("""COMPUTED_VALUE"""),44644.68958333333)</f>
        <v>44644.68958</v>
      </c>
      <c r="C11" s="4" t="str">
        <f>IFERROR(__xludf.DUMMYFUNCTION("""COMPUTED_VALUE""")," Enquire &amp; Coordinate with client")</f>
        <v> Enquire &amp; Coordinate with client</v>
      </c>
      <c r="D11" s="4"/>
      <c r="E11" s="86"/>
    </row>
    <row r="12">
      <c r="A12" s="4"/>
      <c r="B12" s="85">
        <f>IFERROR(__xludf.DUMMYFUNCTION("""COMPUTED_VALUE"""),44644.69097222222)</f>
        <v>44644.69097</v>
      </c>
      <c r="C12" s="4" t="str">
        <f>IFERROR(__xludf.DUMMYFUNCTION("""COMPUTED_VALUE""")," Enquire &amp; Coordinate with client")</f>
        <v> Enquire &amp; Coordinate with client</v>
      </c>
      <c r="D12" s="4"/>
      <c r="E12" s="86"/>
    </row>
    <row r="13">
      <c r="A13" s="4"/>
      <c r="B13" s="85">
        <f>IFERROR(__xludf.DUMMYFUNCTION("""COMPUTED_VALUE"""),44644.691666666666)</f>
        <v>44644.69167</v>
      </c>
      <c r="C13" s="4" t="str">
        <f>IFERROR(__xludf.DUMMYFUNCTION("""COMPUTED_VALUE""")," Enquire &amp; Coordinate with client")</f>
        <v> Enquire &amp; Coordinate with client</v>
      </c>
      <c r="D13" s="4"/>
      <c r="E13" s="86"/>
    </row>
    <row r="14">
      <c r="A14" s="4"/>
      <c r="B14" s="85">
        <f>IFERROR(__xludf.DUMMYFUNCTION("""COMPUTED_VALUE"""),44644.69305555556)</f>
        <v>44644.69306</v>
      </c>
      <c r="C14" s="4" t="str">
        <f>IFERROR(__xludf.DUMMYFUNCTION("""COMPUTED_VALUE""")," Enquire &amp; Coordinate with client")</f>
        <v> Enquire &amp; Coordinate with client</v>
      </c>
      <c r="D14" s="4"/>
      <c r="E14" s="86"/>
    </row>
    <row r="15">
      <c r="A15" s="4"/>
      <c r="B15" s="85">
        <f>IFERROR(__xludf.DUMMYFUNCTION("""COMPUTED_VALUE"""),44646.58263888889)</f>
        <v>44646.58264</v>
      </c>
      <c r="C15" s="4" t="str">
        <f>IFERROR(__xludf.DUMMYFUNCTION("""COMPUTED_VALUE""")," Enquire &amp; Coordinate with client")</f>
        <v> Enquire &amp; Coordinate with client</v>
      </c>
      <c r="D15" s="4"/>
      <c r="E15" s="86"/>
    </row>
    <row r="16">
      <c r="A16" s="4"/>
      <c r="B16" s="85">
        <f>IFERROR(__xludf.DUMMYFUNCTION("""COMPUTED_VALUE"""),44679.49097222222)</f>
        <v>44679.49097</v>
      </c>
      <c r="C16" s="4" t="str">
        <f>IFERROR(__xludf.DUMMYFUNCTION("""COMPUTED_VALUE""")," Enquire &amp; Coordinate with client")</f>
        <v> Enquire &amp; Coordinate with client</v>
      </c>
      <c r="D16" s="4"/>
      <c r="E16" s="86"/>
    </row>
    <row r="17">
      <c r="A17" s="4"/>
      <c r="B17" s="85">
        <f>IFERROR(__xludf.DUMMYFUNCTION("""COMPUTED_VALUE"""),44681.73888888889)</f>
        <v>44681.73889</v>
      </c>
      <c r="C17" s="4" t="str">
        <f>IFERROR(__xludf.DUMMYFUNCTION("""COMPUTED_VALUE""")," Enquire &amp; Coordinate with client")</f>
        <v> Enquire &amp; Coordinate with client</v>
      </c>
      <c r="D17" s="4"/>
      <c r="E17" s="86"/>
    </row>
    <row r="18">
      <c r="A18" s="4"/>
      <c r="B18" s="85">
        <f>IFERROR(__xludf.DUMMYFUNCTION("""COMPUTED_VALUE"""),44685.61041666666)</f>
        <v>44685.61042</v>
      </c>
      <c r="C18" s="4" t="str">
        <f>IFERROR(__xludf.DUMMYFUNCTION("""COMPUTED_VALUE""")," Enquire &amp; Coordinate with client")</f>
        <v> Enquire &amp; Coordinate with client</v>
      </c>
      <c r="D18" s="4"/>
      <c r="E18" s="86"/>
    </row>
    <row r="19">
      <c r="A19" s="4"/>
      <c r="B19" s="85">
        <f>IFERROR(__xludf.DUMMYFUNCTION("""COMPUTED_VALUE"""),44686.48888888889)</f>
        <v>44686.48889</v>
      </c>
      <c r="C19" s="4" t="str">
        <f>IFERROR(__xludf.DUMMYFUNCTION("""COMPUTED_VALUE""")," Enquire &amp; Coordinate with client")</f>
        <v> Enquire &amp; Coordinate with client</v>
      </c>
      <c r="D19" s="4"/>
      <c r="E19" s="86"/>
    </row>
    <row r="20">
      <c r="A20" s="4"/>
      <c r="B20" s="85">
        <f>IFERROR(__xludf.DUMMYFUNCTION("""COMPUTED_VALUE"""),44695.48958333333)</f>
        <v>44695.48958</v>
      </c>
      <c r="C20" s="4" t="str">
        <f>IFERROR(__xludf.DUMMYFUNCTION("""COMPUTED_VALUE""")," Enquire &amp; Coordinate with client")</f>
        <v> Enquire &amp; Coordinate with client</v>
      </c>
      <c r="D20" s="4"/>
      <c r="E20" s="86"/>
    </row>
    <row r="21">
      <c r="A21" s="4"/>
      <c r="B21" s="85">
        <f>IFERROR(__xludf.DUMMYFUNCTION("""COMPUTED_VALUE"""),44710.648611111115)</f>
        <v>44710.64861</v>
      </c>
      <c r="C21" s="4" t="str">
        <f>IFERROR(__xludf.DUMMYFUNCTION("""COMPUTED_VALUE""")," Enquire &amp; Coordinate with client")</f>
        <v> Enquire &amp; Coordinate with client</v>
      </c>
      <c r="D21" s="4"/>
      <c r="E21" s="86"/>
    </row>
    <row r="22">
      <c r="A22" s="4"/>
      <c r="B22" s="85">
        <f>IFERROR(__xludf.DUMMYFUNCTION("""COMPUTED_VALUE"""),44712.5125)</f>
        <v>44712.5125</v>
      </c>
      <c r="C22" s="4" t="str">
        <f>IFERROR(__xludf.DUMMYFUNCTION("""COMPUTED_VALUE""")," Enquire &amp; Coordinate with client")</f>
        <v> Enquire &amp; Coordinate with client</v>
      </c>
      <c r="D22" s="4"/>
      <c r="E22" s="86"/>
    </row>
    <row r="23">
      <c r="A23" s="4"/>
      <c r="B23" s="85">
        <f>IFERROR(__xludf.DUMMYFUNCTION("""COMPUTED_VALUE"""),44712.51458333334)</f>
        <v>44712.51458</v>
      </c>
      <c r="C23" s="4" t="str">
        <f>IFERROR(__xludf.DUMMYFUNCTION("""COMPUTED_VALUE""")," Enquire &amp; Coordinate with client")</f>
        <v> Enquire &amp; Coordinate with client</v>
      </c>
      <c r="D23" s="4"/>
      <c r="E23" s="86"/>
    </row>
    <row r="24">
      <c r="A24" s="4"/>
      <c r="B24" s="85">
        <f>IFERROR(__xludf.DUMMYFUNCTION("""COMPUTED_VALUE"""),44721.52013888889)</f>
        <v>44721.52014</v>
      </c>
      <c r="C24" s="4" t="str">
        <f>IFERROR(__xludf.DUMMYFUNCTION("""COMPUTED_VALUE""")," Enquire &amp; Coordinate with client")</f>
        <v> Enquire &amp; Coordinate with client</v>
      </c>
      <c r="D24" s="4"/>
      <c r="E24" s="86"/>
    </row>
    <row r="25">
      <c r="A25" s="4"/>
      <c r="B25" s="85">
        <f>IFERROR(__xludf.DUMMYFUNCTION("""COMPUTED_VALUE"""),44727.54166666667)</f>
        <v>44727.54167</v>
      </c>
      <c r="C25" s="4" t="str">
        <f>IFERROR(__xludf.DUMMYFUNCTION("""COMPUTED_VALUE""")," Enquire &amp; Coordinate with client")</f>
        <v> Enquire &amp; Coordinate with client</v>
      </c>
      <c r="D25" s="4"/>
      <c r="E25" s="86"/>
    </row>
    <row r="26">
      <c r="A26" s="4"/>
      <c r="B26" s="85">
        <f>IFERROR(__xludf.DUMMYFUNCTION("""COMPUTED_VALUE"""),44728.56736111111)</f>
        <v>44728.56736</v>
      </c>
      <c r="C26" s="4" t="str">
        <f>IFERROR(__xludf.DUMMYFUNCTION("""COMPUTED_VALUE""")," Enquire &amp; Coordinate with client")</f>
        <v> Enquire &amp; Coordinate with client</v>
      </c>
      <c r="D26" s="4"/>
      <c r="E26" s="86"/>
    </row>
    <row r="27">
      <c r="A27" s="4"/>
      <c r="B27" s="85">
        <f>IFERROR(__xludf.DUMMYFUNCTION("""COMPUTED_VALUE"""),44731.70277777778)</f>
        <v>44731.70278</v>
      </c>
      <c r="C27" s="4" t="str">
        <f>IFERROR(__xludf.DUMMYFUNCTION("""COMPUTED_VALUE""")," Enquire &amp; Coordinate with client")</f>
        <v> Enquire &amp; Coordinate with client</v>
      </c>
      <c r="D27" s="4"/>
      <c r="E27" s="86"/>
    </row>
    <row r="28">
      <c r="A28" s="4"/>
      <c r="B28" s="85">
        <f>IFERROR(__xludf.DUMMYFUNCTION("""COMPUTED_VALUE"""),44731.705555555556)</f>
        <v>44731.70556</v>
      </c>
      <c r="C28" s="4" t="str">
        <f>IFERROR(__xludf.DUMMYFUNCTION("""COMPUTED_VALUE""")," Enquire &amp; Coordinate with client")</f>
        <v> Enquire &amp; Coordinate with client</v>
      </c>
      <c r="D28" s="4"/>
      <c r="E28" s="86"/>
    </row>
    <row r="29">
      <c r="A29" s="4"/>
      <c r="B29" s="85">
        <f>IFERROR(__xludf.DUMMYFUNCTION("""COMPUTED_VALUE"""),44731.714583333334)</f>
        <v>44731.71458</v>
      </c>
      <c r="C29" s="4" t="str">
        <f>IFERROR(__xludf.DUMMYFUNCTION("""COMPUTED_VALUE""")," Enquire &amp; Coordinate with client")</f>
        <v> Enquire &amp; Coordinate with client</v>
      </c>
      <c r="D29" s="4"/>
      <c r="E29" s="86"/>
    </row>
    <row r="30">
      <c r="A30" s="4"/>
      <c r="B30" s="85">
        <f>IFERROR(__xludf.DUMMYFUNCTION("""COMPUTED_VALUE"""),44769.49097222222)</f>
        <v>44769.49097</v>
      </c>
      <c r="C30" s="4" t="str">
        <f>IFERROR(__xludf.DUMMYFUNCTION("""COMPUTED_VALUE""")," Enquire &amp; Coordinate with client")</f>
        <v> Enquire &amp; Coordinate with client</v>
      </c>
      <c r="D30" s="4"/>
      <c r="E30" s="86"/>
    </row>
    <row r="31">
      <c r="A31" s="4"/>
      <c r="B31" s="85">
        <f>IFERROR(__xludf.DUMMYFUNCTION("""COMPUTED_VALUE"""),44784.66180555556)</f>
        <v>44784.66181</v>
      </c>
      <c r="C31" s="4" t="str">
        <f>IFERROR(__xludf.DUMMYFUNCTION("""COMPUTED_VALUE""")," Enquire &amp; Coordinate with client")</f>
        <v> Enquire &amp; Coordinate with client</v>
      </c>
      <c r="D31" s="4"/>
      <c r="E31" s="86"/>
    </row>
    <row r="32">
      <c r="A32" s="4"/>
      <c r="B32" s="85">
        <f>IFERROR(__xludf.DUMMYFUNCTION("""COMPUTED_VALUE"""),44791.47083333333)</f>
        <v>44791.47083</v>
      </c>
      <c r="C32" s="4" t="str">
        <f>IFERROR(__xludf.DUMMYFUNCTION("""COMPUTED_VALUE""")," Enquire &amp; Coordinate with client")</f>
        <v> Enquire &amp; Coordinate with client</v>
      </c>
      <c r="D32" s="4"/>
      <c r="E32" s="86"/>
    </row>
    <row r="33">
      <c r="A33" s="4"/>
      <c r="B33" s="85">
        <f>IFERROR(__xludf.DUMMYFUNCTION("""COMPUTED_VALUE"""),44794.59652777778)</f>
        <v>44794.59653</v>
      </c>
      <c r="C33" s="4" t="str">
        <f>IFERROR(__xludf.DUMMYFUNCTION("""COMPUTED_VALUE""")," Enquire &amp; Coordinate with client")</f>
        <v> Enquire &amp; Coordinate with client</v>
      </c>
      <c r="D33" s="4"/>
      <c r="E33" s="86"/>
    </row>
    <row r="34">
      <c r="A34" s="4"/>
      <c r="B34" s="85">
        <f>IFERROR(__xludf.DUMMYFUNCTION("""COMPUTED_VALUE"""),44811.65555555555)</f>
        <v>44811.65556</v>
      </c>
      <c r="C34" s="4" t="str">
        <f>IFERROR(__xludf.DUMMYFUNCTION("""COMPUTED_VALUE""")," Enquire &amp; Coordinate with client")</f>
        <v> Enquire &amp; Coordinate with client</v>
      </c>
      <c r="D34" s="4"/>
      <c r="E34" s="86"/>
    </row>
    <row r="35">
      <c r="A35" s="4"/>
      <c r="B35" s="85">
        <f>IFERROR(__xludf.DUMMYFUNCTION("""COMPUTED_VALUE"""),44813.57152777778)</f>
        <v>44813.57153</v>
      </c>
      <c r="C35" s="4" t="str">
        <f>IFERROR(__xludf.DUMMYFUNCTION("""COMPUTED_VALUE""")," Enquire &amp; Coordinate with client")</f>
        <v> Enquire &amp; Coordinate with client</v>
      </c>
      <c r="D35" s="4"/>
      <c r="E35" s="86"/>
    </row>
    <row r="36">
      <c r="A36" s="4"/>
      <c r="B36" s="85">
        <f>IFERROR(__xludf.DUMMYFUNCTION("""COMPUTED_VALUE"""),44834.77916666667)</f>
        <v>44834.77917</v>
      </c>
      <c r="C36" s="4" t="str">
        <f>IFERROR(__xludf.DUMMYFUNCTION("""COMPUTED_VALUE""")," Enquire &amp; Coordinate with client")</f>
        <v> Enquire &amp; Coordinate with client</v>
      </c>
      <c r="D36" s="4"/>
      <c r="E36" s="86"/>
    </row>
    <row r="37">
      <c r="A37" s="4"/>
      <c r="B37" s="85">
        <f>IFERROR(__xludf.DUMMYFUNCTION("""COMPUTED_VALUE"""),44836.48402777778)</f>
        <v>44836.48403</v>
      </c>
      <c r="C37" s="4" t="str">
        <f>IFERROR(__xludf.DUMMYFUNCTION("""COMPUTED_VALUE""")," Enquire &amp; Coordinate with client")</f>
        <v> Enquire &amp; Coordinate with client</v>
      </c>
      <c r="D37" s="4"/>
      <c r="E37" s="86"/>
    </row>
    <row r="38">
      <c r="A38" s="4"/>
      <c r="B38" s="85">
        <f>IFERROR(__xludf.DUMMYFUNCTION("""COMPUTED_VALUE"""),44843.48541666666)</f>
        <v>44843.48542</v>
      </c>
      <c r="C38" s="4" t="str">
        <f>IFERROR(__xludf.DUMMYFUNCTION("""COMPUTED_VALUE""")," Enquire &amp; Coordinate with client")</f>
        <v> Enquire &amp; Coordinate with client</v>
      </c>
      <c r="D38" s="4"/>
      <c r="E38" s="86"/>
    </row>
    <row r="39">
      <c r="A39" s="4"/>
      <c r="B39" s="85">
        <f>IFERROR(__xludf.DUMMYFUNCTION("""COMPUTED_VALUE"""),44845.777083333334)</f>
        <v>44845.77708</v>
      </c>
      <c r="C39" s="4" t="str">
        <f>IFERROR(__xludf.DUMMYFUNCTION("""COMPUTED_VALUE""")," Enquire &amp; Coordinate with client")</f>
        <v> Enquire &amp; Coordinate with client</v>
      </c>
      <c r="D39" s="4"/>
      <c r="E39" s="86"/>
    </row>
    <row r="40">
      <c r="A40" s="4"/>
      <c r="B40" s="85">
        <f>IFERROR(__xludf.DUMMYFUNCTION("""COMPUTED_VALUE"""),44856.43402777778)</f>
        <v>44856.43403</v>
      </c>
      <c r="C40" s="4" t="str">
        <f>IFERROR(__xludf.DUMMYFUNCTION("""COMPUTED_VALUE""")," Enquire &amp; Coordinate with client")</f>
        <v> Enquire &amp; Coordinate with client</v>
      </c>
      <c r="D40" s="4"/>
      <c r="E40" s="86"/>
    </row>
    <row r="41">
      <c r="A41" s="4"/>
      <c r="B41" s="85">
        <f>IFERROR(__xludf.DUMMYFUNCTION("""COMPUTED_VALUE"""),44866.78680555556)</f>
        <v>44866.78681</v>
      </c>
      <c r="C41" s="4" t="str">
        <f>IFERROR(__xludf.DUMMYFUNCTION("""COMPUTED_VALUE""")," Enquire &amp; Coordinate with client")</f>
        <v> Enquire &amp; Coordinate with client</v>
      </c>
      <c r="D41" s="4"/>
      <c r="E41" s="86"/>
    </row>
    <row r="42">
      <c r="A42" s="4"/>
      <c r="B42" s="85">
        <f>IFERROR(__xludf.DUMMYFUNCTION("""COMPUTED_VALUE"""),44867.70138888889)</f>
        <v>44867.70139</v>
      </c>
      <c r="C42" s="4" t="str">
        <f>IFERROR(__xludf.DUMMYFUNCTION("""COMPUTED_VALUE""")," Enquire &amp; Coordinate with client")</f>
        <v> Enquire &amp; Coordinate with client</v>
      </c>
      <c r="D42" s="4"/>
      <c r="E42" s="86"/>
    </row>
    <row r="43">
      <c r="A43" s="4"/>
      <c r="B43" s="85">
        <f>IFERROR(__xludf.DUMMYFUNCTION("""COMPUTED_VALUE"""),44870.475694444445)</f>
        <v>44870.47569</v>
      </c>
      <c r="C43" s="4" t="str">
        <f>IFERROR(__xludf.DUMMYFUNCTION("""COMPUTED_VALUE""")," Enquire &amp; Coordinate with client")</f>
        <v> Enquire &amp; Coordinate with client</v>
      </c>
      <c r="D43" s="4"/>
      <c r="E43" s="86"/>
    </row>
    <row r="44">
      <c r="A44" s="4"/>
      <c r="B44" s="85">
        <f>IFERROR(__xludf.DUMMYFUNCTION("""COMPUTED_VALUE"""),44870.47708333333)</f>
        <v>44870.47708</v>
      </c>
      <c r="C44" s="4" t="str">
        <f>IFERROR(__xludf.DUMMYFUNCTION("""COMPUTED_VALUE""")," Enquire &amp; Coordinate with client")</f>
        <v> Enquire &amp; Coordinate with client</v>
      </c>
      <c r="D44" s="4"/>
      <c r="E44" s="86"/>
    </row>
    <row r="45">
      <c r="A45" s="4"/>
      <c r="B45" s="85">
        <f>IFERROR(__xludf.DUMMYFUNCTION("""COMPUTED_VALUE"""),44870.478472222225)</f>
        <v>44870.47847</v>
      </c>
      <c r="C45" s="4" t="str">
        <f>IFERROR(__xludf.DUMMYFUNCTION("""COMPUTED_VALUE""")," Enquire &amp; Coordinate with client")</f>
        <v> Enquire &amp; Coordinate with client</v>
      </c>
      <c r="D45" s="4"/>
      <c r="E45" s="86"/>
    </row>
    <row r="46">
      <c r="A46" s="4"/>
      <c r="B46" s="85">
        <f>IFERROR(__xludf.DUMMYFUNCTION("""COMPUTED_VALUE"""),44870.48263888889)</f>
        <v>44870.48264</v>
      </c>
      <c r="C46" s="4" t="str">
        <f>IFERROR(__xludf.DUMMYFUNCTION("""COMPUTED_VALUE""")," Enquire &amp; Coordinate with client")</f>
        <v> Enquire &amp; Coordinate with client</v>
      </c>
      <c r="D46" s="4"/>
      <c r="E46" s="86"/>
    </row>
    <row r="47">
      <c r="A47" s="4"/>
      <c r="B47" s="85">
        <f>IFERROR(__xludf.DUMMYFUNCTION("""COMPUTED_VALUE"""),44874.506944444445)</f>
        <v>44874.50694</v>
      </c>
      <c r="C47" s="4" t="str">
        <f>IFERROR(__xludf.DUMMYFUNCTION("""COMPUTED_VALUE""")," Enquire &amp; Coordinate with client")</f>
        <v> Enquire &amp; Coordinate with client</v>
      </c>
      <c r="D47" s="4"/>
      <c r="E47" s="86"/>
    </row>
    <row r="48">
      <c r="A48" s="4"/>
      <c r="B48" s="85">
        <f>IFERROR(__xludf.DUMMYFUNCTION("""COMPUTED_VALUE"""),44874.50833333333)</f>
        <v>44874.50833</v>
      </c>
      <c r="C48" s="4" t="str">
        <f>IFERROR(__xludf.DUMMYFUNCTION("""COMPUTED_VALUE""")," Enquire &amp; Coordinate with client")</f>
        <v> Enquire &amp; Coordinate with client</v>
      </c>
      <c r="D48" s="4"/>
      <c r="E48" s="86"/>
    </row>
    <row r="49">
      <c r="A49" s="4"/>
      <c r="B49" s="85">
        <f>IFERROR(__xludf.DUMMYFUNCTION("""COMPUTED_VALUE"""),44874.50902777778)</f>
        <v>44874.50903</v>
      </c>
      <c r="C49" s="4" t="str">
        <f>IFERROR(__xludf.DUMMYFUNCTION("""COMPUTED_VALUE""")," Enquire &amp; Coordinate with client")</f>
        <v> Enquire &amp; Coordinate with client</v>
      </c>
      <c r="D49" s="4"/>
      <c r="E49" s="86"/>
    </row>
    <row r="50">
      <c r="A50" s="4"/>
      <c r="B50" s="85">
        <f>IFERROR(__xludf.DUMMYFUNCTION("""COMPUTED_VALUE"""),44874.52291666667)</f>
        <v>44874.52292</v>
      </c>
      <c r="C50" s="4" t="str">
        <f>IFERROR(__xludf.DUMMYFUNCTION("""COMPUTED_VALUE""")," Enquire &amp; Coordinate with client")</f>
        <v> Enquire &amp; Coordinate with client</v>
      </c>
      <c r="D50" s="4"/>
      <c r="E50" s="86"/>
    </row>
    <row r="51">
      <c r="A51" s="4"/>
      <c r="B51" s="85">
        <f>IFERROR(__xludf.DUMMYFUNCTION("""COMPUTED_VALUE"""),44877.55208333333)</f>
        <v>44877.55208</v>
      </c>
      <c r="C51" s="4" t="str">
        <f>IFERROR(__xludf.DUMMYFUNCTION("""COMPUTED_VALUE""")," Enquire &amp; Coordinate with client")</f>
        <v> Enquire &amp; Coordinate with client</v>
      </c>
      <c r="D51" s="4"/>
      <c r="E51" s="86"/>
    </row>
    <row r="52">
      <c r="A52" s="4"/>
      <c r="B52" s="85">
        <f>IFERROR(__xludf.DUMMYFUNCTION("""COMPUTED_VALUE"""),44881.771527777775)</f>
        <v>44881.77153</v>
      </c>
      <c r="C52" s="4" t="str">
        <f>IFERROR(__xludf.DUMMYFUNCTION("""COMPUTED_VALUE""")," Enquire &amp; Coordinate with client")</f>
        <v> Enquire &amp; Coordinate with client</v>
      </c>
      <c r="D52" s="4"/>
      <c r="E52" s="86"/>
    </row>
    <row r="53">
      <c r="A53" s="4"/>
      <c r="B53" s="85">
        <f>IFERROR(__xludf.DUMMYFUNCTION("""COMPUTED_VALUE"""),44885.55902777778)</f>
        <v>44885.55903</v>
      </c>
      <c r="C53" s="4" t="str">
        <f>IFERROR(__xludf.DUMMYFUNCTION("""COMPUTED_VALUE""")," Enquire &amp; Coordinate with client")</f>
        <v> Enquire &amp; Coordinate with client</v>
      </c>
      <c r="D53" s="4"/>
      <c r="E53" s="86"/>
    </row>
    <row r="54">
      <c r="A54" s="4"/>
      <c r="B54" s="85">
        <f>IFERROR(__xludf.DUMMYFUNCTION("""COMPUTED_VALUE"""),44885.57083333333)</f>
        <v>44885.57083</v>
      </c>
      <c r="C54" s="4" t="str">
        <f>IFERROR(__xludf.DUMMYFUNCTION("""COMPUTED_VALUE""")," Enquire &amp; Coordinate with client")</f>
        <v> Enquire &amp; Coordinate with client</v>
      </c>
      <c r="D54" s="4"/>
      <c r="E54" s="86"/>
    </row>
    <row r="55">
      <c r="A55" s="4"/>
      <c r="B55" s="85">
        <f>IFERROR(__xludf.DUMMYFUNCTION("""COMPUTED_VALUE"""),44925.70694444445)</f>
        <v>44925.70694</v>
      </c>
      <c r="C55" s="4" t="str">
        <f>IFERROR(__xludf.DUMMYFUNCTION("""COMPUTED_VALUE""")," Enquire &amp; Coordinate with client")</f>
        <v> Enquire &amp; Coordinate with client</v>
      </c>
      <c r="D55" s="4"/>
      <c r="E55" s="86"/>
    </row>
    <row r="56">
      <c r="A56" s="4"/>
      <c r="B56" s="85">
        <f>IFERROR(__xludf.DUMMYFUNCTION("""COMPUTED_VALUE"""),44929.57708333334)</f>
        <v>44929.57708</v>
      </c>
      <c r="C56" s="4" t="str">
        <f>IFERROR(__xludf.DUMMYFUNCTION("""COMPUTED_VALUE""")," Enquire &amp; Coordinate with client")</f>
        <v> Enquire &amp; Coordinate with client</v>
      </c>
      <c r="D56" s="4"/>
      <c r="E56" s="86"/>
    </row>
    <row r="57">
      <c r="A57" s="4"/>
      <c r="B57" s="85">
        <f>IFERROR(__xludf.DUMMYFUNCTION("""COMPUTED_VALUE"""),44929.57986111111)</f>
        <v>44929.57986</v>
      </c>
      <c r="C57" s="4" t="str">
        <f>IFERROR(__xludf.DUMMYFUNCTION("""COMPUTED_VALUE""")," Enquire &amp; Coordinate with client")</f>
        <v> Enquire &amp; Coordinate with client</v>
      </c>
      <c r="D57" s="4"/>
      <c r="E57" s="86"/>
    </row>
    <row r="58">
      <c r="A58" s="4"/>
      <c r="B58" s="85">
        <f>IFERROR(__xludf.DUMMYFUNCTION("""COMPUTED_VALUE"""),44937.46319444444)</f>
        <v>44937.46319</v>
      </c>
      <c r="C58" s="4" t="str">
        <f>IFERROR(__xludf.DUMMYFUNCTION("""COMPUTED_VALUE""")," Enquire &amp; Coordinate with client")</f>
        <v> Enquire &amp; Coordinate with client</v>
      </c>
      <c r="D58" s="4"/>
      <c r="E58" s="86"/>
    </row>
    <row r="59">
      <c r="A59" s="4"/>
      <c r="B59" s="85">
        <f>IFERROR(__xludf.DUMMYFUNCTION("""COMPUTED_VALUE"""),44937.46388888889)</f>
        <v>44937.46389</v>
      </c>
      <c r="C59" s="4" t="str">
        <f>IFERROR(__xludf.DUMMYFUNCTION("""COMPUTED_VALUE""")," Enquire &amp; Coordinate with client")</f>
        <v> Enquire &amp; Coordinate with client</v>
      </c>
      <c r="D59" s="4"/>
      <c r="E59" s="86"/>
    </row>
    <row r="60">
      <c r="A60" s="4"/>
      <c r="B60" s="85">
        <f>IFERROR(__xludf.DUMMYFUNCTION("""COMPUTED_VALUE"""),44937.46527777778)</f>
        <v>44937.46528</v>
      </c>
      <c r="C60" s="4" t="str">
        <f>IFERROR(__xludf.DUMMYFUNCTION("""COMPUTED_VALUE""")," Enquire &amp; Coordinate with client")</f>
        <v> Enquire &amp; Coordinate with client</v>
      </c>
      <c r="D60" s="4"/>
      <c r="E60" s="86"/>
    </row>
    <row r="61">
      <c r="A61" s="4"/>
      <c r="B61" s="85">
        <f>IFERROR(__xludf.DUMMYFUNCTION("""COMPUTED_VALUE"""),44937.51944444445)</f>
        <v>44937.51944</v>
      </c>
      <c r="C61" s="4" t="str">
        <f>IFERROR(__xludf.DUMMYFUNCTION("""COMPUTED_VALUE""")," Enquire &amp; Coordinate with client")</f>
        <v> Enquire &amp; Coordinate with client</v>
      </c>
      <c r="D61" s="4"/>
      <c r="E61" s="86"/>
    </row>
    <row r="62">
      <c r="A62" s="4"/>
      <c r="B62" s="85">
        <f>IFERROR(__xludf.DUMMYFUNCTION("""COMPUTED_VALUE"""),44937.53680555556)</f>
        <v>44937.53681</v>
      </c>
      <c r="C62" s="4" t="str">
        <f>IFERROR(__xludf.DUMMYFUNCTION("""COMPUTED_VALUE""")," Enquire &amp; Coordinate with client")</f>
        <v> Enquire &amp; Coordinate with client</v>
      </c>
      <c r="D62" s="4"/>
      <c r="E62" s="86"/>
    </row>
    <row r="63">
      <c r="A63" s="4"/>
      <c r="B63" s="85">
        <f>IFERROR(__xludf.DUMMYFUNCTION("""COMPUTED_VALUE"""),44939.504166666666)</f>
        <v>44939.50417</v>
      </c>
      <c r="C63" s="4" t="str">
        <f>IFERROR(__xludf.DUMMYFUNCTION("""COMPUTED_VALUE""")," Enquire &amp; Coordinate with client")</f>
        <v> Enquire &amp; Coordinate with client</v>
      </c>
      <c r="D63" s="4"/>
      <c r="E63" s="86"/>
    </row>
    <row r="64">
      <c r="A64" s="4"/>
      <c r="B64" s="85">
        <f>IFERROR(__xludf.DUMMYFUNCTION("""COMPUTED_VALUE"""),44940.58472222222)</f>
        <v>44940.58472</v>
      </c>
      <c r="C64" s="4" t="str">
        <f>IFERROR(__xludf.DUMMYFUNCTION("""COMPUTED_VALUE""")," Enquire &amp; Coordinate with client")</f>
        <v> Enquire &amp; Coordinate with client</v>
      </c>
      <c r="D64" s="4"/>
      <c r="E64" s="86"/>
    </row>
    <row r="65">
      <c r="A65" s="4"/>
      <c r="B65" s="85">
        <f>IFERROR(__xludf.DUMMYFUNCTION("""COMPUTED_VALUE"""),44943.51041666667)</f>
        <v>44943.51042</v>
      </c>
      <c r="C65" s="4" t="str">
        <f>IFERROR(__xludf.DUMMYFUNCTION("""COMPUTED_VALUE""")," Enquire &amp; Coordinate with client")</f>
        <v> Enquire &amp; Coordinate with client</v>
      </c>
      <c r="D65" s="4"/>
      <c r="E65" s="86"/>
    </row>
    <row r="66">
      <c r="A66" s="4"/>
      <c r="B66" s="85">
        <f>IFERROR(__xludf.DUMMYFUNCTION("""COMPUTED_VALUE"""),44943.51111111111)</f>
        <v>44943.51111</v>
      </c>
      <c r="C66" s="4" t="str">
        <f>IFERROR(__xludf.DUMMYFUNCTION("""COMPUTED_VALUE""")," Enquire &amp; Coordinate with client")</f>
        <v> Enquire &amp; Coordinate with client</v>
      </c>
      <c r="D66" s="4"/>
      <c r="E66" s="86"/>
    </row>
    <row r="67">
      <c r="A67" s="4"/>
      <c r="B67" s="85">
        <f>IFERROR(__xludf.DUMMYFUNCTION("""COMPUTED_VALUE"""),44943.51388888889)</f>
        <v>44943.51389</v>
      </c>
      <c r="C67" s="4" t="str">
        <f>IFERROR(__xludf.DUMMYFUNCTION("""COMPUTED_VALUE""")," Enquire &amp; Coordinate with client")</f>
        <v> Enquire &amp; Coordinate with client</v>
      </c>
      <c r="D67" s="4"/>
      <c r="E67" s="86"/>
    </row>
    <row r="68">
      <c r="A68" s="4"/>
      <c r="B68" s="85">
        <f>IFERROR(__xludf.DUMMYFUNCTION("""COMPUTED_VALUE"""),44945.51875)</f>
        <v>44945.51875</v>
      </c>
      <c r="C68" s="4" t="str">
        <f>IFERROR(__xludf.DUMMYFUNCTION("""COMPUTED_VALUE""")," Enquire &amp; Coordinate with client")</f>
        <v> Enquire &amp; Coordinate with client</v>
      </c>
      <c r="D68" s="4"/>
      <c r="E68" s="86"/>
    </row>
    <row r="69">
      <c r="A69" s="4"/>
      <c r="B69" s="85">
        <f>IFERROR(__xludf.DUMMYFUNCTION("""COMPUTED_VALUE"""),44945.523611111115)</f>
        <v>44945.52361</v>
      </c>
      <c r="C69" s="4" t="str">
        <f>IFERROR(__xludf.DUMMYFUNCTION("""COMPUTED_VALUE""")," Enquire &amp; Coordinate with client")</f>
        <v> Enquire &amp; Coordinate with client</v>
      </c>
      <c r="D69" s="4"/>
      <c r="E69" s="86"/>
    </row>
    <row r="70">
      <c r="A70" s="4"/>
      <c r="B70" s="85">
        <f>IFERROR(__xludf.DUMMYFUNCTION("""COMPUTED_VALUE"""),44945.53055555555)</f>
        <v>44945.53056</v>
      </c>
      <c r="C70" s="4" t="str">
        <f>IFERROR(__xludf.DUMMYFUNCTION("""COMPUTED_VALUE""")," Enquire &amp; Coordinate with client")</f>
        <v> Enquire &amp; Coordinate with client</v>
      </c>
      <c r="D70" s="4"/>
      <c r="E70" s="86"/>
    </row>
    <row r="71">
      <c r="A71" s="4"/>
      <c r="B71" s="85">
        <f>IFERROR(__xludf.DUMMYFUNCTION("""COMPUTED_VALUE"""),44945.54861111111)</f>
        <v>44945.54861</v>
      </c>
      <c r="C71" s="4" t="str">
        <f>IFERROR(__xludf.DUMMYFUNCTION("""COMPUTED_VALUE""")," Enquire &amp; Coordinate with client")</f>
        <v> Enquire &amp; Coordinate with client</v>
      </c>
      <c r="D71" s="4"/>
      <c r="E71" s="86"/>
    </row>
    <row r="72">
      <c r="A72" s="4"/>
      <c r="B72" s="85">
        <f>IFERROR(__xludf.DUMMYFUNCTION("""COMPUTED_VALUE"""),44986.674305555556)</f>
        <v>44986.67431</v>
      </c>
      <c r="C72" s="4" t="str">
        <f>IFERROR(__xludf.DUMMYFUNCTION("""COMPUTED_VALUE""")," Enquire &amp; Coordinate with client")</f>
        <v> Enquire &amp; Coordinate with client</v>
      </c>
      <c r="D72" s="4"/>
      <c r="E72" s="86"/>
    </row>
    <row r="73">
      <c r="A73" s="4"/>
      <c r="B73" s="85">
        <f>IFERROR(__xludf.DUMMYFUNCTION("""COMPUTED_VALUE"""),45041.96666666667)</f>
        <v>45041.96667</v>
      </c>
      <c r="C73" s="4" t="str">
        <f>IFERROR(__xludf.DUMMYFUNCTION("""COMPUTED_VALUE""")," Enquire &amp; Coordinate with client")</f>
        <v> Enquire &amp; Coordinate with client</v>
      </c>
      <c r="D73" s="4"/>
      <c r="E73" s="86"/>
    </row>
    <row r="74">
      <c r="A74" s="4"/>
      <c r="B74" s="85">
        <f>IFERROR(__xludf.DUMMYFUNCTION("""COMPUTED_VALUE"""),45042.79513888889)</f>
        <v>45042.79514</v>
      </c>
      <c r="C74" s="4" t="str">
        <f>IFERROR(__xludf.DUMMYFUNCTION("""COMPUTED_VALUE""")," Enquire &amp; Coordinate with client")</f>
        <v> Enquire &amp; Coordinate with client</v>
      </c>
      <c r="D74" s="4"/>
      <c r="E74" s="86"/>
    </row>
    <row r="75">
      <c r="A75" s="4"/>
      <c r="B75" s="85">
        <f>IFERROR(__xludf.DUMMYFUNCTION("""COMPUTED_VALUE"""),45043.54236111111)</f>
        <v>45043.54236</v>
      </c>
      <c r="C75" s="4" t="str">
        <f>IFERROR(__xludf.DUMMYFUNCTION("""COMPUTED_VALUE""")," Enquire &amp; Coordinate with client")</f>
        <v> Enquire &amp; Coordinate with client</v>
      </c>
      <c r="E75" s="86"/>
    </row>
    <row r="76">
      <c r="A76" s="4"/>
      <c r="B76" s="85">
        <f>IFERROR(__xludf.DUMMYFUNCTION("""COMPUTED_VALUE"""),45043.58888888889)</f>
        <v>45043.58889</v>
      </c>
      <c r="C76" s="4" t="str">
        <f>IFERROR(__xludf.DUMMYFUNCTION("""COMPUTED_VALUE""")," Enquire &amp; Coordinate with client")</f>
        <v> Enquire &amp; Coordinate with client</v>
      </c>
      <c r="E76" s="86"/>
    </row>
    <row r="77">
      <c r="A77" s="4"/>
      <c r="B77" s="85">
        <f>IFERROR(__xludf.DUMMYFUNCTION("""COMPUTED_VALUE"""),45043.62430555555)</f>
        <v>45043.62431</v>
      </c>
      <c r="C77" s="4" t="str">
        <f>IFERROR(__xludf.DUMMYFUNCTION("""COMPUTED_VALUE""")," Enquire &amp; Coordinate with client")</f>
        <v> Enquire &amp; Coordinate with client</v>
      </c>
      <c r="E77" s="86"/>
    </row>
    <row r="78">
      <c r="A78" s="4"/>
      <c r="B78" s="85">
        <f>IFERROR(__xludf.DUMMYFUNCTION("""COMPUTED_VALUE"""),45056.552777777775)</f>
        <v>45056.55278</v>
      </c>
      <c r="C78" s="4" t="str">
        <f>IFERROR(__xludf.DUMMYFUNCTION("""COMPUTED_VALUE""")," Enquire &amp; Coordinate with client")</f>
        <v> Enquire &amp; Coordinate with client</v>
      </c>
      <c r="E78" s="86"/>
    </row>
    <row r="79">
      <c r="A79" s="4"/>
      <c r="B79" s="85">
        <f>IFERROR(__xludf.DUMMYFUNCTION("""COMPUTED_VALUE"""),45056.55347222222)</f>
        <v>45056.55347</v>
      </c>
      <c r="C79" s="4" t="str">
        <f>IFERROR(__xludf.DUMMYFUNCTION("""COMPUTED_VALUE""")," Enquire &amp; Coordinate with client")</f>
        <v> Enquire &amp; Coordinate with client</v>
      </c>
      <c r="E79" s="86"/>
    </row>
    <row r="80">
      <c r="A80" s="4"/>
      <c r="B80" s="85">
        <f>IFERROR(__xludf.DUMMYFUNCTION("""COMPUTED_VALUE"""),45056.554861111115)</f>
        <v>45056.55486</v>
      </c>
      <c r="C80" s="4" t="str">
        <f>IFERROR(__xludf.DUMMYFUNCTION("""COMPUTED_VALUE""")," Enquire &amp; Coordinate with client")</f>
        <v> Enquire &amp; Coordinate with client</v>
      </c>
      <c r="E80" s="86"/>
    </row>
    <row r="81">
      <c r="A81" s="4"/>
      <c r="B81" s="85">
        <f>IFERROR(__xludf.DUMMYFUNCTION("""COMPUTED_VALUE"""),45056.555555555555)</f>
        <v>45056.55556</v>
      </c>
      <c r="C81" s="4" t="str">
        <f>IFERROR(__xludf.DUMMYFUNCTION("""COMPUTED_VALUE""")," Enquire &amp; Coordinate with client")</f>
        <v> Enquire &amp; Coordinate with client</v>
      </c>
      <c r="E81" s="86"/>
    </row>
    <row r="82">
      <c r="A82" s="4"/>
      <c r="B82" s="85">
        <f>IFERROR(__xludf.DUMMYFUNCTION("""COMPUTED_VALUE"""),45056.55625)</f>
        <v>45056.55625</v>
      </c>
      <c r="C82" s="4" t="str">
        <f>IFERROR(__xludf.DUMMYFUNCTION("""COMPUTED_VALUE""")," Enquire &amp; Coordinate with client")</f>
        <v> Enquire &amp; Coordinate with client</v>
      </c>
      <c r="E82" s="86"/>
    </row>
    <row r="83">
      <c r="A83" s="4"/>
      <c r="B83" s="85">
        <f>IFERROR(__xludf.DUMMYFUNCTION("""COMPUTED_VALUE"""),45056.77013888889)</f>
        <v>45056.77014</v>
      </c>
      <c r="C83" s="4" t="str">
        <f>IFERROR(__xludf.DUMMYFUNCTION("""COMPUTED_VALUE""")," Enquire &amp; Coordinate with client")</f>
        <v> Enquire &amp; Coordinate with client</v>
      </c>
      <c r="E83" s="86"/>
    </row>
    <row r="84">
      <c r="A84" s="4"/>
      <c r="B84" s="85">
        <f>IFERROR(__xludf.DUMMYFUNCTION("""COMPUTED_VALUE"""),45056.78472222222)</f>
        <v>45056.78472</v>
      </c>
      <c r="C84" s="4" t="str">
        <f>IFERROR(__xludf.DUMMYFUNCTION("""COMPUTED_VALUE""")," Enquire &amp; Coordinate with client")</f>
        <v> Enquire &amp; Coordinate with client</v>
      </c>
      <c r="E84" s="86"/>
    </row>
    <row r="85">
      <c r="A85" s="4"/>
      <c r="B85" s="85">
        <f>IFERROR(__xludf.DUMMYFUNCTION("""COMPUTED_VALUE"""),45056.788888888885)</f>
        <v>45056.78889</v>
      </c>
      <c r="C85" s="4" t="str">
        <f>IFERROR(__xludf.DUMMYFUNCTION("""COMPUTED_VALUE""")," Enquire &amp; Coordinate with client")</f>
        <v> Enquire &amp; Coordinate with client</v>
      </c>
      <c r="E85" s="86"/>
    </row>
    <row r="86">
      <c r="A86" s="4"/>
      <c r="B86" s="85">
        <f>IFERROR(__xludf.DUMMYFUNCTION("""COMPUTED_VALUE"""),45056.79027777778)</f>
        <v>45056.79028</v>
      </c>
      <c r="C86" s="4" t="str">
        <f>IFERROR(__xludf.DUMMYFUNCTION("""COMPUTED_VALUE""")," Enquire &amp; Coordinate with client")</f>
        <v> Enquire &amp; Coordinate with client</v>
      </c>
      <c r="E86" s="86"/>
    </row>
    <row r="87">
      <c r="A87" s="4"/>
      <c r="B87" s="85">
        <f>IFERROR(__xludf.DUMMYFUNCTION("""COMPUTED_VALUE"""),45056.790972222225)</f>
        <v>45056.79097</v>
      </c>
      <c r="C87" s="4" t="str">
        <f>IFERROR(__xludf.DUMMYFUNCTION("""COMPUTED_VALUE""")," Enquire &amp; Coordinate with client")</f>
        <v> Enquire &amp; Coordinate with client</v>
      </c>
      <c r="E87" s="86"/>
    </row>
    <row r="88">
      <c r="A88" s="4"/>
      <c r="B88" s="85">
        <f>IFERROR(__xludf.DUMMYFUNCTION("""COMPUTED_VALUE"""),45056.79583333334)</f>
        <v>45056.79583</v>
      </c>
      <c r="C88" s="4" t="str">
        <f>IFERROR(__xludf.DUMMYFUNCTION("""COMPUTED_VALUE""")," Enquire &amp; Coordinate with client")</f>
        <v> Enquire &amp; Coordinate with client</v>
      </c>
      <c r="E88" s="86"/>
    </row>
    <row r="89">
      <c r="A89" s="4"/>
      <c r="B89" s="85">
        <f>IFERROR(__xludf.DUMMYFUNCTION("""COMPUTED_VALUE"""),45056.79722222222)</f>
        <v>45056.79722</v>
      </c>
      <c r="C89" s="4" t="str">
        <f>IFERROR(__xludf.DUMMYFUNCTION("""COMPUTED_VALUE""")," Enquire &amp; Coordinate with client")</f>
        <v> Enquire &amp; Coordinate with client</v>
      </c>
      <c r="E89" s="86"/>
    </row>
    <row r="90">
      <c r="A90" s="4"/>
      <c r="B90" s="85">
        <f>IFERROR(__xludf.DUMMYFUNCTION("""COMPUTED_VALUE"""),45056.79861111111)</f>
        <v>45056.79861</v>
      </c>
      <c r="C90" s="4" t="str">
        <f>IFERROR(__xludf.DUMMYFUNCTION("""COMPUTED_VALUE""")," Enquire &amp; Coordinate with client")</f>
        <v> Enquire &amp; Coordinate with client</v>
      </c>
      <c r="E90" s="86"/>
    </row>
    <row r="91">
      <c r="A91" s="4"/>
      <c r="B91" s="85">
        <f>IFERROR(__xludf.DUMMYFUNCTION("""COMPUTED_VALUE"""),45057.50902777778)</f>
        <v>45057.50903</v>
      </c>
      <c r="C91" s="4" t="str">
        <f>IFERROR(__xludf.DUMMYFUNCTION("""COMPUTED_VALUE""")," Enquire &amp; Coordinate with client")</f>
        <v> Enquire &amp; Coordinate with client</v>
      </c>
      <c r="E91" s="86"/>
    </row>
    <row r="92">
      <c r="A92" s="4"/>
      <c r="B92" s="85">
        <f>IFERROR(__xludf.DUMMYFUNCTION("""COMPUTED_VALUE"""),45059.538194444445)</f>
        <v>45059.53819</v>
      </c>
      <c r="C92" s="4" t="str">
        <f>IFERROR(__xludf.DUMMYFUNCTION("""COMPUTED_VALUE""")," Enquire &amp; Coordinate with client")</f>
        <v> Enquire &amp; Coordinate with client</v>
      </c>
      <c r="E92" s="86"/>
    </row>
    <row r="93">
      <c r="A93" s="4"/>
      <c r="B93" s="85">
        <f>IFERROR(__xludf.DUMMYFUNCTION("""COMPUTED_VALUE"""),45062.805555555555)</f>
        <v>45062.80556</v>
      </c>
      <c r="C93" s="4" t="str">
        <f>IFERROR(__xludf.DUMMYFUNCTION("""COMPUTED_VALUE""")," Enquire &amp; Coordinate with client")</f>
        <v> Enquire &amp; Coordinate with client</v>
      </c>
      <c r="E93" s="86"/>
    </row>
    <row r="94">
      <c r="A94" s="4"/>
      <c r="B94" s="85">
        <f>IFERROR(__xludf.DUMMYFUNCTION("""COMPUTED_VALUE"""),45064.58472222222)</f>
        <v>45064.58472</v>
      </c>
      <c r="C94" s="4" t="str">
        <f>IFERROR(__xludf.DUMMYFUNCTION("""COMPUTED_VALUE""")," Enquire &amp; Coordinate with client")</f>
        <v> Enquire &amp; Coordinate with client</v>
      </c>
      <c r="E94" s="86"/>
    </row>
    <row r="95">
      <c r="A95" s="4"/>
      <c r="B95" s="85">
        <f>IFERROR(__xludf.DUMMYFUNCTION("""COMPUTED_VALUE"""),45065.67152777778)</f>
        <v>45065.67153</v>
      </c>
      <c r="C95" s="4" t="str">
        <f>IFERROR(__xludf.DUMMYFUNCTION("""COMPUTED_VALUE""")," Enquire &amp; Coordinate with client")</f>
        <v> Enquire &amp; Coordinate with client</v>
      </c>
      <c r="E95" s="86"/>
    </row>
    <row r="96">
      <c r="A96" s="4"/>
      <c r="B96" s="85">
        <f>IFERROR(__xludf.DUMMYFUNCTION("""COMPUTED_VALUE"""),45067.554861111115)</f>
        <v>45067.55486</v>
      </c>
      <c r="C96" s="4" t="str">
        <f>IFERROR(__xludf.DUMMYFUNCTION("""COMPUTED_VALUE""")," Enquire &amp; Coordinate with client")</f>
        <v> Enquire &amp; Coordinate with client</v>
      </c>
      <c r="E96" s="86"/>
    </row>
    <row r="97">
      <c r="A97" s="4"/>
      <c r="B97" s="85">
        <f>IFERROR(__xludf.DUMMYFUNCTION("""COMPUTED_VALUE"""),45067.57777777778)</f>
        <v>45067.57778</v>
      </c>
      <c r="C97" s="4" t="str">
        <f>IFERROR(__xludf.DUMMYFUNCTION("""COMPUTED_VALUE""")," Enquire &amp; Coordinate with client")</f>
        <v> Enquire &amp; Coordinate with client</v>
      </c>
      <c r="E97" s="86"/>
    </row>
    <row r="98">
      <c r="A98" s="4"/>
      <c r="B98" s="85">
        <f>IFERROR(__xludf.DUMMYFUNCTION("""COMPUTED_VALUE"""),45069.61944444444)</f>
        <v>45069.61944</v>
      </c>
      <c r="C98" s="4" t="str">
        <f>IFERROR(__xludf.DUMMYFUNCTION("""COMPUTED_VALUE""")," Enquire &amp; Coordinate with client")</f>
        <v> Enquire &amp; Coordinate with client</v>
      </c>
      <c r="E98" s="86"/>
    </row>
    <row r="99">
      <c r="A99" s="4"/>
      <c r="B99" s="85">
        <f>IFERROR(__xludf.DUMMYFUNCTION("""COMPUTED_VALUE"""),45069.70277777778)</f>
        <v>45069.70278</v>
      </c>
      <c r="C99" s="4" t="str">
        <f>IFERROR(__xludf.DUMMYFUNCTION("""COMPUTED_VALUE""")," Enquire &amp; Coordinate with client")</f>
        <v> Enquire &amp; Coordinate with client</v>
      </c>
      <c r="E99" s="86"/>
    </row>
    <row r="100">
      <c r="A100" s="4"/>
      <c r="B100" s="85">
        <f>IFERROR(__xludf.DUMMYFUNCTION("""COMPUTED_VALUE"""),45069.70347222222)</f>
        <v>45069.70347</v>
      </c>
      <c r="C100" s="4" t="str">
        <f>IFERROR(__xludf.DUMMYFUNCTION("""COMPUTED_VALUE""")," Enquire &amp; Coordinate with client")</f>
        <v> Enquire &amp; Coordinate with client</v>
      </c>
      <c r="E100" s="86"/>
    </row>
    <row r="101">
      <c r="A101" s="4"/>
      <c r="B101" s="85">
        <f>IFERROR(__xludf.DUMMYFUNCTION("""COMPUTED_VALUE"""),45069.70486111111)</f>
        <v>45069.70486</v>
      </c>
      <c r="C101" s="4" t="str">
        <f>IFERROR(__xludf.DUMMYFUNCTION("""COMPUTED_VALUE""")," Enquire &amp; Coordinate with client")</f>
        <v> Enquire &amp; Coordinate with client</v>
      </c>
      <c r="E101" s="86"/>
    </row>
    <row r="102">
      <c r="A102" s="4"/>
      <c r="B102" s="85">
        <f>IFERROR(__xludf.DUMMYFUNCTION("""COMPUTED_VALUE"""),45072.51111111111)</f>
        <v>45072.51111</v>
      </c>
      <c r="C102" s="4" t="str">
        <f>IFERROR(__xludf.DUMMYFUNCTION("""COMPUTED_VALUE""")," Enquire &amp; Coordinate with client")</f>
        <v> Enquire &amp; Coordinate with client</v>
      </c>
      <c r="E102" s="86"/>
    </row>
    <row r="103">
      <c r="A103" s="4"/>
      <c r="B103" s="85">
        <f>IFERROR(__xludf.DUMMYFUNCTION("""COMPUTED_VALUE"""),45083.6375)</f>
        <v>45083.6375</v>
      </c>
      <c r="C103" s="4" t="str">
        <f>IFERROR(__xludf.DUMMYFUNCTION("""COMPUTED_VALUE""")," Enquire &amp; Coordinate with client")</f>
        <v> Enquire &amp; Coordinate with client</v>
      </c>
      <c r="E103" s="86"/>
    </row>
    <row r="104">
      <c r="A104" s="4"/>
      <c r="B104" s="85">
        <f>IFERROR(__xludf.DUMMYFUNCTION("""COMPUTED_VALUE"""),45088.53611111111)</f>
        <v>45088.53611</v>
      </c>
      <c r="C104" s="4" t="str">
        <f>IFERROR(__xludf.DUMMYFUNCTION("""COMPUTED_VALUE""")," Enquire &amp; Coordinate with client")</f>
        <v> Enquire &amp; Coordinate with client</v>
      </c>
      <c r="E104" s="86"/>
    </row>
    <row r="105">
      <c r="A105" s="4"/>
      <c r="B105" s="85">
        <f>IFERROR(__xludf.DUMMYFUNCTION("""COMPUTED_VALUE"""),45097.6375)</f>
        <v>45097.6375</v>
      </c>
      <c r="C105" s="4" t="str">
        <f>IFERROR(__xludf.DUMMYFUNCTION("""COMPUTED_VALUE""")," Enquire &amp; Coordinate with client")</f>
        <v> Enquire &amp; Coordinate with client</v>
      </c>
      <c r="E105" s="86"/>
    </row>
    <row r="106">
      <c r="A106" s="4"/>
      <c r="B106" s="85">
        <f>IFERROR(__xludf.DUMMYFUNCTION("""COMPUTED_VALUE"""),45107.60486111111)</f>
        <v>45107.60486</v>
      </c>
      <c r="C106" s="4" t="str">
        <f>IFERROR(__xludf.DUMMYFUNCTION("""COMPUTED_VALUE""")," Enquire &amp; Coordinate with client")</f>
        <v> Enquire &amp; Coordinate with client</v>
      </c>
      <c r="E106" s="86"/>
    </row>
    <row r="107">
      <c r="A107" s="4"/>
      <c r="B107" s="85">
        <f>IFERROR(__xludf.DUMMYFUNCTION("""COMPUTED_VALUE"""),45114.71388888889)</f>
        <v>45114.71389</v>
      </c>
      <c r="C107" s="4" t="str">
        <f>IFERROR(__xludf.DUMMYFUNCTION("""COMPUTED_VALUE""")," Enquire &amp; Coordinate with client")</f>
        <v> Enquire &amp; Coordinate with client</v>
      </c>
      <c r="E107" s="86"/>
    </row>
    <row r="108">
      <c r="A108" s="4"/>
      <c r="B108" s="85">
        <f>IFERROR(__xludf.DUMMYFUNCTION("""COMPUTED_VALUE"""),45114.70347222222)</f>
        <v>45114.70347</v>
      </c>
      <c r="C108" s="4" t="str">
        <f>IFERROR(__xludf.DUMMYFUNCTION("""COMPUTED_VALUE""")," Enquire &amp; Coordinate with client")</f>
        <v> Enquire &amp; Coordinate with client</v>
      </c>
      <c r="E108" s="86"/>
    </row>
    <row r="109">
      <c r="A109" s="4"/>
      <c r="B109" s="85">
        <f>IFERROR(__xludf.DUMMYFUNCTION("""COMPUTED_VALUE"""),45114.70208333334)</f>
        <v>45114.70208</v>
      </c>
      <c r="C109" s="4" t="str">
        <f>IFERROR(__xludf.DUMMYFUNCTION("""COMPUTED_VALUE""")," Enquire &amp; Coordinate with client")</f>
        <v> Enquire &amp; Coordinate with client</v>
      </c>
      <c r="E109" s="86"/>
    </row>
    <row r="110">
      <c r="A110" s="4"/>
      <c r="B110" s="85">
        <f>IFERROR(__xludf.DUMMYFUNCTION("""COMPUTED_VALUE"""),45114.70416666666)</f>
        <v>45114.70417</v>
      </c>
      <c r="C110" s="4" t="str">
        <f>IFERROR(__xludf.DUMMYFUNCTION("""COMPUTED_VALUE""")," Enquire &amp; Coordinate with client")</f>
        <v> Enquire &amp; Coordinate with client</v>
      </c>
      <c r="E110" s="86"/>
    </row>
    <row r="111">
      <c r="A111" s="4"/>
      <c r="B111" s="85">
        <f>IFERROR(__xludf.DUMMYFUNCTION("""COMPUTED_VALUE"""),45114.700694444444)</f>
        <v>45114.70069</v>
      </c>
      <c r="C111" s="4" t="str">
        <f>IFERROR(__xludf.DUMMYFUNCTION("""COMPUTED_VALUE""")," Enquire &amp; Coordinate with client")</f>
        <v> Enquire &amp; Coordinate with client</v>
      </c>
      <c r="E111" s="86"/>
    </row>
    <row r="112">
      <c r="A112" s="4"/>
      <c r="B112" s="85">
        <f>IFERROR(__xludf.DUMMYFUNCTION("""COMPUTED_VALUE"""),45113.67152777778)</f>
        <v>45113.67153</v>
      </c>
      <c r="C112" s="4" t="str">
        <f>IFERROR(__xludf.DUMMYFUNCTION("""COMPUTED_VALUE""")," Enquire &amp; Coordinate with client")</f>
        <v> Enquire &amp; Coordinate with client</v>
      </c>
      <c r="E112" s="86"/>
    </row>
    <row r="113">
      <c r="A113" s="4"/>
      <c r="B113" s="85">
        <f>IFERROR(__xludf.DUMMYFUNCTION("""COMPUTED_VALUE"""),45114.70694444445)</f>
        <v>45114.70694</v>
      </c>
      <c r="C113" s="4" t="str">
        <f>IFERROR(__xludf.DUMMYFUNCTION("""COMPUTED_VALUE""")," Enquire &amp; Coordinate with client")</f>
        <v> Enquire &amp; Coordinate with client</v>
      </c>
      <c r="E113" s="86"/>
    </row>
    <row r="114">
      <c r="A114" s="4"/>
      <c r="B114" s="85">
        <f>IFERROR(__xludf.DUMMYFUNCTION("""COMPUTED_VALUE"""),45114.69930555555)</f>
        <v>45114.69931</v>
      </c>
      <c r="C114" s="4" t="str">
        <f>IFERROR(__xludf.DUMMYFUNCTION("""COMPUTED_VALUE""")," Enquire &amp; Coordinate with client")</f>
        <v> Enquire &amp; Coordinate with client</v>
      </c>
      <c r="E114" s="86"/>
    </row>
    <row r="115">
      <c r="A115" s="4"/>
      <c r="B115" s="85">
        <f>IFERROR(__xludf.DUMMYFUNCTION("""COMPUTED_VALUE"""),45116.55694444444)</f>
        <v>45116.55694</v>
      </c>
      <c r="C115" s="4" t="str">
        <f>IFERROR(__xludf.DUMMYFUNCTION("""COMPUTED_VALUE""")," Enquire &amp; Coordinate with client")</f>
        <v> Enquire &amp; Coordinate with client</v>
      </c>
      <c r="E115" s="86"/>
    </row>
    <row r="116">
      <c r="A116" s="4"/>
      <c r="B116" s="85">
        <f>IFERROR(__xludf.DUMMYFUNCTION("""COMPUTED_VALUE"""),45115.61041666666)</f>
        <v>45115.61042</v>
      </c>
      <c r="C116" s="4" t="str">
        <f>IFERROR(__xludf.DUMMYFUNCTION("""COMPUTED_VALUE""")," Enquire &amp; Coordinate with client")</f>
        <v> Enquire &amp; Coordinate with client</v>
      </c>
      <c r="E116" s="86"/>
    </row>
    <row r="117">
      <c r="A117" s="4"/>
      <c r="B117" s="85">
        <f>IFERROR(__xludf.DUMMYFUNCTION("""COMPUTED_VALUE"""),45116.57847222222)</f>
        <v>45116.57847</v>
      </c>
      <c r="C117" s="4" t="str">
        <f>IFERROR(__xludf.DUMMYFUNCTION("""COMPUTED_VALUE""")," Enquire &amp; Coordinate with client")</f>
        <v> Enquire &amp; Coordinate with client</v>
      </c>
      <c r="E117" s="86"/>
    </row>
    <row r="118">
      <c r="A118" s="4"/>
      <c r="B118" s="85">
        <f>IFERROR(__xludf.DUMMYFUNCTION("""COMPUTED_VALUE"""),45120.53333333333)</f>
        <v>45120.53333</v>
      </c>
      <c r="C118" s="4" t="str">
        <f>IFERROR(__xludf.DUMMYFUNCTION("""COMPUTED_VALUE""")," Enquire &amp; Coordinate with client")</f>
        <v> Enquire &amp; Coordinate with client</v>
      </c>
      <c r="E118" s="86"/>
    </row>
    <row r="119">
      <c r="A119" s="4"/>
      <c r="B119" s="85">
        <f>IFERROR(__xludf.DUMMYFUNCTION("""COMPUTED_VALUE"""),45120.63680555555)</f>
        <v>45120.63681</v>
      </c>
      <c r="C119" s="4" t="str">
        <f>IFERROR(__xludf.DUMMYFUNCTION("""COMPUTED_VALUE""")," Enquire &amp; Coordinate with client")</f>
        <v> Enquire &amp; Coordinate with client</v>
      </c>
      <c r="E119" s="86"/>
    </row>
    <row r="120">
      <c r="A120" s="4"/>
      <c r="B120" s="85">
        <f>IFERROR(__xludf.DUMMYFUNCTION("""COMPUTED_VALUE"""),45121.74791666667)</f>
        <v>45121.74792</v>
      </c>
      <c r="C120" s="4" t="str">
        <f>IFERROR(__xludf.DUMMYFUNCTION("""COMPUTED_VALUE""")," Enquire &amp; Coordinate with client")</f>
        <v> Enquire &amp; Coordinate with client</v>
      </c>
      <c r="E120" s="86"/>
    </row>
    <row r="121">
      <c r="A121" s="4"/>
      <c r="B121" s="85">
        <f>IFERROR(__xludf.DUMMYFUNCTION("""COMPUTED_VALUE"""),45122.725694444445)</f>
        <v>45122.72569</v>
      </c>
      <c r="C121" s="4" t="str">
        <f>IFERROR(__xludf.DUMMYFUNCTION("""COMPUTED_VALUE""")," Enquire &amp; Coordinate with client")</f>
        <v> Enquire &amp; Coordinate with client</v>
      </c>
      <c r="E121" s="86"/>
    </row>
    <row r="122">
      <c r="A122" s="4"/>
      <c r="B122" s="85">
        <f>IFERROR(__xludf.DUMMYFUNCTION("""COMPUTED_VALUE"""),45125.554861111115)</f>
        <v>45125.55486</v>
      </c>
      <c r="C122" s="4" t="str">
        <f>IFERROR(__xludf.DUMMYFUNCTION("""COMPUTED_VALUE""")," Enquire &amp; Coordinate with client")</f>
        <v> Enquire &amp; Coordinate with client</v>
      </c>
      <c r="E122" s="86"/>
    </row>
    <row r="123">
      <c r="A123" s="4"/>
      <c r="B123" s="85">
        <f>IFERROR(__xludf.DUMMYFUNCTION("""COMPUTED_VALUE"""),45125.558333333334)</f>
        <v>45125.55833</v>
      </c>
      <c r="C123" s="4" t="str">
        <f>IFERROR(__xludf.DUMMYFUNCTION("""COMPUTED_VALUE""")," Enquire &amp; Coordinate with client")</f>
        <v> Enquire &amp; Coordinate with client</v>
      </c>
      <c r="E123" s="86"/>
    </row>
    <row r="124">
      <c r="A124" s="4"/>
      <c r="B124" s="85">
        <f>IFERROR(__xludf.DUMMYFUNCTION("""COMPUTED_VALUE"""),45126.55)</f>
        <v>45126.55</v>
      </c>
      <c r="C124" s="4" t="str">
        <f>IFERROR(__xludf.DUMMYFUNCTION("""COMPUTED_VALUE""")," Enquire &amp; Coordinate with client")</f>
        <v> Enquire &amp; Coordinate with client</v>
      </c>
      <c r="E124" s="86"/>
    </row>
    <row r="125">
      <c r="A125" s="4"/>
      <c r="B125" s="85">
        <f>IFERROR(__xludf.DUMMYFUNCTION("""COMPUTED_VALUE"""),45127.65277777778)</f>
        <v>45127.65278</v>
      </c>
      <c r="C125" s="4" t="str">
        <f>IFERROR(__xludf.DUMMYFUNCTION("""COMPUTED_VALUE""")," Enquire &amp; Coordinate with client")</f>
        <v> Enquire &amp; Coordinate with client</v>
      </c>
      <c r="E125" s="86"/>
    </row>
    <row r="126">
      <c r="A126" s="4"/>
      <c r="B126" s="85">
        <f>IFERROR(__xludf.DUMMYFUNCTION("""COMPUTED_VALUE"""),45127.660416666666)</f>
        <v>45127.66042</v>
      </c>
      <c r="C126" s="4" t="str">
        <f>IFERROR(__xludf.DUMMYFUNCTION("""COMPUTED_VALUE""")," Enquire &amp; Coordinate with client")</f>
        <v> Enquire &amp; Coordinate with client</v>
      </c>
      <c r="E126" s="86"/>
    </row>
    <row r="127">
      <c r="A127" s="4"/>
      <c r="B127" s="85">
        <f>IFERROR(__xludf.DUMMYFUNCTION("""COMPUTED_VALUE"""),45127.6875)</f>
        <v>45127.6875</v>
      </c>
      <c r="C127" s="4" t="str">
        <f>IFERROR(__xludf.DUMMYFUNCTION("""COMPUTED_VALUE""")," Enquire &amp; Coordinate with client")</f>
        <v> Enquire &amp; Coordinate with client</v>
      </c>
      <c r="E127" s="86"/>
    </row>
    <row r="128">
      <c r="A128" s="4"/>
      <c r="B128" s="85">
        <f>IFERROR(__xludf.DUMMYFUNCTION("""COMPUTED_VALUE"""),45127.722916666666)</f>
        <v>45127.72292</v>
      </c>
      <c r="C128" s="4" t="str">
        <f>IFERROR(__xludf.DUMMYFUNCTION("""COMPUTED_VALUE""")," Enquire &amp; Coordinate with client")</f>
        <v> Enquire &amp; Coordinate with client</v>
      </c>
      <c r="E128" s="86"/>
    </row>
    <row r="129">
      <c r="A129" s="4"/>
      <c r="B129" s="85">
        <f>IFERROR(__xludf.DUMMYFUNCTION("""COMPUTED_VALUE"""),45128.63402777778)</f>
        <v>45128.63403</v>
      </c>
      <c r="C129" s="4" t="str">
        <f>IFERROR(__xludf.DUMMYFUNCTION("""COMPUTED_VALUE""")," Enquire &amp; Coordinate with client")</f>
        <v> Enquire &amp; Coordinate with client</v>
      </c>
      <c r="E129" s="86"/>
    </row>
    <row r="130">
      <c r="A130" s="4"/>
      <c r="B130" s="85">
        <f>IFERROR(__xludf.DUMMYFUNCTION("""COMPUTED_VALUE"""),45130.61944444444)</f>
        <v>45130.61944</v>
      </c>
      <c r="C130" s="4" t="str">
        <f>IFERROR(__xludf.DUMMYFUNCTION("""COMPUTED_VALUE""")," Enquire &amp; Coordinate with client")</f>
        <v> Enquire &amp; Coordinate with client</v>
      </c>
      <c r="E130" s="86"/>
    </row>
    <row r="131">
      <c r="A131" s="4"/>
      <c r="B131" s="85">
        <f>IFERROR(__xludf.DUMMYFUNCTION("""COMPUTED_VALUE"""),45132.62361111111)</f>
        <v>45132.62361</v>
      </c>
      <c r="C131" s="4" t="str">
        <f>IFERROR(__xludf.DUMMYFUNCTION("""COMPUTED_VALUE""")," Enquire &amp; Coordinate with client")</f>
        <v> Enquire &amp; Coordinate with client</v>
      </c>
      <c r="E131" s="86"/>
    </row>
    <row r="132">
      <c r="A132" s="4"/>
      <c r="B132" s="85">
        <f>IFERROR(__xludf.DUMMYFUNCTION("""COMPUTED_VALUE"""),45134.52847222222)</f>
        <v>45134.52847</v>
      </c>
      <c r="C132" s="4" t="str">
        <f>IFERROR(__xludf.DUMMYFUNCTION("""COMPUTED_VALUE""")," Enquire &amp; Coordinate with client")</f>
        <v> Enquire &amp; Coordinate with client</v>
      </c>
      <c r="E132" s="86"/>
    </row>
    <row r="133">
      <c r="A133" s="4"/>
      <c r="B133" s="85">
        <f>IFERROR(__xludf.DUMMYFUNCTION("""COMPUTED_VALUE"""),45134.75)</f>
        <v>45134.75</v>
      </c>
      <c r="C133" s="4" t="str">
        <f>IFERROR(__xludf.DUMMYFUNCTION("""COMPUTED_VALUE""")," Enquire &amp; Coordinate with client")</f>
        <v> Enquire &amp; Coordinate with client</v>
      </c>
      <c r="E133" s="86"/>
    </row>
    <row r="134">
      <c r="A134" s="4"/>
      <c r="B134" s="85">
        <f>IFERROR(__xludf.DUMMYFUNCTION("""COMPUTED_VALUE"""),45134.75347222222)</f>
        <v>45134.75347</v>
      </c>
      <c r="C134" s="4" t="str">
        <f>IFERROR(__xludf.DUMMYFUNCTION("""COMPUTED_VALUE""")," Enquire &amp; Coordinate with client")</f>
        <v> Enquire &amp; Coordinate with client</v>
      </c>
      <c r="E134" s="86"/>
    </row>
    <row r="135">
      <c r="A135" s="4"/>
      <c r="B135" s="85">
        <f>IFERROR(__xludf.DUMMYFUNCTION("""COMPUTED_VALUE"""),45134.7625)</f>
        <v>45134.7625</v>
      </c>
      <c r="C135" s="4" t="str">
        <f>IFERROR(__xludf.DUMMYFUNCTION("""COMPUTED_VALUE""")," Enquire &amp; Coordinate with client")</f>
        <v> Enquire &amp; Coordinate with client</v>
      </c>
      <c r="E135" s="86"/>
    </row>
    <row r="136">
      <c r="A136" s="4"/>
      <c r="B136" s="85">
        <f>IFERROR(__xludf.DUMMYFUNCTION("""COMPUTED_VALUE"""),45135.56388888889)</f>
        <v>45135.56389</v>
      </c>
      <c r="C136" s="4" t="str">
        <f>IFERROR(__xludf.DUMMYFUNCTION("""COMPUTED_VALUE""")," Enquire &amp; Coordinate with client")</f>
        <v> Enquire &amp; Coordinate with client</v>
      </c>
      <c r="E136" s="86"/>
    </row>
    <row r="137">
      <c r="A137" s="4"/>
      <c r="B137" s="85">
        <f>IFERROR(__xludf.DUMMYFUNCTION("""COMPUTED_VALUE"""),45137.615277777775)</f>
        <v>45137.61528</v>
      </c>
      <c r="C137" s="4" t="str">
        <f>IFERROR(__xludf.DUMMYFUNCTION("""COMPUTED_VALUE""")," Enquire &amp; Coordinate with client")</f>
        <v> Enquire &amp; Coordinate with client</v>
      </c>
      <c r="E137" s="86"/>
    </row>
    <row r="138">
      <c r="A138" s="4"/>
      <c r="B138" s="85">
        <f>IFERROR(__xludf.DUMMYFUNCTION("""COMPUTED_VALUE"""),45137.62986111111)</f>
        <v>45137.62986</v>
      </c>
      <c r="C138" s="4" t="str">
        <f>IFERROR(__xludf.DUMMYFUNCTION("""COMPUTED_VALUE""")," Enquire &amp; Coordinate with client")</f>
        <v> Enquire &amp; Coordinate with client</v>
      </c>
      <c r="E138" s="86"/>
    </row>
    <row r="139">
      <c r="A139" s="4"/>
      <c r="B139" s="85">
        <f>IFERROR(__xludf.DUMMYFUNCTION("""COMPUTED_VALUE"""),45140.62430555555)</f>
        <v>45140.62431</v>
      </c>
      <c r="C139" s="4" t="str">
        <f>IFERROR(__xludf.DUMMYFUNCTION("""COMPUTED_VALUE""")," Enquire &amp; Coordinate with client")</f>
        <v> Enquire &amp; Coordinate with client</v>
      </c>
      <c r="E139" s="86"/>
    </row>
    <row r="140">
      <c r="A140" s="4"/>
      <c r="B140" s="85">
        <f>IFERROR(__xludf.DUMMYFUNCTION("""COMPUTED_VALUE"""),45140.63055555556)</f>
        <v>45140.63056</v>
      </c>
      <c r="C140" s="4" t="str">
        <f>IFERROR(__xludf.DUMMYFUNCTION("""COMPUTED_VALUE""")," Enquire &amp; Coordinate with client")</f>
        <v> Enquire &amp; Coordinate with client</v>
      </c>
      <c r="E140" s="86"/>
    </row>
    <row r="141">
      <c r="A141" s="4"/>
      <c r="B141" s="85">
        <f>IFERROR(__xludf.DUMMYFUNCTION("""COMPUTED_VALUE"""),45144.50138888889)</f>
        <v>45144.50139</v>
      </c>
      <c r="C141" s="4" t="str">
        <f>IFERROR(__xludf.DUMMYFUNCTION("""COMPUTED_VALUE""")," Enquire &amp; Coordinate with client")</f>
        <v> Enquire &amp; Coordinate with client</v>
      </c>
      <c r="E141" s="86"/>
    </row>
    <row r="142">
      <c r="A142" s="4"/>
      <c r="B142" s="85">
        <f>IFERROR(__xludf.DUMMYFUNCTION("""COMPUTED_VALUE"""),45144.55625)</f>
        <v>45144.55625</v>
      </c>
      <c r="C142" s="4" t="str">
        <f>IFERROR(__xludf.DUMMYFUNCTION("""COMPUTED_VALUE""")," Enquire &amp; Coordinate with client")</f>
        <v> Enquire &amp; Coordinate with client</v>
      </c>
      <c r="E142" s="86"/>
    </row>
    <row r="143">
      <c r="A143" s="4"/>
      <c r="B143" s="85">
        <f>IFERROR(__xludf.DUMMYFUNCTION("""COMPUTED_VALUE"""),45144.68680555555)</f>
        <v>45144.68681</v>
      </c>
      <c r="C143" s="4" t="str">
        <f>IFERROR(__xludf.DUMMYFUNCTION("""COMPUTED_VALUE""")," Enquire &amp; Coordinate with client")</f>
        <v> Enquire &amp; Coordinate with client</v>
      </c>
      <c r="E143" s="86"/>
    </row>
    <row r="144">
      <c r="A144" s="4"/>
      <c r="B144" s="85">
        <f>IFERROR(__xludf.DUMMYFUNCTION("""COMPUTED_VALUE"""),45144.69375)</f>
        <v>45144.69375</v>
      </c>
      <c r="C144" s="4" t="str">
        <f>IFERROR(__xludf.DUMMYFUNCTION("""COMPUTED_VALUE""")," Enquire &amp; Coordinate with client")</f>
        <v> Enquire &amp; Coordinate with client</v>
      </c>
      <c r="E144" s="86"/>
    </row>
    <row r="145">
      <c r="A145" s="4"/>
      <c r="B145" s="85">
        <f>IFERROR(__xludf.DUMMYFUNCTION("""COMPUTED_VALUE"""),45144.70763888889)</f>
        <v>45144.70764</v>
      </c>
      <c r="C145" s="4" t="str">
        <f>IFERROR(__xludf.DUMMYFUNCTION("""COMPUTED_VALUE""")," Enquire &amp; Coordinate with client")</f>
        <v> Enquire &amp; Coordinate with client</v>
      </c>
      <c r="E145" s="86"/>
    </row>
    <row r="146">
      <c r="A146" s="4"/>
      <c r="B146" s="85">
        <f>IFERROR(__xludf.DUMMYFUNCTION("""COMPUTED_VALUE"""),45144.740277777775)</f>
        <v>45144.74028</v>
      </c>
      <c r="C146" s="4" t="str">
        <f>IFERROR(__xludf.DUMMYFUNCTION("""COMPUTED_VALUE""")," Enquire &amp; Coordinate with client")</f>
        <v> Enquire &amp; Coordinate with client</v>
      </c>
      <c r="E146" s="86"/>
    </row>
    <row r="147">
      <c r="A147" s="4"/>
      <c r="B147" s="85">
        <f>IFERROR(__xludf.DUMMYFUNCTION("""COMPUTED_VALUE"""),45146.538194444445)</f>
        <v>45146.53819</v>
      </c>
      <c r="C147" s="4" t="str">
        <f>IFERROR(__xludf.DUMMYFUNCTION("""COMPUTED_VALUE""")," Enquire &amp; Coordinate with client")</f>
        <v> Enquire &amp; Coordinate with client</v>
      </c>
      <c r="E147" s="86"/>
    </row>
    <row r="148">
      <c r="A148" s="4"/>
      <c r="B148" s="85">
        <f>IFERROR(__xludf.DUMMYFUNCTION("""COMPUTED_VALUE"""),45146.55347222222)</f>
        <v>45146.55347</v>
      </c>
      <c r="C148" s="4" t="str">
        <f>IFERROR(__xludf.DUMMYFUNCTION("""COMPUTED_VALUE""")," Enquire &amp; Coordinate with client")</f>
        <v> Enquire &amp; Coordinate with client</v>
      </c>
      <c r="E148" s="86"/>
    </row>
    <row r="149">
      <c r="A149" s="4"/>
      <c r="B149" s="85">
        <f>IFERROR(__xludf.DUMMYFUNCTION("""COMPUTED_VALUE"""),45146.62986111111)</f>
        <v>45146.62986</v>
      </c>
      <c r="C149" s="4" t="str">
        <f>IFERROR(__xludf.DUMMYFUNCTION("""COMPUTED_VALUE""")," Enquire &amp; Coordinate with client")</f>
        <v> Enquire &amp; Coordinate with client</v>
      </c>
      <c r="E149" s="86"/>
    </row>
    <row r="150">
      <c r="A150" s="4"/>
      <c r="B150" s="85">
        <f>IFERROR(__xludf.DUMMYFUNCTION("""COMPUTED_VALUE"""),45147.788888888885)</f>
        <v>45147.78889</v>
      </c>
      <c r="C150" s="4" t="str">
        <f>IFERROR(__xludf.DUMMYFUNCTION("""COMPUTED_VALUE""")," Enquire &amp; Coordinate with client")</f>
        <v> Enquire &amp; Coordinate with client</v>
      </c>
      <c r="E150" s="86"/>
    </row>
    <row r="151">
      <c r="A151" s="4"/>
      <c r="B151" s="85">
        <f>IFERROR(__xludf.DUMMYFUNCTION("""COMPUTED_VALUE"""),45147.79236111111)</f>
        <v>45147.79236</v>
      </c>
      <c r="C151" s="4" t="str">
        <f>IFERROR(__xludf.DUMMYFUNCTION("""COMPUTED_VALUE""")," Enquire &amp; Coordinate with client")</f>
        <v> Enquire &amp; Coordinate with client</v>
      </c>
      <c r="E151" s="86"/>
    </row>
    <row r="152">
      <c r="A152" s="4"/>
      <c r="B152" s="85">
        <f>IFERROR(__xludf.DUMMYFUNCTION("""COMPUTED_VALUE"""),45150.48402777778)</f>
        <v>45150.48403</v>
      </c>
      <c r="C152" s="4" t="str">
        <f>IFERROR(__xludf.DUMMYFUNCTION("""COMPUTED_VALUE""")," Enquire &amp; Coordinate with client")</f>
        <v> Enquire &amp; Coordinate with client</v>
      </c>
      <c r="E152" s="86"/>
    </row>
    <row r="153">
      <c r="A153" s="4"/>
      <c r="B153" s="85">
        <f>IFERROR(__xludf.DUMMYFUNCTION("""COMPUTED_VALUE"""),45150.65625)</f>
        <v>45150.65625</v>
      </c>
      <c r="C153" s="4" t="str">
        <f>IFERROR(__xludf.DUMMYFUNCTION("""COMPUTED_VALUE""")," Enquire &amp; Coordinate with client")</f>
        <v> Enquire &amp; Coordinate with client</v>
      </c>
      <c r="E153" s="86"/>
    </row>
    <row r="154">
      <c r="A154" s="4"/>
      <c r="B154" s="85">
        <f>IFERROR(__xludf.DUMMYFUNCTION("""COMPUTED_VALUE"""),45151.629166666666)</f>
        <v>45151.62917</v>
      </c>
      <c r="C154" s="4" t="str">
        <f>IFERROR(__xludf.DUMMYFUNCTION("""COMPUTED_VALUE""")," Enquire &amp; Coordinate with client")</f>
        <v> Enquire &amp; Coordinate with client</v>
      </c>
      <c r="E154" s="86"/>
    </row>
    <row r="155">
      <c r="A155" s="4"/>
      <c r="B155" s="85">
        <f>IFERROR(__xludf.DUMMYFUNCTION("""COMPUTED_VALUE"""),45155.805555555555)</f>
        <v>45155.80556</v>
      </c>
      <c r="C155" s="4" t="str">
        <f>IFERROR(__xludf.DUMMYFUNCTION("""COMPUTED_VALUE""")," Enquire &amp; Coordinate with client")</f>
        <v> Enquire &amp; Coordinate with client</v>
      </c>
      <c r="E155" s="86"/>
    </row>
    <row r="156">
      <c r="A156" s="4"/>
      <c r="B156" s="85">
        <f>IFERROR(__xludf.DUMMYFUNCTION("""COMPUTED_VALUE"""),45155.80763888889)</f>
        <v>45155.80764</v>
      </c>
      <c r="C156" s="4" t="str">
        <f>IFERROR(__xludf.DUMMYFUNCTION("""COMPUTED_VALUE""")," Enquire &amp; Coordinate with client")</f>
        <v> Enquire &amp; Coordinate with client</v>
      </c>
      <c r="E156" s="86"/>
    </row>
    <row r="157">
      <c r="A157" s="4"/>
      <c r="B157" s="85">
        <f>IFERROR(__xludf.DUMMYFUNCTION("""COMPUTED_VALUE"""),45155.80972222222)</f>
        <v>45155.80972</v>
      </c>
      <c r="C157" s="4" t="str">
        <f>IFERROR(__xludf.DUMMYFUNCTION("""COMPUTED_VALUE""")," Enquire &amp; Coordinate with client")</f>
        <v> Enquire &amp; Coordinate with client</v>
      </c>
      <c r="E157" s="86"/>
    </row>
    <row r="158">
      <c r="A158" s="4"/>
      <c r="B158" s="85">
        <f>IFERROR(__xludf.DUMMYFUNCTION("""COMPUTED_VALUE"""),45156.77777777778)</f>
        <v>45156.77778</v>
      </c>
      <c r="C158" s="4" t="str">
        <f>IFERROR(__xludf.DUMMYFUNCTION("""COMPUTED_VALUE""")," Enquire &amp; Coordinate with client")</f>
        <v> Enquire &amp; Coordinate with client</v>
      </c>
      <c r="E158" s="86"/>
    </row>
    <row r="159">
      <c r="A159" s="4"/>
      <c r="B159" s="85">
        <f>IFERROR(__xludf.DUMMYFUNCTION("""COMPUTED_VALUE"""),45158.59375)</f>
        <v>45158.59375</v>
      </c>
      <c r="C159" s="4" t="str">
        <f>IFERROR(__xludf.DUMMYFUNCTION("""COMPUTED_VALUE""")," Enquire &amp; Coordinate with client")</f>
        <v> Enquire &amp; Coordinate with client</v>
      </c>
      <c r="E159" s="86"/>
    </row>
    <row r="160">
      <c r="A160" s="4"/>
      <c r="B160" s="85">
        <f>IFERROR(__xludf.DUMMYFUNCTION("""COMPUTED_VALUE"""),45160.48888888889)</f>
        <v>45160.48889</v>
      </c>
      <c r="C160" s="4" t="str">
        <f>IFERROR(__xludf.DUMMYFUNCTION("""COMPUTED_VALUE""")," Enquire &amp; Coordinate with client")</f>
        <v> Enquire &amp; Coordinate with client</v>
      </c>
      <c r="E160" s="86"/>
    </row>
    <row r="161">
      <c r="A161" s="4"/>
      <c r="B161" s="85">
        <f>IFERROR(__xludf.DUMMYFUNCTION("""COMPUTED_VALUE"""),45161.611805555556)</f>
        <v>45161.61181</v>
      </c>
      <c r="C161" s="4" t="str">
        <f>IFERROR(__xludf.DUMMYFUNCTION("""COMPUTED_VALUE""")," Enquire &amp; Coordinate with client")</f>
        <v> Enquire &amp; Coordinate with client</v>
      </c>
      <c r="E161" s="86"/>
    </row>
    <row r="162">
      <c r="A162" s="4"/>
      <c r="B162" s="85">
        <f>IFERROR(__xludf.DUMMYFUNCTION("""COMPUTED_VALUE"""),45164.49513888889)</f>
        <v>45164.49514</v>
      </c>
      <c r="C162" s="4" t="str">
        <f>IFERROR(__xludf.DUMMYFUNCTION("""COMPUTED_VALUE""")," Enquire &amp; Coordinate with client")</f>
        <v> Enquire &amp; Coordinate with client</v>
      </c>
      <c r="E162" s="86"/>
    </row>
    <row r="163">
      <c r="A163" s="4"/>
      <c r="B163" s="85">
        <f>IFERROR(__xludf.DUMMYFUNCTION("""COMPUTED_VALUE"""),45168.51875)</f>
        <v>45168.51875</v>
      </c>
      <c r="C163" s="4" t="str">
        <f>IFERROR(__xludf.DUMMYFUNCTION("""COMPUTED_VALUE""")," Enquire &amp; Coordinate with client")</f>
        <v> Enquire &amp; Coordinate with client</v>
      </c>
      <c r="E163" s="86"/>
    </row>
    <row r="164">
      <c r="A164" s="4"/>
      <c r="B164" s="85">
        <f>IFERROR(__xludf.DUMMYFUNCTION("""COMPUTED_VALUE"""),45168.538888888885)</f>
        <v>45168.53889</v>
      </c>
      <c r="C164" s="4" t="str">
        <f>IFERROR(__xludf.DUMMYFUNCTION("""COMPUTED_VALUE""")," Enquire &amp; Coordinate with client")</f>
        <v> Enquire &amp; Coordinate with client</v>
      </c>
      <c r="E164" s="86"/>
    </row>
    <row r="165">
      <c r="A165" s="4"/>
      <c r="B165" s="85">
        <f>IFERROR(__xludf.DUMMYFUNCTION("""COMPUTED_VALUE"""),45168.558333333334)</f>
        <v>45168.55833</v>
      </c>
      <c r="C165" s="4" t="str">
        <f>IFERROR(__xludf.DUMMYFUNCTION("""COMPUTED_VALUE""")," Enquire &amp; Coordinate with client")</f>
        <v> Enquire &amp; Coordinate with client</v>
      </c>
      <c r="E165" s="86"/>
    </row>
    <row r="166">
      <c r="A166" s="4"/>
      <c r="B166" s="85">
        <f>IFERROR(__xludf.DUMMYFUNCTION("""COMPUTED_VALUE"""),45169.52777777778)</f>
        <v>45169.52778</v>
      </c>
      <c r="C166" s="4" t="str">
        <f>IFERROR(__xludf.DUMMYFUNCTION("""COMPUTED_VALUE""")," Enquire &amp; Coordinate with client")</f>
        <v> Enquire &amp; Coordinate with client</v>
      </c>
      <c r="E166" s="86"/>
    </row>
    <row r="167">
      <c r="A167" s="4"/>
      <c r="B167" s="85">
        <f>IFERROR(__xludf.DUMMYFUNCTION("""COMPUTED_VALUE"""),45171.540972222225)</f>
        <v>45171.54097</v>
      </c>
      <c r="C167" s="4" t="str">
        <f>IFERROR(__xludf.DUMMYFUNCTION("""COMPUTED_VALUE""")," Enquire &amp; Coordinate with client")</f>
        <v> Enquire &amp; Coordinate with client</v>
      </c>
      <c r="E167" s="86"/>
    </row>
    <row r="168">
      <c r="A168" s="4"/>
      <c r="B168" s="85">
        <f>IFERROR(__xludf.DUMMYFUNCTION("""COMPUTED_VALUE"""),45175.799305555556)</f>
        <v>45175.79931</v>
      </c>
      <c r="C168" s="4" t="str">
        <f>IFERROR(__xludf.DUMMYFUNCTION("""COMPUTED_VALUE""")," Enquire &amp; Coordinate with client")</f>
        <v> Enquire &amp; Coordinate with client</v>
      </c>
      <c r="E168" s="86"/>
    </row>
    <row r="169">
      <c r="A169" s="4"/>
      <c r="B169" s="85">
        <f>IFERROR(__xludf.DUMMYFUNCTION("""COMPUTED_VALUE"""),45176.72083333333)</f>
        <v>45176.72083</v>
      </c>
      <c r="C169" s="4" t="str">
        <f>IFERROR(__xludf.DUMMYFUNCTION("""COMPUTED_VALUE""")," Enquire &amp; Coordinate with client")</f>
        <v> Enquire &amp; Coordinate with client</v>
      </c>
      <c r="E169" s="86"/>
    </row>
    <row r="170">
      <c r="A170" s="4"/>
      <c r="B170" s="85">
        <f>IFERROR(__xludf.DUMMYFUNCTION("""COMPUTED_VALUE"""),45185.50833333333)</f>
        <v>45185.50833</v>
      </c>
      <c r="C170" s="4" t="str">
        <f>IFERROR(__xludf.DUMMYFUNCTION("""COMPUTED_VALUE""")," Enquire &amp; Coordinate with client")</f>
        <v> Enquire &amp; Coordinate with client</v>
      </c>
      <c r="E170" s="86"/>
    </row>
    <row r="171">
      <c r="A171" s="4"/>
      <c r="B171" s="85">
        <f>IFERROR(__xludf.DUMMYFUNCTION("""COMPUTED_VALUE"""),45185.51944444445)</f>
        <v>45185.51944</v>
      </c>
      <c r="C171" s="4" t="str">
        <f>IFERROR(__xludf.DUMMYFUNCTION("""COMPUTED_VALUE""")," Enquire &amp; Coordinate with client")</f>
        <v> Enquire &amp; Coordinate with client</v>
      </c>
      <c r="E171" s="86"/>
    </row>
    <row r="172">
      <c r="A172" s="4"/>
      <c r="B172" s="85">
        <f>IFERROR(__xludf.DUMMYFUNCTION("""COMPUTED_VALUE"""),45185.521527777775)</f>
        <v>45185.52153</v>
      </c>
      <c r="C172" s="4" t="str">
        <f>IFERROR(__xludf.DUMMYFUNCTION("""COMPUTED_VALUE""")," Enquire &amp; Coordinate with client")</f>
        <v> Enquire &amp; Coordinate with client</v>
      </c>
      <c r="E172" s="86"/>
    </row>
    <row r="173">
      <c r="A173" s="4"/>
      <c r="B173" s="85">
        <f>IFERROR(__xludf.DUMMYFUNCTION("""COMPUTED_VALUE"""),45185.538888888885)</f>
        <v>45185.53889</v>
      </c>
      <c r="C173" s="4" t="str">
        <f>IFERROR(__xludf.DUMMYFUNCTION("""COMPUTED_VALUE""")," Enquire &amp; Coordinate with client")</f>
        <v> Enquire &amp; Coordinate with client</v>
      </c>
      <c r="E173" s="86"/>
    </row>
    <row r="174">
      <c r="A174" s="4"/>
      <c r="B174" s="85">
        <f>IFERROR(__xludf.DUMMYFUNCTION("""COMPUTED_VALUE"""),45185.554861111115)</f>
        <v>45185.55486</v>
      </c>
      <c r="C174" s="4" t="str">
        <f>IFERROR(__xludf.DUMMYFUNCTION("""COMPUTED_VALUE""")," Enquire &amp; Coordinate with client")</f>
        <v> Enquire &amp; Coordinate with client</v>
      </c>
      <c r="E174" s="86"/>
    </row>
    <row r="175">
      <c r="A175" s="4"/>
      <c r="B175" s="85">
        <f>IFERROR(__xludf.DUMMYFUNCTION("""COMPUTED_VALUE"""),45185.55902777778)</f>
        <v>45185.55903</v>
      </c>
      <c r="C175" s="4" t="str">
        <f>IFERROR(__xludf.DUMMYFUNCTION("""COMPUTED_VALUE""")," Enquire &amp; Coordinate with client")</f>
        <v> Enquire &amp; Coordinate with client</v>
      </c>
      <c r="E175" s="86"/>
    </row>
    <row r="176">
      <c r="A176" s="4"/>
      <c r="B176" s="85">
        <f>IFERROR(__xludf.DUMMYFUNCTION("""COMPUTED_VALUE"""),45213.82638888889)</f>
        <v>45213.82639</v>
      </c>
      <c r="C176" s="4" t="str">
        <f>IFERROR(__xludf.DUMMYFUNCTION("""COMPUTED_VALUE""")," Enquire &amp; Coordinate with client")</f>
        <v> Enquire &amp; Coordinate with client</v>
      </c>
      <c r="E176" s="86"/>
    </row>
    <row r="177">
      <c r="A177" s="4"/>
      <c r="B177" s="85">
        <f>IFERROR(__xludf.DUMMYFUNCTION("""COMPUTED_VALUE"""),45232.65138888889)</f>
        <v>45232.65139</v>
      </c>
      <c r="C177" s="4" t="str">
        <f>IFERROR(__xludf.DUMMYFUNCTION("""COMPUTED_VALUE""")," Enquire &amp; Coordinate with client")</f>
        <v> Enquire &amp; Coordinate with client</v>
      </c>
      <c r="E177" s="86"/>
    </row>
    <row r="178">
      <c r="A178" s="4"/>
      <c r="B178" s="85">
        <f>IFERROR(__xludf.DUMMYFUNCTION("""COMPUTED_VALUE"""),45232.66666666667)</f>
        <v>45232.66667</v>
      </c>
      <c r="C178" s="4" t="str">
        <f>IFERROR(__xludf.DUMMYFUNCTION("""COMPUTED_VALUE""")," Enquire &amp; Coordinate with client")</f>
        <v> Enquire &amp; Coordinate with client</v>
      </c>
      <c r="E178" s="86"/>
    </row>
    <row r="179">
      <c r="A179" s="4"/>
      <c r="B179" s="85">
        <f>IFERROR(__xludf.DUMMYFUNCTION("""COMPUTED_VALUE"""),45232.67361111111)</f>
        <v>45232.67361</v>
      </c>
      <c r="C179" s="4" t="str">
        <f>IFERROR(__xludf.DUMMYFUNCTION("""COMPUTED_VALUE""")," Enquire &amp; Coordinate with client")</f>
        <v> Enquire &amp; Coordinate with client</v>
      </c>
      <c r="E179" s="86"/>
    </row>
    <row r="180">
      <c r="A180" s="4"/>
      <c r="B180" s="85">
        <f>IFERROR(__xludf.DUMMYFUNCTION("""COMPUTED_VALUE"""),45232.69375)</f>
        <v>45232.69375</v>
      </c>
      <c r="C180" s="4" t="str">
        <f>IFERROR(__xludf.DUMMYFUNCTION("""COMPUTED_VALUE""")," Enquire &amp; Coordinate with client")</f>
        <v> Enquire &amp; Coordinate with client</v>
      </c>
      <c r="E180" s="86"/>
    </row>
    <row r="181">
      <c r="A181" s="4"/>
      <c r="B181" s="85">
        <f>IFERROR(__xludf.DUMMYFUNCTION("""COMPUTED_VALUE"""),45233.70347222222)</f>
        <v>45233.70347</v>
      </c>
      <c r="C181" s="4" t="str">
        <f>IFERROR(__xludf.DUMMYFUNCTION("""COMPUTED_VALUE""")," Enquire &amp; Coordinate with client")</f>
        <v> Enquire &amp; Coordinate with client</v>
      </c>
      <c r="E181" s="86"/>
    </row>
    <row r="182">
      <c r="A182" s="4"/>
      <c r="B182" s="85">
        <f>IFERROR(__xludf.DUMMYFUNCTION("""COMPUTED_VALUE"""),45233.76111111111)</f>
        <v>45233.76111</v>
      </c>
      <c r="C182" s="4" t="str">
        <f>IFERROR(__xludf.DUMMYFUNCTION("""COMPUTED_VALUE""")," Enquire &amp; Coordinate with client")</f>
        <v> Enquire &amp; Coordinate with client</v>
      </c>
      <c r="E182" s="86"/>
    </row>
    <row r="183">
      <c r="A183" s="4"/>
      <c r="B183" s="85">
        <f>IFERROR(__xludf.DUMMYFUNCTION("""COMPUTED_VALUE"""),45234.49097222222)</f>
        <v>45234.49097</v>
      </c>
      <c r="C183" s="4" t="str">
        <f>IFERROR(__xludf.DUMMYFUNCTION("""COMPUTED_VALUE""")," Enquire &amp; Coordinate with client")</f>
        <v> Enquire &amp; Coordinate with client</v>
      </c>
      <c r="E183" s="86"/>
    </row>
    <row r="184">
      <c r="A184" s="4"/>
      <c r="B184" s="85">
        <f>IFERROR(__xludf.DUMMYFUNCTION("""COMPUTED_VALUE"""),45234.49375)</f>
        <v>45234.49375</v>
      </c>
      <c r="C184" s="4" t="str">
        <f>IFERROR(__xludf.DUMMYFUNCTION("""COMPUTED_VALUE""")," Enquire &amp; Coordinate with client")</f>
        <v> Enquire &amp; Coordinate with client</v>
      </c>
      <c r="E184" s="86"/>
    </row>
    <row r="185">
      <c r="A185" s="4"/>
      <c r="B185" s="85">
        <f>IFERROR(__xludf.DUMMYFUNCTION("""COMPUTED_VALUE"""),45234.49930555555)</f>
        <v>45234.49931</v>
      </c>
      <c r="C185" s="4" t="str">
        <f>IFERROR(__xludf.DUMMYFUNCTION("""COMPUTED_VALUE""")," Enquire &amp; Coordinate with client")</f>
        <v> Enquire &amp; Coordinate with client</v>
      </c>
      <c r="E185" s="86"/>
    </row>
    <row r="186">
      <c r="A186" s="4"/>
      <c r="B186" s="85">
        <f>IFERROR(__xludf.DUMMYFUNCTION("""COMPUTED_VALUE"""),45234.57291666667)</f>
        <v>45234.57292</v>
      </c>
      <c r="C186" s="4" t="str">
        <f>IFERROR(__xludf.DUMMYFUNCTION("""COMPUTED_VALUE""")," Enquire &amp; Coordinate with client")</f>
        <v> Enquire &amp; Coordinate with client</v>
      </c>
      <c r="E186" s="86"/>
    </row>
    <row r="187">
      <c r="A187" s="4"/>
      <c r="B187" s="85">
        <f>IFERROR(__xludf.DUMMYFUNCTION("""COMPUTED_VALUE"""),45234.64722222222)</f>
        <v>45234.64722</v>
      </c>
      <c r="C187" s="4" t="str">
        <f>IFERROR(__xludf.DUMMYFUNCTION("""COMPUTED_VALUE""")," Enquire &amp; Coordinate with client")</f>
        <v> Enquire &amp; Coordinate with client</v>
      </c>
      <c r="E187" s="86"/>
    </row>
    <row r="188">
      <c r="A188" s="4"/>
      <c r="B188" s="85">
        <f>IFERROR(__xludf.DUMMYFUNCTION("""COMPUTED_VALUE"""),45234.649305555555)</f>
        <v>45234.64931</v>
      </c>
      <c r="C188" s="4" t="str">
        <f>IFERROR(__xludf.DUMMYFUNCTION("""COMPUTED_VALUE""")," Enquire &amp; Coordinate with client")</f>
        <v> Enquire &amp; Coordinate with client</v>
      </c>
      <c r="E188" s="86"/>
    </row>
    <row r="189">
      <c r="A189" s="4"/>
      <c r="B189" s="85">
        <f>IFERROR(__xludf.DUMMYFUNCTION("""COMPUTED_VALUE"""),45234.65138888889)</f>
        <v>45234.65139</v>
      </c>
      <c r="C189" s="4" t="str">
        <f>IFERROR(__xludf.DUMMYFUNCTION("""COMPUTED_VALUE""")," Enquire &amp; Coordinate with client")</f>
        <v> Enquire &amp; Coordinate with client</v>
      </c>
      <c r="E189" s="86"/>
    </row>
    <row r="190">
      <c r="A190" s="4"/>
      <c r="B190" s="85">
        <f>IFERROR(__xludf.DUMMYFUNCTION("""COMPUTED_VALUE"""),45234.65277777778)</f>
        <v>45234.65278</v>
      </c>
      <c r="C190" s="4" t="str">
        <f>IFERROR(__xludf.DUMMYFUNCTION("""COMPUTED_VALUE""")," Enquire &amp; Coordinate with client")</f>
        <v> Enquire &amp; Coordinate with client</v>
      </c>
      <c r="E190" s="86"/>
    </row>
    <row r="191">
      <c r="A191" s="4"/>
      <c r="B191" s="85">
        <f>IFERROR(__xludf.DUMMYFUNCTION("""COMPUTED_VALUE"""),45234.66875)</f>
        <v>45234.66875</v>
      </c>
      <c r="C191" s="4" t="str">
        <f>IFERROR(__xludf.DUMMYFUNCTION("""COMPUTED_VALUE""")," Enquire &amp; Coordinate with client")</f>
        <v> Enquire &amp; Coordinate with client</v>
      </c>
      <c r="E191" s="86"/>
    </row>
    <row r="192">
      <c r="A192" s="4"/>
      <c r="B192" s="85">
        <f>IFERROR(__xludf.DUMMYFUNCTION("""COMPUTED_VALUE"""),45234.677777777775)</f>
        <v>45234.67778</v>
      </c>
      <c r="C192" s="4" t="str">
        <f>IFERROR(__xludf.DUMMYFUNCTION("""COMPUTED_VALUE""")," Enquire &amp; Coordinate with client")</f>
        <v> Enquire &amp; Coordinate with client</v>
      </c>
      <c r="E192" s="86"/>
    </row>
    <row r="193">
      <c r="A193" s="4"/>
      <c r="B193" s="85">
        <f>IFERROR(__xludf.DUMMYFUNCTION("""COMPUTED_VALUE"""),45234.68125)</f>
        <v>45234.68125</v>
      </c>
      <c r="C193" s="4" t="str">
        <f>IFERROR(__xludf.DUMMYFUNCTION("""COMPUTED_VALUE""")," Enquire &amp; Coordinate with client")</f>
        <v> Enquire &amp; Coordinate with client</v>
      </c>
      <c r="E193" s="86"/>
    </row>
    <row r="194">
      <c r="A194" s="4"/>
      <c r="B194" s="85">
        <f>IFERROR(__xludf.DUMMYFUNCTION("""COMPUTED_VALUE"""),45237.67916666667)</f>
        <v>45237.67917</v>
      </c>
      <c r="C194" s="4" t="str">
        <f>IFERROR(__xludf.DUMMYFUNCTION("""COMPUTED_VALUE""")," Enquire &amp; Coordinate with client")</f>
        <v> Enquire &amp; Coordinate with client</v>
      </c>
      <c r="E194" s="86"/>
    </row>
    <row r="195">
      <c r="A195" s="4"/>
      <c r="B195" s="85">
        <f>IFERROR(__xludf.DUMMYFUNCTION("""COMPUTED_VALUE"""),45238.572222222225)</f>
        <v>45238.57222</v>
      </c>
      <c r="C195" s="4" t="str">
        <f>IFERROR(__xludf.DUMMYFUNCTION("""COMPUTED_VALUE""")," Enquire &amp; Coordinate with client")</f>
        <v> Enquire &amp; Coordinate with client</v>
      </c>
      <c r="E195" s="86"/>
    </row>
    <row r="196">
      <c r="A196" s="4"/>
      <c r="B196" s="85">
        <f>IFERROR(__xludf.DUMMYFUNCTION("""COMPUTED_VALUE"""),45240.52569444444)</f>
        <v>45240.52569</v>
      </c>
      <c r="C196" s="4" t="str">
        <f>IFERROR(__xludf.DUMMYFUNCTION("""COMPUTED_VALUE""")," Enquire &amp; Coordinate with client")</f>
        <v> Enquire &amp; Coordinate with client</v>
      </c>
      <c r="E196" s="86"/>
    </row>
    <row r="197">
      <c r="A197" s="4"/>
      <c r="B197" s="85">
        <f>IFERROR(__xludf.DUMMYFUNCTION("""COMPUTED_VALUE"""),45240.52777777778)</f>
        <v>45240.52778</v>
      </c>
      <c r="C197" s="4" t="str">
        <f>IFERROR(__xludf.DUMMYFUNCTION("""COMPUTED_VALUE""")," Enquire &amp; Coordinate with client")</f>
        <v> Enquire &amp; Coordinate with client</v>
      </c>
      <c r="E197" s="86"/>
    </row>
    <row r="198">
      <c r="A198" s="4"/>
      <c r="B198" s="85">
        <f>IFERROR(__xludf.DUMMYFUNCTION("""COMPUTED_VALUE"""),45240.53125)</f>
        <v>45240.53125</v>
      </c>
      <c r="C198" s="4" t="str">
        <f>IFERROR(__xludf.DUMMYFUNCTION("""COMPUTED_VALUE""")," Enquire &amp; Coordinate with client")</f>
        <v> Enquire &amp; Coordinate with client</v>
      </c>
      <c r="E198" s="86"/>
    </row>
    <row r="199">
      <c r="A199" s="4"/>
      <c r="B199" s="85">
        <f>IFERROR(__xludf.DUMMYFUNCTION("""COMPUTED_VALUE"""),45240.53402777778)</f>
        <v>45240.53403</v>
      </c>
      <c r="C199" s="4" t="str">
        <f>IFERROR(__xludf.DUMMYFUNCTION("""COMPUTED_VALUE""")," Enquire &amp; Coordinate with client")</f>
        <v> Enquire &amp; Coordinate with client</v>
      </c>
      <c r="E199" s="86"/>
    </row>
    <row r="200">
      <c r="A200" s="4"/>
      <c r="B200" s="85">
        <f>IFERROR(__xludf.DUMMYFUNCTION("""COMPUTED_VALUE"""),45240.552777777775)</f>
        <v>45240.55278</v>
      </c>
      <c r="C200" s="4" t="str">
        <f>IFERROR(__xludf.DUMMYFUNCTION("""COMPUTED_VALUE""")," Enquire &amp; Coordinate with client")</f>
        <v> Enquire &amp; Coordinate with client</v>
      </c>
      <c r="E200" s="86"/>
    </row>
    <row r="201">
      <c r="A201" s="4"/>
      <c r="B201" s="85">
        <f>IFERROR(__xludf.DUMMYFUNCTION("""COMPUTED_VALUE"""),45247.64375)</f>
        <v>45247.64375</v>
      </c>
      <c r="C201" s="4" t="str">
        <f>IFERROR(__xludf.DUMMYFUNCTION("""COMPUTED_VALUE""")," Enquire &amp; Coordinate with client")</f>
        <v> Enquire &amp; Coordinate with client</v>
      </c>
      <c r="E201" s="86"/>
    </row>
    <row r="202">
      <c r="A202" s="4"/>
      <c r="B202" s="85">
        <f>IFERROR(__xludf.DUMMYFUNCTION("""COMPUTED_VALUE"""),45247.705555555556)</f>
        <v>45247.70556</v>
      </c>
      <c r="C202" s="4" t="str">
        <f>IFERROR(__xludf.DUMMYFUNCTION("""COMPUTED_VALUE""")," Enquire &amp; Coordinate with client")</f>
        <v> Enquire &amp; Coordinate with client</v>
      </c>
      <c r="E202" s="86"/>
    </row>
    <row r="203">
      <c r="A203" s="4"/>
      <c r="B203" s="85">
        <f>IFERROR(__xludf.DUMMYFUNCTION("""COMPUTED_VALUE"""),45247.71319444444)</f>
        <v>45247.71319</v>
      </c>
      <c r="C203" s="4" t="str">
        <f>IFERROR(__xludf.DUMMYFUNCTION("""COMPUTED_VALUE""")," Enquire &amp; Coordinate with client")</f>
        <v> Enquire &amp; Coordinate with client</v>
      </c>
      <c r="E203" s="86"/>
    </row>
    <row r="204">
      <c r="A204" s="4"/>
      <c r="B204" s="85">
        <f>IFERROR(__xludf.DUMMYFUNCTION("""COMPUTED_VALUE"""),45247.714583333334)</f>
        <v>45247.71458</v>
      </c>
      <c r="C204" s="4" t="str">
        <f>IFERROR(__xludf.DUMMYFUNCTION("""COMPUTED_VALUE""")," Enquire &amp; Coordinate with client")</f>
        <v> Enquire &amp; Coordinate with client</v>
      </c>
      <c r="E204" s="86"/>
    </row>
    <row r="205">
      <c r="A205" s="4"/>
      <c r="B205" s="85">
        <f>IFERROR(__xludf.DUMMYFUNCTION("""COMPUTED_VALUE"""),45254.524305555555)</f>
        <v>45254.52431</v>
      </c>
      <c r="C205" s="4" t="str">
        <f>IFERROR(__xludf.DUMMYFUNCTION("""COMPUTED_VALUE""")," Enquire &amp; Coordinate with client")</f>
        <v> Enquire &amp; Coordinate with client</v>
      </c>
      <c r="E205" s="86"/>
    </row>
    <row r="206">
      <c r="A206" s="4"/>
      <c r="B206" s="85">
        <f>IFERROR(__xludf.DUMMYFUNCTION("""COMPUTED_VALUE"""),45254.52638888889)</f>
        <v>45254.52639</v>
      </c>
      <c r="C206" s="4" t="str">
        <f>IFERROR(__xludf.DUMMYFUNCTION("""COMPUTED_VALUE""")," Enquire &amp; Coordinate with client")</f>
        <v> Enquire &amp; Coordinate with client</v>
      </c>
      <c r="E206" s="86"/>
    </row>
    <row r="207">
      <c r="A207" s="4"/>
      <c r="B207" s="85">
        <f>IFERROR(__xludf.DUMMYFUNCTION("""COMPUTED_VALUE"""),45254.57986111111)</f>
        <v>45254.57986</v>
      </c>
      <c r="C207" s="4" t="str">
        <f>IFERROR(__xludf.DUMMYFUNCTION("""COMPUTED_VALUE""")," Enquire &amp; Coordinate with client")</f>
        <v> Enquire &amp; Coordinate with client</v>
      </c>
      <c r="E207" s="86"/>
    </row>
    <row r="208">
      <c r="A208" s="4"/>
      <c r="B208" s="85">
        <f>IFERROR(__xludf.DUMMYFUNCTION("""COMPUTED_VALUE"""),45254.58263888889)</f>
        <v>45254.58264</v>
      </c>
      <c r="C208" s="4" t="str">
        <f>IFERROR(__xludf.DUMMYFUNCTION("""COMPUTED_VALUE""")," Enquire &amp; Coordinate with client")</f>
        <v> Enquire &amp; Coordinate with client</v>
      </c>
      <c r="E208" s="86"/>
    </row>
    <row r="209">
      <c r="A209" s="4"/>
      <c r="B209" s="85">
        <f>IFERROR(__xludf.DUMMYFUNCTION("""COMPUTED_VALUE"""),45305.56875)</f>
        <v>45305.56875</v>
      </c>
      <c r="C209" s="4" t="str">
        <f>IFERROR(__xludf.DUMMYFUNCTION("""COMPUTED_VALUE""")," Enquire &amp; Coordinate with client")</f>
        <v> Enquire &amp; Coordinate with client</v>
      </c>
      <c r="E209" s="86"/>
    </row>
    <row r="210">
      <c r="A210" s="4"/>
      <c r="B210" s="85">
        <f>IFERROR(__xludf.DUMMYFUNCTION("""COMPUTED_VALUE"""),45305.60972222222)</f>
        <v>45305.60972</v>
      </c>
      <c r="C210" s="4" t="str">
        <f>IFERROR(__xludf.DUMMYFUNCTION("""COMPUTED_VALUE""")," Enquire &amp; Coordinate with client")</f>
        <v> Enquire &amp; Coordinate with client</v>
      </c>
      <c r="E210" s="86"/>
    </row>
    <row r="211">
      <c r="A211" s="4"/>
      <c r="B211" s="85">
        <f>IFERROR(__xludf.DUMMYFUNCTION("""COMPUTED_VALUE"""),45305.65763888889)</f>
        <v>45305.65764</v>
      </c>
      <c r="C211" s="4" t="str">
        <f>IFERROR(__xludf.DUMMYFUNCTION("""COMPUTED_VALUE""")," Enquire &amp; Coordinate with client")</f>
        <v> Enquire &amp; Coordinate with client</v>
      </c>
      <c r="E211" s="86"/>
    </row>
    <row r="212">
      <c r="A212" s="4"/>
      <c r="B212" s="85">
        <f>IFERROR(__xludf.DUMMYFUNCTION("""COMPUTED_VALUE"""),45308.56041666667)</f>
        <v>45308.56042</v>
      </c>
      <c r="C212" s="4" t="str">
        <f>IFERROR(__xludf.DUMMYFUNCTION("""COMPUTED_VALUE""")," Enquire &amp; Coordinate with client")</f>
        <v> Enquire &amp; Coordinate with client</v>
      </c>
      <c r="E212" s="86"/>
    </row>
    <row r="213">
      <c r="A213" s="4"/>
      <c r="B213" s="85">
        <f>IFERROR(__xludf.DUMMYFUNCTION("""COMPUTED_VALUE"""),45308.56527777778)</f>
        <v>45308.56528</v>
      </c>
      <c r="C213" s="4" t="str">
        <f>IFERROR(__xludf.DUMMYFUNCTION("""COMPUTED_VALUE""")," Enquire &amp; Coordinate with client")</f>
        <v> Enquire &amp; Coordinate with client</v>
      </c>
      <c r="E213" s="86"/>
    </row>
    <row r="214">
      <c r="A214" s="4"/>
      <c r="B214" s="85">
        <f>IFERROR(__xludf.DUMMYFUNCTION("""COMPUTED_VALUE"""),45308.584027777775)</f>
        <v>45308.58403</v>
      </c>
      <c r="C214" s="4" t="str">
        <f>IFERROR(__xludf.DUMMYFUNCTION("""COMPUTED_VALUE""")," Enquire &amp; Coordinate with client")</f>
        <v> Enquire &amp; Coordinate with client</v>
      </c>
      <c r="E214" s="86"/>
    </row>
    <row r="215">
      <c r="A215" s="4"/>
      <c r="B215" s="85">
        <f>IFERROR(__xludf.DUMMYFUNCTION("""COMPUTED_VALUE"""),45308.65277777778)</f>
        <v>45308.65278</v>
      </c>
      <c r="C215" s="4" t="str">
        <f>IFERROR(__xludf.DUMMYFUNCTION("""COMPUTED_VALUE""")," Enquire &amp; Coordinate with client")</f>
        <v> Enquire &amp; Coordinate with client</v>
      </c>
      <c r="E215" s="86"/>
    </row>
    <row r="216">
      <c r="A216" s="4"/>
      <c r="B216" s="85">
        <f>IFERROR(__xludf.DUMMYFUNCTION("""COMPUTED_VALUE"""),45308.65833333333)</f>
        <v>45308.65833</v>
      </c>
      <c r="C216" s="4" t="str">
        <f>IFERROR(__xludf.DUMMYFUNCTION("""COMPUTED_VALUE""")," Enquire &amp; Coordinate with client")</f>
        <v> Enquire &amp; Coordinate with client</v>
      </c>
      <c r="E216" s="86"/>
    </row>
    <row r="217">
      <c r="A217" s="4"/>
      <c r="B217" s="85">
        <f>IFERROR(__xludf.DUMMYFUNCTION("""COMPUTED_VALUE"""),45308.66180555556)</f>
        <v>45308.66181</v>
      </c>
      <c r="C217" s="4" t="str">
        <f>IFERROR(__xludf.DUMMYFUNCTION("""COMPUTED_VALUE""")," Enquire &amp; Coordinate with client")</f>
        <v> Enquire &amp; Coordinate with client</v>
      </c>
      <c r="E217" s="86"/>
    </row>
    <row r="218">
      <c r="A218" s="4"/>
      <c r="B218" s="85">
        <f>IFERROR(__xludf.DUMMYFUNCTION("""COMPUTED_VALUE"""),45308.66666666667)</f>
        <v>45308.66667</v>
      </c>
      <c r="C218" s="4" t="str">
        <f>IFERROR(__xludf.DUMMYFUNCTION("""COMPUTED_VALUE""")," Enquire &amp; Coordinate with client")</f>
        <v> Enquire &amp; Coordinate with client</v>
      </c>
      <c r="E218" s="86"/>
    </row>
    <row r="219">
      <c r="A219" s="4"/>
      <c r="B219" s="85">
        <f>IFERROR(__xludf.DUMMYFUNCTION("""COMPUTED_VALUE"""),45308.67291666666)</f>
        <v>45308.67292</v>
      </c>
      <c r="C219" s="4" t="str">
        <f>IFERROR(__xludf.DUMMYFUNCTION("""COMPUTED_VALUE""")," Enquire &amp; Coordinate with client")</f>
        <v> Enquire &amp; Coordinate with client</v>
      </c>
      <c r="E219" s="86"/>
    </row>
    <row r="220">
      <c r="A220" s="4"/>
      <c r="B220" s="85">
        <f>IFERROR(__xludf.DUMMYFUNCTION("""COMPUTED_VALUE"""),45308.67569444445)</f>
        <v>45308.67569</v>
      </c>
      <c r="C220" s="4" t="str">
        <f>IFERROR(__xludf.DUMMYFUNCTION("""COMPUTED_VALUE""")," Enquire &amp; Coordinate with client")</f>
        <v> Enquire &amp; Coordinate with client</v>
      </c>
      <c r="E220" s="86"/>
    </row>
    <row r="221">
      <c r="A221" s="4"/>
      <c r="B221" s="85">
        <f>IFERROR(__xludf.DUMMYFUNCTION("""COMPUTED_VALUE"""),45308.67847222222)</f>
        <v>45308.67847</v>
      </c>
      <c r="C221" s="4" t="str">
        <f>IFERROR(__xludf.DUMMYFUNCTION("""COMPUTED_VALUE""")," Enquire &amp; Coordinate with client")</f>
        <v> Enquire &amp; Coordinate with client</v>
      </c>
      <c r="E221" s="86"/>
    </row>
    <row r="222">
      <c r="A222" s="4"/>
      <c r="B222" s="85">
        <f>IFERROR(__xludf.DUMMYFUNCTION("""COMPUTED_VALUE"""),45308.68541666667)</f>
        <v>45308.68542</v>
      </c>
      <c r="C222" s="4" t="str">
        <f>IFERROR(__xludf.DUMMYFUNCTION("""COMPUTED_VALUE""")," Enquire &amp; Coordinate with client")</f>
        <v> Enquire &amp; Coordinate with client</v>
      </c>
      <c r="E222" s="86"/>
    </row>
    <row r="223">
      <c r="A223" s="4"/>
      <c r="B223" s="85">
        <f>IFERROR(__xludf.DUMMYFUNCTION("""COMPUTED_VALUE"""),45308.74166666667)</f>
        <v>45308.74167</v>
      </c>
      <c r="C223" s="4" t="str">
        <f>IFERROR(__xludf.DUMMYFUNCTION("""COMPUTED_VALUE""")," Enquire &amp; Coordinate with client")</f>
        <v> Enquire &amp; Coordinate with client</v>
      </c>
      <c r="E223" s="86"/>
    </row>
    <row r="224">
      <c r="A224" s="4"/>
      <c r="B224" s="85">
        <f>IFERROR(__xludf.DUMMYFUNCTION("""COMPUTED_VALUE"""),45309.68611111111)</f>
        <v>45309.68611</v>
      </c>
      <c r="C224" s="4" t="str">
        <f>IFERROR(__xludf.DUMMYFUNCTION("""COMPUTED_VALUE""")," Enquire &amp; Coordinate with client")</f>
        <v> Enquire &amp; Coordinate with client</v>
      </c>
      <c r="E224" s="86"/>
    </row>
    <row r="225">
      <c r="A225" s="4"/>
      <c r="B225" s="85">
        <f>IFERROR(__xludf.DUMMYFUNCTION("""COMPUTED_VALUE"""),45309.68958333333)</f>
        <v>45309.68958</v>
      </c>
      <c r="C225" s="4" t="str">
        <f>IFERROR(__xludf.DUMMYFUNCTION("""COMPUTED_VALUE""")," Enquire &amp; Coordinate with client")</f>
        <v> Enquire &amp; Coordinate with client</v>
      </c>
      <c r="E225" s="86"/>
    </row>
    <row r="226">
      <c r="A226" s="4"/>
      <c r="B226" s="85">
        <f>IFERROR(__xludf.DUMMYFUNCTION("""COMPUTED_VALUE"""),45309.69861111111)</f>
        <v>45309.69861</v>
      </c>
      <c r="C226" s="4" t="str">
        <f>IFERROR(__xludf.DUMMYFUNCTION("""COMPUTED_VALUE""")," Enquire &amp; Coordinate with client")</f>
        <v> Enquire &amp; Coordinate with client</v>
      </c>
      <c r="E226" s="86"/>
    </row>
    <row r="227">
      <c r="A227" s="4"/>
      <c r="B227" s="85">
        <f>IFERROR(__xludf.DUMMYFUNCTION("""COMPUTED_VALUE"""),45310.617361111115)</f>
        <v>45310.61736</v>
      </c>
      <c r="C227" s="4" t="str">
        <f>IFERROR(__xludf.DUMMYFUNCTION("""COMPUTED_VALUE""")," Enquire &amp; Coordinate with client")</f>
        <v> Enquire &amp; Coordinate with client</v>
      </c>
      <c r="E227" s="86"/>
    </row>
    <row r="228">
      <c r="A228" s="4"/>
      <c r="B228" s="85">
        <f>IFERROR(__xludf.DUMMYFUNCTION("""COMPUTED_VALUE"""),45310.62361111111)</f>
        <v>45310.62361</v>
      </c>
      <c r="C228" s="4" t="str">
        <f>IFERROR(__xludf.DUMMYFUNCTION("""COMPUTED_VALUE""")," Enquire &amp; Coordinate with client")</f>
        <v> Enquire &amp; Coordinate with client</v>
      </c>
      <c r="E228" s="86"/>
    </row>
    <row r="229">
      <c r="A229" s="4"/>
      <c r="B229" s="85">
        <f>IFERROR(__xludf.DUMMYFUNCTION("""COMPUTED_VALUE"""),45310.62777777778)</f>
        <v>45310.62778</v>
      </c>
      <c r="C229" s="4" t="str">
        <f>IFERROR(__xludf.DUMMYFUNCTION("""COMPUTED_VALUE""")," Enquire &amp; Coordinate with client")</f>
        <v> Enquire &amp; Coordinate with client</v>
      </c>
      <c r="E229" s="86"/>
    </row>
    <row r="230">
      <c r="A230" s="4"/>
      <c r="B230" s="85">
        <f>IFERROR(__xludf.DUMMYFUNCTION("""COMPUTED_VALUE"""),45321.69375)</f>
        <v>45321.69375</v>
      </c>
      <c r="C230" s="4" t="str">
        <f>IFERROR(__xludf.DUMMYFUNCTION("""COMPUTED_VALUE""")," Enquire &amp; Coordinate with client")</f>
        <v> Enquire &amp; Coordinate with client</v>
      </c>
      <c r="E230" s="86"/>
    </row>
    <row r="231">
      <c r="A231" s="4"/>
      <c r="B231" s="85">
        <f>IFERROR(__xludf.DUMMYFUNCTION("""COMPUTED_VALUE"""),45324.54027777778)</f>
        <v>45324.54028</v>
      </c>
      <c r="C231" s="4" t="str">
        <f>IFERROR(__xludf.DUMMYFUNCTION("""COMPUTED_VALUE""")," Enquire &amp; Coordinate with client")</f>
        <v> Enquire &amp; Coordinate with client</v>
      </c>
      <c r="E231" s="86"/>
    </row>
    <row r="232">
      <c r="A232" s="4"/>
      <c r="B232" s="85">
        <f>IFERROR(__xludf.DUMMYFUNCTION("""COMPUTED_VALUE"""),45324.54166666667)</f>
        <v>45324.54167</v>
      </c>
      <c r="C232" s="4" t="str">
        <f>IFERROR(__xludf.DUMMYFUNCTION("""COMPUTED_VALUE""")," Enquire &amp; Coordinate with client")</f>
        <v> Enquire &amp; Coordinate with client</v>
      </c>
      <c r="E232" s="86"/>
    </row>
    <row r="233">
      <c r="A233" s="4"/>
      <c r="B233" s="85">
        <f>IFERROR(__xludf.DUMMYFUNCTION("""COMPUTED_VALUE"""),45324.54305555555)</f>
        <v>45324.54306</v>
      </c>
      <c r="C233" s="4" t="str">
        <f>IFERROR(__xludf.DUMMYFUNCTION("""COMPUTED_VALUE""")," Enquire &amp; Coordinate with client")</f>
        <v> Enquire &amp; Coordinate with client</v>
      </c>
      <c r="E233" s="86"/>
    </row>
    <row r="234">
      <c r="A234" s="4"/>
      <c r="B234" s="85">
        <f>IFERROR(__xludf.DUMMYFUNCTION("""COMPUTED_VALUE"""),45324.544444444444)</f>
        <v>45324.54444</v>
      </c>
      <c r="C234" s="4" t="str">
        <f>IFERROR(__xludf.DUMMYFUNCTION("""COMPUTED_VALUE""")," Enquire &amp; Coordinate with client")</f>
        <v> Enquire &amp; Coordinate with client</v>
      </c>
      <c r="E234" s="86"/>
    </row>
    <row r="235">
      <c r="A235" s="4"/>
      <c r="B235" s="85">
        <f>IFERROR(__xludf.DUMMYFUNCTION("""COMPUTED_VALUE"""),45324.54513888889)</f>
        <v>45324.54514</v>
      </c>
      <c r="C235" s="4" t="str">
        <f>IFERROR(__xludf.DUMMYFUNCTION("""COMPUTED_VALUE""")," Enquire &amp; Coordinate with client")</f>
        <v> Enquire &amp; Coordinate with client</v>
      </c>
      <c r="E235" s="86"/>
    </row>
    <row r="236">
      <c r="A236" s="4"/>
      <c r="B236" s="85">
        <f>IFERROR(__xludf.DUMMYFUNCTION("""COMPUTED_VALUE"""),45324.549305555556)</f>
        <v>45324.54931</v>
      </c>
      <c r="C236" s="4" t="str">
        <f>IFERROR(__xludf.DUMMYFUNCTION("""COMPUTED_VALUE""")," Enquire &amp; Coordinate with client")</f>
        <v> Enquire &amp; Coordinate with client</v>
      </c>
      <c r="E236" s="86"/>
    </row>
    <row r="237">
      <c r="A237" s="4"/>
      <c r="B237" s="85">
        <f>IFERROR(__xludf.DUMMYFUNCTION("""COMPUTED_VALUE"""),45324.55069444445)</f>
        <v>45324.55069</v>
      </c>
      <c r="C237" s="4" t="str">
        <f>IFERROR(__xludf.DUMMYFUNCTION("""COMPUTED_VALUE""")," Enquire &amp; Coordinate with client")</f>
        <v> Enquire &amp; Coordinate with client</v>
      </c>
      <c r="E237" s="86"/>
    </row>
    <row r="238">
      <c r="A238" s="4"/>
      <c r="B238" s="85">
        <f>IFERROR(__xludf.DUMMYFUNCTION("""COMPUTED_VALUE"""),45324.552777777775)</f>
        <v>45324.55278</v>
      </c>
      <c r="C238" s="4" t="str">
        <f>IFERROR(__xludf.DUMMYFUNCTION("""COMPUTED_VALUE""")," Enquire &amp; Coordinate with client")</f>
        <v> Enquire &amp; Coordinate with client</v>
      </c>
      <c r="E238" s="86"/>
    </row>
    <row r="239">
      <c r="A239" s="4"/>
      <c r="B239" s="85">
        <f>IFERROR(__xludf.DUMMYFUNCTION("""COMPUTED_VALUE"""),45324.55347222222)</f>
        <v>45324.55347</v>
      </c>
      <c r="C239" s="4" t="str">
        <f>IFERROR(__xludf.DUMMYFUNCTION("""COMPUTED_VALUE""")," Enquire &amp; Coordinate with client")</f>
        <v> Enquire &amp; Coordinate with client</v>
      </c>
      <c r="E239" s="86"/>
    </row>
    <row r="240">
      <c r="A240" s="4"/>
      <c r="B240" s="85">
        <f>IFERROR(__xludf.DUMMYFUNCTION("""COMPUTED_VALUE"""),45324.555555555555)</f>
        <v>45324.55556</v>
      </c>
      <c r="C240" s="4" t="str">
        <f>IFERROR(__xludf.DUMMYFUNCTION("""COMPUTED_VALUE""")," Enquire &amp; Coordinate with client")</f>
        <v> Enquire &amp; Coordinate with client</v>
      </c>
      <c r="E240" s="86"/>
    </row>
    <row r="241">
      <c r="A241" s="4"/>
      <c r="B241" s="85">
        <f>IFERROR(__xludf.DUMMYFUNCTION("""COMPUTED_VALUE"""),45324.55625)</f>
        <v>45324.55625</v>
      </c>
      <c r="C241" s="4" t="str">
        <f>IFERROR(__xludf.DUMMYFUNCTION("""COMPUTED_VALUE""")," Enquire &amp; Coordinate with client")</f>
        <v> Enquire &amp; Coordinate with client</v>
      </c>
      <c r="E241" s="86"/>
    </row>
    <row r="242">
      <c r="A242" s="4"/>
      <c r="B242" s="85">
        <f>IFERROR(__xludf.DUMMYFUNCTION("""COMPUTED_VALUE"""),45324.55763888889)</f>
        <v>45324.55764</v>
      </c>
      <c r="C242" s="4" t="str">
        <f>IFERROR(__xludf.DUMMYFUNCTION("""COMPUTED_VALUE""")," Enquire &amp; Coordinate with client")</f>
        <v> Enquire &amp; Coordinate with client</v>
      </c>
      <c r="E242" s="86"/>
    </row>
    <row r="243">
      <c r="A243" s="4"/>
      <c r="B243" s="85">
        <f>IFERROR(__xludf.DUMMYFUNCTION("""COMPUTED_VALUE"""),45324.55902777778)</f>
        <v>45324.55903</v>
      </c>
      <c r="C243" s="4" t="str">
        <f>IFERROR(__xludf.DUMMYFUNCTION("""COMPUTED_VALUE""")," Enquire &amp; Coordinate with client")</f>
        <v> Enquire &amp; Coordinate with client</v>
      </c>
      <c r="E243" s="86"/>
    </row>
    <row r="244">
      <c r="A244" s="4"/>
      <c r="B244" s="85">
        <f>IFERROR(__xludf.DUMMYFUNCTION("""COMPUTED_VALUE"""),45324.56041666667)</f>
        <v>45324.56042</v>
      </c>
      <c r="C244" s="4" t="str">
        <f>IFERROR(__xludf.DUMMYFUNCTION("""COMPUTED_VALUE""")," Enquire &amp; Coordinate with client")</f>
        <v> Enquire &amp; Coordinate with client</v>
      </c>
      <c r="E244" s="86"/>
    </row>
    <row r="245">
      <c r="A245" s="4"/>
      <c r="B245" s="85">
        <f>IFERROR(__xludf.DUMMYFUNCTION("""COMPUTED_VALUE"""),45324.56111111111)</f>
        <v>45324.56111</v>
      </c>
      <c r="C245" s="4" t="str">
        <f>IFERROR(__xludf.DUMMYFUNCTION("""COMPUTED_VALUE""")," Enquire &amp; Coordinate with client")</f>
        <v> Enquire &amp; Coordinate with client</v>
      </c>
      <c r="E245" s="86"/>
    </row>
    <row r="246">
      <c r="A246" s="4"/>
      <c r="B246" s="85">
        <f>IFERROR(__xludf.DUMMYFUNCTION("""COMPUTED_VALUE"""),45324.5625)</f>
        <v>45324.5625</v>
      </c>
      <c r="C246" s="4" t="str">
        <f>IFERROR(__xludf.DUMMYFUNCTION("""COMPUTED_VALUE""")," Enquire &amp; Coordinate with client")</f>
        <v> Enquire &amp; Coordinate with client</v>
      </c>
      <c r="E246" s="86"/>
    </row>
    <row r="247">
      <c r="A247" s="4"/>
      <c r="B247" s="85">
        <f>IFERROR(__xludf.DUMMYFUNCTION("""COMPUTED_VALUE"""),45324.56319444445)</f>
        <v>45324.56319</v>
      </c>
      <c r="C247" s="4" t="str">
        <f>IFERROR(__xludf.DUMMYFUNCTION("""COMPUTED_VALUE""")," Enquire &amp; Coordinate with client")</f>
        <v> Enquire &amp; Coordinate with client</v>
      </c>
      <c r="E247" s="86"/>
    </row>
    <row r="248">
      <c r="A248" s="4"/>
      <c r="B248" s="85">
        <f>IFERROR(__xludf.DUMMYFUNCTION("""COMPUTED_VALUE"""),45324.56388888889)</f>
        <v>45324.56389</v>
      </c>
      <c r="C248" s="4" t="str">
        <f>IFERROR(__xludf.DUMMYFUNCTION("""COMPUTED_VALUE""")," Enquire &amp; Coordinate with client")</f>
        <v> Enquire &amp; Coordinate with client</v>
      </c>
      <c r="E248" s="86"/>
    </row>
    <row r="249">
      <c r="A249" s="4"/>
      <c r="B249" s="85">
        <f>IFERROR(__xludf.DUMMYFUNCTION("""COMPUTED_VALUE"""),45324.56458333333)</f>
        <v>45324.56458</v>
      </c>
      <c r="C249" s="4" t="str">
        <f>IFERROR(__xludf.DUMMYFUNCTION("""COMPUTED_VALUE""")," Enquire &amp; Coordinate with client")</f>
        <v> Enquire &amp; Coordinate with client</v>
      </c>
      <c r="E249" s="86"/>
    </row>
    <row r="250">
      <c r="A250" s="4"/>
      <c r="B250" s="85">
        <f>IFERROR(__xludf.DUMMYFUNCTION("""COMPUTED_VALUE"""),45324.56527777778)</f>
        <v>45324.56528</v>
      </c>
      <c r="C250" s="4" t="str">
        <f>IFERROR(__xludf.DUMMYFUNCTION("""COMPUTED_VALUE""")," Enquire &amp; Coordinate with client")</f>
        <v> Enquire &amp; Coordinate with client</v>
      </c>
      <c r="E250" s="86"/>
    </row>
    <row r="251">
      <c r="A251" s="4"/>
      <c r="B251" s="85">
        <f>IFERROR(__xludf.DUMMYFUNCTION("""COMPUTED_VALUE"""),45324.56597222222)</f>
        <v>45324.56597</v>
      </c>
      <c r="C251" s="4" t="str">
        <f>IFERROR(__xludf.DUMMYFUNCTION("""COMPUTED_VALUE""")," Enquire &amp; Coordinate with client")</f>
        <v> Enquire &amp; Coordinate with client</v>
      </c>
      <c r="E251" s="86"/>
    </row>
    <row r="252">
      <c r="A252" s="4"/>
      <c r="B252" s="85">
        <f>IFERROR(__xludf.DUMMYFUNCTION("""COMPUTED_VALUE"""),45324.566666666666)</f>
        <v>45324.56667</v>
      </c>
      <c r="C252" s="4" t="str">
        <f>IFERROR(__xludf.DUMMYFUNCTION("""COMPUTED_VALUE""")," Enquire &amp; Coordinate with client")</f>
        <v> Enquire &amp; Coordinate with client</v>
      </c>
      <c r="E252" s="86"/>
    </row>
    <row r="253">
      <c r="A253" s="4"/>
      <c r="B253" s="85">
        <f>IFERROR(__xludf.DUMMYFUNCTION("""COMPUTED_VALUE"""),45324.697222222225)</f>
        <v>45324.69722</v>
      </c>
      <c r="C253" s="4" t="str">
        <f>IFERROR(__xludf.DUMMYFUNCTION("""COMPUTED_VALUE""")," Enquire &amp; Coordinate with client")</f>
        <v> Enquire &amp; Coordinate with client</v>
      </c>
      <c r="E253" s="86"/>
    </row>
    <row r="254">
      <c r="A254" s="4"/>
      <c r="B254" s="85">
        <f>IFERROR(__xludf.DUMMYFUNCTION("""COMPUTED_VALUE"""),45324.69930555555)</f>
        <v>45324.69931</v>
      </c>
      <c r="C254" s="4" t="str">
        <f>IFERROR(__xludf.DUMMYFUNCTION("""COMPUTED_VALUE""")," Enquire &amp; Coordinate with client")</f>
        <v> Enquire &amp; Coordinate with client</v>
      </c>
      <c r="E254" s="86"/>
    </row>
    <row r="255">
      <c r="A255" s="4"/>
      <c r="B255" s="85">
        <f>IFERROR(__xludf.DUMMYFUNCTION("""COMPUTED_VALUE"""),45324.7)</f>
        <v>45324.7</v>
      </c>
      <c r="C255" s="4" t="str">
        <f>IFERROR(__xludf.DUMMYFUNCTION("""COMPUTED_VALUE""")," Enquire &amp; Coordinate with client")</f>
        <v> Enquire &amp; Coordinate with client</v>
      </c>
      <c r="E255" s="86"/>
    </row>
    <row r="256">
      <c r="A256" s="4"/>
      <c r="B256" s="85">
        <f>IFERROR(__xludf.DUMMYFUNCTION("""COMPUTED_VALUE"""),45324.70416666666)</f>
        <v>45324.70417</v>
      </c>
      <c r="C256" s="4" t="str">
        <f>IFERROR(__xludf.DUMMYFUNCTION("""COMPUTED_VALUE""")," Enquire &amp; Coordinate with client")</f>
        <v> Enquire &amp; Coordinate with client</v>
      </c>
      <c r="E256" s="86"/>
    </row>
    <row r="257">
      <c r="A257" s="4"/>
      <c r="B257" s="85">
        <f>IFERROR(__xludf.DUMMYFUNCTION("""COMPUTED_VALUE"""),45326.70486111111)</f>
        <v>45326.70486</v>
      </c>
      <c r="C257" s="4" t="str">
        <f>IFERROR(__xludf.DUMMYFUNCTION("""COMPUTED_VALUE""")," Enquire &amp; Coordinate with client")</f>
        <v> Enquire &amp; Coordinate with client</v>
      </c>
      <c r="E257" s="86"/>
    </row>
    <row r="258">
      <c r="A258" s="4"/>
      <c r="B258" s="85">
        <f>IFERROR(__xludf.DUMMYFUNCTION("""COMPUTED_VALUE"""),45326.70625)</f>
        <v>45326.70625</v>
      </c>
      <c r="C258" s="4" t="str">
        <f>IFERROR(__xludf.DUMMYFUNCTION("""COMPUTED_VALUE""")," Enquire &amp; Coordinate with client")</f>
        <v> Enquire &amp; Coordinate with client</v>
      </c>
      <c r="E258" s="86"/>
    </row>
    <row r="259">
      <c r="A259" s="4"/>
      <c r="B259" s="85">
        <f>IFERROR(__xludf.DUMMYFUNCTION("""COMPUTED_VALUE"""),45326.70694444445)</f>
        <v>45326.70694</v>
      </c>
      <c r="C259" s="4" t="str">
        <f>IFERROR(__xludf.DUMMYFUNCTION("""COMPUTED_VALUE""")," Enquire &amp; Coordinate with client")</f>
        <v> Enquire &amp; Coordinate with client</v>
      </c>
      <c r="E259" s="86"/>
    </row>
    <row r="260">
      <c r="A260" s="4"/>
      <c r="B260" s="85">
        <f>IFERROR(__xludf.DUMMYFUNCTION("""COMPUTED_VALUE"""),45326.70833333333)</f>
        <v>45326.70833</v>
      </c>
      <c r="C260" s="4" t="str">
        <f>IFERROR(__xludf.DUMMYFUNCTION("""COMPUTED_VALUE""")," Enquire &amp; Coordinate with client")</f>
        <v> Enquire &amp; Coordinate with client</v>
      </c>
      <c r="E260" s="86"/>
    </row>
    <row r="261">
      <c r="A261" s="4"/>
      <c r="B261" s="85">
        <f>IFERROR(__xludf.DUMMYFUNCTION("""COMPUTED_VALUE"""),45326.709027777775)</f>
        <v>45326.70903</v>
      </c>
      <c r="C261" s="4" t="str">
        <f>IFERROR(__xludf.DUMMYFUNCTION("""COMPUTED_VALUE""")," Enquire &amp; Coordinate with client")</f>
        <v> Enquire &amp; Coordinate with client</v>
      </c>
      <c r="E261" s="86"/>
    </row>
    <row r="262">
      <c r="A262" s="4"/>
      <c r="B262" s="85">
        <f>IFERROR(__xludf.DUMMYFUNCTION("""COMPUTED_VALUE"""),45326.71041666667)</f>
        <v>45326.71042</v>
      </c>
      <c r="C262" s="4" t="str">
        <f>IFERROR(__xludf.DUMMYFUNCTION("""COMPUTED_VALUE""")," Enquire &amp; Coordinate with client")</f>
        <v> Enquire &amp; Coordinate with client</v>
      </c>
      <c r="E262" s="86"/>
    </row>
    <row r="263">
      <c r="A263" s="4"/>
      <c r="B263" s="85">
        <f>IFERROR(__xludf.DUMMYFUNCTION("""COMPUTED_VALUE"""),45326.71388888889)</f>
        <v>45326.71389</v>
      </c>
      <c r="C263" s="4" t="str">
        <f>IFERROR(__xludf.DUMMYFUNCTION("""COMPUTED_VALUE""")," Enquire &amp; Coordinate with client")</f>
        <v> Enquire &amp; Coordinate with client</v>
      </c>
      <c r="E263" s="86"/>
    </row>
    <row r="264">
      <c r="A264" s="4"/>
      <c r="B264" s="85">
        <f>IFERROR(__xludf.DUMMYFUNCTION("""COMPUTED_VALUE"""),45326.722916666666)</f>
        <v>45326.72292</v>
      </c>
      <c r="C264" s="4" t="str">
        <f>IFERROR(__xludf.DUMMYFUNCTION("""COMPUTED_VALUE""")," Enquire &amp; Coordinate with client")</f>
        <v> Enquire &amp; Coordinate with client</v>
      </c>
      <c r="E264" s="86"/>
    </row>
    <row r="265">
      <c r="A265" s="4"/>
      <c r="B265" s="85">
        <f>IFERROR(__xludf.DUMMYFUNCTION("""COMPUTED_VALUE"""),45326.725)</f>
        <v>45326.725</v>
      </c>
      <c r="C265" s="4" t="str">
        <f>IFERROR(__xludf.DUMMYFUNCTION("""COMPUTED_VALUE""")," Enquire &amp; Coordinate with client")</f>
        <v> Enquire &amp; Coordinate with client</v>
      </c>
      <c r="E265" s="86"/>
    </row>
    <row r="266">
      <c r="A266" s="4"/>
      <c r="B266" s="85">
        <f>IFERROR(__xludf.DUMMYFUNCTION("""COMPUTED_VALUE"""),45326.726388888885)</f>
        <v>45326.72639</v>
      </c>
      <c r="C266" s="4" t="str">
        <f>IFERROR(__xludf.DUMMYFUNCTION("""COMPUTED_VALUE""")," Enquire &amp; Coordinate with client")</f>
        <v> Enquire &amp; Coordinate with client</v>
      </c>
      <c r="E266" s="86"/>
    </row>
    <row r="267">
      <c r="A267" s="4"/>
      <c r="B267" s="85">
        <f>IFERROR(__xludf.DUMMYFUNCTION("""COMPUTED_VALUE"""),45326.72777777778)</f>
        <v>45326.72778</v>
      </c>
      <c r="C267" s="4" t="str">
        <f>IFERROR(__xludf.DUMMYFUNCTION("""COMPUTED_VALUE""")," Enquire &amp; Coordinate with client")</f>
        <v> Enquire &amp; Coordinate with client</v>
      </c>
      <c r="E267" s="86"/>
    </row>
    <row r="268">
      <c r="A268" s="4"/>
      <c r="B268" s="85">
        <f>IFERROR(__xludf.DUMMYFUNCTION("""COMPUTED_VALUE"""),45326.728472222225)</f>
        <v>45326.72847</v>
      </c>
      <c r="C268" s="4" t="str">
        <f>IFERROR(__xludf.DUMMYFUNCTION("""COMPUTED_VALUE""")," Enquire &amp; Coordinate with client")</f>
        <v> Enquire &amp; Coordinate with client</v>
      </c>
      <c r="E268" s="86"/>
    </row>
    <row r="269">
      <c r="A269" s="4"/>
      <c r="B269" s="85">
        <f>IFERROR(__xludf.DUMMYFUNCTION("""COMPUTED_VALUE"""),45326.72986111111)</f>
        <v>45326.72986</v>
      </c>
      <c r="C269" s="4" t="str">
        <f>IFERROR(__xludf.DUMMYFUNCTION("""COMPUTED_VALUE""")," Enquire &amp; Coordinate with client")</f>
        <v> Enquire &amp; Coordinate with client</v>
      </c>
      <c r="E269" s="86"/>
    </row>
    <row r="270">
      <c r="A270" s="4"/>
      <c r="B270" s="85">
        <f>IFERROR(__xludf.DUMMYFUNCTION("""COMPUTED_VALUE"""),45326.73055555555)</f>
        <v>45326.73056</v>
      </c>
      <c r="C270" s="4" t="str">
        <f>IFERROR(__xludf.DUMMYFUNCTION("""COMPUTED_VALUE""")," Enquire &amp; Coordinate with client")</f>
        <v> Enquire &amp; Coordinate with client</v>
      </c>
      <c r="E270" s="86"/>
    </row>
    <row r="271">
      <c r="A271" s="4"/>
      <c r="B271" s="85">
        <f>IFERROR(__xludf.DUMMYFUNCTION("""COMPUTED_VALUE"""),45326.73263888889)</f>
        <v>45326.73264</v>
      </c>
      <c r="C271" s="4" t="str">
        <f>IFERROR(__xludf.DUMMYFUNCTION("""COMPUTED_VALUE""")," Enquire &amp; Coordinate with client")</f>
        <v> Enquire &amp; Coordinate with client</v>
      </c>
      <c r="E271" s="86"/>
    </row>
    <row r="272">
      <c r="A272" s="4"/>
      <c r="B272" s="85">
        <f>IFERROR(__xludf.DUMMYFUNCTION("""COMPUTED_VALUE"""),45326.73333333334)</f>
        <v>45326.73333</v>
      </c>
      <c r="C272" s="4" t="str">
        <f>IFERROR(__xludf.DUMMYFUNCTION("""COMPUTED_VALUE""")," Enquire &amp; Coordinate with client")</f>
        <v> Enquire &amp; Coordinate with client</v>
      </c>
      <c r="E272" s="86"/>
    </row>
    <row r="273">
      <c r="A273" s="4"/>
      <c r="B273" s="85">
        <f>IFERROR(__xludf.DUMMYFUNCTION("""COMPUTED_VALUE"""),45326.73402777778)</f>
        <v>45326.73403</v>
      </c>
      <c r="C273" s="4" t="str">
        <f>IFERROR(__xludf.DUMMYFUNCTION("""COMPUTED_VALUE""")," Enquire &amp; Coordinate with client")</f>
        <v> Enquire &amp; Coordinate with client</v>
      </c>
      <c r="E273" s="86"/>
    </row>
    <row r="274">
      <c r="A274" s="4"/>
      <c r="B274" s="85">
        <f>IFERROR(__xludf.DUMMYFUNCTION("""COMPUTED_VALUE"""),45329.544444444444)</f>
        <v>45329.54444</v>
      </c>
      <c r="C274" s="4" t="str">
        <f>IFERROR(__xludf.DUMMYFUNCTION("""COMPUTED_VALUE""")," Enquire &amp; Coordinate with client")</f>
        <v> Enquire &amp; Coordinate with client</v>
      </c>
      <c r="E274" s="86"/>
    </row>
    <row r="275">
      <c r="A275" s="4"/>
      <c r="B275" s="85">
        <f>IFERROR(__xludf.DUMMYFUNCTION("""COMPUTED_VALUE"""),45329.54791666666)</f>
        <v>45329.54792</v>
      </c>
      <c r="C275" s="4" t="str">
        <f>IFERROR(__xludf.DUMMYFUNCTION("""COMPUTED_VALUE""")," Enquire &amp; Coordinate with client")</f>
        <v> Enquire &amp; Coordinate with client</v>
      </c>
      <c r="E275" s="86"/>
    </row>
    <row r="276">
      <c r="A276" s="4"/>
      <c r="B276" s="85">
        <f>IFERROR(__xludf.DUMMYFUNCTION("""COMPUTED_VALUE"""),45329.549305555556)</f>
        <v>45329.54931</v>
      </c>
      <c r="C276" s="4" t="str">
        <f>IFERROR(__xludf.DUMMYFUNCTION("""COMPUTED_VALUE""")," Enquire &amp; Coordinate with client")</f>
        <v> Enquire &amp; Coordinate with client</v>
      </c>
      <c r="E276" s="86"/>
    </row>
    <row r="277">
      <c r="A277" s="4"/>
      <c r="B277" s="85">
        <f>IFERROR(__xludf.DUMMYFUNCTION("""COMPUTED_VALUE"""),45329.55)</f>
        <v>45329.55</v>
      </c>
      <c r="C277" s="4" t="str">
        <f>IFERROR(__xludf.DUMMYFUNCTION("""COMPUTED_VALUE""")," Enquire &amp; Coordinate with client")</f>
        <v> Enquire &amp; Coordinate with client</v>
      </c>
      <c r="E277" s="86"/>
    </row>
    <row r="278">
      <c r="A278" s="4"/>
      <c r="B278" s="85">
        <f>IFERROR(__xludf.DUMMYFUNCTION("""COMPUTED_VALUE"""),45329.55208333333)</f>
        <v>45329.55208</v>
      </c>
      <c r="C278" s="4" t="str">
        <f>IFERROR(__xludf.DUMMYFUNCTION("""COMPUTED_VALUE""")," Enquire &amp; Coordinate with client")</f>
        <v> Enquire &amp; Coordinate with client</v>
      </c>
      <c r="E278" s="86"/>
    </row>
    <row r="279">
      <c r="A279" s="4"/>
      <c r="B279" s="85">
        <f>IFERROR(__xludf.DUMMYFUNCTION("""COMPUTED_VALUE"""),45329.55347222222)</f>
        <v>45329.55347</v>
      </c>
      <c r="C279" s="4" t="str">
        <f>IFERROR(__xludf.DUMMYFUNCTION("""COMPUTED_VALUE""")," Enquire &amp; Coordinate with client")</f>
        <v> Enquire &amp; Coordinate with client</v>
      </c>
      <c r="E279" s="86"/>
    </row>
    <row r="280">
      <c r="A280" s="4"/>
      <c r="B280" s="85">
        <f>IFERROR(__xludf.DUMMYFUNCTION("""COMPUTED_VALUE"""),45329.55416666667)</f>
        <v>45329.55417</v>
      </c>
      <c r="C280" s="4" t="str">
        <f>IFERROR(__xludf.DUMMYFUNCTION("""COMPUTED_VALUE""")," Enquire &amp; Coordinate with client")</f>
        <v> Enquire &amp; Coordinate with client</v>
      </c>
      <c r="E280" s="86"/>
    </row>
    <row r="281">
      <c r="A281" s="4"/>
      <c r="B281" s="85">
        <f>IFERROR(__xludf.DUMMYFUNCTION("""COMPUTED_VALUE"""),45329.554861111115)</f>
        <v>45329.55486</v>
      </c>
      <c r="C281" s="4" t="str">
        <f>IFERROR(__xludf.DUMMYFUNCTION("""COMPUTED_VALUE""")," Enquire &amp; Coordinate with client")</f>
        <v> Enquire &amp; Coordinate with client</v>
      </c>
      <c r="E281" s="86"/>
    </row>
    <row r="282">
      <c r="A282" s="4"/>
      <c r="B282" s="85">
        <f>IFERROR(__xludf.DUMMYFUNCTION("""COMPUTED_VALUE"""),45329.55625)</f>
        <v>45329.55625</v>
      </c>
      <c r="C282" s="4" t="str">
        <f>IFERROR(__xludf.DUMMYFUNCTION("""COMPUTED_VALUE""")," Enquire &amp; Coordinate with client")</f>
        <v> Enquire &amp; Coordinate with client</v>
      </c>
      <c r="E282" s="86"/>
    </row>
    <row r="283">
      <c r="A283" s="4"/>
      <c r="B283" s="85">
        <f>IFERROR(__xludf.DUMMYFUNCTION("""COMPUTED_VALUE"""),45329.55694444444)</f>
        <v>45329.55694</v>
      </c>
      <c r="C283" s="4" t="str">
        <f>IFERROR(__xludf.DUMMYFUNCTION("""COMPUTED_VALUE""")," Enquire &amp; Coordinate with client")</f>
        <v> Enquire &amp; Coordinate with client</v>
      </c>
      <c r="E283" s="86"/>
    </row>
    <row r="284">
      <c r="A284" s="4"/>
      <c r="B284" s="85">
        <f>IFERROR(__xludf.DUMMYFUNCTION("""COMPUTED_VALUE"""),45329.55763888889)</f>
        <v>45329.55764</v>
      </c>
      <c r="C284" s="4" t="str">
        <f>IFERROR(__xludf.DUMMYFUNCTION("""COMPUTED_VALUE""")," Enquire &amp; Coordinate with client")</f>
        <v> Enquire &amp; Coordinate with client</v>
      </c>
      <c r="E284" s="86"/>
    </row>
    <row r="285">
      <c r="A285" s="4"/>
      <c r="B285" s="85">
        <f>IFERROR(__xludf.DUMMYFUNCTION("""COMPUTED_VALUE"""),45329.558333333334)</f>
        <v>45329.55833</v>
      </c>
      <c r="C285" s="4" t="str">
        <f>IFERROR(__xludf.DUMMYFUNCTION("""COMPUTED_VALUE""")," Enquire &amp; Coordinate with client")</f>
        <v> Enquire &amp; Coordinate with client</v>
      </c>
      <c r="E285" s="86"/>
    </row>
    <row r="286">
      <c r="A286" s="4"/>
      <c r="B286" s="85">
        <f>IFERROR(__xludf.DUMMYFUNCTION("""COMPUTED_VALUE"""),45329.57916666666)</f>
        <v>45329.57917</v>
      </c>
      <c r="C286" s="4" t="str">
        <f>IFERROR(__xludf.DUMMYFUNCTION("""COMPUTED_VALUE""")," Enquire &amp; Coordinate with client")</f>
        <v> Enquire &amp; Coordinate with client</v>
      </c>
      <c r="E286" s="86"/>
    </row>
    <row r="287">
      <c r="A287" s="4"/>
      <c r="B287" s="85">
        <f>IFERROR(__xludf.DUMMYFUNCTION("""COMPUTED_VALUE"""),45329.580555555556)</f>
        <v>45329.58056</v>
      </c>
      <c r="C287" s="4" t="str">
        <f>IFERROR(__xludf.DUMMYFUNCTION("""COMPUTED_VALUE""")," Enquire &amp; Coordinate with client")</f>
        <v> Enquire &amp; Coordinate with client</v>
      </c>
      <c r="E287" s="86"/>
    </row>
    <row r="288">
      <c r="A288" s="4"/>
      <c r="B288" s="85">
        <f>IFERROR(__xludf.DUMMYFUNCTION("""COMPUTED_VALUE"""),45329.58125)</f>
        <v>45329.58125</v>
      </c>
      <c r="C288" s="4" t="str">
        <f>IFERROR(__xludf.DUMMYFUNCTION("""COMPUTED_VALUE""")," Enquire &amp; Coordinate with client")</f>
        <v> Enquire &amp; Coordinate with client</v>
      </c>
      <c r="E288" s="86"/>
    </row>
    <row r="289">
      <c r="A289" s="4"/>
      <c r="B289" s="85">
        <f>IFERROR(__xludf.DUMMYFUNCTION("""COMPUTED_VALUE"""),45329.67013888889)</f>
        <v>45329.67014</v>
      </c>
      <c r="C289" s="4" t="str">
        <f>IFERROR(__xludf.DUMMYFUNCTION("""COMPUTED_VALUE""")," Enquire &amp; Coordinate with client")</f>
        <v> Enquire &amp; Coordinate with client</v>
      </c>
      <c r="E289" s="86"/>
    </row>
    <row r="290">
      <c r="A290" s="4"/>
      <c r="B290" s="85">
        <f>IFERROR(__xludf.DUMMYFUNCTION("""COMPUTED_VALUE"""),45329.67291666666)</f>
        <v>45329.67292</v>
      </c>
      <c r="C290" s="4" t="str">
        <f>IFERROR(__xludf.DUMMYFUNCTION("""COMPUTED_VALUE""")," Enquire &amp; Coordinate with client")</f>
        <v> Enquire &amp; Coordinate with client</v>
      </c>
      <c r="E290" s="86"/>
    </row>
    <row r="291">
      <c r="A291" s="4"/>
      <c r="B291" s="85">
        <f>IFERROR(__xludf.DUMMYFUNCTION("""COMPUTED_VALUE"""),45329.68125)</f>
        <v>45329.68125</v>
      </c>
      <c r="C291" s="4" t="str">
        <f>IFERROR(__xludf.DUMMYFUNCTION("""COMPUTED_VALUE""")," Enquire &amp; Coordinate with client")</f>
        <v> Enquire &amp; Coordinate with client</v>
      </c>
      <c r="E291" s="86"/>
    </row>
    <row r="292">
      <c r="A292" s="4"/>
      <c r="B292" s="85">
        <f>IFERROR(__xludf.DUMMYFUNCTION("""COMPUTED_VALUE"""),45329.68402777778)</f>
        <v>45329.68403</v>
      </c>
      <c r="C292" s="4" t="str">
        <f>IFERROR(__xludf.DUMMYFUNCTION("""COMPUTED_VALUE""")," Enquire &amp; Coordinate with client")</f>
        <v> Enquire &amp; Coordinate with client</v>
      </c>
      <c r="E292" s="86"/>
    </row>
    <row r="293">
      <c r="A293" s="4"/>
      <c r="B293" s="85">
        <f>IFERROR(__xludf.DUMMYFUNCTION("""COMPUTED_VALUE"""),45329.69236111111)</f>
        <v>45329.69236</v>
      </c>
      <c r="C293" s="4" t="str">
        <f>IFERROR(__xludf.DUMMYFUNCTION("""COMPUTED_VALUE""")," Enquire &amp; Coordinate with client")</f>
        <v> Enquire &amp; Coordinate with client</v>
      </c>
      <c r="E293" s="86"/>
    </row>
    <row r="294">
      <c r="A294" s="4"/>
      <c r="B294" s="85">
        <f>IFERROR(__xludf.DUMMYFUNCTION("""COMPUTED_VALUE"""),45329.69375)</f>
        <v>45329.69375</v>
      </c>
      <c r="C294" s="4" t="str">
        <f>IFERROR(__xludf.DUMMYFUNCTION("""COMPUTED_VALUE""")," Enquire &amp; Coordinate with client")</f>
        <v> Enquire &amp; Coordinate with client</v>
      </c>
      <c r="E294" s="86"/>
    </row>
    <row r="295">
      <c r="A295" s="4"/>
      <c r="B295" s="85">
        <f>IFERROR(__xludf.DUMMYFUNCTION("""COMPUTED_VALUE"""),45329.695138888885)</f>
        <v>45329.69514</v>
      </c>
      <c r="C295" s="4" t="str">
        <f>IFERROR(__xludf.DUMMYFUNCTION("""COMPUTED_VALUE""")," Enquire &amp; Coordinate with client")</f>
        <v> Enquire &amp; Coordinate with client</v>
      </c>
      <c r="E295" s="86"/>
    </row>
    <row r="296">
      <c r="A296" s="4"/>
      <c r="B296" s="85">
        <f>IFERROR(__xludf.DUMMYFUNCTION("""COMPUTED_VALUE"""),45330.70833333333)</f>
        <v>45330.70833</v>
      </c>
      <c r="C296" s="4" t="str">
        <f>IFERROR(__xludf.DUMMYFUNCTION("""COMPUTED_VALUE""")," Enquire &amp; Coordinate with client")</f>
        <v> Enquire &amp; Coordinate with client</v>
      </c>
      <c r="E296" s="86"/>
    </row>
    <row r="297">
      <c r="A297" s="4"/>
      <c r="B297" s="85">
        <f>IFERROR(__xludf.DUMMYFUNCTION("""COMPUTED_VALUE"""),45330.70972222222)</f>
        <v>45330.70972</v>
      </c>
      <c r="C297" s="4" t="str">
        <f>IFERROR(__xludf.DUMMYFUNCTION("""COMPUTED_VALUE""")," Enquire &amp; Coordinate with client")</f>
        <v> Enquire &amp; Coordinate with client</v>
      </c>
      <c r="E297" s="86"/>
    </row>
    <row r="298">
      <c r="A298" s="4"/>
      <c r="B298" s="85">
        <f>IFERROR(__xludf.DUMMYFUNCTION("""COMPUTED_VALUE"""),45330.711111111115)</f>
        <v>45330.71111</v>
      </c>
      <c r="C298" s="4" t="str">
        <f>IFERROR(__xludf.DUMMYFUNCTION("""COMPUTED_VALUE""")," Enquire &amp; Coordinate with client")</f>
        <v> Enquire &amp; Coordinate with client</v>
      </c>
      <c r="E298" s="86"/>
    </row>
    <row r="299">
      <c r="A299" s="4"/>
      <c r="B299" s="85">
        <f>IFERROR(__xludf.DUMMYFUNCTION("""COMPUTED_VALUE"""),45330.7125)</f>
        <v>45330.7125</v>
      </c>
      <c r="C299" s="4" t="str">
        <f>IFERROR(__xludf.DUMMYFUNCTION("""COMPUTED_VALUE""")," Enquire &amp; Coordinate with client")</f>
        <v> Enquire &amp; Coordinate with client</v>
      </c>
      <c r="E299" s="86"/>
    </row>
    <row r="300">
      <c r="A300" s="4"/>
      <c r="B300" s="85">
        <f>IFERROR(__xludf.DUMMYFUNCTION("""COMPUTED_VALUE"""),45330.71319444444)</f>
        <v>45330.71319</v>
      </c>
      <c r="C300" s="4" t="str">
        <f>IFERROR(__xludf.DUMMYFUNCTION("""COMPUTED_VALUE""")," Enquire &amp; Coordinate with client")</f>
        <v> Enquire &amp; Coordinate with client</v>
      </c>
      <c r="E300" s="86"/>
    </row>
    <row r="301">
      <c r="A301" s="4"/>
      <c r="B301" s="85">
        <f>IFERROR(__xludf.DUMMYFUNCTION("""COMPUTED_VALUE"""),45330.71388888889)</f>
        <v>45330.71389</v>
      </c>
      <c r="C301" s="4" t="str">
        <f>IFERROR(__xludf.DUMMYFUNCTION("""COMPUTED_VALUE""")," Enquire &amp; Coordinate with client")</f>
        <v> Enquire &amp; Coordinate with client</v>
      </c>
      <c r="E301" s="86"/>
    </row>
    <row r="302">
      <c r="A302" s="4"/>
      <c r="B302" s="85">
        <f>IFERROR(__xludf.DUMMYFUNCTION("""COMPUTED_VALUE"""),45330.71527777778)</f>
        <v>45330.71528</v>
      </c>
      <c r="C302" s="4" t="str">
        <f>IFERROR(__xludf.DUMMYFUNCTION("""COMPUTED_VALUE""")," Enquire &amp; Coordinate with client")</f>
        <v> Enquire &amp; Coordinate with client</v>
      </c>
      <c r="E302" s="86"/>
    </row>
    <row r="303">
      <c r="A303" s="4"/>
      <c r="B303" s="85">
        <f>IFERROR(__xludf.DUMMYFUNCTION("""COMPUTED_VALUE"""),45330.71597222222)</f>
        <v>45330.71597</v>
      </c>
      <c r="C303" s="4" t="str">
        <f>IFERROR(__xludf.DUMMYFUNCTION("""COMPUTED_VALUE""")," Enquire &amp; Coordinate with client")</f>
        <v> Enquire &amp; Coordinate with client</v>
      </c>
      <c r="E303" s="86"/>
    </row>
    <row r="304">
      <c r="A304" s="4"/>
      <c r="B304" s="85">
        <f>IFERROR(__xludf.DUMMYFUNCTION("""COMPUTED_VALUE"""),45330.71736111111)</f>
        <v>45330.71736</v>
      </c>
      <c r="C304" s="4" t="str">
        <f>IFERROR(__xludf.DUMMYFUNCTION("""COMPUTED_VALUE""")," Enquire &amp; Coordinate with client")</f>
        <v> Enquire &amp; Coordinate with client</v>
      </c>
      <c r="E304" s="86"/>
    </row>
    <row r="305">
      <c r="A305" s="4"/>
      <c r="B305" s="85">
        <f>IFERROR(__xludf.DUMMYFUNCTION("""COMPUTED_VALUE"""),45330.71805555555)</f>
        <v>45330.71806</v>
      </c>
      <c r="C305" s="4" t="str">
        <f>IFERROR(__xludf.DUMMYFUNCTION("""COMPUTED_VALUE""")," Enquire &amp; Coordinate with client")</f>
        <v> Enquire &amp; Coordinate with client</v>
      </c>
      <c r="E305" s="86"/>
    </row>
    <row r="306">
      <c r="A306" s="4"/>
      <c r="B306" s="85">
        <f>IFERROR(__xludf.DUMMYFUNCTION("""COMPUTED_VALUE"""),45330.71875)</f>
        <v>45330.71875</v>
      </c>
      <c r="C306" s="4" t="str">
        <f>IFERROR(__xludf.DUMMYFUNCTION("""COMPUTED_VALUE""")," Enquire &amp; Coordinate with client")</f>
        <v> Enquire &amp; Coordinate with client</v>
      </c>
      <c r="E306" s="86"/>
    </row>
    <row r="307">
      <c r="A307" s="4"/>
      <c r="B307" s="85">
        <f>IFERROR(__xludf.DUMMYFUNCTION("""COMPUTED_VALUE"""),45330.71944444445)</f>
        <v>45330.71944</v>
      </c>
      <c r="C307" s="4" t="str">
        <f>IFERROR(__xludf.DUMMYFUNCTION("""COMPUTED_VALUE""")," Enquire &amp; Coordinate with client")</f>
        <v> Enquire &amp; Coordinate with client</v>
      </c>
      <c r="E307" s="86"/>
    </row>
    <row r="308">
      <c r="A308" s="4"/>
      <c r="B308" s="85">
        <f>IFERROR(__xludf.DUMMYFUNCTION("""COMPUTED_VALUE"""),45330.72708333333)</f>
        <v>45330.72708</v>
      </c>
      <c r="C308" s="4" t="str">
        <f>IFERROR(__xludf.DUMMYFUNCTION("""COMPUTED_VALUE""")," Enquire &amp; Coordinate with client")</f>
        <v> Enquire &amp; Coordinate with client</v>
      </c>
      <c r="E308" s="86"/>
    </row>
    <row r="309">
      <c r="A309" s="4"/>
      <c r="B309" s="85">
        <f>IFERROR(__xludf.DUMMYFUNCTION("""COMPUTED_VALUE"""),45330.728472222225)</f>
        <v>45330.72847</v>
      </c>
      <c r="C309" s="4" t="str">
        <f>IFERROR(__xludf.DUMMYFUNCTION("""COMPUTED_VALUE""")," Enquire &amp; Coordinate with client")</f>
        <v> Enquire &amp; Coordinate with client</v>
      </c>
      <c r="E309" s="86"/>
    </row>
    <row r="310">
      <c r="A310" s="4"/>
      <c r="B310" s="85">
        <f>IFERROR(__xludf.DUMMYFUNCTION("""COMPUTED_VALUE"""),45330.72916666667)</f>
        <v>45330.72917</v>
      </c>
      <c r="C310" s="4" t="str">
        <f>IFERROR(__xludf.DUMMYFUNCTION("""COMPUTED_VALUE""")," Enquire &amp; Coordinate with client")</f>
        <v> Enquire &amp; Coordinate with client</v>
      </c>
      <c r="E310" s="86"/>
    </row>
    <row r="311">
      <c r="A311" s="4"/>
      <c r="B311" s="85">
        <f>IFERROR(__xludf.DUMMYFUNCTION("""COMPUTED_VALUE"""),45330.72986111111)</f>
        <v>45330.72986</v>
      </c>
      <c r="C311" s="4" t="str">
        <f>IFERROR(__xludf.DUMMYFUNCTION("""COMPUTED_VALUE""")," Enquire &amp; Coordinate with client")</f>
        <v> Enquire &amp; Coordinate with client</v>
      </c>
      <c r="E311" s="86"/>
    </row>
    <row r="312">
      <c r="A312" s="4"/>
      <c r="B312" s="85">
        <f>IFERROR(__xludf.DUMMYFUNCTION("""COMPUTED_VALUE"""),45330.73055555555)</f>
        <v>45330.73056</v>
      </c>
      <c r="C312" s="4" t="str">
        <f>IFERROR(__xludf.DUMMYFUNCTION("""COMPUTED_VALUE""")," Enquire &amp; Coordinate with client")</f>
        <v> Enquire &amp; Coordinate with client</v>
      </c>
      <c r="E312" s="86"/>
    </row>
    <row r="313">
      <c r="A313" s="4"/>
      <c r="B313" s="85">
        <f>IFERROR(__xludf.DUMMYFUNCTION("""COMPUTED_VALUE"""),45330.731944444444)</f>
        <v>45330.73194</v>
      </c>
      <c r="C313" s="4" t="str">
        <f>IFERROR(__xludf.DUMMYFUNCTION("""COMPUTED_VALUE""")," Enquire &amp; Coordinate with client")</f>
        <v> Enquire &amp; Coordinate with client</v>
      </c>
      <c r="E313" s="86"/>
    </row>
    <row r="314">
      <c r="A314" s="4"/>
      <c r="B314" s="85">
        <f>IFERROR(__xludf.DUMMYFUNCTION("""COMPUTED_VALUE"""),45330.73263888889)</f>
        <v>45330.73264</v>
      </c>
      <c r="C314" s="4" t="str">
        <f>IFERROR(__xludf.DUMMYFUNCTION("""COMPUTED_VALUE""")," Enquire &amp; Coordinate with client")</f>
        <v> Enquire &amp; Coordinate with client</v>
      </c>
      <c r="E314" s="86"/>
    </row>
    <row r="315">
      <c r="A315" s="4"/>
      <c r="B315" s="85">
        <f>IFERROR(__xludf.DUMMYFUNCTION("""COMPUTED_VALUE"""),45330.73402777778)</f>
        <v>45330.73403</v>
      </c>
      <c r="C315" s="4" t="str">
        <f>IFERROR(__xludf.DUMMYFUNCTION("""COMPUTED_VALUE""")," Enquire &amp; Coordinate with client")</f>
        <v> Enquire &amp; Coordinate with client</v>
      </c>
      <c r="E315" s="86"/>
    </row>
    <row r="316">
      <c r="A316" s="4"/>
      <c r="B316" s="85">
        <f>IFERROR(__xludf.DUMMYFUNCTION("""COMPUTED_VALUE"""),45330.73541666666)</f>
        <v>45330.73542</v>
      </c>
      <c r="C316" s="4" t="str">
        <f>IFERROR(__xludf.DUMMYFUNCTION("""COMPUTED_VALUE""")," Enquire &amp; Coordinate with client")</f>
        <v> Enquire &amp; Coordinate with client</v>
      </c>
      <c r="E316" s="86"/>
    </row>
    <row r="317">
      <c r="A317" s="4"/>
      <c r="B317" s="85">
        <f>IFERROR(__xludf.DUMMYFUNCTION("""COMPUTED_VALUE"""),45330.73611111111)</f>
        <v>45330.73611</v>
      </c>
      <c r="C317" s="4" t="str">
        <f>IFERROR(__xludf.DUMMYFUNCTION("""COMPUTED_VALUE""")," Enquire &amp; Coordinate with client")</f>
        <v> Enquire &amp; Coordinate with client</v>
      </c>
      <c r="E317" s="86"/>
    </row>
    <row r="318">
      <c r="A318" s="4"/>
      <c r="B318" s="85">
        <f>IFERROR(__xludf.DUMMYFUNCTION("""COMPUTED_VALUE"""),45330.736805555556)</f>
        <v>45330.73681</v>
      </c>
      <c r="C318" s="4" t="str">
        <f>IFERROR(__xludf.DUMMYFUNCTION("""COMPUTED_VALUE""")," Enquire &amp; Coordinate with client")</f>
        <v> Enquire &amp; Coordinate with client</v>
      </c>
      <c r="E318" s="86"/>
    </row>
    <row r="319">
      <c r="A319" s="4"/>
      <c r="B319" s="85">
        <f>IFERROR(__xludf.DUMMYFUNCTION("""COMPUTED_VALUE"""),45330.742361111115)</f>
        <v>45330.74236</v>
      </c>
      <c r="C319" s="4" t="str">
        <f>IFERROR(__xludf.DUMMYFUNCTION("""COMPUTED_VALUE""")," Enquire &amp; Coordinate with client")</f>
        <v> Enquire &amp; Coordinate with client</v>
      </c>
      <c r="E319" s="86"/>
    </row>
    <row r="320">
      <c r="A320" s="4"/>
      <c r="B320" s="85">
        <f>IFERROR(__xludf.DUMMYFUNCTION("""COMPUTED_VALUE"""),45330.74444444444)</f>
        <v>45330.74444</v>
      </c>
      <c r="C320" s="4" t="str">
        <f>IFERROR(__xludf.DUMMYFUNCTION("""COMPUTED_VALUE""")," Enquire &amp; Coordinate with client")</f>
        <v> Enquire &amp; Coordinate with client</v>
      </c>
      <c r="E320" s="86"/>
    </row>
    <row r="321">
      <c r="A321" s="4"/>
      <c r="B321" s="85">
        <f>IFERROR(__xludf.DUMMYFUNCTION("""COMPUTED_VALUE"""),45330.74513888889)</f>
        <v>45330.74514</v>
      </c>
      <c r="C321" s="4" t="str">
        <f>IFERROR(__xludf.DUMMYFUNCTION("""COMPUTED_VALUE""")," Enquire &amp; Coordinate with client")</f>
        <v> Enquire &amp; Coordinate with client</v>
      </c>
      <c r="E321" s="86"/>
    </row>
    <row r="322">
      <c r="A322" s="4"/>
      <c r="B322" s="85">
        <f>IFERROR(__xludf.DUMMYFUNCTION("""COMPUTED_VALUE"""),45330.74652777778)</f>
        <v>45330.74653</v>
      </c>
      <c r="C322" s="4" t="str">
        <f>IFERROR(__xludf.DUMMYFUNCTION("""COMPUTED_VALUE""")," Enquire &amp; Coordinate with client")</f>
        <v> Enquire &amp; Coordinate with client</v>
      </c>
      <c r="E322" s="86"/>
    </row>
    <row r="323">
      <c r="A323" s="4"/>
      <c r="B323" s="85">
        <f>IFERROR(__xludf.DUMMYFUNCTION("""COMPUTED_VALUE"""),45330.74861111111)</f>
        <v>45330.74861</v>
      </c>
      <c r="C323" s="4" t="str">
        <f>IFERROR(__xludf.DUMMYFUNCTION("""COMPUTED_VALUE""")," Enquire &amp; Coordinate with client")</f>
        <v> Enquire &amp; Coordinate with client</v>
      </c>
      <c r="E323" s="86"/>
    </row>
    <row r="324">
      <c r="A324" s="4"/>
      <c r="B324" s="85">
        <f>IFERROR(__xludf.DUMMYFUNCTION("""COMPUTED_VALUE"""),45330.74930555555)</f>
        <v>45330.74931</v>
      </c>
      <c r="C324" s="4" t="str">
        <f>IFERROR(__xludf.DUMMYFUNCTION("""COMPUTED_VALUE""")," Enquire &amp; Coordinate with client")</f>
        <v> Enquire &amp; Coordinate with client</v>
      </c>
      <c r="E324" s="86"/>
    </row>
    <row r="325">
      <c r="A325" s="4"/>
      <c r="B325" s="85">
        <f>IFERROR(__xludf.DUMMYFUNCTION("""COMPUTED_VALUE"""),45330.75138888889)</f>
        <v>45330.75139</v>
      </c>
      <c r="C325" s="4" t="str">
        <f>IFERROR(__xludf.DUMMYFUNCTION("""COMPUTED_VALUE""")," Enquire &amp; Coordinate with client")</f>
        <v> Enquire &amp; Coordinate with client</v>
      </c>
      <c r="E325" s="86"/>
    </row>
    <row r="326">
      <c r="A326" s="4"/>
      <c r="B326" s="85">
        <f>IFERROR(__xludf.DUMMYFUNCTION("""COMPUTED_VALUE"""),45330.75277777778)</f>
        <v>45330.75278</v>
      </c>
      <c r="C326" s="4" t="str">
        <f>IFERROR(__xludf.DUMMYFUNCTION("""COMPUTED_VALUE""")," Enquire &amp; Coordinate with client")</f>
        <v> Enquire &amp; Coordinate with client</v>
      </c>
      <c r="E326" s="86"/>
    </row>
    <row r="327">
      <c r="A327" s="4"/>
      <c r="B327" s="85">
        <f>IFERROR(__xludf.DUMMYFUNCTION("""COMPUTED_VALUE"""),45330.754166666666)</f>
        <v>45330.75417</v>
      </c>
      <c r="C327" s="4" t="str">
        <f>IFERROR(__xludf.DUMMYFUNCTION("""COMPUTED_VALUE""")," Enquire &amp; Coordinate with client")</f>
        <v> Enquire &amp; Coordinate with client</v>
      </c>
      <c r="E327" s="86"/>
    </row>
    <row r="328">
      <c r="A328" s="4"/>
      <c r="B328" s="85">
        <f>IFERROR(__xludf.DUMMYFUNCTION("""COMPUTED_VALUE"""),45330.75486111111)</f>
        <v>45330.75486</v>
      </c>
      <c r="C328" s="4" t="str">
        <f>IFERROR(__xludf.DUMMYFUNCTION("""COMPUTED_VALUE""")," Enquire &amp; Coordinate with client")</f>
        <v> Enquire &amp; Coordinate with client</v>
      </c>
      <c r="E328" s="86"/>
    </row>
    <row r="329">
      <c r="A329" s="4"/>
      <c r="B329" s="85">
        <f>IFERROR(__xludf.DUMMYFUNCTION("""COMPUTED_VALUE"""),45330.75625)</f>
        <v>45330.75625</v>
      </c>
      <c r="C329" s="4" t="str">
        <f>IFERROR(__xludf.DUMMYFUNCTION("""COMPUTED_VALUE""")," Enquire &amp; Coordinate with client")</f>
        <v> Enquire &amp; Coordinate with client</v>
      </c>
      <c r="E329" s="86"/>
    </row>
    <row r="330">
      <c r="A330" s="4"/>
      <c r="B330" s="85">
        <f>IFERROR(__xludf.DUMMYFUNCTION("""COMPUTED_VALUE"""),45330.756944444445)</f>
        <v>45330.75694</v>
      </c>
      <c r="C330" s="4" t="str">
        <f>IFERROR(__xludf.DUMMYFUNCTION("""COMPUTED_VALUE""")," Enquire &amp; Coordinate with client")</f>
        <v> Enquire &amp; Coordinate with client</v>
      </c>
      <c r="E330" s="86"/>
    </row>
    <row r="331">
      <c r="A331" s="4"/>
      <c r="B331" s="85">
        <f>IFERROR(__xludf.DUMMYFUNCTION("""COMPUTED_VALUE"""),45330.757638888885)</f>
        <v>45330.75764</v>
      </c>
      <c r="C331" s="4" t="str">
        <f>IFERROR(__xludf.DUMMYFUNCTION("""COMPUTED_VALUE""")," Enquire &amp; Coordinate with client")</f>
        <v> Enquire &amp; Coordinate with client</v>
      </c>
      <c r="E331" s="86"/>
    </row>
    <row r="332">
      <c r="A332" s="4"/>
      <c r="B332" s="85">
        <f>IFERROR(__xludf.DUMMYFUNCTION("""COMPUTED_VALUE"""),45330.75833333333)</f>
        <v>45330.75833</v>
      </c>
      <c r="C332" s="4" t="str">
        <f>IFERROR(__xludf.DUMMYFUNCTION("""COMPUTED_VALUE""")," Enquire &amp; Coordinate with client")</f>
        <v> Enquire &amp; Coordinate with client</v>
      </c>
      <c r="E332" s="86"/>
    </row>
    <row r="333">
      <c r="A333" s="4"/>
      <c r="B333" s="85">
        <f>IFERROR(__xludf.DUMMYFUNCTION("""COMPUTED_VALUE"""),45331.58194444445)</f>
        <v>45331.58194</v>
      </c>
      <c r="C333" s="4" t="str">
        <f>IFERROR(__xludf.DUMMYFUNCTION("""COMPUTED_VALUE""")," Enquire &amp; Coordinate with client")</f>
        <v> Enquire &amp; Coordinate with client</v>
      </c>
      <c r="E333" s="86"/>
    </row>
    <row r="334">
      <c r="A334" s="4"/>
      <c r="B334" s="85">
        <f>IFERROR(__xludf.DUMMYFUNCTION("""COMPUTED_VALUE"""),45331.58333333333)</f>
        <v>45331.58333</v>
      </c>
      <c r="C334" s="4" t="str">
        <f>IFERROR(__xludf.DUMMYFUNCTION("""COMPUTED_VALUE""")," Enquire &amp; Coordinate with client")</f>
        <v> Enquire &amp; Coordinate with client</v>
      </c>
      <c r="E334" s="86"/>
    </row>
    <row r="335">
      <c r="A335" s="4"/>
      <c r="B335" s="85">
        <f>IFERROR(__xludf.DUMMYFUNCTION("""COMPUTED_VALUE"""),45331.58472222222)</f>
        <v>45331.58472</v>
      </c>
      <c r="C335" s="4" t="str">
        <f>IFERROR(__xludf.DUMMYFUNCTION("""COMPUTED_VALUE""")," Enquire &amp; Coordinate with client")</f>
        <v> Enquire &amp; Coordinate with client</v>
      </c>
      <c r="E335" s="86"/>
    </row>
    <row r="336">
      <c r="A336" s="4"/>
      <c r="B336" s="85">
        <f>IFERROR(__xludf.DUMMYFUNCTION("""COMPUTED_VALUE"""),45331.586805555555)</f>
        <v>45331.58681</v>
      </c>
      <c r="C336" s="4" t="str">
        <f>IFERROR(__xludf.DUMMYFUNCTION("""COMPUTED_VALUE""")," Enquire &amp; Coordinate with client")</f>
        <v> Enquire &amp; Coordinate with client</v>
      </c>
      <c r="E336" s="86"/>
    </row>
    <row r="337">
      <c r="A337" s="4"/>
      <c r="B337" s="85">
        <f>IFERROR(__xludf.DUMMYFUNCTION("""COMPUTED_VALUE"""),45331.60555555555)</f>
        <v>45331.60556</v>
      </c>
      <c r="C337" s="4" t="str">
        <f>IFERROR(__xludf.DUMMYFUNCTION("""COMPUTED_VALUE""")," Enquire &amp; Coordinate with client")</f>
        <v> Enquire &amp; Coordinate with client</v>
      </c>
      <c r="E337" s="86"/>
    </row>
    <row r="338">
      <c r="A338" s="4"/>
      <c r="B338" s="85">
        <f>IFERROR(__xludf.DUMMYFUNCTION("""COMPUTED_VALUE"""),45331.606944444444)</f>
        <v>45331.60694</v>
      </c>
      <c r="C338" s="4" t="str">
        <f>IFERROR(__xludf.DUMMYFUNCTION("""COMPUTED_VALUE""")," Enquire &amp; Coordinate with client")</f>
        <v> Enquire &amp; Coordinate with client</v>
      </c>
      <c r="E338" s="86"/>
    </row>
    <row r="339">
      <c r="A339" s="4"/>
      <c r="B339" s="85">
        <f>IFERROR(__xludf.DUMMYFUNCTION("""COMPUTED_VALUE"""),45331.60833333334)</f>
        <v>45331.60833</v>
      </c>
      <c r="C339" s="4" t="str">
        <f>IFERROR(__xludf.DUMMYFUNCTION("""COMPUTED_VALUE""")," Enquire &amp; Coordinate with client")</f>
        <v> Enquire &amp; Coordinate with client</v>
      </c>
      <c r="E339" s="86"/>
    </row>
    <row r="340">
      <c r="A340" s="4"/>
      <c r="B340" s="85">
        <f>IFERROR(__xludf.DUMMYFUNCTION("""COMPUTED_VALUE"""),45331.60902777778)</f>
        <v>45331.60903</v>
      </c>
      <c r="C340" s="4" t="str">
        <f>IFERROR(__xludf.DUMMYFUNCTION("""COMPUTED_VALUE""")," Enquire &amp; Coordinate with client")</f>
        <v> Enquire &amp; Coordinate with client</v>
      </c>
      <c r="E340" s="86"/>
    </row>
    <row r="341">
      <c r="A341" s="4"/>
      <c r="B341" s="85">
        <f>IFERROR(__xludf.DUMMYFUNCTION("""COMPUTED_VALUE"""),45331.615277777775)</f>
        <v>45331.61528</v>
      </c>
      <c r="C341" s="4" t="str">
        <f>IFERROR(__xludf.DUMMYFUNCTION("""COMPUTED_VALUE""")," Enquire &amp; Coordinate with client")</f>
        <v> Enquire &amp; Coordinate with client</v>
      </c>
      <c r="E341" s="86"/>
    </row>
    <row r="342">
      <c r="A342" s="4"/>
      <c r="B342" s="85">
        <f>IFERROR(__xludf.DUMMYFUNCTION("""COMPUTED_VALUE"""),45331.61666666667)</f>
        <v>45331.61667</v>
      </c>
      <c r="C342" s="4" t="str">
        <f>IFERROR(__xludf.DUMMYFUNCTION("""COMPUTED_VALUE""")," Enquire &amp; Coordinate with client")</f>
        <v> Enquire &amp; Coordinate with client</v>
      </c>
      <c r="E342" s="86"/>
    </row>
    <row r="343">
      <c r="A343" s="4"/>
      <c r="B343" s="85">
        <f>IFERROR(__xludf.DUMMYFUNCTION("""COMPUTED_VALUE"""),45331.617361111115)</f>
        <v>45331.61736</v>
      </c>
      <c r="C343" s="4" t="str">
        <f>IFERROR(__xludf.DUMMYFUNCTION("""COMPUTED_VALUE""")," Enquire &amp; Coordinate with client")</f>
        <v> Enquire &amp; Coordinate with client</v>
      </c>
      <c r="E343" s="86"/>
    </row>
    <row r="344">
      <c r="A344" s="4"/>
      <c r="B344" s="85">
        <f>IFERROR(__xludf.DUMMYFUNCTION("""COMPUTED_VALUE"""),45331.618055555555)</f>
        <v>45331.61806</v>
      </c>
      <c r="C344" s="4" t="str">
        <f>IFERROR(__xludf.DUMMYFUNCTION("""COMPUTED_VALUE""")," Enquire &amp; Coordinate with client")</f>
        <v> Enquire &amp; Coordinate with client</v>
      </c>
      <c r="E344" s="86"/>
    </row>
    <row r="345">
      <c r="A345" s="4"/>
      <c r="B345" s="85">
        <f>IFERROR(__xludf.DUMMYFUNCTION("""COMPUTED_VALUE"""),45331.61944444444)</f>
        <v>45331.61944</v>
      </c>
      <c r="C345" s="4" t="str">
        <f>IFERROR(__xludf.DUMMYFUNCTION("""COMPUTED_VALUE""")," Enquire &amp; Coordinate with client")</f>
        <v> Enquire &amp; Coordinate with client</v>
      </c>
      <c r="E345" s="86"/>
    </row>
    <row r="346">
      <c r="A346" s="4"/>
      <c r="B346" s="85">
        <f>IFERROR(__xludf.DUMMYFUNCTION("""COMPUTED_VALUE"""),45331.62152777778)</f>
        <v>45331.62153</v>
      </c>
      <c r="C346" s="4" t="str">
        <f>IFERROR(__xludf.DUMMYFUNCTION("""COMPUTED_VALUE""")," Enquire &amp; Coordinate with client")</f>
        <v> Enquire &amp; Coordinate with client</v>
      </c>
      <c r="E346" s="86"/>
    </row>
    <row r="347">
      <c r="A347" s="4"/>
      <c r="B347" s="85">
        <f>IFERROR(__xludf.DUMMYFUNCTION("""COMPUTED_VALUE"""),45331.65902777778)</f>
        <v>45331.65903</v>
      </c>
      <c r="C347" s="4" t="str">
        <f>IFERROR(__xludf.DUMMYFUNCTION("""COMPUTED_VALUE""")," Enquire &amp; Coordinate with client")</f>
        <v> Enquire &amp; Coordinate with client</v>
      </c>
      <c r="E347" s="86"/>
    </row>
    <row r="348">
      <c r="A348" s="4"/>
      <c r="B348" s="85">
        <f>IFERROR(__xludf.DUMMYFUNCTION("""COMPUTED_VALUE"""),45331.660416666666)</f>
        <v>45331.66042</v>
      </c>
      <c r="C348" s="4" t="str">
        <f>IFERROR(__xludf.DUMMYFUNCTION("""COMPUTED_VALUE""")," Enquire &amp; Coordinate with client")</f>
        <v> Enquire &amp; Coordinate with client</v>
      </c>
      <c r="E348" s="86"/>
    </row>
    <row r="349">
      <c r="A349" s="4"/>
      <c r="B349" s="85">
        <f>IFERROR(__xludf.DUMMYFUNCTION("""COMPUTED_VALUE"""),45331.66180555556)</f>
        <v>45331.66181</v>
      </c>
      <c r="C349" s="4" t="str">
        <f>IFERROR(__xludf.DUMMYFUNCTION("""COMPUTED_VALUE""")," Enquire &amp; Coordinate with client")</f>
        <v> Enquire &amp; Coordinate with client</v>
      </c>
      <c r="E349" s="86"/>
    </row>
    <row r="350">
      <c r="A350" s="4"/>
      <c r="B350" s="85">
        <f>IFERROR(__xludf.DUMMYFUNCTION("""COMPUTED_VALUE"""),45331.6625)</f>
        <v>45331.6625</v>
      </c>
      <c r="C350" s="4" t="str">
        <f>IFERROR(__xludf.DUMMYFUNCTION("""COMPUTED_VALUE""")," Enquire &amp; Coordinate with client")</f>
        <v> Enquire &amp; Coordinate with client</v>
      </c>
      <c r="E350" s="86"/>
    </row>
    <row r="351">
      <c r="A351" s="4"/>
      <c r="B351" s="85">
        <f>IFERROR(__xludf.DUMMYFUNCTION("""COMPUTED_VALUE"""),45331.665972222225)</f>
        <v>45331.66597</v>
      </c>
      <c r="C351" s="4" t="str">
        <f>IFERROR(__xludf.DUMMYFUNCTION("""COMPUTED_VALUE""")," Enquire &amp; Coordinate with client")</f>
        <v> Enquire &amp; Coordinate with client</v>
      </c>
      <c r="E351" s="86"/>
    </row>
    <row r="352">
      <c r="A352" s="4"/>
      <c r="B352" s="85">
        <f>IFERROR(__xludf.DUMMYFUNCTION("""COMPUTED_VALUE"""),45331.691666666666)</f>
        <v>45331.69167</v>
      </c>
      <c r="C352" s="4" t="str">
        <f>IFERROR(__xludf.DUMMYFUNCTION("""COMPUTED_VALUE""")," Enquire &amp; Coordinate with client")</f>
        <v> Enquire &amp; Coordinate with client</v>
      </c>
      <c r="E352" s="86"/>
    </row>
    <row r="353">
      <c r="A353" s="4"/>
      <c r="B353" s="85">
        <f>IFERROR(__xludf.DUMMYFUNCTION("""COMPUTED_VALUE"""),45331.69305555556)</f>
        <v>45331.69306</v>
      </c>
      <c r="C353" s="4" t="str">
        <f>IFERROR(__xludf.DUMMYFUNCTION("""COMPUTED_VALUE""")," Enquire &amp; Coordinate with client")</f>
        <v> Enquire &amp; Coordinate with client</v>
      </c>
      <c r="E353" s="86"/>
    </row>
    <row r="354">
      <c r="A354" s="4"/>
      <c r="B354" s="85">
        <f>IFERROR(__xludf.DUMMYFUNCTION("""COMPUTED_VALUE"""),45331.694444444445)</f>
        <v>45331.69444</v>
      </c>
      <c r="C354" s="4" t="str">
        <f>IFERROR(__xludf.DUMMYFUNCTION("""COMPUTED_VALUE""")," Enquire &amp; Coordinate with client")</f>
        <v> Enquire &amp; Coordinate with client</v>
      </c>
      <c r="E354" s="86"/>
    </row>
    <row r="355">
      <c r="A355" s="4"/>
      <c r="B355" s="85">
        <f>IFERROR(__xludf.DUMMYFUNCTION("""COMPUTED_VALUE"""),45331.69652777778)</f>
        <v>45331.69653</v>
      </c>
      <c r="C355" s="4" t="str">
        <f>IFERROR(__xludf.DUMMYFUNCTION("""COMPUTED_VALUE""")," Enquire &amp; Coordinate with client")</f>
        <v> Enquire &amp; Coordinate with client</v>
      </c>
      <c r="E355" s="86"/>
    </row>
    <row r="356">
      <c r="A356" s="4"/>
      <c r="B356" s="85">
        <f>IFERROR(__xludf.DUMMYFUNCTION("""COMPUTED_VALUE"""),45331.69791666667)</f>
        <v>45331.69792</v>
      </c>
      <c r="C356" s="4" t="str">
        <f>IFERROR(__xludf.DUMMYFUNCTION("""COMPUTED_VALUE""")," Enquire &amp; Coordinate with client")</f>
        <v> Enquire &amp; Coordinate with client</v>
      </c>
      <c r="E356" s="86"/>
    </row>
    <row r="357">
      <c r="A357" s="4"/>
      <c r="B357" s="85">
        <f>IFERROR(__xludf.DUMMYFUNCTION("""COMPUTED_VALUE"""),45331.69861111111)</f>
        <v>45331.69861</v>
      </c>
      <c r="C357" s="4" t="str">
        <f>IFERROR(__xludf.DUMMYFUNCTION("""COMPUTED_VALUE""")," Enquire &amp; Coordinate with client")</f>
        <v> Enquire &amp; Coordinate with client</v>
      </c>
      <c r="E357" s="86"/>
    </row>
    <row r="358">
      <c r="A358" s="4"/>
      <c r="B358" s="85">
        <f>IFERROR(__xludf.DUMMYFUNCTION("""COMPUTED_VALUE"""),45331.70138888889)</f>
        <v>45331.70139</v>
      </c>
      <c r="C358" s="4" t="str">
        <f>IFERROR(__xludf.DUMMYFUNCTION("""COMPUTED_VALUE""")," Enquire &amp; Coordinate with client")</f>
        <v> Enquire &amp; Coordinate with client</v>
      </c>
      <c r="E358" s="86"/>
    </row>
    <row r="359">
      <c r="A359" s="4"/>
      <c r="B359" s="85">
        <f>IFERROR(__xludf.DUMMYFUNCTION("""COMPUTED_VALUE"""),45331.70208333334)</f>
        <v>45331.70208</v>
      </c>
      <c r="C359" s="4" t="str">
        <f>IFERROR(__xludf.DUMMYFUNCTION("""COMPUTED_VALUE""")," Enquire &amp; Coordinate with client")</f>
        <v> Enquire &amp; Coordinate with client</v>
      </c>
      <c r="E359" s="86"/>
    </row>
    <row r="360">
      <c r="A360" s="4"/>
      <c r="B360" s="85">
        <f>IFERROR(__xludf.DUMMYFUNCTION("""COMPUTED_VALUE"""),45331.70347222222)</f>
        <v>45331.70347</v>
      </c>
      <c r="C360" s="4" t="str">
        <f>IFERROR(__xludf.DUMMYFUNCTION("""COMPUTED_VALUE""")," Enquire &amp; Coordinate with client")</f>
        <v> Enquire &amp; Coordinate with client</v>
      </c>
      <c r="E360" s="86"/>
    </row>
    <row r="361">
      <c r="A361" s="4"/>
      <c r="B361" s="85">
        <f>IFERROR(__xludf.DUMMYFUNCTION("""COMPUTED_VALUE"""),45332.55902777778)</f>
        <v>45332.55903</v>
      </c>
      <c r="C361" s="4" t="str">
        <f>IFERROR(__xludf.DUMMYFUNCTION("""COMPUTED_VALUE""")," Enquire &amp; Coordinate with client")</f>
        <v> Enquire &amp; Coordinate with client</v>
      </c>
      <c r="E361" s="86"/>
    </row>
    <row r="362">
      <c r="A362" s="4"/>
      <c r="B362" s="85">
        <f>IFERROR(__xludf.DUMMYFUNCTION("""COMPUTED_VALUE"""),45332.55972222222)</f>
        <v>45332.55972</v>
      </c>
      <c r="C362" s="4" t="str">
        <f>IFERROR(__xludf.DUMMYFUNCTION("""COMPUTED_VALUE""")," Enquire &amp; Coordinate with client")</f>
        <v> Enquire &amp; Coordinate with client</v>
      </c>
      <c r="E362" s="86"/>
    </row>
    <row r="363">
      <c r="A363" s="4"/>
      <c r="B363" s="85">
        <f>IFERROR(__xludf.DUMMYFUNCTION("""COMPUTED_VALUE"""),45332.56041666667)</f>
        <v>45332.56042</v>
      </c>
      <c r="C363" s="4" t="str">
        <f>IFERROR(__xludf.DUMMYFUNCTION("""COMPUTED_VALUE""")," Enquire &amp; Coordinate with client")</f>
        <v> Enquire &amp; Coordinate with client</v>
      </c>
      <c r="E363" s="86"/>
    </row>
    <row r="364">
      <c r="A364" s="4"/>
      <c r="B364" s="85">
        <f>IFERROR(__xludf.DUMMYFUNCTION("""COMPUTED_VALUE"""),45332.60277777778)</f>
        <v>45332.60278</v>
      </c>
      <c r="C364" s="4" t="str">
        <f>IFERROR(__xludf.DUMMYFUNCTION("""COMPUTED_VALUE""")," Enquire &amp; Coordinate with client")</f>
        <v> Enquire &amp; Coordinate with client</v>
      </c>
      <c r="E364" s="86"/>
    </row>
    <row r="365">
      <c r="A365" s="4"/>
      <c r="B365" s="85">
        <f>IFERROR(__xludf.DUMMYFUNCTION("""COMPUTED_VALUE"""),45332.603472222225)</f>
        <v>45332.60347</v>
      </c>
      <c r="C365" s="4" t="str">
        <f>IFERROR(__xludf.DUMMYFUNCTION("""COMPUTED_VALUE""")," Enquire &amp; Coordinate with client")</f>
        <v> Enquire &amp; Coordinate with client</v>
      </c>
      <c r="E365" s="86"/>
    </row>
    <row r="366">
      <c r="A366" s="4"/>
      <c r="B366" s="85">
        <f>IFERROR(__xludf.DUMMYFUNCTION("""COMPUTED_VALUE"""),45332.60486111111)</f>
        <v>45332.60486</v>
      </c>
      <c r="C366" s="4" t="str">
        <f>IFERROR(__xludf.DUMMYFUNCTION("""COMPUTED_VALUE""")," Enquire &amp; Coordinate with client")</f>
        <v> Enquire &amp; Coordinate with client</v>
      </c>
      <c r="E366" s="86"/>
    </row>
    <row r="367">
      <c r="A367" s="4"/>
      <c r="B367" s="85">
        <f>IFERROR(__xludf.DUMMYFUNCTION("""COMPUTED_VALUE"""),45332.60763888889)</f>
        <v>45332.60764</v>
      </c>
      <c r="C367" s="4" t="str">
        <f>IFERROR(__xludf.DUMMYFUNCTION("""COMPUTED_VALUE""")," Enquire &amp; Coordinate with client")</f>
        <v> Enquire &amp; Coordinate with client</v>
      </c>
      <c r="E367" s="86"/>
    </row>
    <row r="368">
      <c r="A368" s="4"/>
      <c r="B368" s="85">
        <f>IFERROR(__xludf.DUMMYFUNCTION("""COMPUTED_VALUE"""),45332.60902777778)</f>
        <v>45332.60903</v>
      </c>
      <c r="C368" s="4" t="str">
        <f>IFERROR(__xludf.DUMMYFUNCTION("""COMPUTED_VALUE""")," Enquire &amp; Coordinate with client")</f>
        <v> Enquire &amp; Coordinate with client</v>
      </c>
      <c r="E368" s="86"/>
    </row>
    <row r="369">
      <c r="A369" s="4"/>
      <c r="B369" s="85">
        <f>IFERROR(__xludf.DUMMYFUNCTION("""COMPUTED_VALUE"""),45332.61111111111)</f>
        <v>45332.61111</v>
      </c>
      <c r="C369" s="4" t="str">
        <f>IFERROR(__xludf.DUMMYFUNCTION("""COMPUTED_VALUE""")," Enquire &amp; Coordinate with client")</f>
        <v> Enquire &amp; Coordinate with client</v>
      </c>
      <c r="E369" s="86"/>
    </row>
    <row r="370">
      <c r="A370" s="4"/>
      <c r="B370" s="85">
        <f>IFERROR(__xludf.DUMMYFUNCTION("""COMPUTED_VALUE"""),45332.6125)</f>
        <v>45332.6125</v>
      </c>
      <c r="C370" s="4" t="str">
        <f>IFERROR(__xludf.DUMMYFUNCTION("""COMPUTED_VALUE""")," Enquire &amp; Coordinate with client")</f>
        <v> Enquire &amp; Coordinate with client</v>
      </c>
      <c r="E370" s="86"/>
    </row>
    <row r="371">
      <c r="A371" s="4"/>
      <c r="B371" s="85">
        <f>IFERROR(__xludf.DUMMYFUNCTION("""COMPUTED_VALUE"""),45332.61388888889)</f>
        <v>45332.61389</v>
      </c>
      <c r="C371" s="4" t="str">
        <f>IFERROR(__xludf.DUMMYFUNCTION("""COMPUTED_VALUE""")," Enquire &amp; Coordinate with client")</f>
        <v> Enquire &amp; Coordinate with client</v>
      </c>
      <c r="E371" s="86"/>
    </row>
    <row r="372">
      <c r="A372" s="4"/>
      <c r="B372" s="85">
        <f>IFERROR(__xludf.DUMMYFUNCTION("""COMPUTED_VALUE"""),45332.615277777775)</f>
        <v>45332.61528</v>
      </c>
      <c r="C372" s="4" t="str">
        <f>IFERROR(__xludf.DUMMYFUNCTION("""COMPUTED_VALUE""")," Enquire &amp; Coordinate with client")</f>
        <v> Enquire &amp; Coordinate with client</v>
      </c>
      <c r="E372" s="86"/>
    </row>
    <row r="373">
      <c r="A373" s="4"/>
      <c r="B373" s="85">
        <f>IFERROR(__xludf.DUMMYFUNCTION("""COMPUTED_VALUE"""),45332.617361111115)</f>
        <v>45332.61736</v>
      </c>
      <c r="C373" s="4" t="str">
        <f>IFERROR(__xludf.DUMMYFUNCTION("""COMPUTED_VALUE""")," Enquire &amp; Coordinate with client")</f>
        <v> Enquire &amp; Coordinate with client</v>
      </c>
      <c r="E373" s="86"/>
    </row>
    <row r="374">
      <c r="A374" s="4"/>
      <c r="B374" s="85">
        <f>IFERROR(__xludf.DUMMYFUNCTION("""COMPUTED_VALUE"""),45332.61875)</f>
        <v>45332.61875</v>
      </c>
      <c r="C374" s="4" t="str">
        <f>IFERROR(__xludf.DUMMYFUNCTION("""COMPUTED_VALUE""")," Enquire &amp; Coordinate with client")</f>
        <v> Enquire &amp; Coordinate with client</v>
      </c>
      <c r="E374" s="86"/>
    </row>
    <row r="375">
      <c r="A375" s="4"/>
      <c r="B375" s="85">
        <f>IFERROR(__xludf.DUMMYFUNCTION("""COMPUTED_VALUE"""),45332.61944444444)</f>
        <v>45332.61944</v>
      </c>
      <c r="C375" s="4" t="str">
        <f>IFERROR(__xludf.DUMMYFUNCTION("""COMPUTED_VALUE""")," Enquire &amp; Coordinate with client")</f>
        <v> Enquire &amp; Coordinate with client</v>
      </c>
      <c r="E375" s="86"/>
    </row>
    <row r="376">
      <c r="A376" s="4"/>
      <c r="B376" s="85">
        <f>IFERROR(__xludf.DUMMYFUNCTION("""COMPUTED_VALUE"""),45332.620833333334)</f>
        <v>45332.62083</v>
      </c>
      <c r="C376" s="4" t="str">
        <f>IFERROR(__xludf.DUMMYFUNCTION("""COMPUTED_VALUE""")," Enquire &amp; Coordinate with client")</f>
        <v> Enquire &amp; Coordinate with client</v>
      </c>
      <c r="E376" s="86"/>
    </row>
    <row r="377">
      <c r="A377" s="4"/>
      <c r="B377" s="85">
        <f>IFERROR(__xludf.DUMMYFUNCTION("""COMPUTED_VALUE"""),45332.62152777778)</f>
        <v>45332.62153</v>
      </c>
      <c r="C377" s="4" t="str">
        <f>IFERROR(__xludf.DUMMYFUNCTION("""COMPUTED_VALUE""")," Enquire &amp; Coordinate with client")</f>
        <v> Enquire &amp; Coordinate with client</v>
      </c>
      <c r="E377" s="86"/>
    </row>
    <row r="378">
      <c r="A378" s="4"/>
      <c r="B378" s="85">
        <f>IFERROR(__xludf.DUMMYFUNCTION("""COMPUTED_VALUE"""),45332.62222222222)</f>
        <v>45332.62222</v>
      </c>
      <c r="C378" s="4" t="str">
        <f>IFERROR(__xludf.DUMMYFUNCTION("""COMPUTED_VALUE""")," Enquire &amp; Coordinate with client")</f>
        <v> Enquire &amp; Coordinate with client</v>
      </c>
      <c r="E378" s="86"/>
    </row>
    <row r="379">
      <c r="A379" s="4"/>
      <c r="B379" s="85">
        <f>IFERROR(__xludf.DUMMYFUNCTION("""COMPUTED_VALUE"""),45332.62430555555)</f>
        <v>45332.62431</v>
      </c>
      <c r="C379" s="4" t="str">
        <f>IFERROR(__xludf.DUMMYFUNCTION("""COMPUTED_VALUE""")," Enquire &amp; Coordinate with client")</f>
        <v> Enquire &amp; Coordinate with client</v>
      </c>
      <c r="E379" s="86"/>
    </row>
    <row r="380">
      <c r="A380" s="4"/>
      <c r="B380" s="85">
        <f>IFERROR(__xludf.DUMMYFUNCTION("""COMPUTED_VALUE"""),45332.62708333333)</f>
        <v>45332.62708</v>
      </c>
      <c r="C380" s="4" t="str">
        <f>IFERROR(__xludf.DUMMYFUNCTION("""COMPUTED_VALUE""")," Enquire &amp; Coordinate with client")</f>
        <v> Enquire &amp; Coordinate with client</v>
      </c>
      <c r="E380" s="86"/>
    </row>
    <row r="381">
      <c r="A381" s="4"/>
      <c r="B381" s="85">
        <f>IFERROR(__xludf.DUMMYFUNCTION("""COMPUTED_VALUE"""),45336.652083333334)</f>
        <v>45336.65208</v>
      </c>
      <c r="C381" s="4" t="str">
        <f>IFERROR(__xludf.DUMMYFUNCTION("""COMPUTED_VALUE""")," Enquire &amp; Coordinate with client")</f>
        <v> Enquire &amp; Coordinate with client</v>
      </c>
      <c r="E381" s="86"/>
    </row>
    <row r="382">
      <c r="A382" s="4"/>
      <c r="B382" s="85">
        <f>IFERROR(__xludf.DUMMYFUNCTION("""COMPUTED_VALUE"""),45336.65347222222)</f>
        <v>45336.65347</v>
      </c>
      <c r="C382" s="4" t="str">
        <f>IFERROR(__xludf.DUMMYFUNCTION("""COMPUTED_VALUE""")," Enquire &amp; Coordinate with client")</f>
        <v> Enquire &amp; Coordinate with client</v>
      </c>
      <c r="E382" s="86"/>
    </row>
    <row r="383">
      <c r="A383" s="4"/>
      <c r="B383" s="85">
        <f>IFERROR(__xludf.DUMMYFUNCTION("""COMPUTED_VALUE"""),45336.65486111111)</f>
        <v>45336.65486</v>
      </c>
      <c r="C383" s="4" t="str">
        <f>IFERROR(__xludf.DUMMYFUNCTION("""COMPUTED_VALUE""")," Enquire &amp; Coordinate with client")</f>
        <v> Enquire &amp; Coordinate with client</v>
      </c>
      <c r="E383" s="86"/>
    </row>
    <row r="384">
      <c r="A384" s="4"/>
      <c r="B384" s="85">
        <f>IFERROR(__xludf.DUMMYFUNCTION("""COMPUTED_VALUE"""),45336.65625)</f>
        <v>45336.65625</v>
      </c>
      <c r="C384" s="4" t="str">
        <f>IFERROR(__xludf.DUMMYFUNCTION("""COMPUTED_VALUE""")," Enquire &amp; Coordinate with client")</f>
        <v> Enquire &amp; Coordinate with client</v>
      </c>
      <c r="E384" s="86"/>
    </row>
    <row r="385">
      <c r="A385" s="4"/>
      <c r="B385" s="85">
        <f>IFERROR(__xludf.DUMMYFUNCTION("""COMPUTED_VALUE"""),45336.65694444445)</f>
        <v>45336.65694</v>
      </c>
      <c r="C385" s="4" t="str">
        <f>IFERROR(__xludf.DUMMYFUNCTION("""COMPUTED_VALUE""")," Enquire &amp; Coordinate with client")</f>
        <v> Enquire &amp; Coordinate with client</v>
      </c>
      <c r="E385" s="86"/>
    </row>
    <row r="386">
      <c r="A386" s="4"/>
      <c r="B386" s="85">
        <f>IFERROR(__xludf.DUMMYFUNCTION("""COMPUTED_VALUE"""),45336.65833333333)</f>
        <v>45336.65833</v>
      </c>
      <c r="C386" s="4" t="str">
        <f>IFERROR(__xludf.DUMMYFUNCTION("""COMPUTED_VALUE""")," Enquire &amp; Coordinate with client")</f>
        <v> Enquire &amp; Coordinate with client</v>
      </c>
      <c r="E386" s="86"/>
    </row>
    <row r="387">
      <c r="A387" s="4"/>
      <c r="B387" s="85">
        <f>IFERROR(__xludf.DUMMYFUNCTION("""COMPUTED_VALUE"""),45336.65972222222)</f>
        <v>45336.65972</v>
      </c>
      <c r="C387" s="4" t="str">
        <f>IFERROR(__xludf.DUMMYFUNCTION("""COMPUTED_VALUE""")," Enquire &amp; Coordinate with client")</f>
        <v> Enquire &amp; Coordinate with client</v>
      </c>
      <c r="E387" s="86"/>
    </row>
    <row r="388">
      <c r="A388" s="4"/>
      <c r="B388" s="85">
        <f>IFERROR(__xludf.DUMMYFUNCTION("""COMPUTED_VALUE"""),45336.660416666666)</f>
        <v>45336.66042</v>
      </c>
      <c r="C388" s="4" t="str">
        <f>IFERROR(__xludf.DUMMYFUNCTION("""COMPUTED_VALUE""")," Enquire &amp; Coordinate with client")</f>
        <v> Enquire &amp; Coordinate with client</v>
      </c>
      <c r="E388" s="86"/>
    </row>
    <row r="389">
      <c r="A389" s="4"/>
      <c r="B389" s="85">
        <f>IFERROR(__xludf.DUMMYFUNCTION("""COMPUTED_VALUE"""),45336.66180555556)</f>
        <v>45336.66181</v>
      </c>
      <c r="C389" s="4" t="str">
        <f>IFERROR(__xludf.DUMMYFUNCTION("""COMPUTED_VALUE""")," Enquire &amp; Coordinate with client")</f>
        <v> Enquire &amp; Coordinate with client</v>
      </c>
      <c r="E389" s="86"/>
    </row>
    <row r="390">
      <c r="A390" s="4"/>
      <c r="B390" s="85">
        <f>IFERROR(__xludf.DUMMYFUNCTION("""COMPUTED_VALUE"""),45336.663888888885)</f>
        <v>45336.66389</v>
      </c>
      <c r="C390" s="4" t="str">
        <f>IFERROR(__xludf.DUMMYFUNCTION("""COMPUTED_VALUE""")," Enquire &amp; Coordinate with client")</f>
        <v> Enquire &amp; Coordinate with client</v>
      </c>
      <c r="E390" s="86"/>
    </row>
    <row r="391">
      <c r="A391" s="4"/>
      <c r="B391" s="85">
        <f>IFERROR(__xludf.DUMMYFUNCTION("""COMPUTED_VALUE"""),45336.66458333333)</f>
        <v>45336.66458</v>
      </c>
      <c r="C391" s="4" t="str">
        <f>IFERROR(__xludf.DUMMYFUNCTION("""COMPUTED_VALUE""")," Enquire &amp; Coordinate with client")</f>
        <v> Enquire &amp; Coordinate with client</v>
      </c>
      <c r="E391" s="86"/>
    </row>
    <row r="392">
      <c r="A392" s="4"/>
      <c r="B392" s="85">
        <f>IFERROR(__xludf.DUMMYFUNCTION("""COMPUTED_VALUE"""),45336.665972222225)</f>
        <v>45336.66597</v>
      </c>
      <c r="C392" s="4" t="str">
        <f>IFERROR(__xludf.DUMMYFUNCTION("""COMPUTED_VALUE""")," Enquire &amp; Coordinate with client")</f>
        <v> Enquire &amp; Coordinate with client</v>
      </c>
      <c r="E392" s="86"/>
    </row>
    <row r="393">
      <c r="A393" s="4"/>
      <c r="B393" s="85">
        <f>IFERROR(__xludf.DUMMYFUNCTION("""COMPUTED_VALUE"""),45336.66666666667)</f>
        <v>45336.66667</v>
      </c>
      <c r="C393" s="4" t="str">
        <f>IFERROR(__xludf.DUMMYFUNCTION("""COMPUTED_VALUE""")," Enquire &amp; Coordinate with client")</f>
        <v> Enquire &amp; Coordinate with client</v>
      </c>
      <c r="E393" s="86"/>
    </row>
    <row r="394">
      <c r="A394" s="4"/>
      <c r="B394" s="85">
        <f>IFERROR(__xludf.DUMMYFUNCTION("""COMPUTED_VALUE"""),45336.66736111111)</f>
        <v>45336.66736</v>
      </c>
      <c r="C394" s="4" t="str">
        <f>IFERROR(__xludf.DUMMYFUNCTION("""COMPUTED_VALUE""")," Enquire &amp; Coordinate with client")</f>
        <v> Enquire &amp; Coordinate with client</v>
      </c>
      <c r="E394" s="86"/>
    </row>
    <row r="395">
      <c r="A395" s="4"/>
      <c r="B395" s="85">
        <f>IFERROR(__xludf.DUMMYFUNCTION("""COMPUTED_VALUE"""),45336.66875)</f>
        <v>45336.66875</v>
      </c>
      <c r="C395" s="4" t="str">
        <f>IFERROR(__xludf.DUMMYFUNCTION("""COMPUTED_VALUE""")," Enquire &amp; Coordinate with client")</f>
        <v> Enquire &amp; Coordinate with client</v>
      </c>
      <c r="E395" s="86"/>
    </row>
    <row r="396">
      <c r="A396" s="4"/>
      <c r="B396" s="85">
        <f>IFERROR(__xludf.DUMMYFUNCTION("""COMPUTED_VALUE"""),45336.67013888889)</f>
        <v>45336.67014</v>
      </c>
      <c r="C396" s="4" t="str">
        <f>IFERROR(__xludf.DUMMYFUNCTION("""COMPUTED_VALUE""")," Enquire &amp; Coordinate with client")</f>
        <v> Enquire &amp; Coordinate with client</v>
      </c>
      <c r="E396" s="86"/>
    </row>
    <row r="397">
      <c r="A397" s="4"/>
      <c r="B397" s="85">
        <f>IFERROR(__xludf.DUMMYFUNCTION("""COMPUTED_VALUE"""),45336.67152777778)</f>
        <v>45336.67153</v>
      </c>
      <c r="C397" s="4" t="str">
        <f>IFERROR(__xludf.DUMMYFUNCTION("""COMPUTED_VALUE""")," Enquire &amp; Coordinate with client")</f>
        <v> Enquire &amp; Coordinate with client</v>
      </c>
      <c r="E397" s="86"/>
    </row>
    <row r="398">
      <c r="A398" s="4"/>
      <c r="B398" s="85">
        <f>IFERROR(__xludf.DUMMYFUNCTION("""COMPUTED_VALUE"""),45336.67291666666)</f>
        <v>45336.67292</v>
      </c>
      <c r="C398" s="4" t="str">
        <f>IFERROR(__xludf.DUMMYFUNCTION("""COMPUTED_VALUE""")," Enquire &amp; Coordinate with client")</f>
        <v> Enquire &amp; Coordinate with client</v>
      </c>
      <c r="E398" s="86"/>
    </row>
    <row r="399">
      <c r="A399" s="4"/>
      <c r="B399" s="85">
        <f>IFERROR(__xludf.DUMMYFUNCTION("""COMPUTED_VALUE"""),45336.674305555556)</f>
        <v>45336.67431</v>
      </c>
      <c r="C399" s="4" t="str">
        <f>IFERROR(__xludf.DUMMYFUNCTION("""COMPUTED_VALUE""")," Enquire &amp; Coordinate with client")</f>
        <v> Enquire &amp; Coordinate with client</v>
      </c>
      <c r="E399" s="86"/>
    </row>
    <row r="400">
      <c r="A400" s="4"/>
      <c r="B400" s="85">
        <f>IFERROR(__xludf.DUMMYFUNCTION("""COMPUTED_VALUE"""),45336.675)</f>
        <v>45336.675</v>
      </c>
      <c r="C400" s="4" t="str">
        <f>IFERROR(__xludf.DUMMYFUNCTION("""COMPUTED_VALUE""")," Enquire &amp; Coordinate with client")</f>
        <v> Enquire &amp; Coordinate with client</v>
      </c>
      <c r="E400" s="86"/>
    </row>
    <row r="401">
      <c r="A401" s="4"/>
      <c r="B401" s="85">
        <f>IFERROR(__xludf.DUMMYFUNCTION("""COMPUTED_VALUE"""),45336.67569444445)</f>
        <v>45336.67569</v>
      </c>
      <c r="C401" s="4" t="str">
        <f>IFERROR(__xludf.DUMMYFUNCTION("""COMPUTED_VALUE""")," Enquire &amp; Coordinate with client")</f>
        <v> Enquire &amp; Coordinate with client</v>
      </c>
      <c r="E401" s="86"/>
    </row>
    <row r="402">
      <c r="A402" s="4"/>
      <c r="B402" s="85">
        <f>IFERROR(__xludf.DUMMYFUNCTION("""COMPUTED_VALUE"""),45336.67638888889)</f>
        <v>45336.67639</v>
      </c>
      <c r="C402" s="4" t="str">
        <f>IFERROR(__xludf.DUMMYFUNCTION("""COMPUTED_VALUE""")," Enquire &amp; Coordinate with client")</f>
        <v> Enquire &amp; Coordinate with client</v>
      </c>
      <c r="E402" s="86"/>
    </row>
    <row r="403">
      <c r="A403" s="4"/>
      <c r="B403" s="85">
        <f>IFERROR(__xludf.DUMMYFUNCTION("""COMPUTED_VALUE"""),45336.677777777775)</f>
        <v>45336.67778</v>
      </c>
      <c r="C403" s="4" t="str">
        <f>IFERROR(__xludf.DUMMYFUNCTION("""COMPUTED_VALUE""")," Enquire &amp; Coordinate with client")</f>
        <v> Enquire &amp; Coordinate with client</v>
      </c>
      <c r="E403" s="86"/>
    </row>
    <row r="404">
      <c r="A404" s="4"/>
      <c r="B404" s="85">
        <f>IFERROR(__xludf.DUMMYFUNCTION("""COMPUTED_VALUE"""),45336.67847222222)</f>
        <v>45336.67847</v>
      </c>
      <c r="C404" s="4" t="str">
        <f>IFERROR(__xludf.DUMMYFUNCTION("""COMPUTED_VALUE""")," Enquire &amp; Coordinate with client")</f>
        <v> Enquire &amp; Coordinate with client</v>
      </c>
      <c r="E404" s="86"/>
    </row>
    <row r="405">
      <c r="A405" s="4"/>
      <c r="B405" s="85">
        <f>IFERROR(__xludf.DUMMYFUNCTION("""COMPUTED_VALUE"""),45336.679861111115)</f>
        <v>45336.67986</v>
      </c>
      <c r="C405" s="4" t="str">
        <f>IFERROR(__xludf.DUMMYFUNCTION("""COMPUTED_VALUE""")," Enquire &amp; Coordinate with client")</f>
        <v> Enquire &amp; Coordinate with client</v>
      </c>
      <c r="E405" s="86"/>
    </row>
    <row r="406">
      <c r="A406" s="4"/>
      <c r="B406" s="85">
        <f>IFERROR(__xludf.DUMMYFUNCTION("""COMPUTED_VALUE"""),45336.68125)</f>
        <v>45336.68125</v>
      </c>
      <c r="C406" s="4" t="str">
        <f>IFERROR(__xludf.DUMMYFUNCTION("""COMPUTED_VALUE""")," Enquire &amp; Coordinate with client")</f>
        <v> Enquire &amp; Coordinate with client</v>
      </c>
      <c r="E406" s="86"/>
    </row>
    <row r="407">
      <c r="A407" s="4"/>
      <c r="B407" s="85">
        <f>IFERROR(__xludf.DUMMYFUNCTION("""COMPUTED_VALUE"""),45336.68263888889)</f>
        <v>45336.68264</v>
      </c>
      <c r="C407" s="4" t="str">
        <f>IFERROR(__xludf.DUMMYFUNCTION("""COMPUTED_VALUE""")," Enquire &amp; Coordinate with client")</f>
        <v> Enquire &amp; Coordinate with client</v>
      </c>
      <c r="E407" s="86"/>
    </row>
    <row r="408">
      <c r="A408" s="4"/>
      <c r="B408" s="85">
        <f>IFERROR(__xludf.DUMMYFUNCTION("""COMPUTED_VALUE"""),45336.683333333334)</f>
        <v>45336.68333</v>
      </c>
      <c r="C408" s="4" t="str">
        <f>IFERROR(__xludf.DUMMYFUNCTION("""COMPUTED_VALUE""")," Enquire &amp; Coordinate with client")</f>
        <v> Enquire &amp; Coordinate with client</v>
      </c>
      <c r="E408" s="86"/>
    </row>
    <row r="409">
      <c r="A409" s="4"/>
      <c r="B409" s="85">
        <f>IFERROR(__xludf.DUMMYFUNCTION("""COMPUTED_VALUE"""),45336.68402777778)</f>
        <v>45336.68403</v>
      </c>
      <c r="C409" s="4" t="str">
        <f>IFERROR(__xludf.DUMMYFUNCTION("""COMPUTED_VALUE""")," Enquire &amp; Coordinate with client")</f>
        <v> Enquire &amp; Coordinate with client</v>
      </c>
      <c r="E409" s="86"/>
    </row>
    <row r="410">
      <c r="A410" s="4"/>
      <c r="B410" s="85">
        <f>IFERROR(__xludf.DUMMYFUNCTION("""COMPUTED_VALUE"""),45491.5375)</f>
        <v>45491.5375</v>
      </c>
      <c r="C410" s="4" t="str">
        <f>IFERROR(__xludf.DUMMYFUNCTION("""COMPUTED_VALUE""")," Enquire &amp; Coordinate with client")</f>
        <v> Enquire &amp; Coordinate with client</v>
      </c>
      <c r="E410" s="86"/>
    </row>
    <row r="411">
      <c r="A411" s="4"/>
      <c r="B411" s="85">
        <f>IFERROR(__xludf.DUMMYFUNCTION("""COMPUTED_VALUE"""),45491.538888888885)</f>
        <v>45491.53889</v>
      </c>
      <c r="C411" s="4" t="str">
        <f>IFERROR(__xludf.DUMMYFUNCTION("""COMPUTED_VALUE""")," Enquire &amp; Coordinate with client")</f>
        <v> Enquire &amp; Coordinate with client</v>
      </c>
      <c r="E411" s="86"/>
    </row>
    <row r="412">
      <c r="A412" s="4"/>
      <c r="B412" s="85">
        <f>IFERROR(__xludf.DUMMYFUNCTION("""COMPUTED_VALUE"""),45491.53958333333)</f>
        <v>45491.53958</v>
      </c>
      <c r="C412" s="4" t="str">
        <f>IFERROR(__xludf.DUMMYFUNCTION("""COMPUTED_VALUE""")," Enquire &amp; Coordinate with client")</f>
        <v> Enquire &amp; Coordinate with client</v>
      </c>
      <c r="E412" s="86"/>
    </row>
    <row r="413">
      <c r="A413" s="4"/>
      <c r="B413" s="85">
        <f>IFERROR(__xludf.DUMMYFUNCTION("""COMPUTED_VALUE"""),45491.54166666667)</f>
        <v>45491.54167</v>
      </c>
      <c r="C413" s="4" t="str">
        <f>IFERROR(__xludf.DUMMYFUNCTION("""COMPUTED_VALUE""")," Enquire &amp; Coordinate with client")</f>
        <v> Enquire &amp; Coordinate with client</v>
      </c>
      <c r="E413" s="86"/>
    </row>
    <row r="414">
      <c r="A414" s="4"/>
      <c r="B414" s="85">
        <f>IFERROR(__xludf.DUMMYFUNCTION("""COMPUTED_VALUE"""),45491.54236111111)</f>
        <v>45491.54236</v>
      </c>
      <c r="C414" s="4" t="str">
        <f>IFERROR(__xludf.DUMMYFUNCTION("""COMPUTED_VALUE""")," Enquire &amp; Coordinate with client")</f>
        <v> Enquire &amp; Coordinate with client</v>
      </c>
      <c r="E414" s="86"/>
    </row>
    <row r="415">
      <c r="A415" s="4"/>
      <c r="B415" s="85">
        <f>IFERROR(__xludf.DUMMYFUNCTION("""COMPUTED_VALUE"""),45497.51388888889)</f>
        <v>45497.51389</v>
      </c>
      <c r="C415" s="4" t="str">
        <f>IFERROR(__xludf.DUMMYFUNCTION("""COMPUTED_VALUE""")," Enquire &amp; Coordinate with client")</f>
        <v> Enquire &amp; Coordinate with client</v>
      </c>
      <c r="E415" s="86"/>
    </row>
    <row r="416">
      <c r="A416" s="4"/>
      <c r="B416" s="85">
        <f>IFERROR(__xludf.DUMMYFUNCTION("""COMPUTED_VALUE"""),45497.52777777778)</f>
        <v>45497.52778</v>
      </c>
      <c r="C416" s="4" t="str">
        <f>IFERROR(__xludf.DUMMYFUNCTION("""COMPUTED_VALUE""")," Enquire &amp; Coordinate with client")</f>
        <v> Enquire &amp; Coordinate with client</v>
      </c>
      <c r="E416" s="86"/>
    </row>
    <row r="417">
      <c r="A417" s="4"/>
      <c r="B417" s="85">
        <f>IFERROR(__xludf.DUMMYFUNCTION("""COMPUTED_VALUE"""),45500.78611111111)</f>
        <v>45500.78611</v>
      </c>
      <c r="C417" s="4" t="str">
        <f>IFERROR(__xludf.DUMMYFUNCTION("""COMPUTED_VALUE""")," Enquire &amp; Coordinate with client")</f>
        <v> Enquire &amp; Coordinate with client</v>
      </c>
      <c r="E417" s="86"/>
    </row>
    <row r="418">
      <c r="A418" s="4"/>
      <c r="B418" s="85">
        <f>IFERROR(__xludf.DUMMYFUNCTION("""COMPUTED_VALUE"""),45503.61111111111)</f>
        <v>45503.61111</v>
      </c>
      <c r="C418" s="4" t="str">
        <f>IFERROR(__xludf.DUMMYFUNCTION("""COMPUTED_VALUE""")," Enquire &amp; Coordinate with client")</f>
        <v> Enquire &amp; Coordinate with client</v>
      </c>
      <c r="E418" s="86"/>
    </row>
    <row r="419">
      <c r="A419" s="4"/>
      <c r="B419" s="85">
        <f>IFERROR(__xludf.DUMMYFUNCTION("""COMPUTED_VALUE"""),45505.558333333334)</f>
        <v>45505.55833</v>
      </c>
      <c r="C419" s="4" t="str">
        <f>IFERROR(__xludf.DUMMYFUNCTION("""COMPUTED_VALUE""")," Enquire &amp; Coordinate with client")</f>
        <v> Enquire &amp; Coordinate with client</v>
      </c>
      <c r="E419" s="86"/>
    </row>
    <row r="420">
      <c r="A420" s="4"/>
      <c r="B420" s="85">
        <f>IFERROR(__xludf.DUMMYFUNCTION("""COMPUTED_VALUE"""),45505.56527777778)</f>
        <v>45505.56528</v>
      </c>
      <c r="C420" s="4" t="str">
        <f>IFERROR(__xludf.DUMMYFUNCTION("""COMPUTED_VALUE""")," Enquire &amp; Coordinate with client")</f>
        <v> Enquire &amp; Coordinate with client</v>
      </c>
      <c r="E420" s="86"/>
    </row>
    <row r="421">
      <c r="A421" s="4"/>
      <c r="B421" s="85">
        <f>IFERROR(__xludf.DUMMYFUNCTION("""COMPUTED_VALUE"""),45513.56597222222)</f>
        <v>45513.56597</v>
      </c>
      <c r="C421" s="4" t="str">
        <f>IFERROR(__xludf.DUMMYFUNCTION("""COMPUTED_VALUE""")," Enquire &amp; Coordinate with client")</f>
        <v> Enquire &amp; Coordinate with client</v>
      </c>
      <c r="E421" s="86"/>
    </row>
    <row r="422">
      <c r="A422" s="4"/>
      <c r="B422" s="85">
        <f>IFERROR(__xludf.DUMMYFUNCTION("""COMPUTED_VALUE"""),45513.788194444445)</f>
        <v>45513.78819</v>
      </c>
      <c r="C422" s="4" t="str">
        <f>IFERROR(__xludf.DUMMYFUNCTION("""COMPUTED_VALUE""")," Enquire &amp; Coordinate with client")</f>
        <v> Enquire &amp; Coordinate with client</v>
      </c>
      <c r="E422" s="86"/>
    </row>
    <row r="423">
      <c r="A423" s="4"/>
      <c r="B423" s="85">
        <f>IFERROR(__xludf.DUMMYFUNCTION("""COMPUTED_VALUE"""),45526.57361111111)</f>
        <v>45526.57361</v>
      </c>
      <c r="C423" s="4" t="str">
        <f>IFERROR(__xludf.DUMMYFUNCTION("""COMPUTED_VALUE""")," Enquire &amp; Coordinate with client")</f>
        <v> Enquire &amp; Coordinate with client</v>
      </c>
      <c r="E423" s="86"/>
    </row>
    <row r="424">
      <c r="A424" s="4"/>
      <c r="B424" s="85">
        <f>IFERROR(__xludf.DUMMYFUNCTION("""COMPUTED_VALUE"""),45538.695138888885)</f>
        <v>45538.69514</v>
      </c>
      <c r="C424" s="4" t="str">
        <f>IFERROR(__xludf.DUMMYFUNCTION("""COMPUTED_VALUE""")," Enquire &amp; Coordinate with client")</f>
        <v> Enquire &amp; Coordinate with client</v>
      </c>
      <c r="E424" s="86"/>
    </row>
    <row r="425">
      <c r="A425" s="4"/>
      <c r="B425" s="85">
        <f>IFERROR(__xludf.DUMMYFUNCTION("""COMPUTED_VALUE"""),45538.69791666667)</f>
        <v>45538.69792</v>
      </c>
      <c r="C425" s="4" t="str">
        <f>IFERROR(__xludf.DUMMYFUNCTION("""COMPUTED_VALUE""")," Enquire &amp; Coordinate with client")</f>
        <v> Enquire &amp; Coordinate with client</v>
      </c>
      <c r="E425" s="86"/>
    </row>
    <row r="426">
      <c r="A426" s="4"/>
      <c r="B426" s="85">
        <f>IFERROR(__xludf.DUMMYFUNCTION("""COMPUTED_VALUE"""),45538.69930555555)</f>
        <v>45538.69931</v>
      </c>
      <c r="C426" s="4" t="str">
        <f>IFERROR(__xludf.DUMMYFUNCTION("""COMPUTED_VALUE""")," Enquire &amp; Coordinate with client")</f>
        <v> Enquire &amp; Coordinate with client</v>
      </c>
      <c r="E426" s="86"/>
    </row>
    <row r="427">
      <c r="A427" s="4"/>
      <c r="B427" s="85">
        <f>IFERROR(__xludf.DUMMYFUNCTION("""COMPUTED_VALUE"""),45538.70138888889)</f>
        <v>45538.70139</v>
      </c>
      <c r="C427" s="4" t="str">
        <f>IFERROR(__xludf.DUMMYFUNCTION("""COMPUTED_VALUE""")," Enquire &amp; Coordinate with client")</f>
        <v> Enquire &amp; Coordinate with client</v>
      </c>
      <c r="E427" s="86"/>
    </row>
    <row r="428">
      <c r="A428" s="4"/>
      <c r="B428" s="85">
        <f>IFERROR(__xludf.DUMMYFUNCTION("""COMPUTED_VALUE"""),45542.49722222222)</f>
        <v>45542.49722</v>
      </c>
      <c r="C428" s="4" t="str">
        <f>IFERROR(__xludf.DUMMYFUNCTION("""COMPUTED_VALUE""")," Enquire &amp; Coordinate with client")</f>
        <v> Enquire &amp; Coordinate with client</v>
      </c>
      <c r="E428" s="86"/>
    </row>
    <row r="429">
      <c r="A429" s="4"/>
      <c r="B429" s="85">
        <f>IFERROR(__xludf.DUMMYFUNCTION("""COMPUTED_VALUE"""),45542.49930555555)</f>
        <v>45542.49931</v>
      </c>
      <c r="C429" s="4" t="str">
        <f>IFERROR(__xludf.DUMMYFUNCTION("""COMPUTED_VALUE""")," Enquire &amp; Coordinate with client")</f>
        <v> Enquire &amp; Coordinate with client</v>
      </c>
      <c r="E429" s="86"/>
    </row>
    <row r="430">
      <c r="A430" s="4"/>
      <c r="B430" s="85">
        <f>IFERROR(__xludf.DUMMYFUNCTION("""COMPUTED_VALUE"""),45557.62430555555)</f>
        <v>45557.62431</v>
      </c>
      <c r="C430" s="4" t="str">
        <f>IFERROR(__xludf.DUMMYFUNCTION("""COMPUTED_VALUE""")," Enquire &amp; Coordinate with client")</f>
        <v> Enquire &amp; Coordinate with client</v>
      </c>
      <c r="E430" s="86"/>
    </row>
    <row r="431">
      <c r="A431" s="4"/>
      <c r="B431" s="85">
        <f>IFERROR(__xludf.DUMMYFUNCTION("""COMPUTED_VALUE"""),45557.62777777778)</f>
        <v>45557.62778</v>
      </c>
      <c r="C431" s="4" t="str">
        <f>IFERROR(__xludf.DUMMYFUNCTION("""COMPUTED_VALUE""")," Enquire &amp; Coordinate with client")</f>
        <v> Enquire &amp; Coordinate with client</v>
      </c>
      <c r="E431" s="86"/>
    </row>
    <row r="432">
      <c r="A432" s="4"/>
      <c r="B432" s="85">
        <f>IFERROR(__xludf.DUMMYFUNCTION("""COMPUTED_VALUE"""),45557.62986111111)</f>
        <v>45557.62986</v>
      </c>
      <c r="C432" s="4" t="str">
        <f>IFERROR(__xludf.DUMMYFUNCTION("""COMPUTED_VALUE""")," Enquire &amp; Coordinate with client")</f>
        <v> Enquire &amp; Coordinate with client</v>
      </c>
      <c r="E432" s="86"/>
    </row>
    <row r="433">
      <c r="A433" s="4"/>
      <c r="B433" s="85">
        <f>IFERROR(__xludf.DUMMYFUNCTION("""COMPUTED_VALUE"""),45557.63611111111)</f>
        <v>45557.63611</v>
      </c>
      <c r="C433" s="4" t="str">
        <f>IFERROR(__xludf.DUMMYFUNCTION("""COMPUTED_VALUE""")," Enquire &amp; Coordinate with client")</f>
        <v> Enquire &amp; Coordinate with client</v>
      </c>
      <c r="E433" s="86"/>
    </row>
    <row r="434">
      <c r="A434" s="4"/>
      <c r="B434" s="85">
        <f>IFERROR(__xludf.DUMMYFUNCTION("""COMPUTED_VALUE"""),45561.51458333334)</f>
        <v>45561.51458</v>
      </c>
      <c r="C434" s="4" t="str">
        <f>IFERROR(__xludf.DUMMYFUNCTION("""COMPUTED_VALUE""")," Enquire &amp; Coordinate with client")</f>
        <v> Enquire &amp; Coordinate with client</v>
      </c>
      <c r="E434" s="86"/>
    </row>
    <row r="435">
      <c r="A435" s="4"/>
      <c r="B435" s="85">
        <f>IFERROR(__xludf.DUMMYFUNCTION("""COMPUTED_VALUE"""),45562.66111111111)</f>
        <v>45562.66111</v>
      </c>
      <c r="C435" s="4" t="str">
        <f>IFERROR(__xludf.DUMMYFUNCTION("""COMPUTED_VALUE""")," Enquire &amp; Coordinate with client")</f>
        <v> Enquire &amp; Coordinate with client</v>
      </c>
      <c r="E435" s="86"/>
    </row>
    <row r="436">
      <c r="A436" s="4"/>
      <c r="B436" s="85">
        <f>IFERROR(__xludf.DUMMYFUNCTION("""COMPUTED_VALUE"""),45564.64583333333)</f>
        <v>45564.64583</v>
      </c>
      <c r="C436" s="4" t="str">
        <f>IFERROR(__xludf.DUMMYFUNCTION("""COMPUTED_VALUE""")," Enquire &amp; Coordinate with client")</f>
        <v> Enquire &amp; Coordinate with client</v>
      </c>
      <c r="E436" s="86"/>
    </row>
    <row r="437">
      <c r="A437" s="4"/>
      <c r="B437" s="85">
        <f>IFERROR(__xludf.DUMMYFUNCTION("""COMPUTED_VALUE"""),45564.71319444444)</f>
        <v>45564.71319</v>
      </c>
      <c r="C437" s="4" t="str">
        <f>IFERROR(__xludf.DUMMYFUNCTION("""COMPUTED_VALUE""")," Enquire &amp; Coordinate with client")</f>
        <v> Enquire &amp; Coordinate with client</v>
      </c>
      <c r="E437" s="86"/>
    </row>
    <row r="438">
      <c r="A438" s="4"/>
      <c r="B438" s="85">
        <f>IFERROR(__xludf.DUMMYFUNCTION("""COMPUTED_VALUE"""),45564.754166666666)</f>
        <v>45564.75417</v>
      </c>
      <c r="C438" s="4" t="str">
        <f>IFERROR(__xludf.DUMMYFUNCTION("""COMPUTED_VALUE""")," Enquire &amp; Coordinate with client")</f>
        <v> Enquire &amp; Coordinate with client</v>
      </c>
      <c r="E438" s="86"/>
    </row>
    <row r="439">
      <c r="A439" s="4"/>
      <c r="B439" s="85">
        <f>IFERROR(__xludf.DUMMYFUNCTION("""COMPUTED_VALUE"""),45564.77986111111)</f>
        <v>45564.77986</v>
      </c>
      <c r="C439" s="4" t="str">
        <f>IFERROR(__xludf.DUMMYFUNCTION("""COMPUTED_VALUE""")," Enquire &amp; Coordinate with client")</f>
        <v> Enquire &amp; Coordinate with client</v>
      </c>
      <c r="E439" s="86"/>
    </row>
    <row r="440">
      <c r="A440" s="4"/>
      <c r="B440" s="85">
        <f>IFERROR(__xludf.DUMMYFUNCTION("""COMPUTED_VALUE"""),45567.77638888889)</f>
        <v>45567.77639</v>
      </c>
      <c r="C440" s="4" t="str">
        <f>IFERROR(__xludf.DUMMYFUNCTION("""COMPUTED_VALUE""")," Enquire &amp; Coordinate with client")</f>
        <v> Enquire &amp; Coordinate with client</v>
      </c>
      <c r="E440" s="86"/>
    </row>
    <row r="441">
      <c r="A441" s="4"/>
      <c r="B441" s="85">
        <f>IFERROR(__xludf.DUMMYFUNCTION("""COMPUTED_VALUE"""),45574.649305555555)</f>
        <v>45574.64931</v>
      </c>
      <c r="C441" s="4" t="str">
        <f>IFERROR(__xludf.DUMMYFUNCTION("""COMPUTED_VALUE""")," Enquire &amp; Coordinate with client")</f>
        <v> Enquire &amp; Coordinate with client</v>
      </c>
      <c r="E441" s="86"/>
    </row>
    <row r="442">
      <c r="A442" s="4"/>
      <c r="B442" s="85">
        <f>IFERROR(__xludf.DUMMYFUNCTION("""COMPUTED_VALUE"""),45574.652083333334)</f>
        <v>45574.65208</v>
      </c>
      <c r="C442" s="4" t="str">
        <f>IFERROR(__xludf.DUMMYFUNCTION("""COMPUTED_VALUE""")," Enquire &amp; Coordinate with client")</f>
        <v> Enquire &amp; Coordinate with client</v>
      </c>
      <c r="E442" s="86"/>
    </row>
    <row r="443">
      <c r="A443" s="4"/>
      <c r="B443" s="85">
        <f>IFERROR(__xludf.DUMMYFUNCTION("""COMPUTED_VALUE"""),45574.65277777778)</f>
        <v>45574.65278</v>
      </c>
      <c r="C443" s="4" t="str">
        <f>IFERROR(__xludf.DUMMYFUNCTION("""COMPUTED_VALUE""")," Enquire &amp; Coordinate with client")</f>
        <v> Enquire &amp; Coordinate with client</v>
      </c>
      <c r="E443" s="86"/>
    </row>
    <row r="444">
      <c r="A444" s="4"/>
      <c r="B444" s="85">
        <f>IFERROR(__xludf.DUMMYFUNCTION("""COMPUTED_VALUE"""),45582.70625)</f>
        <v>45582.70625</v>
      </c>
      <c r="C444" s="4" t="str">
        <f>IFERROR(__xludf.DUMMYFUNCTION("""COMPUTED_VALUE""")," Enquire &amp; Coordinate with client")</f>
        <v> Enquire &amp; Coordinate with client</v>
      </c>
      <c r="E444" s="86"/>
    </row>
    <row r="445">
      <c r="A445" s="4"/>
      <c r="B445" s="85">
        <f>IFERROR(__xludf.DUMMYFUNCTION("""COMPUTED_VALUE"""),45582.71527777778)</f>
        <v>45582.71528</v>
      </c>
      <c r="C445" s="4" t="str">
        <f>IFERROR(__xludf.DUMMYFUNCTION("""COMPUTED_VALUE""")," Enquire &amp; Coordinate with client")</f>
        <v> Enquire &amp; Coordinate with client</v>
      </c>
      <c r="E445" s="86"/>
    </row>
    <row r="446">
      <c r="A446" s="4"/>
      <c r="B446" s="85">
        <f>IFERROR(__xludf.DUMMYFUNCTION("""COMPUTED_VALUE"""),45587.62777777778)</f>
        <v>45587.62778</v>
      </c>
      <c r="C446" s="4" t="str">
        <f>IFERROR(__xludf.DUMMYFUNCTION("""COMPUTED_VALUE""")," Enquire &amp; Coordinate with client")</f>
        <v> Enquire &amp; Coordinate with client</v>
      </c>
      <c r="E446" s="86"/>
    </row>
    <row r="447">
      <c r="A447" s="4"/>
      <c r="B447" s="85">
        <f>IFERROR(__xludf.DUMMYFUNCTION("""COMPUTED_VALUE"""),45587.62986111111)</f>
        <v>45587.62986</v>
      </c>
      <c r="C447" s="4" t="str">
        <f>IFERROR(__xludf.DUMMYFUNCTION("""COMPUTED_VALUE""")," Enquire &amp; Coordinate with client")</f>
        <v> Enquire &amp; Coordinate with client</v>
      </c>
      <c r="E447" s="86"/>
    </row>
    <row r="448">
      <c r="A448" s="4"/>
      <c r="B448" s="85">
        <f>IFERROR(__xludf.DUMMYFUNCTION("""COMPUTED_VALUE"""),45587.631944444445)</f>
        <v>45587.63194</v>
      </c>
      <c r="C448" s="4" t="str">
        <f>IFERROR(__xludf.DUMMYFUNCTION("""COMPUTED_VALUE""")," Enquire &amp; Coordinate with client")</f>
        <v> Enquire &amp; Coordinate with client</v>
      </c>
      <c r="E448" s="86"/>
    </row>
    <row r="449">
      <c r="A449" s="4"/>
      <c r="B449" s="85">
        <f>IFERROR(__xludf.DUMMYFUNCTION("""COMPUTED_VALUE"""),45587.69097222222)</f>
        <v>45587.69097</v>
      </c>
      <c r="C449" s="4" t="str">
        <f>IFERROR(__xludf.DUMMYFUNCTION("""COMPUTED_VALUE""")," Enquire &amp; Coordinate with client")</f>
        <v> Enquire &amp; Coordinate with client</v>
      </c>
      <c r="E449" s="86"/>
    </row>
    <row r="450">
      <c r="A450" s="4"/>
      <c r="B450" s="85">
        <f>IFERROR(__xludf.DUMMYFUNCTION("""COMPUTED_VALUE"""),45587.695138888885)</f>
        <v>45587.69514</v>
      </c>
      <c r="C450" s="4" t="str">
        <f>IFERROR(__xludf.DUMMYFUNCTION("""COMPUTED_VALUE""")," Enquire &amp; Coordinate with client")</f>
        <v> Enquire &amp; Coordinate with client</v>
      </c>
      <c r="E450" s="86"/>
    </row>
    <row r="451">
      <c r="A451" s="4"/>
      <c r="B451" s="85">
        <f>IFERROR(__xludf.DUMMYFUNCTION("""COMPUTED_VALUE"""),45587.69652777778)</f>
        <v>45587.69653</v>
      </c>
      <c r="C451" s="4" t="str">
        <f>IFERROR(__xludf.DUMMYFUNCTION("""COMPUTED_VALUE""")," Enquire &amp; Coordinate with client")</f>
        <v> Enquire &amp; Coordinate with client</v>
      </c>
      <c r="E451" s="86"/>
    </row>
    <row r="452">
      <c r="A452" s="4"/>
      <c r="B452" s="85">
        <f>IFERROR(__xludf.DUMMYFUNCTION("""COMPUTED_VALUE"""),45587.7)</f>
        <v>45587.7</v>
      </c>
      <c r="C452" s="4" t="str">
        <f>IFERROR(__xludf.DUMMYFUNCTION("""COMPUTED_VALUE""")," Enquire &amp; Coordinate with client")</f>
        <v> Enquire &amp; Coordinate with client</v>
      </c>
      <c r="E452" s="86"/>
    </row>
    <row r="453">
      <c r="A453" s="4"/>
      <c r="B453" s="85">
        <f>IFERROR(__xludf.DUMMYFUNCTION("""COMPUTED_VALUE"""),45588.62777777778)</f>
        <v>45588.62778</v>
      </c>
      <c r="C453" s="4" t="str">
        <f>IFERROR(__xludf.DUMMYFUNCTION("""COMPUTED_VALUE""")," Enquire &amp; Coordinate with client")</f>
        <v> Enquire &amp; Coordinate with client</v>
      </c>
      <c r="E453" s="86"/>
    </row>
    <row r="454">
      <c r="A454" s="4"/>
      <c r="B454" s="85">
        <f>IFERROR(__xludf.DUMMYFUNCTION("""COMPUTED_VALUE"""),45590.66736111111)</f>
        <v>45590.66736</v>
      </c>
      <c r="C454" s="4" t="str">
        <f>IFERROR(__xludf.DUMMYFUNCTION("""COMPUTED_VALUE""")," Enquire &amp; Coordinate with client")</f>
        <v> Enquire &amp; Coordinate with client</v>
      </c>
      <c r="E454" s="86"/>
    </row>
    <row r="455">
      <c r="A455" s="4"/>
      <c r="B455" s="85">
        <f>IFERROR(__xludf.DUMMYFUNCTION("""COMPUTED_VALUE"""),45592.61041666666)</f>
        <v>45592.61042</v>
      </c>
      <c r="C455" s="4" t="str">
        <f>IFERROR(__xludf.DUMMYFUNCTION("""COMPUTED_VALUE""")," Enquire &amp; Coordinate with client")</f>
        <v> Enquire &amp; Coordinate with client</v>
      </c>
      <c r="E455" s="86"/>
    </row>
    <row r="456">
      <c r="A456" s="4"/>
      <c r="B456" s="85">
        <f>IFERROR(__xludf.DUMMYFUNCTION("""COMPUTED_VALUE"""),45592.76666666666)</f>
        <v>45592.76667</v>
      </c>
      <c r="C456" s="4" t="str">
        <f>IFERROR(__xludf.DUMMYFUNCTION("""COMPUTED_VALUE""")," Enquire &amp; Coordinate with client")</f>
        <v> Enquire &amp; Coordinate with client</v>
      </c>
      <c r="E456" s="86"/>
    </row>
    <row r="457">
      <c r="A457" s="4"/>
      <c r="B457" s="85">
        <f>IFERROR(__xludf.DUMMYFUNCTION("""COMPUTED_VALUE"""),45592.76875)</f>
        <v>45592.76875</v>
      </c>
      <c r="C457" s="4" t="str">
        <f>IFERROR(__xludf.DUMMYFUNCTION("""COMPUTED_VALUE""")," Enquire &amp; Coordinate with client")</f>
        <v> Enquire &amp; Coordinate with client</v>
      </c>
      <c r="E457" s="86"/>
    </row>
    <row r="458">
      <c r="A458" s="4"/>
      <c r="B458" s="85">
        <f>IFERROR(__xludf.DUMMYFUNCTION("""COMPUTED_VALUE"""),45592.76944444445)</f>
        <v>45592.76944</v>
      </c>
      <c r="C458" s="4" t="str">
        <f>IFERROR(__xludf.DUMMYFUNCTION("""COMPUTED_VALUE""")," Enquire &amp; Coordinate with client")</f>
        <v> Enquire &amp; Coordinate with client</v>
      </c>
      <c r="E458" s="86"/>
    </row>
    <row r="459">
      <c r="A459" s="4"/>
      <c r="B459" s="85">
        <f>IFERROR(__xludf.DUMMYFUNCTION("""COMPUTED_VALUE"""),45592.77083333333)</f>
        <v>45592.77083</v>
      </c>
      <c r="C459" s="4" t="str">
        <f>IFERROR(__xludf.DUMMYFUNCTION("""COMPUTED_VALUE""")," Enquire &amp; Coordinate with client")</f>
        <v> Enquire &amp; Coordinate with client</v>
      </c>
      <c r="E459" s="86"/>
    </row>
    <row r="460">
      <c r="A460" s="4"/>
      <c r="B460" s="85">
        <f>IFERROR(__xludf.DUMMYFUNCTION("""COMPUTED_VALUE"""),45592.77291666667)</f>
        <v>45592.77292</v>
      </c>
      <c r="C460" s="4" t="str">
        <f>IFERROR(__xludf.DUMMYFUNCTION("""COMPUTED_VALUE""")," Enquire &amp; Coordinate with client")</f>
        <v> Enquire &amp; Coordinate with client</v>
      </c>
      <c r="E460" s="86"/>
    </row>
    <row r="461">
      <c r="A461" s="4"/>
      <c r="B461" s="85">
        <f>IFERROR(__xludf.DUMMYFUNCTION("""COMPUTED_VALUE"""),45592.774305555555)</f>
        <v>45592.77431</v>
      </c>
      <c r="C461" s="4" t="str">
        <f>IFERROR(__xludf.DUMMYFUNCTION("""COMPUTED_VALUE""")," Enquire &amp; Coordinate with client")</f>
        <v> Enquire &amp; Coordinate with client</v>
      </c>
      <c r="E461" s="86"/>
    </row>
    <row r="462">
      <c r="A462" s="4"/>
      <c r="B462" s="85">
        <f>IFERROR(__xludf.DUMMYFUNCTION("""COMPUTED_VALUE"""),45592.77638888889)</f>
        <v>45592.77639</v>
      </c>
      <c r="C462" s="4" t="str">
        <f>IFERROR(__xludf.DUMMYFUNCTION("""COMPUTED_VALUE""")," Enquire &amp; Coordinate with client")</f>
        <v> Enquire &amp; Coordinate with client</v>
      </c>
      <c r="E462" s="86"/>
    </row>
    <row r="463">
      <c r="A463" s="4"/>
      <c r="B463" s="85">
        <f>IFERROR(__xludf.DUMMYFUNCTION("""COMPUTED_VALUE"""),45592.77777777778)</f>
        <v>45592.77778</v>
      </c>
      <c r="C463" s="4" t="str">
        <f>IFERROR(__xludf.DUMMYFUNCTION("""COMPUTED_VALUE""")," Enquire &amp; Coordinate with client")</f>
        <v> Enquire &amp; Coordinate with client</v>
      </c>
      <c r="E463" s="86"/>
    </row>
    <row r="464">
      <c r="A464" s="4"/>
      <c r="B464" s="85">
        <f>IFERROR(__xludf.DUMMYFUNCTION("""COMPUTED_VALUE"""),45592.78125)</f>
        <v>45592.78125</v>
      </c>
      <c r="C464" s="4" t="str">
        <f>IFERROR(__xludf.DUMMYFUNCTION("""COMPUTED_VALUE""")," Enquire &amp; Coordinate with client")</f>
        <v> Enquire &amp; Coordinate with client</v>
      </c>
      <c r="E464" s="86"/>
    </row>
    <row r="465">
      <c r="A465" s="4"/>
      <c r="B465" s="85">
        <f>IFERROR(__xludf.DUMMYFUNCTION("""COMPUTED_VALUE"""),45602.679861111115)</f>
        <v>45602.67986</v>
      </c>
      <c r="C465" s="4" t="str">
        <f>IFERROR(__xludf.DUMMYFUNCTION("""COMPUTED_VALUE""")," Enquire &amp; Coordinate with client")</f>
        <v> Enquire &amp; Coordinate with client</v>
      </c>
      <c r="E465" s="86"/>
    </row>
    <row r="466">
      <c r="A466" s="4"/>
      <c r="B466" s="85">
        <f>IFERROR(__xludf.DUMMYFUNCTION("""COMPUTED_VALUE"""),45602.68472222222)</f>
        <v>45602.68472</v>
      </c>
      <c r="C466" s="4" t="str">
        <f>IFERROR(__xludf.DUMMYFUNCTION("""COMPUTED_VALUE""")," Enquire &amp; Coordinate with client")</f>
        <v> Enquire &amp; Coordinate with client</v>
      </c>
      <c r="E466" s="86"/>
    </row>
    <row r="467">
      <c r="A467" s="4"/>
      <c r="B467" s="85">
        <f>IFERROR(__xludf.DUMMYFUNCTION("""COMPUTED_VALUE"""),45602.68680555555)</f>
        <v>45602.68681</v>
      </c>
      <c r="C467" s="4" t="str">
        <f>IFERROR(__xludf.DUMMYFUNCTION("""COMPUTED_VALUE""")," Enquire &amp; Coordinate with client")</f>
        <v> Enquire &amp; Coordinate with client</v>
      </c>
      <c r="E467" s="86"/>
    </row>
    <row r="468">
      <c r="A468" s="4"/>
      <c r="B468" s="85">
        <f>IFERROR(__xludf.DUMMYFUNCTION("""COMPUTED_VALUE"""),45602.69027777778)</f>
        <v>45602.69028</v>
      </c>
      <c r="C468" s="4" t="str">
        <f>IFERROR(__xludf.DUMMYFUNCTION("""COMPUTED_VALUE""")," Enquire &amp; Coordinate with client")</f>
        <v> Enquire &amp; Coordinate with client</v>
      </c>
      <c r="E468" s="86"/>
    </row>
    <row r="469">
      <c r="A469" s="4"/>
      <c r="B469" s="85">
        <f>IFERROR(__xludf.DUMMYFUNCTION("""COMPUTED_VALUE"""),45602.69652777778)</f>
        <v>45602.69653</v>
      </c>
      <c r="C469" s="4" t="str">
        <f>IFERROR(__xludf.DUMMYFUNCTION("""COMPUTED_VALUE""")," Enquire &amp; Coordinate with client")</f>
        <v> Enquire &amp; Coordinate with client</v>
      </c>
      <c r="E469" s="86"/>
    </row>
    <row r="470">
      <c r="A470" s="4"/>
      <c r="B470" s="85">
        <f>IFERROR(__xludf.DUMMYFUNCTION("""COMPUTED_VALUE"""),45602.69930555555)</f>
        <v>45602.69931</v>
      </c>
      <c r="C470" s="4" t="str">
        <f>IFERROR(__xludf.DUMMYFUNCTION("""COMPUTED_VALUE""")," Enquire &amp; Coordinate with client")</f>
        <v> Enquire &amp; Coordinate with client</v>
      </c>
      <c r="E470" s="86"/>
    </row>
    <row r="471">
      <c r="A471" s="4"/>
      <c r="B471" s="85">
        <f>IFERROR(__xludf.DUMMYFUNCTION("""COMPUTED_VALUE"""),45602.700694444444)</f>
        <v>45602.70069</v>
      </c>
      <c r="C471" s="4" t="str">
        <f>IFERROR(__xludf.DUMMYFUNCTION("""COMPUTED_VALUE""")," Enquire &amp; Coordinate with client")</f>
        <v> Enquire &amp; Coordinate with client</v>
      </c>
      <c r="E471" s="86"/>
    </row>
    <row r="472">
      <c r="A472" s="4"/>
      <c r="B472" s="85">
        <f>IFERROR(__xludf.DUMMYFUNCTION("""COMPUTED_VALUE"""),45603.53958333333)</f>
        <v>45603.53958</v>
      </c>
      <c r="C472" s="4" t="str">
        <f>IFERROR(__xludf.DUMMYFUNCTION("""COMPUTED_VALUE""")," Enquire &amp; Coordinate with client")</f>
        <v> Enquire &amp; Coordinate with client</v>
      </c>
      <c r="E472" s="86"/>
    </row>
    <row r="473">
      <c r="A473" s="4"/>
      <c r="B473" s="85">
        <f>IFERROR(__xludf.DUMMYFUNCTION("""COMPUTED_VALUE"""),45604.62986111111)</f>
        <v>45604.62986</v>
      </c>
      <c r="C473" s="4" t="str">
        <f>IFERROR(__xludf.DUMMYFUNCTION("""COMPUTED_VALUE""")," Enquire &amp; Coordinate with client")</f>
        <v> Enquire &amp; Coordinate with client</v>
      </c>
      <c r="E473" s="86"/>
    </row>
    <row r="474">
      <c r="A474" s="4"/>
      <c r="B474" s="85">
        <f>IFERROR(__xludf.DUMMYFUNCTION("""COMPUTED_VALUE"""),45610.70208333334)</f>
        <v>45610.70208</v>
      </c>
      <c r="C474" s="4" t="str">
        <f>IFERROR(__xludf.DUMMYFUNCTION("""COMPUTED_VALUE""")," Enquire &amp; Coordinate with client")</f>
        <v> Enquire &amp; Coordinate with client</v>
      </c>
      <c r="E474" s="86"/>
    </row>
    <row r="475">
      <c r="A475" s="4"/>
      <c r="B475" s="85">
        <f>IFERROR(__xludf.DUMMYFUNCTION("""COMPUTED_VALUE"""),45610.70486111111)</f>
        <v>45610.70486</v>
      </c>
      <c r="C475" s="4" t="str">
        <f>IFERROR(__xludf.DUMMYFUNCTION("""COMPUTED_VALUE""")," Enquire &amp; Coordinate with client")</f>
        <v> Enquire &amp; Coordinate with client</v>
      </c>
      <c r="E475" s="86"/>
    </row>
    <row r="476">
      <c r="A476" s="4"/>
      <c r="B476" s="85">
        <f>IFERROR(__xludf.DUMMYFUNCTION("""COMPUTED_VALUE"""),45610.709027777775)</f>
        <v>45610.70903</v>
      </c>
      <c r="C476" s="4" t="str">
        <f>IFERROR(__xludf.DUMMYFUNCTION("""COMPUTED_VALUE""")," Enquire &amp; Coordinate with client")</f>
        <v> Enquire &amp; Coordinate with client</v>
      </c>
      <c r="E476" s="86"/>
    </row>
    <row r="477">
      <c r="A477" s="4"/>
      <c r="B477" s="85">
        <f>IFERROR(__xludf.DUMMYFUNCTION("""COMPUTED_VALUE"""),45610.71805555555)</f>
        <v>45610.71806</v>
      </c>
      <c r="C477" s="4" t="str">
        <f>IFERROR(__xludf.DUMMYFUNCTION("""COMPUTED_VALUE""")," Enquire &amp; Coordinate with client")</f>
        <v> Enquire &amp; Coordinate with client</v>
      </c>
      <c r="E477" s="86"/>
    </row>
    <row r="478">
      <c r="A478" s="4"/>
      <c r="B478" s="85">
        <f>IFERROR(__xludf.DUMMYFUNCTION("""COMPUTED_VALUE"""),45610.72083333333)</f>
        <v>45610.72083</v>
      </c>
      <c r="C478" s="4" t="str">
        <f>IFERROR(__xludf.DUMMYFUNCTION("""COMPUTED_VALUE""")," Enquire &amp; Coordinate with client")</f>
        <v> Enquire &amp; Coordinate with client</v>
      </c>
      <c r="E478" s="86"/>
    </row>
    <row r="479">
      <c r="A479" s="4"/>
      <c r="B479" s="85">
        <f>IFERROR(__xludf.DUMMYFUNCTION("""COMPUTED_VALUE"""),45610.72430555556)</f>
        <v>45610.72431</v>
      </c>
      <c r="C479" s="4" t="str">
        <f>IFERROR(__xludf.DUMMYFUNCTION("""COMPUTED_VALUE""")," Enquire &amp; Coordinate with client")</f>
        <v> Enquire &amp; Coordinate with client</v>
      </c>
      <c r="E479" s="86"/>
    </row>
    <row r="480">
      <c r="A480" s="4"/>
      <c r="B480" s="85">
        <f>IFERROR(__xludf.DUMMYFUNCTION("""COMPUTED_VALUE"""),45612.69930555555)</f>
        <v>45612.69931</v>
      </c>
      <c r="C480" s="4" t="str">
        <f>IFERROR(__xludf.DUMMYFUNCTION("""COMPUTED_VALUE""")," Enquire &amp; Coordinate with client")</f>
        <v> Enquire &amp; Coordinate with client</v>
      </c>
      <c r="E480" s="86"/>
    </row>
    <row r="481">
      <c r="A481" s="4"/>
      <c r="B481" s="85">
        <f>IFERROR(__xludf.DUMMYFUNCTION("""COMPUTED_VALUE"""),45612.71597222222)</f>
        <v>45612.71597</v>
      </c>
      <c r="C481" s="4" t="str">
        <f>IFERROR(__xludf.DUMMYFUNCTION("""COMPUTED_VALUE""")," Enquire &amp; Coordinate with client")</f>
        <v> Enquire &amp; Coordinate with client</v>
      </c>
      <c r="E481" s="86"/>
    </row>
    <row r="482">
      <c r="A482" s="4"/>
      <c r="B482" s="85">
        <f>IFERROR(__xludf.DUMMYFUNCTION("""COMPUTED_VALUE"""),45612.725)</f>
        <v>45612.725</v>
      </c>
      <c r="C482" s="4" t="str">
        <f>IFERROR(__xludf.DUMMYFUNCTION("""COMPUTED_VALUE""")," Enquire &amp; Coordinate with client")</f>
        <v> Enquire &amp; Coordinate with client</v>
      </c>
      <c r="E482" s="86"/>
    </row>
    <row r="483">
      <c r="A483" s="4"/>
      <c r="B483" s="85">
        <f>IFERROR(__xludf.DUMMYFUNCTION("""COMPUTED_VALUE"""),45612.725694444445)</f>
        <v>45612.72569</v>
      </c>
      <c r="C483" s="4" t="str">
        <f>IFERROR(__xludf.DUMMYFUNCTION("""COMPUTED_VALUE""")," Enquire &amp; Coordinate with client")</f>
        <v> Enquire &amp; Coordinate with client</v>
      </c>
      <c r="E483" s="86"/>
    </row>
    <row r="484">
      <c r="A484" s="4"/>
      <c r="B484" s="85">
        <f>IFERROR(__xludf.DUMMYFUNCTION("""COMPUTED_VALUE"""),45612.72708333333)</f>
        <v>45612.72708</v>
      </c>
      <c r="C484" s="4" t="str">
        <f>IFERROR(__xludf.DUMMYFUNCTION("""COMPUTED_VALUE""")," Enquire &amp; Coordinate with client")</f>
        <v> Enquire &amp; Coordinate with client</v>
      </c>
      <c r="E484" s="86"/>
    </row>
    <row r="485">
      <c r="A485" s="4"/>
      <c r="B485" s="85">
        <f>IFERROR(__xludf.DUMMYFUNCTION("""COMPUTED_VALUE"""),45612.72777777778)</f>
        <v>45612.72778</v>
      </c>
      <c r="C485" s="4" t="str">
        <f>IFERROR(__xludf.DUMMYFUNCTION("""COMPUTED_VALUE""")," Enquire &amp; Coordinate with client")</f>
        <v> Enquire &amp; Coordinate with client</v>
      </c>
      <c r="E485" s="86"/>
    </row>
    <row r="486">
      <c r="A486" s="4"/>
      <c r="B486" s="85">
        <f>IFERROR(__xludf.DUMMYFUNCTION("""COMPUTED_VALUE"""),45613.675)</f>
        <v>45613.675</v>
      </c>
      <c r="C486" s="4" t="str">
        <f>IFERROR(__xludf.DUMMYFUNCTION("""COMPUTED_VALUE""")," Enquire &amp; Coordinate with client")</f>
        <v> Enquire &amp; Coordinate with client</v>
      </c>
      <c r="E486" s="86"/>
    </row>
    <row r="487">
      <c r="A487" s="4"/>
      <c r="B487" s="85">
        <f>IFERROR(__xludf.DUMMYFUNCTION("""COMPUTED_VALUE"""),45613.73333333334)</f>
        <v>45613.73333</v>
      </c>
      <c r="C487" s="4" t="str">
        <f>IFERROR(__xludf.DUMMYFUNCTION("""COMPUTED_VALUE""")," Enquire &amp; Coordinate with client")</f>
        <v> Enquire &amp; Coordinate with client</v>
      </c>
      <c r="E487" s="86"/>
    </row>
    <row r="488">
      <c r="A488" s="4"/>
      <c r="B488" s="85">
        <f>IFERROR(__xludf.DUMMYFUNCTION("""COMPUTED_VALUE"""),45618.700694444444)</f>
        <v>45618.70069</v>
      </c>
      <c r="C488" s="4" t="str">
        <f>IFERROR(__xludf.DUMMYFUNCTION("""COMPUTED_VALUE""")," Enquire &amp; Coordinate with client")</f>
        <v> Enquire &amp; Coordinate with client</v>
      </c>
      <c r="E488" s="86"/>
    </row>
    <row r="489">
      <c r="A489" s="4"/>
      <c r="B489" s="85">
        <f>IFERROR(__xludf.DUMMYFUNCTION("""COMPUTED_VALUE"""),45618.70694444445)</f>
        <v>45618.70694</v>
      </c>
      <c r="C489" s="4" t="str">
        <f>IFERROR(__xludf.DUMMYFUNCTION("""COMPUTED_VALUE""")," Enquire &amp; Coordinate with client")</f>
        <v> Enquire &amp; Coordinate with client</v>
      </c>
      <c r="E489" s="86"/>
    </row>
    <row r="490">
      <c r="A490" s="4"/>
      <c r="B490" s="85">
        <f>IFERROR(__xludf.DUMMYFUNCTION("""COMPUTED_VALUE"""),45619.768055555556)</f>
        <v>45619.76806</v>
      </c>
      <c r="C490" s="4" t="str">
        <f>IFERROR(__xludf.DUMMYFUNCTION("""COMPUTED_VALUE""")," Enquire &amp; Coordinate with client")</f>
        <v> Enquire &amp; Coordinate with client</v>
      </c>
      <c r="E490" s="86"/>
    </row>
    <row r="491">
      <c r="A491" s="4"/>
      <c r="B491" s="85">
        <f>IFERROR(__xludf.DUMMYFUNCTION("""COMPUTED_VALUE"""),45620.67222222222)</f>
        <v>45620.67222</v>
      </c>
      <c r="C491" s="4" t="str">
        <f>IFERROR(__xludf.DUMMYFUNCTION("""COMPUTED_VALUE""")," Enquire &amp; Coordinate with client")</f>
        <v> Enquire &amp; Coordinate with client</v>
      </c>
      <c r="E491" s="86"/>
    </row>
    <row r="492">
      <c r="A492" s="4"/>
      <c r="B492" s="85">
        <f>IFERROR(__xludf.DUMMYFUNCTION("""COMPUTED_VALUE"""),45625.71527777778)</f>
        <v>45625.71528</v>
      </c>
      <c r="C492" s="4" t="str">
        <f>IFERROR(__xludf.DUMMYFUNCTION("""COMPUTED_VALUE""")," Enquire &amp; Coordinate with client")</f>
        <v> Enquire &amp; Coordinate with client</v>
      </c>
      <c r="E492" s="86"/>
    </row>
    <row r="493">
      <c r="A493" s="4"/>
      <c r="B493" s="85">
        <f>IFERROR(__xludf.DUMMYFUNCTION("""COMPUTED_VALUE"""),45626.6625)</f>
        <v>45626.6625</v>
      </c>
      <c r="C493" s="4" t="str">
        <f>IFERROR(__xludf.DUMMYFUNCTION("""COMPUTED_VALUE""")," Enquire &amp; Coordinate with client")</f>
        <v> Enquire &amp; Coordinate with client</v>
      </c>
      <c r="E493" s="86"/>
    </row>
    <row r="494">
      <c r="A494" s="4"/>
      <c r="B494" s="85">
        <f>IFERROR(__xludf.DUMMYFUNCTION("""COMPUTED_VALUE"""),45627.77083333333)</f>
        <v>45627.77083</v>
      </c>
      <c r="C494" s="4" t="str">
        <f>IFERROR(__xludf.DUMMYFUNCTION("""COMPUTED_VALUE""")," Enquire &amp; Coordinate with client")</f>
        <v> Enquire &amp; Coordinate with client</v>
      </c>
      <c r="E494" s="86"/>
    </row>
    <row r="495">
      <c r="A495" s="4"/>
      <c r="B495" s="85">
        <f>IFERROR(__xludf.DUMMYFUNCTION("""COMPUTED_VALUE"""),45631.67708333333)</f>
        <v>45631.67708</v>
      </c>
      <c r="C495" s="4" t="str">
        <f>IFERROR(__xludf.DUMMYFUNCTION("""COMPUTED_VALUE""")," Enquire &amp; Coordinate with client")</f>
        <v> Enquire &amp; Coordinate with client</v>
      </c>
      <c r="E495" s="86"/>
    </row>
    <row r="496">
      <c r="A496" s="4"/>
      <c r="B496" s="85">
        <f>IFERROR(__xludf.DUMMYFUNCTION("""COMPUTED_VALUE"""),45631.68611111111)</f>
        <v>45631.68611</v>
      </c>
      <c r="C496" s="4" t="str">
        <f>IFERROR(__xludf.DUMMYFUNCTION("""COMPUTED_VALUE""")," Enquire &amp; Coordinate with client")</f>
        <v> Enquire &amp; Coordinate with client</v>
      </c>
      <c r="E496" s="86"/>
    </row>
    <row r="497">
      <c r="A497" s="4"/>
      <c r="B497" s="85">
        <f>IFERROR(__xludf.DUMMYFUNCTION("""COMPUTED_VALUE"""),45631.69027777778)</f>
        <v>45631.69028</v>
      </c>
      <c r="C497" s="4" t="str">
        <f>IFERROR(__xludf.DUMMYFUNCTION("""COMPUTED_VALUE""")," Enquire &amp; Coordinate with client")</f>
        <v> Enquire &amp; Coordinate with client</v>
      </c>
      <c r="E497" s="86"/>
    </row>
    <row r="498">
      <c r="A498" s="4"/>
      <c r="B498" s="85">
        <f>IFERROR(__xludf.DUMMYFUNCTION("""COMPUTED_VALUE"""),45631.69236111111)</f>
        <v>45631.69236</v>
      </c>
      <c r="C498" s="4" t="str">
        <f>IFERROR(__xludf.DUMMYFUNCTION("""COMPUTED_VALUE""")," Enquire &amp; Coordinate with client")</f>
        <v> Enquire &amp; Coordinate with client</v>
      </c>
      <c r="E498" s="86"/>
    </row>
    <row r="499">
      <c r="A499" s="4"/>
      <c r="B499" s="85">
        <f>IFERROR(__xludf.DUMMYFUNCTION("""COMPUTED_VALUE"""),45631.69652777778)</f>
        <v>45631.69653</v>
      </c>
      <c r="C499" s="4" t="str">
        <f>IFERROR(__xludf.DUMMYFUNCTION("""COMPUTED_VALUE""")," Enquire &amp; Coordinate with client")</f>
        <v> Enquire &amp; Coordinate with client</v>
      </c>
      <c r="E499" s="86"/>
    </row>
    <row r="500">
      <c r="A500" s="4"/>
      <c r="B500" s="85">
        <f>IFERROR(__xludf.DUMMYFUNCTION("""COMPUTED_VALUE"""),45636.80138888889)</f>
        <v>45636.80139</v>
      </c>
      <c r="C500" s="4" t="str">
        <f>IFERROR(__xludf.DUMMYFUNCTION("""COMPUTED_VALUE""")," Enquire &amp; Coordinate with client")</f>
        <v> Enquire &amp; Coordinate with client</v>
      </c>
      <c r="E500" s="86"/>
    </row>
    <row r="501">
      <c r="A501" s="4"/>
      <c r="B501" s="85">
        <f>IFERROR(__xludf.DUMMYFUNCTION("""COMPUTED_VALUE"""),45637.65972222222)</f>
        <v>45637.65972</v>
      </c>
      <c r="C501" s="4" t="str">
        <f>IFERROR(__xludf.DUMMYFUNCTION("""COMPUTED_VALUE""")," Enquire &amp; Coordinate with client")</f>
        <v> Enquire &amp; Coordinate with client</v>
      </c>
      <c r="E501" s="86"/>
    </row>
    <row r="502">
      <c r="A502" s="4"/>
      <c r="B502" s="85">
        <f>IFERROR(__xludf.DUMMYFUNCTION("""COMPUTED_VALUE"""),45637.66180555556)</f>
        <v>45637.66181</v>
      </c>
      <c r="C502" s="4" t="str">
        <f>IFERROR(__xludf.DUMMYFUNCTION("""COMPUTED_VALUE""")," Enquire &amp; Coordinate with client")</f>
        <v> Enquire &amp; Coordinate with client</v>
      </c>
      <c r="E502" s="86"/>
    </row>
    <row r="503">
      <c r="A503" s="4"/>
      <c r="B503" s="85">
        <f>IFERROR(__xludf.DUMMYFUNCTION("""COMPUTED_VALUE"""),45637.663194444445)</f>
        <v>45637.66319</v>
      </c>
      <c r="C503" s="4" t="str">
        <f>IFERROR(__xludf.DUMMYFUNCTION("""COMPUTED_VALUE""")," Enquire &amp; Coordinate with client")</f>
        <v> Enquire &amp; Coordinate with client</v>
      </c>
      <c r="E503" s="86"/>
    </row>
    <row r="504">
      <c r="A504" s="4"/>
      <c r="B504" s="85">
        <f>IFERROR(__xludf.DUMMYFUNCTION("""COMPUTED_VALUE"""),45657.709027777775)</f>
        <v>45657.70903</v>
      </c>
      <c r="C504" s="4" t="str">
        <f>IFERROR(__xludf.DUMMYFUNCTION("""COMPUTED_VALUE""")," Enquire &amp; Coordinate with client")</f>
        <v> Enquire &amp; Coordinate with client</v>
      </c>
      <c r="E504" s="86"/>
    </row>
    <row r="505">
      <c r="A505" s="4"/>
      <c r="B505" s="85">
        <f>IFERROR(__xludf.DUMMYFUNCTION("""COMPUTED_VALUE"""),45657.71041666667)</f>
        <v>45657.71042</v>
      </c>
      <c r="C505" s="4" t="str">
        <f>IFERROR(__xludf.DUMMYFUNCTION("""COMPUTED_VALUE""")," Enquire &amp; Coordinate with client")</f>
        <v> Enquire &amp; Coordinate with client</v>
      </c>
      <c r="E505" s="86"/>
    </row>
    <row r="506">
      <c r="A506" s="4"/>
      <c r="B506" s="85">
        <f>IFERROR(__xludf.DUMMYFUNCTION("""COMPUTED_VALUE"""),45706.59861111111)</f>
        <v>45706.59861</v>
      </c>
      <c r="C506" s="4" t="str">
        <f>IFERROR(__xludf.DUMMYFUNCTION("""COMPUTED_VALUE""")," Enquire &amp; Coordinate with client")</f>
        <v> Enquire &amp; Coordinate with client</v>
      </c>
      <c r="E506" s="86"/>
    </row>
    <row r="507">
      <c r="A507" s="4"/>
      <c r="B507" s="85">
        <f>IFERROR(__xludf.DUMMYFUNCTION("""COMPUTED_VALUE"""),45713.775)</f>
        <v>45713.775</v>
      </c>
      <c r="C507" s="4" t="str">
        <f>IFERROR(__xludf.DUMMYFUNCTION("""COMPUTED_VALUE""")," Enquire &amp; Coordinate with client")</f>
        <v> Enquire &amp; Coordinate with client</v>
      </c>
      <c r="E507" s="86"/>
    </row>
    <row r="508">
      <c r="A508" s="4"/>
      <c r="B508" s="85">
        <f>IFERROR(__xludf.DUMMYFUNCTION("""COMPUTED_VALUE"""),45713.77569444444)</f>
        <v>45713.77569</v>
      </c>
      <c r="C508" s="4" t="str">
        <f>IFERROR(__xludf.DUMMYFUNCTION("""COMPUTED_VALUE""")," Enquire &amp; Coordinate with client")</f>
        <v> Enquire &amp; Coordinate with client</v>
      </c>
      <c r="E508" s="86"/>
    </row>
    <row r="509">
      <c r="A509" s="4"/>
      <c r="B509" s="85">
        <f>IFERROR(__xludf.DUMMYFUNCTION("""COMPUTED_VALUE"""),45713.77777777778)</f>
        <v>45713.77778</v>
      </c>
      <c r="C509" s="4" t="str">
        <f>IFERROR(__xludf.DUMMYFUNCTION("""COMPUTED_VALUE""")," Enquire &amp; Coordinate with client")</f>
        <v> Enquire &amp; Coordinate with client</v>
      </c>
      <c r="E509" s="86"/>
    </row>
    <row r="510">
      <c r="A510" s="4"/>
      <c r="B510" s="85">
        <f>IFERROR(__xludf.DUMMYFUNCTION("""COMPUTED_VALUE"""),45713.77986111111)</f>
        <v>45713.77986</v>
      </c>
      <c r="C510" s="4" t="str">
        <f>IFERROR(__xludf.DUMMYFUNCTION("""COMPUTED_VALUE""")," Enquire &amp; Coordinate with client")</f>
        <v> Enquire &amp; Coordinate with client</v>
      </c>
      <c r="E510" s="86"/>
    </row>
    <row r="511">
      <c r="A511" s="4"/>
      <c r="B511" s="85">
        <f>IFERROR(__xludf.DUMMYFUNCTION("""COMPUTED_VALUE"""),45713.78333333333)</f>
        <v>45713.78333</v>
      </c>
      <c r="C511" s="4" t="str">
        <f>IFERROR(__xludf.DUMMYFUNCTION("""COMPUTED_VALUE""")," Enquire &amp; Coordinate with client")</f>
        <v> Enquire &amp; Coordinate with client</v>
      </c>
      <c r="E511" s="86"/>
    </row>
    <row r="512">
      <c r="A512" s="4"/>
      <c r="B512" s="85">
        <f>IFERROR(__xludf.DUMMYFUNCTION("""COMPUTED_VALUE"""),45716.67152777778)</f>
        <v>45716.67153</v>
      </c>
      <c r="C512" s="4" t="str">
        <f>IFERROR(__xludf.DUMMYFUNCTION("""COMPUTED_VALUE""")," Enquire &amp; Coordinate with client")</f>
        <v> Enquire &amp; Coordinate with client</v>
      </c>
      <c r="E512" s="86"/>
    </row>
    <row r="513">
      <c r="A513" s="4"/>
      <c r="B513" s="85">
        <f>IFERROR(__xludf.DUMMYFUNCTION("""COMPUTED_VALUE"""),45716.67638888889)</f>
        <v>45716.67639</v>
      </c>
      <c r="C513" s="4" t="str">
        <f>IFERROR(__xludf.DUMMYFUNCTION("""COMPUTED_VALUE""")," Enquire &amp; Coordinate with client")</f>
        <v> Enquire &amp; Coordinate with client</v>
      </c>
      <c r="E513" s="86"/>
    </row>
    <row r="514">
      <c r="A514" s="4"/>
      <c r="B514" s="85">
        <f>IFERROR(__xludf.DUMMYFUNCTION("""COMPUTED_VALUE"""),45722.70416666666)</f>
        <v>45722.70417</v>
      </c>
      <c r="C514" s="4" t="str">
        <f>IFERROR(__xludf.DUMMYFUNCTION("""COMPUTED_VALUE""")," Enquire &amp; Coordinate with client")</f>
        <v> Enquire &amp; Coordinate with client</v>
      </c>
      <c r="E514" s="86"/>
    </row>
    <row r="515">
      <c r="A515" s="4"/>
      <c r="B515" s="85">
        <f>IFERROR(__xludf.DUMMYFUNCTION("""COMPUTED_VALUE"""),45724.697222222225)</f>
        <v>45724.69722</v>
      </c>
      <c r="C515" s="4" t="str">
        <f>IFERROR(__xludf.DUMMYFUNCTION("""COMPUTED_VALUE""")," Enquire &amp; Coordinate with client")</f>
        <v> Enquire &amp; Coordinate with client</v>
      </c>
      <c r="E515" s="86"/>
    </row>
    <row r="516">
      <c r="A516" s="4"/>
      <c r="B516" s="85">
        <f>IFERROR(__xludf.DUMMYFUNCTION("""COMPUTED_VALUE"""),45724.70486111111)</f>
        <v>45724.70486</v>
      </c>
      <c r="C516" s="4" t="str">
        <f>IFERROR(__xludf.DUMMYFUNCTION("""COMPUTED_VALUE""")," Enquire &amp; Coordinate with client")</f>
        <v> Enquire &amp; Coordinate with client</v>
      </c>
      <c r="E516" s="86"/>
    </row>
    <row r="517">
      <c r="A517" s="4"/>
      <c r="B517" s="85">
        <f>IFERROR(__xludf.DUMMYFUNCTION("""COMPUTED_VALUE"""),45728.73125)</f>
        <v>45728.73125</v>
      </c>
      <c r="C517" s="4" t="str">
        <f>IFERROR(__xludf.DUMMYFUNCTION("""COMPUTED_VALUE""")," Enquire &amp; Coordinate with client")</f>
        <v> Enquire &amp; Coordinate with client</v>
      </c>
      <c r="E517" s="86"/>
    </row>
    <row r="518">
      <c r="A518" s="4"/>
      <c r="B518" s="85">
        <f>IFERROR(__xludf.DUMMYFUNCTION("""COMPUTED_VALUE"""),45728.742361111115)</f>
        <v>45728.74236</v>
      </c>
      <c r="C518" s="4" t="str">
        <f>IFERROR(__xludf.DUMMYFUNCTION("""COMPUTED_VALUE""")," Enquire &amp; Coordinate with client")</f>
        <v> Enquire &amp; Coordinate with client</v>
      </c>
      <c r="E518" s="86"/>
    </row>
    <row r="519">
      <c r="A519" s="4"/>
      <c r="B519" s="85">
        <f>IFERROR(__xludf.DUMMYFUNCTION("""COMPUTED_VALUE"""),45730.535416666666)</f>
        <v>45730.53542</v>
      </c>
      <c r="C519" s="4" t="str">
        <f>IFERROR(__xludf.DUMMYFUNCTION("""COMPUTED_VALUE""")," Enquire &amp; Coordinate with client")</f>
        <v> Enquire &amp; Coordinate with client</v>
      </c>
      <c r="E519" s="86"/>
    </row>
    <row r="520">
      <c r="A520" s="4"/>
      <c r="B520" s="85">
        <f>IFERROR(__xludf.DUMMYFUNCTION("""COMPUTED_VALUE"""),45738.506944444445)</f>
        <v>45738.50694</v>
      </c>
      <c r="C520" s="4" t="str">
        <f>IFERROR(__xludf.DUMMYFUNCTION("""COMPUTED_VALUE""")," Enquire &amp; Coordinate with client")</f>
        <v> Enquire &amp; Coordinate with client</v>
      </c>
      <c r="E520" s="86"/>
    </row>
    <row r="521">
      <c r="A521" s="4"/>
      <c r="B521" s="85">
        <f>IFERROR(__xludf.DUMMYFUNCTION("""COMPUTED_VALUE"""),45738.63680555555)</f>
        <v>45738.63681</v>
      </c>
      <c r="C521" s="4" t="str">
        <f>IFERROR(__xludf.DUMMYFUNCTION("""COMPUTED_VALUE""")," Enquire &amp; Coordinate with client")</f>
        <v> Enquire &amp; Coordinate with client</v>
      </c>
      <c r="E521" s="86"/>
    </row>
    <row r="522">
      <c r="A522" s="4"/>
      <c r="B522" s="85">
        <f>IFERROR(__xludf.DUMMYFUNCTION("""COMPUTED_VALUE"""),45743.60902777778)</f>
        <v>45743.60903</v>
      </c>
      <c r="C522" s="4" t="str">
        <f>IFERROR(__xludf.DUMMYFUNCTION("""COMPUTED_VALUE""")," Enquire &amp; Coordinate with client")</f>
        <v> Enquire &amp; Coordinate with client</v>
      </c>
      <c r="E522" s="86"/>
    </row>
    <row r="523">
      <c r="A523" s="4"/>
      <c r="B523" s="85">
        <f>IFERROR(__xludf.DUMMYFUNCTION("""COMPUTED_VALUE"""),45743.62291666667)</f>
        <v>45743.62292</v>
      </c>
      <c r="C523" s="4" t="str">
        <f>IFERROR(__xludf.DUMMYFUNCTION("""COMPUTED_VALUE""")," Enquire &amp; Coordinate with client")</f>
        <v> Enquire &amp; Coordinate with client</v>
      </c>
      <c r="E523" s="86"/>
    </row>
    <row r="524">
      <c r="A524" s="4"/>
      <c r="B524" s="85">
        <f>IFERROR(__xludf.DUMMYFUNCTION("""COMPUTED_VALUE"""),45743.62708333333)</f>
        <v>45743.62708</v>
      </c>
      <c r="C524" s="4" t="str">
        <f>IFERROR(__xludf.DUMMYFUNCTION("""COMPUTED_VALUE""")," Enquire &amp; Coordinate with client")</f>
        <v> Enquire &amp; Coordinate with client</v>
      </c>
      <c r="E524" s="86"/>
    </row>
    <row r="525">
      <c r="A525" s="4"/>
      <c r="B525" s="85">
        <f>IFERROR(__xludf.DUMMYFUNCTION("""COMPUTED_VALUE"""),45746.8)</f>
        <v>45746.8</v>
      </c>
      <c r="C525" s="4" t="str">
        <f>IFERROR(__xludf.DUMMYFUNCTION("""COMPUTED_VALUE""")," Enquire &amp; Coordinate with client")</f>
        <v> Enquire &amp; Coordinate with client</v>
      </c>
      <c r="E525" s="86"/>
    </row>
    <row r="526">
      <c r="A526" s="4"/>
      <c r="B526" s="85">
        <f>IFERROR(__xludf.DUMMYFUNCTION("""COMPUTED_VALUE"""),45748.78611111111)</f>
        <v>45748.78611</v>
      </c>
      <c r="C526" s="4" t="str">
        <f>IFERROR(__xludf.DUMMYFUNCTION("""COMPUTED_VALUE""")," Enquire &amp; Coordinate with client")</f>
        <v> Enquire &amp; Coordinate with client</v>
      </c>
      <c r="E526" s="86"/>
    </row>
    <row r="527">
      <c r="A527" s="4"/>
      <c r="B527" s="85">
        <f>IFERROR(__xludf.DUMMYFUNCTION("""COMPUTED_VALUE"""),45757.56805555556)</f>
        <v>45757.56806</v>
      </c>
      <c r="C527" s="4" t="str">
        <f>IFERROR(__xludf.DUMMYFUNCTION("""COMPUTED_VALUE""")," Enquire &amp; Coordinate with client")</f>
        <v> Enquire &amp; Coordinate with client</v>
      </c>
      <c r="E527" s="86"/>
    </row>
    <row r="528">
      <c r="A528" s="4"/>
      <c r="B528" s="85">
        <f>IFERROR(__xludf.DUMMYFUNCTION("""COMPUTED_VALUE"""),45757.67013888889)</f>
        <v>45757.67014</v>
      </c>
      <c r="C528" s="4" t="str">
        <f>IFERROR(__xludf.DUMMYFUNCTION("""COMPUTED_VALUE""")," Enquire &amp; Coordinate with client")</f>
        <v> Enquire &amp; Coordinate with client</v>
      </c>
      <c r="E528" s="86"/>
    </row>
    <row r="529">
      <c r="A529" s="4"/>
      <c r="B529" s="85">
        <f>IFERROR(__xludf.DUMMYFUNCTION("""COMPUTED_VALUE"""),45757.67291666666)</f>
        <v>45757.67292</v>
      </c>
      <c r="C529" s="4" t="str">
        <f>IFERROR(__xludf.DUMMYFUNCTION("""COMPUTED_VALUE""")," Enquire &amp; Coordinate with client")</f>
        <v> Enquire &amp; Coordinate with client</v>
      </c>
      <c r="E529" s="86"/>
    </row>
    <row r="530">
      <c r="A530" s="4"/>
      <c r="B530" s="85">
        <f>IFERROR(__xludf.DUMMYFUNCTION("""COMPUTED_VALUE"""),45757.67569444445)</f>
        <v>45757.67569</v>
      </c>
      <c r="C530" s="4" t="str">
        <f>IFERROR(__xludf.DUMMYFUNCTION("""COMPUTED_VALUE""")," Enquire &amp; Coordinate with client")</f>
        <v> Enquire &amp; Coordinate with client</v>
      </c>
      <c r="E530" s="86"/>
    </row>
    <row r="531">
      <c r="A531" s="4"/>
      <c r="B531" s="85">
        <f>IFERROR(__xludf.DUMMYFUNCTION("""COMPUTED_VALUE"""),45757.67916666667)</f>
        <v>45757.67917</v>
      </c>
      <c r="C531" s="4" t="str">
        <f>IFERROR(__xludf.DUMMYFUNCTION("""COMPUTED_VALUE""")," Enquire &amp; Coordinate with client")</f>
        <v> Enquire &amp; Coordinate with client</v>
      </c>
      <c r="E531" s="86"/>
    </row>
    <row r="532">
      <c r="A532" s="4"/>
      <c r="B532" s="85">
        <f>IFERROR(__xludf.DUMMYFUNCTION("""COMPUTED_VALUE"""),45757.680555555555)</f>
        <v>45757.68056</v>
      </c>
      <c r="C532" s="4" t="str">
        <f>IFERROR(__xludf.DUMMYFUNCTION("""COMPUTED_VALUE""")," Enquire &amp; Coordinate with client")</f>
        <v> Enquire &amp; Coordinate with client</v>
      </c>
      <c r="E532" s="86"/>
    </row>
    <row r="533">
      <c r="A533" s="4"/>
      <c r="B533" s="85">
        <f>IFERROR(__xludf.DUMMYFUNCTION("""COMPUTED_VALUE"""),45759.771527777775)</f>
        <v>45759.77153</v>
      </c>
      <c r="C533" s="4" t="str">
        <f>IFERROR(__xludf.DUMMYFUNCTION("""COMPUTED_VALUE""")," Enquire &amp; Coordinate with client")</f>
        <v> Enquire &amp; Coordinate with client</v>
      </c>
      <c r="E533" s="86"/>
    </row>
    <row r="534">
      <c r="A534" s="4"/>
      <c r="B534" s="85">
        <f>IFERROR(__xludf.DUMMYFUNCTION("""COMPUTED_VALUE"""),45759.77638888889)</f>
        <v>45759.77639</v>
      </c>
      <c r="C534" s="4" t="str">
        <f>IFERROR(__xludf.DUMMYFUNCTION("""COMPUTED_VALUE""")," Enquire &amp; Coordinate with client")</f>
        <v> Enquire &amp; Coordinate with client</v>
      </c>
      <c r="E534" s="86"/>
    </row>
    <row r="535">
      <c r="A535" s="4"/>
      <c r="B535" s="85">
        <f>IFERROR(__xludf.DUMMYFUNCTION("""COMPUTED_VALUE"""),45762.74444444444)</f>
        <v>45762.74444</v>
      </c>
      <c r="C535" s="4" t="str">
        <f>IFERROR(__xludf.DUMMYFUNCTION("""COMPUTED_VALUE""")," Enquire &amp; Coordinate with client")</f>
        <v> Enquire &amp; Coordinate with client</v>
      </c>
      <c r="E535" s="86"/>
    </row>
    <row r="536">
      <c r="A536" s="4"/>
      <c r="B536" s="85">
        <f>IFERROR(__xludf.DUMMYFUNCTION("""COMPUTED_VALUE"""),45776.660416666666)</f>
        <v>45776.66042</v>
      </c>
      <c r="C536" s="4" t="str">
        <f>IFERROR(__xludf.DUMMYFUNCTION("""COMPUTED_VALUE""")," Enquire &amp; Coordinate with client")</f>
        <v> Enquire &amp; Coordinate with client</v>
      </c>
      <c r="E536" s="86"/>
    </row>
    <row r="537">
      <c r="A537" s="4"/>
      <c r="B537" s="85">
        <f>IFERROR(__xludf.DUMMYFUNCTION("""COMPUTED_VALUE"""),45776.66180555556)</f>
        <v>45776.66181</v>
      </c>
      <c r="C537" s="4" t="str">
        <f>IFERROR(__xludf.DUMMYFUNCTION("""COMPUTED_VALUE""")," Enquire &amp; Coordinate with client")</f>
        <v> Enquire &amp; Coordinate with client</v>
      </c>
      <c r="E537" s="86"/>
    </row>
    <row r="538">
      <c r="A538" s="4"/>
      <c r="B538" s="85">
        <f>IFERROR(__xludf.DUMMYFUNCTION("""COMPUTED_VALUE"""),45778.62777777778)</f>
        <v>45778.62778</v>
      </c>
      <c r="C538" s="4" t="str">
        <f>IFERROR(__xludf.DUMMYFUNCTION("""COMPUTED_VALUE""")," Enquire &amp; Coordinate with client")</f>
        <v> Enquire &amp; Coordinate with client</v>
      </c>
      <c r="E538" s="86"/>
    </row>
    <row r="539">
      <c r="A539" s="4"/>
      <c r="B539" s="85">
        <f>IFERROR(__xludf.DUMMYFUNCTION("""COMPUTED_VALUE"""),45778.631944444445)</f>
        <v>45778.63194</v>
      </c>
      <c r="C539" s="4" t="str">
        <f>IFERROR(__xludf.DUMMYFUNCTION("""COMPUTED_VALUE""")," Enquire &amp; Coordinate with client")</f>
        <v> Enquire &amp; Coordinate with client</v>
      </c>
      <c r="E539" s="86"/>
    </row>
    <row r="540">
      <c r="A540" s="4"/>
      <c r="B540" s="85">
        <f>IFERROR(__xludf.DUMMYFUNCTION("""COMPUTED_VALUE"""),45792.59375)</f>
        <v>45792.59375</v>
      </c>
      <c r="C540" s="4" t="str">
        <f>IFERROR(__xludf.DUMMYFUNCTION("""COMPUTED_VALUE""")," Enquire &amp; Coordinate with client")</f>
        <v> Enquire &amp; Coordinate with client</v>
      </c>
      <c r="E540" s="86"/>
    </row>
    <row r="541">
      <c r="A541" s="4"/>
      <c r="B541" s="85">
        <f>IFERROR(__xludf.DUMMYFUNCTION("""COMPUTED_VALUE"""),45793.62222222222)</f>
        <v>45793.62222</v>
      </c>
      <c r="C541" s="4" t="str">
        <f>IFERROR(__xludf.DUMMYFUNCTION("""COMPUTED_VALUE""")," Enquire &amp; Coordinate with client")</f>
        <v> Enquire &amp; Coordinate with client</v>
      </c>
      <c r="E541" s="86"/>
    </row>
    <row r="542">
      <c r="A542" s="4"/>
      <c r="B542" s="85">
        <f>IFERROR(__xludf.DUMMYFUNCTION("""COMPUTED_VALUE"""),45793.64236111111)</f>
        <v>45793.64236</v>
      </c>
      <c r="C542" s="4" t="str">
        <f>IFERROR(__xludf.DUMMYFUNCTION("""COMPUTED_VALUE""")," Enquire &amp; Coordinate with client")</f>
        <v> Enquire &amp; Coordinate with client</v>
      </c>
      <c r="E542" s="86"/>
    </row>
    <row r="543">
      <c r="A543" s="4"/>
      <c r="B543" s="85">
        <f>IFERROR(__xludf.DUMMYFUNCTION("""COMPUTED_VALUE"""),45793.69930555555)</f>
        <v>45793.69931</v>
      </c>
      <c r="C543" s="4" t="str">
        <f>IFERROR(__xludf.DUMMYFUNCTION("""COMPUTED_VALUE""")," Enquire &amp; Coordinate with client")</f>
        <v> Enquire &amp; Coordinate with client</v>
      </c>
      <c r="E543" s="86"/>
    </row>
    <row r="544">
      <c r="A544" s="4"/>
      <c r="B544" s="85">
        <f>IFERROR(__xludf.DUMMYFUNCTION("""COMPUTED_VALUE"""),45798.69861111111)</f>
        <v>45798.69861</v>
      </c>
      <c r="C544" s="4" t="str">
        <f>IFERROR(__xludf.DUMMYFUNCTION("""COMPUTED_VALUE""")," Enquire &amp; Coordinate with client")</f>
        <v> Enquire &amp; Coordinate with client</v>
      </c>
      <c r="E544" s="86"/>
    </row>
    <row r="545">
      <c r="A545" s="4"/>
      <c r="B545" s="85">
        <f>IFERROR(__xludf.DUMMYFUNCTION("""COMPUTED_VALUE"""),45798.70694444445)</f>
        <v>45798.70694</v>
      </c>
      <c r="C545" s="4" t="str">
        <f>IFERROR(__xludf.DUMMYFUNCTION("""COMPUTED_VALUE""")," Enquire &amp; Coordinate with client")</f>
        <v> Enquire &amp; Coordinate with client</v>
      </c>
      <c r="E545" s="86"/>
    </row>
    <row r="546">
      <c r="A546" s="4"/>
      <c r="B546" s="85">
        <f>IFERROR(__xludf.DUMMYFUNCTION("""COMPUTED_VALUE"""),45800.65069444444)</f>
        <v>45800.65069</v>
      </c>
      <c r="C546" s="4" t="str">
        <f>IFERROR(__xludf.DUMMYFUNCTION("""COMPUTED_VALUE""")," Enquire &amp; Coordinate with client")</f>
        <v> Enquire &amp; Coordinate with client</v>
      </c>
      <c r="E546" s="86"/>
    </row>
    <row r="547">
      <c r="A547" s="4"/>
      <c r="B547" s="85">
        <f>IFERROR(__xludf.DUMMYFUNCTION("""COMPUTED_VALUE"""),45808.475694444445)</f>
        <v>45808.47569</v>
      </c>
      <c r="C547" s="4" t="str">
        <f>IFERROR(__xludf.DUMMYFUNCTION("""COMPUTED_VALUE""")," Enquire &amp; Coordinate with client")</f>
        <v> Enquire &amp; Coordinate with client</v>
      </c>
      <c r="E547" s="86"/>
    </row>
    <row r="548">
      <c r="A548" s="4"/>
      <c r="B548" s="85">
        <f>IFERROR(__xludf.DUMMYFUNCTION("""COMPUTED_VALUE"""),45812.57361111111)</f>
        <v>45812.57361</v>
      </c>
      <c r="C548" s="4" t="str">
        <f>IFERROR(__xludf.DUMMYFUNCTION("""COMPUTED_VALUE""")," Enquire &amp; Coordinate with client")</f>
        <v> Enquire &amp; Coordinate with client</v>
      </c>
      <c r="E548" s="86"/>
    </row>
    <row r="549">
      <c r="A549" s="4"/>
      <c r="B549" s="85">
        <f>IFERROR(__xludf.DUMMYFUNCTION("""COMPUTED_VALUE"""),45833.62569444445)</f>
        <v>45833.62569</v>
      </c>
      <c r="C549" s="4" t="str">
        <f>IFERROR(__xludf.DUMMYFUNCTION("""COMPUTED_VALUE""")," Enquire &amp; Coordinate with client")</f>
        <v> Enquire &amp; Coordinate with client</v>
      </c>
      <c r="E549" s="86"/>
    </row>
    <row r="550">
      <c r="A550" s="4"/>
      <c r="B550" s="85">
        <f>IFERROR(__xludf.DUMMYFUNCTION("""COMPUTED_VALUE"""),45833.63611111111)</f>
        <v>45833.63611</v>
      </c>
      <c r="C550" s="4" t="str">
        <f>IFERROR(__xludf.DUMMYFUNCTION("""COMPUTED_VALUE""")," Enquire &amp; Coordinate with client")</f>
        <v> Enquire &amp; Coordinate with client</v>
      </c>
      <c r="E550" s="86"/>
    </row>
    <row r="551">
      <c r="A551" s="4"/>
      <c r="B551" s="85">
        <f>IFERROR(__xludf.DUMMYFUNCTION("""COMPUTED_VALUE"""),45833.63680555555)</f>
        <v>45833.63681</v>
      </c>
      <c r="C551" s="4" t="str">
        <f>IFERROR(__xludf.DUMMYFUNCTION("""COMPUTED_VALUE""")," Enquire &amp; Coordinate with client")</f>
        <v> Enquire &amp; Coordinate with client</v>
      </c>
      <c r="E551" s="86"/>
    </row>
    <row r="552">
      <c r="A552" s="4"/>
      <c r="B552" s="85">
        <f>IFERROR(__xludf.DUMMYFUNCTION("""COMPUTED_VALUE"""),45833.63958333334)</f>
        <v>45833.63958</v>
      </c>
      <c r="C552" s="4" t="str">
        <f>IFERROR(__xludf.DUMMYFUNCTION("""COMPUTED_VALUE""")," Enquire &amp; Coordinate with client")</f>
        <v> Enquire &amp; Coordinate with client</v>
      </c>
      <c r="E552" s="86"/>
    </row>
    <row r="553">
      <c r="A553" s="4"/>
      <c r="B553" s="85">
        <f>IFERROR(__xludf.DUMMYFUNCTION("""COMPUTED_VALUE"""),45840.80208333333)</f>
        <v>45840.80208</v>
      </c>
      <c r="C553" s="4" t="str">
        <f>IFERROR(__xludf.DUMMYFUNCTION("""COMPUTED_VALUE""")," Enquire &amp; Coordinate with client")</f>
        <v> Enquire &amp; Coordinate with client</v>
      </c>
      <c r="E553" s="86"/>
    </row>
    <row r="554">
      <c r="A554" s="4"/>
      <c r="B554" s="85">
        <f>IFERROR(__xludf.DUMMYFUNCTION("""COMPUTED_VALUE"""),45842.47152777778)</f>
        <v>45842.47153</v>
      </c>
      <c r="C554" s="4" t="str">
        <f>IFERROR(__xludf.DUMMYFUNCTION("""COMPUTED_VALUE""")," Enquire &amp; Coordinate with client")</f>
        <v> Enquire &amp; Coordinate with client</v>
      </c>
      <c r="E554" s="86"/>
    </row>
    <row r="555">
      <c r="A555" s="4"/>
      <c r="B555" s="85">
        <f>IFERROR(__xludf.DUMMYFUNCTION("""COMPUTED_VALUE"""),45842.472916666666)</f>
        <v>45842.47292</v>
      </c>
      <c r="C555" s="4" t="str">
        <f>IFERROR(__xludf.DUMMYFUNCTION("""COMPUTED_VALUE""")," Enquire &amp; Coordinate with client")</f>
        <v> Enquire &amp; Coordinate with client</v>
      </c>
      <c r="E555" s="86"/>
    </row>
    <row r="556">
      <c r="A556" s="4"/>
      <c r="B556" s="85">
        <f>IFERROR(__xludf.DUMMYFUNCTION("""COMPUTED_VALUE"""),45850.53472222222)</f>
        <v>45850.53472</v>
      </c>
      <c r="C556" s="4" t="str">
        <f>IFERROR(__xludf.DUMMYFUNCTION("""COMPUTED_VALUE""")," Enquire &amp; Coordinate with client")</f>
        <v> Enquire &amp; Coordinate with client</v>
      </c>
      <c r="E556" s="86"/>
    </row>
    <row r="557">
      <c r="A557" s="4"/>
      <c r="B557" s="85">
        <f>IFERROR(__xludf.DUMMYFUNCTION("""COMPUTED_VALUE"""),45850.62708333333)</f>
        <v>45850.62708</v>
      </c>
      <c r="C557" s="4" t="str">
        <f>IFERROR(__xludf.DUMMYFUNCTION("""COMPUTED_VALUE""")," Enquire &amp; Coordinate with client")</f>
        <v> Enquire &amp; Coordinate with client</v>
      </c>
      <c r="E557" s="86"/>
    </row>
    <row r="558">
      <c r="A558" s="4"/>
      <c r="B558" s="85">
        <f>IFERROR(__xludf.DUMMYFUNCTION("""COMPUTED_VALUE"""),45850.629166666666)</f>
        <v>45850.62917</v>
      </c>
      <c r="C558" s="4" t="str">
        <f>IFERROR(__xludf.DUMMYFUNCTION("""COMPUTED_VALUE""")," Enquire &amp; Coordinate with client")</f>
        <v> Enquire &amp; Coordinate with client</v>
      </c>
      <c r="E558" s="86"/>
    </row>
    <row r="559">
      <c r="A559" s="4"/>
      <c r="B559" s="85">
        <f>IFERROR(__xludf.DUMMYFUNCTION("""COMPUTED_VALUE"""),45863.743055555555)</f>
        <v>45863.74306</v>
      </c>
      <c r="C559" s="4" t="str">
        <f>IFERROR(__xludf.DUMMYFUNCTION("""COMPUTED_VALUE""")," Enquire &amp; Coordinate with client")</f>
        <v> Enquire &amp; Coordinate with client</v>
      </c>
      <c r="E559" s="86"/>
    </row>
    <row r="560">
      <c r="A560" s="4"/>
      <c r="B560" s="85">
        <f>IFERROR(__xludf.DUMMYFUNCTION("""COMPUTED_VALUE"""),45863.74861111111)</f>
        <v>45863.74861</v>
      </c>
      <c r="C560" s="4" t="str">
        <f>IFERROR(__xludf.DUMMYFUNCTION("""COMPUTED_VALUE""")," Enquire &amp; Coordinate with client")</f>
        <v> Enquire &amp; Coordinate with client</v>
      </c>
      <c r="E560" s="86"/>
    </row>
    <row r="561">
      <c r="A561" s="4"/>
      <c r="B561" s="85">
        <f>IFERROR(__xludf.DUMMYFUNCTION("""COMPUTED_VALUE"""),45868.726388888885)</f>
        <v>45868.72639</v>
      </c>
      <c r="C561" s="4" t="str">
        <f>IFERROR(__xludf.DUMMYFUNCTION("""COMPUTED_VALUE""")," Enquire &amp; Coordinate with client")</f>
        <v> Enquire &amp; Coordinate with client</v>
      </c>
      <c r="E561" s="86"/>
    </row>
    <row r="562">
      <c r="A562" s="4"/>
      <c r="B562" s="85">
        <f>IFERROR(__xludf.DUMMYFUNCTION("""COMPUTED_VALUE"""),45868.728472222225)</f>
        <v>45868.72847</v>
      </c>
      <c r="C562" s="4" t="str">
        <f>IFERROR(__xludf.DUMMYFUNCTION("""COMPUTED_VALUE""")," Enquire &amp; Coordinate with client")</f>
        <v> Enquire &amp; Coordinate with client</v>
      </c>
      <c r="E562" s="86"/>
    </row>
    <row r="563">
      <c r="A563" s="4"/>
      <c r="B563" s="85">
        <f>IFERROR(__xludf.DUMMYFUNCTION("""COMPUTED_VALUE"""),45876.69930555555)</f>
        <v>45876.69931</v>
      </c>
      <c r="C563" s="4" t="str">
        <f>IFERROR(__xludf.DUMMYFUNCTION("""COMPUTED_VALUE""")," Enquire &amp; Coordinate with client")</f>
        <v> Enquire &amp; Coordinate with client</v>
      </c>
      <c r="E563" s="86"/>
    </row>
    <row r="564">
      <c r="A564" s="4"/>
      <c r="B564" s="85">
        <f>IFERROR(__xludf.DUMMYFUNCTION("""COMPUTED_VALUE"""),45876.70416666666)</f>
        <v>45876.70417</v>
      </c>
      <c r="C564" s="4" t="str">
        <f>IFERROR(__xludf.DUMMYFUNCTION("""COMPUTED_VALUE""")," Enquire &amp; Coordinate with client")</f>
        <v> Enquire &amp; Coordinate with client</v>
      </c>
      <c r="E564" s="86"/>
    </row>
    <row r="565">
      <c r="A565" s="4"/>
      <c r="B565" s="85">
        <f>IFERROR(__xludf.DUMMYFUNCTION("""COMPUTED_VALUE"""),45876.775)</f>
        <v>45876.775</v>
      </c>
      <c r="C565" s="4" t="str">
        <f>IFERROR(__xludf.DUMMYFUNCTION("""COMPUTED_VALUE""")," Enquire &amp; Coordinate with client")</f>
        <v> Enquire &amp; Coordinate with client</v>
      </c>
      <c r="E565" s="86"/>
    </row>
    <row r="566">
      <c r="A566" s="4"/>
      <c r="B566" s="85">
        <f>IFERROR(__xludf.DUMMYFUNCTION("""COMPUTED_VALUE"""),45876.78472222222)</f>
        <v>45876.78472</v>
      </c>
      <c r="C566" s="4" t="str">
        <f>IFERROR(__xludf.DUMMYFUNCTION("""COMPUTED_VALUE""")," Enquire &amp; Coordinate with client")</f>
        <v> Enquire &amp; Coordinate with client</v>
      </c>
      <c r="E566" s="86"/>
    </row>
    <row r="567">
      <c r="A567" s="4"/>
      <c r="B567" s="85">
        <f>IFERROR(__xludf.DUMMYFUNCTION("""COMPUTED_VALUE"""),45876.785416666666)</f>
        <v>45876.78542</v>
      </c>
      <c r="C567" s="4" t="str">
        <f>IFERROR(__xludf.DUMMYFUNCTION("""COMPUTED_VALUE""")," Enquire &amp; Coordinate with client")</f>
        <v> Enquire &amp; Coordinate with client</v>
      </c>
      <c r="E567" s="86"/>
    </row>
    <row r="568">
      <c r="A568" s="4"/>
      <c r="B568" s="85">
        <f>IFERROR(__xludf.DUMMYFUNCTION("""COMPUTED_VALUE"""),45876.78680555556)</f>
        <v>45876.78681</v>
      </c>
      <c r="C568" s="4" t="str">
        <f>IFERROR(__xludf.DUMMYFUNCTION("""COMPUTED_VALUE""")," Enquire &amp; Coordinate with client")</f>
        <v> Enquire &amp; Coordinate with client</v>
      </c>
      <c r="E568" s="86"/>
    </row>
    <row r="569">
      <c r="A569" s="4"/>
      <c r="B569" s="85">
        <f>IFERROR(__xludf.DUMMYFUNCTION("""COMPUTED_VALUE"""),45876.78958333333)</f>
        <v>45876.78958</v>
      </c>
      <c r="C569" s="4" t="str">
        <f>IFERROR(__xludf.DUMMYFUNCTION("""COMPUTED_VALUE""")," Enquire &amp; Coordinate with client")</f>
        <v> Enquire &amp; Coordinate with client</v>
      </c>
      <c r="E569" s="86"/>
    </row>
    <row r="570">
      <c r="A570" s="4"/>
      <c r="B570" s="85">
        <f>IFERROR(__xludf.DUMMYFUNCTION("""COMPUTED_VALUE"""),45876.79027777778)</f>
        <v>45876.79028</v>
      </c>
      <c r="C570" s="4" t="str">
        <f>IFERROR(__xludf.DUMMYFUNCTION("""COMPUTED_VALUE""")," Enquire &amp; Coordinate with client")</f>
        <v> Enquire &amp; Coordinate with client</v>
      </c>
      <c r="E570" s="86"/>
    </row>
    <row r="571">
      <c r="A571" s="4"/>
      <c r="B571" s="85">
        <f>IFERROR(__xludf.DUMMYFUNCTION("""COMPUTED_VALUE"""),45886.620833333334)</f>
        <v>45886.62083</v>
      </c>
      <c r="C571" s="4" t="str">
        <f>IFERROR(__xludf.DUMMYFUNCTION("""COMPUTED_VALUE""")," Enquire &amp; Coordinate with client")</f>
        <v> Enquire &amp; Coordinate with client</v>
      </c>
      <c r="E571" s="86"/>
    </row>
    <row r="572">
      <c r="A572" s="4"/>
      <c r="B572" s="85">
        <f>IFERROR(__xludf.DUMMYFUNCTION("""COMPUTED_VALUE"""),45892.79722222222)</f>
        <v>45892.79722</v>
      </c>
      <c r="C572" s="4" t="str">
        <f>IFERROR(__xludf.DUMMYFUNCTION("""COMPUTED_VALUE""")," Enquire &amp; Coordinate with client")</f>
        <v> Enquire &amp; Coordinate with client</v>
      </c>
      <c r="E572" s="86"/>
    </row>
    <row r="573">
      <c r="A573" s="4"/>
      <c r="B573" s="85">
        <f>IFERROR(__xludf.DUMMYFUNCTION("""COMPUTED_VALUE"""),45895.73402777778)</f>
        <v>45895.73403</v>
      </c>
      <c r="C573" s="4" t="str">
        <f>IFERROR(__xludf.DUMMYFUNCTION("""COMPUTED_VALUE""")," Enquire &amp; Coordinate with client")</f>
        <v> Enquire &amp; Coordinate with client</v>
      </c>
      <c r="E573" s="86"/>
    </row>
    <row r="574">
      <c r="A574" s="4"/>
      <c r="B574" s="85">
        <f>IFERROR(__xludf.DUMMYFUNCTION("""COMPUTED_VALUE"""),45910.461111111115)</f>
        <v>45910.46111</v>
      </c>
      <c r="C574" s="4" t="str">
        <f>IFERROR(__xludf.DUMMYFUNCTION("""COMPUTED_VALUE""")," Enquire &amp; Coordinate with client")</f>
        <v> Enquire &amp; Coordinate with client</v>
      </c>
      <c r="E574" s="86"/>
    </row>
    <row r="575">
      <c r="A575" s="4"/>
      <c r="B575" s="85">
        <f>IFERROR(__xludf.DUMMYFUNCTION("""COMPUTED_VALUE"""),45921.64027777778)</f>
        <v>45921.64028</v>
      </c>
      <c r="C575" s="4" t="str">
        <f>IFERROR(__xludf.DUMMYFUNCTION("""COMPUTED_VALUE""")," Enquire &amp; Coordinate with client")</f>
        <v> Enquire &amp; Coordinate with client</v>
      </c>
      <c r="E575" s="86"/>
    </row>
    <row r="576">
      <c r="A576" s="4"/>
      <c r="B576" s="85">
        <f>IFERROR(__xludf.DUMMYFUNCTION("""COMPUTED_VALUE"""),45921.64236111111)</f>
        <v>45921.64236</v>
      </c>
      <c r="C576" s="4" t="str">
        <f>IFERROR(__xludf.DUMMYFUNCTION("""COMPUTED_VALUE""")," Enquire &amp; Coordinate with client")</f>
        <v> Enquire &amp; Coordinate with client</v>
      </c>
      <c r="E576" s="86"/>
    </row>
    <row r="577">
      <c r="A577" s="4"/>
      <c r="B577" s="85">
        <f>IFERROR(__xludf.DUMMYFUNCTION("""COMPUTED_VALUE"""),45921.65277777778)</f>
        <v>45921.65278</v>
      </c>
      <c r="C577" s="4" t="str">
        <f>IFERROR(__xludf.DUMMYFUNCTION("""COMPUTED_VALUE""")," Enquire &amp; Coordinate with client")</f>
        <v> Enquire &amp; Coordinate with client</v>
      </c>
      <c r="E577" s="86"/>
    </row>
    <row r="578">
      <c r="A578" s="4"/>
      <c r="B578" s="85">
        <f>IFERROR(__xludf.DUMMYFUNCTION("""COMPUTED_VALUE"""),45923.45833333333)</f>
        <v>45923.45833</v>
      </c>
      <c r="C578" s="4" t="str">
        <f>IFERROR(__xludf.DUMMYFUNCTION("""COMPUTED_VALUE""")," Enquire &amp; Coordinate with client")</f>
        <v> Enquire &amp; Coordinate with client</v>
      </c>
      <c r="E578" s="86"/>
    </row>
    <row r="579">
      <c r="A579" s="4"/>
      <c r="B579" s="85">
        <f>IFERROR(__xludf.DUMMYFUNCTION("""COMPUTED_VALUE"""),45925.444444444445)</f>
        <v>45925.44444</v>
      </c>
      <c r="C579" s="4" t="str">
        <f>IFERROR(__xludf.DUMMYFUNCTION("""COMPUTED_VALUE""")," Enquire &amp; Coordinate with client")</f>
        <v> Enquire &amp; Coordinate with client</v>
      </c>
      <c r="E579" s="86"/>
    </row>
    <row r="580">
      <c r="A580" s="4"/>
      <c r="B580" s="85">
        <f>IFERROR(__xludf.DUMMYFUNCTION("""COMPUTED_VALUE"""),45925.44861111111)</f>
        <v>45925.44861</v>
      </c>
      <c r="C580" s="4" t="str">
        <f>IFERROR(__xludf.DUMMYFUNCTION("""COMPUTED_VALUE""")," Enquire &amp; Coordinate with client")</f>
        <v> Enquire &amp; Coordinate with client</v>
      </c>
      <c r="E580" s="86"/>
    </row>
    <row r="581">
      <c r="A581" s="4"/>
      <c r="B581" s="85">
        <f>IFERROR(__xludf.DUMMYFUNCTION("""COMPUTED_VALUE"""),45925.44930555555)</f>
        <v>45925.44931</v>
      </c>
      <c r="C581" s="4" t="str">
        <f>IFERROR(__xludf.DUMMYFUNCTION("""COMPUTED_VALUE""")," Enquire &amp; Coordinate with client")</f>
        <v> Enquire &amp; Coordinate with client</v>
      </c>
      <c r="E581" s="86"/>
    </row>
    <row r="582">
      <c r="A582" s="4"/>
      <c r="B582" s="85">
        <f>IFERROR(__xludf.DUMMYFUNCTION("""COMPUTED_VALUE"""),45930.44375)</f>
        <v>45930.44375</v>
      </c>
      <c r="C582" s="4" t="str">
        <f>IFERROR(__xludf.DUMMYFUNCTION("""COMPUTED_VALUE""")," Enquire &amp; Coordinate with client")</f>
        <v> Enquire &amp; Coordinate with client</v>
      </c>
      <c r="E582" s="86"/>
    </row>
    <row r="583">
      <c r="A583" s="4"/>
      <c r="B583" s="85">
        <f>IFERROR(__xludf.DUMMYFUNCTION("""COMPUTED_VALUE"""),45932.45138888889)</f>
        <v>45932.45139</v>
      </c>
      <c r="C583" s="4" t="str">
        <f>IFERROR(__xludf.DUMMYFUNCTION("""COMPUTED_VALUE""")," Enquire &amp; Coordinate with client")</f>
        <v> Enquire &amp; Coordinate with client</v>
      </c>
      <c r="E583" s="86"/>
    </row>
    <row r="584">
      <c r="A584" s="4"/>
      <c r="B584" s="85">
        <f>IFERROR(__xludf.DUMMYFUNCTION("""COMPUTED_VALUE"""),45935.64166666666)</f>
        <v>45935.64167</v>
      </c>
      <c r="C584" s="4" t="str">
        <f>IFERROR(__xludf.DUMMYFUNCTION("""COMPUTED_VALUE""")," Enquire &amp; Coordinate with client")</f>
        <v> Enquire &amp; Coordinate with client</v>
      </c>
      <c r="E584" s="86"/>
    </row>
    <row r="585">
      <c r="A585" s="4"/>
      <c r="B585" s="85">
        <f>IFERROR(__xludf.DUMMYFUNCTION("""COMPUTED_VALUE"""),45937.461805555555)</f>
        <v>45937.46181</v>
      </c>
      <c r="C585" s="4" t="str">
        <f>IFERROR(__xludf.DUMMYFUNCTION("""COMPUTED_VALUE""")," Enquire &amp; Coordinate with client")</f>
        <v> Enquire &amp; Coordinate with client</v>
      </c>
      <c r="E585" s="86"/>
    </row>
    <row r="586">
      <c r="A586" s="4"/>
      <c r="B586" s="85">
        <f>IFERROR(__xludf.DUMMYFUNCTION("""COMPUTED_VALUE"""),45937.694444444445)</f>
        <v>45937.69444</v>
      </c>
      <c r="C586" s="4" t="str">
        <f>IFERROR(__xludf.DUMMYFUNCTION("""COMPUTED_VALUE""")," Enquire &amp; Coordinate with client")</f>
        <v> Enquire &amp; Coordinate with client</v>
      </c>
      <c r="E586" s="86"/>
    </row>
    <row r="587">
      <c r="A587" s="4"/>
      <c r="B587" s="85">
        <f>IFERROR(__xludf.DUMMYFUNCTION("""COMPUTED_VALUE"""),45937.697222222225)</f>
        <v>45937.69722</v>
      </c>
      <c r="C587" s="4" t="str">
        <f>IFERROR(__xludf.DUMMYFUNCTION("""COMPUTED_VALUE""")," Enquire &amp; Coordinate with client")</f>
        <v> Enquire &amp; Coordinate with client</v>
      </c>
      <c r="E587" s="86"/>
    </row>
    <row r="588">
      <c r="A588" s="4"/>
      <c r="B588" s="85">
        <f>IFERROR(__xludf.DUMMYFUNCTION("""COMPUTED_VALUE"""),45937.70208333334)</f>
        <v>45937.70208</v>
      </c>
      <c r="C588" s="4" t="str">
        <f>IFERROR(__xludf.DUMMYFUNCTION("""COMPUTED_VALUE""")," Enquire &amp; Coordinate with client")</f>
        <v> Enquire &amp; Coordinate with client</v>
      </c>
      <c r="E588" s="86"/>
    </row>
    <row r="589">
      <c r="A589" s="4"/>
      <c r="B589" s="85">
        <f>IFERROR(__xludf.DUMMYFUNCTION("""COMPUTED_VALUE"""),45938.65902777778)</f>
        <v>45938.65903</v>
      </c>
      <c r="C589" s="4" t="str">
        <f>IFERROR(__xludf.DUMMYFUNCTION("""COMPUTED_VALUE""")," Enquire &amp; Coordinate with client")</f>
        <v> Enquire &amp; Coordinate with client</v>
      </c>
      <c r="E589" s="86"/>
    </row>
    <row r="590">
      <c r="A590" s="4"/>
      <c r="B590" s="85">
        <f>IFERROR(__xludf.DUMMYFUNCTION("""COMPUTED_VALUE"""),45938.71597222222)</f>
        <v>45938.71597</v>
      </c>
      <c r="C590" s="4" t="str">
        <f>IFERROR(__xludf.DUMMYFUNCTION("""COMPUTED_VALUE""")," Enquire &amp; Coordinate with client")</f>
        <v> Enquire &amp; Coordinate with client</v>
      </c>
      <c r="E590" s="86"/>
    </row>
    <row r="591">
      <c r="A591" s="4"/>
      <c r="B591" s="85">
        <f>IFERROR(__xludf.DUMMYFUNCTION("""COMPUTED_VALUE"""),45941.61944444444)</f>
        <v>45941.61944</v>
      </c>
      <c r="C591" s="4" t="str">
        <f>IFERROR(__xludf.DUMMYFUNCTION("""COMPUTED_VALUE""")," Enquire &amp; Coordinate with client")</f>
        <v> Enquire &amp; Coordinate with client</v>
      </c>
      <c r="E591" s="86"/>
    </row>
    <row r="592">
      <c r="A592" s="4"/>
      <c r="B592" s="85">
        <f>IFERROR(__xludf.DUMMYFUNCTION("""COMPUTED_VALUE"""),45941.620833333334)</f>
        <v>45941.62083</v>
      </c>
      <c r="C592" s="4" t="str">
        <f>IFERROR(__xludf.DUMMYFUNCTION("""COMPUTED_VALUE""")," Enquire &amp; Coordinate with client")</f>
        <v> Enquire &amp; Coordinate with client</v>
      </c>
      <c r="E592" s="86"/>
    </row>
    <row r="593">
      <c r="A593" s="4"/>
      <c r="B593" s="85">
        <f>IFERROR(__xludf.DUMMYFUNCTION("""COMPUTED_VALUE"""),45941.62291666667)</f>
        <v>45941.62292</v>
      </c>
      <c r="C593" s="4" t="str">
        <f>IFERROR(__xludf.DUMMYFUNCTION("""COMPUTED_VALUE""")," Enquire &amp; Coordinate with client")</f>
        <v> Enquire &amp; Coordinate with client</v>
      </c>
      <c r="E593" s="86"/>
    </row>
    <row r="594">
      <c r="A594" s="4"/>
      <c r="B594" s="85">
        <f>IFERROR(__xludf.DUMMYFUNCTION("""COMPUTED_VALUE"""),45941.62708333333)</f>
        <v>45941.62708</v>
      </c>
      <c r="C594" s="4" t="str">
        <f>IFERROR(__xludf.DUMMYFUNCTION("""COMPUTED_VALUE""")," Enquire &amp; Coordinate with client")</f>
        <v> Enquire &amp; Coordinate with client</v>
      </c>
      <c r="E594" s="86"/>
    </row>
    <row r="595">
      <c r="A595" s="4"/>
      <c r="B595" s="85">
        <f>IFERROR(__xludf.DUMMYFUNCTION("""COMPUTED_VALUE"""),45944.504166666666)</f>
        <v>45944.50417</v>
      </c>
      <c r="C595" s="4" t="str">
        <f>IFERROR(__xludf.DUMMYFUNCTION("""COMPUTED_VALUE""")," Enquire &amp; Coordinate with client")</f>
        <v> Enquire &amp; Coordinate with client</v>
      </c>
      <c r="E595" s="86"/>
    </row>
    <row r="596">
      <c r="A596" s="4"/>
      <c r="B596" s="85">
        <f>IFERROR(__xludf.DUMMYFUNCTION("""COMPUTED_VALUE"""),45944.50486111111)</f>
        <v>45944.50486</v>
      </c>
      <c r="C596" s="4" t="str">
        <f>IFERROR(__xludf.DUMMYFUNCTION("""COMPUTED_VALUE""")," Enquire &amp; Coordinate with client")</f>
        <v> Enquire &amp; Coordinate with client</v>
      </c>
      <c r="E596" s="86"/>
    </row>
    <row r="597">
      <c r="A597" s="4"/>
      <c r="B597" s="85">
        <f>IFERROR(__xludf.DUMMYFUNCTION("""COMPUTED_VALUE"""),45944.50555555556)</f>
        <v>45944.50556</v>
      </c>
      <c r="C597" s="4" t="str">
        <f>IFERROR(__xludf.DUMMYFUNCTION("""COMPUTED_VALUE""")," Enquire &amp; Coordinate with client")</f>
        <v> Enquire &amp; Coordinate with client</v>
      </c>
      <c r="E597" s="86"/>
    </row>
    <row r="598">
      <c r="A598" s="4"/>
      <c r="B598" s="85">
        <f>IFERROR(__xludf.DUMMYFUNCTION("""COMPUTED_VALUE"""),45944.506944444445)</f>
        <v>45944.50694</v>
      </c>
      <c r="C598" s="4" t="str">
        <f>IFERROR(__xludf.DUMMYFUNCTION("""COMPUTED_VALUE""")," Enquire &amp; Coordinate with client")</f>
        <v> Enquire &amp; Coordinate with client</v>
      </c>
      <c r="E598" s="86"/>
    </row>
    <row r="599">
      <c r="A599" s="4"/>
      <c r="B599" s="85">
        <f>IFERROR(__xludf.DUMMYFUNCTION("""COMPUTED_VALUE"""),45944.50833333333)</f>
        <v>45944.50833</v>
      </c>
      <c r="C599" s="4" t="str">
        <f>IFERROR(__xludf.DUMMYFUNCTION("""COMPUTED_VALUE""")," Enquire &amp; Coordinate with client")</f>
        <v> Enquire &amp; Coordinate with client</v>
      </c>
      <c r="E599" s="86"/>
    </row>
    <row r="600">
      <c r="A600" s="4"/>
      <c r="B600" s="85">
        <f>IFERROR(__xludf.DUMMYFUNCTION("""COMPUTED_VALUE"""),45944.50902777778)</f>
        <v>45944.50903</v>
      </c>
      <c r="C600" s="4" t="str">
        <f>IFERROR(__xludf.DUMMYFUNCTION("""COMPUTED_VALUE""")," Enquire &amp; Coordinate with client")</f>
        <v> Enquire &amp; Coordinate with client</v>
      </c>
      <c r="E600" s="86"/>
    </row>
    <row r="601">
      <c r="A601" s="4"/>
      <c r="B601" s="85">
        <f>IFERROR(__xludf.DUMMYFUNCTION("""COMPUTED_VALUE"""),45944.51111111111)</f>
        <v>45944.51111</v>
      </c>
      <c r="C601" s="4" t="str">
        <f>IFERROR(__xludf.DUMMYFUNCTION("""COMPUTED_VALUE""")," Enquire &amp; Coordinate with client")</f>
        <v> Enquire &amp; Coordinate with client</v>
      </c>
      <c r="E601" s="86"/>
    </row>
    <row r="602">
      <c r="A602" s="4"/>
      <c r="B602" s="85">
        <f>IFERROR(__xludf.DUMMYFUNCTION("""COMPUTED_VALUE"""),45944.70416666666)</f>
        <v>45944.70417</v>
      </c>
      <c r="C602" s="4" t="str">
        <f>IFERROR(__xludf.DUMMYFUNCTION("""COMPUTED_VALUE""")," Enquire &amp; Coordinate with client")</f>
        <v> Enquire &amp; Coordinate with client</v>
      </c>
      <c r="E602" s="86"/>
    </row>
    <row r="603">
      <c r="A603" s="4"/>
      <c r="B603" s="85">
        <f>IFERROR(__xludf.DUMMYFUNCTION("""COMPUTED_VALUE"""),45954.617361111115)</f>
        <v>45954.61736</v>
      </c>
      <c r="C603" s="4" t="str">
        <f>IFERROR(__xludf.DUMMYFUNCTION("""COMPUTED_VALUE""")," Enquire &amp; Coordinate with client")</f>
        <v> Enquire &amp; Coordinate with client</v>
      </c>
      <c r="E603" s="86"/>
    </row>
    <row r="604">
      <c r="A604" s="4"/>
      <c r="B604" s="85">
        <f>IFERROR(__xludf.DUMMYFUNCTION("""COMPUTED_VALUE"""),45954.64166666666)</f>
        <v>45954.64167</v>
      </c>
      <c r="C604" s="4" t="str">
        <f>IFERROR(__xludf.DUMMYFUNCTION("""COMPUTED_VALUE""")," Enquire &amp; Coordinate with client")</f>
        <v> Enquire &amp; Coordinate with client</v>
      </c>
      <c r="E604" s="86"/>
    </row>
    <row r="605">
      <c r="A605" s="4"/>
      <c r="B605" s="85">
        <f>IFERROR(__xludf.DUMMYFUNCTION("""COMPUTED_VALUE"""),45954.65902777778)</f>
        <v>45954.65903</v>
      </c>
      <c r="C605" s="4" t="str">
        <f>IFERROR(__xludf.DUMMYFUNCTION("""COMPUTED_VALUE""")," Enquire &amp; Coordinate with client")</f>
        <v> Enquire &amp; Coordinate with client</v>
      </c>
      <c r="E605" s="86"/>
    </row>
    <row r="606">
      <c r="A606" s="4"/>
      <c r="B606" s="85">
        <f>IFERROR(__xludf.DUMMYFUNCTION("""COMPUTED_VALUE"""),45970.481944444444)</f>
        <v>45970.48194</v>
      </c>
      <c r="C606" s="4" t="str">
        <f>IFERROR(__xludf.DUMMYFUNCTION("""COMPUTED_VALUE""")," Enquire &amp; Coordinate with client")</f>
        <v> Enquire &amp; Coordinate with client</v>
      </c>
      <c r="E606" s="86"/>
    </row>
    <row r="607">
      <c r="A607" s="4"/>
      <c r="B607" s="85">
        <f>IFERROR(__xludf.DUMMYFUNCTION("""COMPUTED_VALUE"""),45970.48611111111)</f>
        <v>45970.48611</v>
      </c>
      <c r="C607" s="4" t="str">
        <f>IFERROR(__xludf.DUMMYFUNCTION("""COMPUTED_VALUE""")," Enquire &amp; Coordinate with client")</f>
        <v> Enquire &amp; Coordinate with client</v>
      </c>
      <c r="E607" s="86"/>
    </row>
    <row r="608">
      <c r="A608" s="4"/>
      <c r="B608" s="85">
        <f>IFERROR(__xludf.DUMMYFUNCTION("""COMPUTED_VALUE"""),45970.48958333333)</f>
        <v>45970.48958</v>
      </c>
      <c r="C608" s="4" t="str">
        <f>IFERROR(__xludf.DUMMYFUNCTION("""COMPUTED_VALUE""")," Enquire &amp; Coordinate with client")</f>
        <v> Enquire &amp; Coordinate with client</v>
      </c>
      <c r="E608" s="86"/>
    </row>
    <row r="609">
      <c r="A609" s="4"/>
      <c r="B609" s="85">
        <f>IFERROR(__xludf.DUMMYFUNCTION("""COMPUTED_VALUE"""),45970.49166666667)</f>
        <v>45970.49167</v>
      </c>
      <c r="C609" s="4" t="str">
        <f>IFERROR(__xludf.DUMMYFUNCTION("""COMPUTED_VALUE""")," Enquire &amp; Coordinate with client")</f>
        <v> Enquire &amp; Coordinate with client</v>
      </c>
      <c r="E609" s="86"/>
    </row>
    <row r="610">
      <c r="A610" s="4"/>
      <c r="B610" s="85">
        <f>IFERROR(__xludf.DUMMYFUNCTION("""COMPUTED_VALUE"""),45970.660416666666)</f>
        <v>45970.66042</v>
      </c>
      <c r="C610" s="4" t="str">
        <f>IFERROR(__xludf.DUMMYFUNCTION("""COMPUTED_VALUE""")," Enquire &amp; Coordinate with client")</f>
        <v> Enquire &amp; Coordinate with client</v>
      </c>
      <c r="E610" s="86"/>
    </row>
    <row r="611">
      <c r="A611" s="4"/>
      <c r="B611" s="85">
        <f>IFERROR(__xludf.DUMMYFUNCTION("""COMPUTED_VALUE"""),45970.66527777778)</f>
        <v>45970.66528</v>
      </c>
      <c r="C611" s="4" t="str">
        <f>IFERROR(__xludf.DUMMYFUNCTION("""COMPUTED_VALUE""")," Enquire &amp; Coordinate with client")</f>
        <v> Enquire &amp; Coordinate with client</v>
      </c>
      <c r="E611" s="86"/>
    </row>
    <row r="612">
      <c r="A612" s="4"/>
      <c r="B612" s="85">
        <f>IFERROR(__xludf.DUMMYFUNCTION("""COMPUTED_VALUE"""),45970.665972222225)</f>
        <v>45970.66597</v>
      </c>
      <c r="C612" s="4" t="str">
        <f>IFERROR(__xludf.DUMMYFUNCTION("""COMPUTED_VALUE""")," Enquire &amp; Coordinate with client")</f>
        <v> Enquire &amp; Coordinate with client</v>
      </c>
      <c r="E612" s="86"/>
    </row>
    <row r="613">
      <c r="A613" s="4"/>
      <c r="B613" s="85">
        <f>IFERROR(__xludf.DUMMYFUNCTION("""COMPUTED_VALUE"""),45970.66736111111)</f>
        <v>45970.66736</v>
      </c>
      <c r="C613" s="4" t="str">
        <f>IFERROR(__xludf.DUMMYFUNCTION("""COMPUTED_VALUE""")," Enquire &amp; Coordinate with client")</f>
        <v> Enquire &amp; Coordinate with client</v>
      </c>
      <c r="E613" s="86"/>
    </row>
    <row r="614">
      <c r="A614" s="4"/>
      <c r="B614" s="85">
        <f>IFERROR(__xludf.DUMMYFUNCTION("""COMPUTED_VALUE"""),45970.66875)</f>
        <v>45970.66875</v>
      </c>
      <c r="C614" s="4" t="str">
        <f>IFERROR(__xludf.DUMMYFUNCTION("""COMPUTED_VALUE""")," Enquire &amp; Coordinate with client")</f>
        <v> Enquire &amp; Coordinate with client</v>
      </c>
      <c r="E614" s="86"/>
    </row>
    <row r="615">
      <c r="A615" s="4"/>
      <c r="B615" s="85">
        <f>IFERROR(__xludf.DUMMYFUNCTION("""COMPUTED_VALUE"""),45973.523611111115)</f>
        <v>45973.52361</v>
      </c>
      <c r="C615" s="4" t="str">
        <f>IFERROR(__xludf.DUMMYFUNCTION("""COMPUTED_VALUE""")," Enquire &amp; Coordinate with client")</f>
        <v> Enquire &amp; Coordinate with client</v>
      </c>
      <c r="E615" s="86"/>
    </row>
    <row r="616">
      <c r="A616" s="4"/>
      <c r="B616" s="85">
        <f>IFERROR(__xludf.DUMMYFUNCTION("""COMPUTED_VALUE"""),45973.55416666667)</f>
        <v>45973.55417</v>
      </c>
      <c r="C616" s="4" t="str">
        <f>IFERROR(__xludf.DUMMYFUNCTION("""COMPUTED_VALUE""")," Enquire &amp; Coordinate with client")</f>
        <v> Enquire &amp; Coordinate with client</v>
      </c>
      <c r="E616" s="86"/>
    </row>
    <row r="617">
      <c r="A617" s="4"/>
      <c r="B617" s="85">
        <f>IFERROR(__xludf.DUMMYFUNCTION("""COMPUTED_VALUE"""),45973.575694444444)</f>
        <v>45973.57569</v>
      </c>
      <c r="C617" s="4" t="str">
        <f>IFERROR(__xludf.DUMMYFUNCTION("""COMPUTED_VALUE""")," Enquire &amp; Coordinate with client")</f>
        <v> Enquire &amp; Coordinate with client</v>
      </c>
      <c r="E617" s="86"/>
    </row>
    <row r="618">
      <c r="A618" s="4"/>
      <c r="B618" s="85">
        <f>IFERROR(__xludf.DUMMYFUNCTION("""COMPUTED_VALUE"""),45973.57708333334)</f>
        <v>45973.57708</v>
      </c>
      <c r="C618" s="4" t="str">
        <f>IFERROR(__xludf.DUMMYFUNCTION("""COMPUTED_VALUE""")," Enquire &amp; Coordinate with client")</f>
        <v> Enquire &amp; Coordinate with client</v>
      </c>
      <c r="E618" s="86"/>
    </row>
    <row r="619">
      <c r="A619" s="4"/>
      <c r="B619" s="85">
        <f>IFERROR(__xludf.DUMMYFUNCTION("""COMPUTED_VALUE"""),45973.57847222222)</f>
        <v>45973.57847</v>
      </c>
      <c r="C619" s="4" t="str">
        <f>IFERROR(__xludf.DUMMYFUNCTION("""COMPUTED_VALUE""")," Enquire &amp; Coordinate with client")</f>
        <v> Enquire &amp; Coordinate with client</v>
      </c>
      <c r="E619" s="86"/>
    </row>
    <row r="620">
      <c r="A620" s="4"/>
      <c r="B620" s="85">
        <f>IFERROR(__xludf.DUMMYFUNCTION("""COMPUTED_VALUE"""),45973.57916666666)</f>
        <v>45973.57917</v>
      </c>
      <c r="C620" s="4" t="str">
        <f>IFERROR(__xludf.DUMMYFUNCTION("""COMPUTED_VALUE""")," Enquire &amp; Coordinate with client")</f>
        <v> Enquire &amp; Coordinate with client</v>
      </c>
      <c r="E620" s="86"/>
    </row>
    <row r="621">
      <c r="A621" s="4"/>
      <c r="B621" s="85">
        <f>IFERROR(__xludf.DUMMYFUNCTION("""COMPUTED_VALUE"""),45979.61666666667)</f>
        <v>45979.61667</v>
      </c>
      <c r="C621" s="4" t="str">
        <f>IFERROR(__xludf.DUMMYFUNCTION("""COMPUTED_VALUE""")," Enquire &amp; Coordinate with client")</f>
        <v> Enquire &amp; Coordinate with client</v>
      </c>
      <c r="E621" s="86"/>
    </row>
    <row r="622">
      <c r="A622" s="4"/>
      <c r="B622" s="85">
        <f>IFERROR(__xludf.DUMMYFUNCTION("""COMPUTED_VALUE"""),45979.61944444444)</f>
        <v>45979.61944</v>
      </c>
      <c r="C622" s="4" t="str">
        <f>IFERROR(__xludf.DUMMYFUNCTION("""COMPUTED_VALUE""")," Enquire &amp; Coordinate with client")</f>
        <v> Enquire &amp; Coordinate with client</v>
      </c>
      <c r="E622" s="86"/>
    </row>
    <row r="623">
      <c r="A623" s="4"/>
      <c r="B623" s="85">
        <f>IFERROR(__xludf.DUMMYFUNCTION("""COMPUTED_VALUE"""),45990.554861111115)</f>
        <v>45990.55486</v>
      </c>
      <c r="C623" s="4" t="str">
        <f>IFERROR(__xludf.DUMMYFUNCTION("""COMPUTED_VALUE""")," Enquire &amp; Coordinate with client")</f>
        <v> Enquire &amp; Coordinate with client</v>
      </c>
      <c r="E623" s="86"/>
    </row>
    <row r="624">
      <c r="A624" s="4"/>
      <c r="B624" s="85">
        <f>IFERROR(__xludf.DUMMYFUNCTION("""COMPUTED_VALUE"""),45990.55625)</f>
        <v>45990.55625</v>
      </c>
      <c r="C624" s="4" t="str">
        <f>IFERROR(__xludf.DUMMYFUNCTION("""COMPUTED_VALUE""")," Enquire &amp; Coordinate with client")</f>
        <v> Enquire &amp; Coordinate with client</v>
      </c>
      <c r="E624" s="86"/>
    </row>
    <row r="625">
      <c r="A625" s="4"/>
      <c r="B625" s="85">
        <f>IFERROR(__xludf.DUMMYFUNCTION("""COMPUTED_VALUE"""),46051.78125)</f>
        <v>46051.78125</v>
      </c>
      <c r="C625" s="4" t="str">
        <f>IFERROR(__xludf.DUMMYFUNCTION("""COMPUTED_VALUE""")," Enquire &amp; Coordinate with client")</f>
        <v> Enquire &amp; Coordinate with client</v>
      </c>
      <c r="E625" s="86"/>
    </row>
    <row r="626">
      <c r="A626" s="4"/>
      <c r="B626" s="85">
        <f>IFERROR(__xludf.DUMMYFUNCTION("""COMPUTED_VALUE"""),46051.79791666666)</f>
        <v>46051.79792</v>
      </c>
      <c r="C626" s="4" t="str">
        <f>IFERROR(__xludf.DUMMYFUNCTION("""COMPUTED_VALUE""")," Enquire &amp; Coordinate with client")</f>
        <v> Enquire &amp; Coordinate with client</v>
      </c>
      <c r="E626" s="86"/>
    </row>
    <row r="627">
      <c r="A627" s="4"/>
      <c r="B627" s="85">
        <f>IFERROR(__xludf.DUMMYFUNCTION("""COMPUTED_VALUE"""),46052.660416666666)</f>
        <v>46052.66042</v>
      </c>
      <c r="C627" s="4" t="str">
        <f>IFERROR(__xludf.DUMMYFUNCTION("""COMPUTED_VALUE""")," Enquire &amp; Coordinate with client")</f>
        <v> Enquire &amp; Coordinate with client</v>
      </c>
      <c r="E627" s="86"/>
    </row>
    <row r="628">
      <c r="A628" s="4"/>
      <c r="B628" s="85">
        <f>IFERROR(__xludf.DUMMYFUNCTION("""COMPUTED_VALUE"""),46052.66180555556)</f>
        <v>46052.66181</v>
      </c>
      <c r="C628" s="4" t="str">
        <f>IFERROR(__xludf.DUMMYFUNCTION("""COMPUTED_VALUE""")," Enquire &amp; Coordinate with client")</f>
        <v> Enquire &amp; Coordinate with client</v>
      </c>
      <c r="E628" s="86"/>
    </row>
    <row r="629">
      <c r="A629" s="4"/>
      <c r="B629" s="85">
        <f>IFERROR(__xludf.DUMMYFUNCTION("""COMPUTED_VALUE"""),46052.69930555555)</f>
        <v>46052.69931</v>
      </c>
      <c r="C629" s="4" t="str">
        <f>IFERROR(__xludf.DUMMYFUNCTION("""COMPUTED_VALUE""")," Enquire &amp; Coordinate with client")</f>
        <v> Enquire &amp; Coordinate with client</v>
      </c>
      <c r="E629" s="86"/>
    </row>
    <row r="630">
      <c r="A630" s="4"/>
      <c r="B630" s="85">
        <f>IFERROR(__xludf.DUMMYFUNCTION("""COMPUTED_VALUE"""),46052.7)</f>
        <v>46052.7</v>
      </c>
      <c r="C630" s="4" t="str">
        <f>IFERROR(__xludf.DUMMYFUNCTION("""COMPUTED_VALUE""")," Enquire &amp; Coordinate with client")</f>
        <v> Enquire &amp; Coordinate with client</v>
      </c>
      <c r="E630" s="86"/>
    </row>
    <row r="631">
      <c r="A631" s="4"/>
      <c r="B631" s="85">
        <f>IFERROR(__xludf.DUMMYFUNCTION("""COMPUTED_VALUE"""),46052.774305555555)</f>
        <v>46052.77431</v>
      </c>
      <c r="C631" s="4" t="str">
        <f>IFERROR(__xludf.DUMMYFUNCTION("""COMPUTED_VALUE""")," Enquire &amp; Coordinate with client")</f>
        <v> Enquire &amp; Coordinate with client</v>
      </c>
      <c r="E631" s="86"/>
    </row>
    <row r="632">
      <c r="A632" s="4"/>
      <c r="B632" s="85">
        <f>IFERROR(__xludf.DUMMYFUNCTION("""COMPUTED_VALUE"""),46052.77569444444)</f>
        <v>46052.77569</v>
      </c>
      <c r="C632" s="4" t="str">
        <f>IFERROR(__xludf.DUMMYFUNCTION("""COMPUTED_VALUE""")," Enquire &amp; Coordinate with client")</f>
        <v> Enquire &amp; Coordinate with client</v>
      </c>
      <c r="E632" s="86"/>
    </row>
    <row r="633">
      <c r="A633" s="4"/>
      <c r="B633" s="85">
        <f>IFERROR(__xludf.DUMMYFUNCTION("""COMPUTED_VALUE"""),46052.785416666666)</f>
        <v>46052.78542</v>
      </c>
      <c r="C633" s="4" t="str">
        <f>IFERROR(__xludf.DUMMYFUNCTION("""COMPUTED_VALUE""")," Enquire &amp; Coordinate with client")</f>
        <v> Enquire &amp; Coordinate with client</v>
      </c>
      <c r="E633" s="86"/>
    </row>
    <row r="634">
      <c r="A634" s="4"/>
      <c r="B634" s="85">
        <f>IFERROR(__xludf.DUMMYFUNCTION("""COMPUTED_VALUE"""),46054.78402777778)</f>
        <v>46054.78403</v>
      </c>
      <c r="C634" s="4" t="str">
        <f>IFERROR(__xludf.DUMMYFUNCTION("""COMPUTED_VALUE""")," Enquire &amp; Coordinate with client")</f>
        <v> Enquire &amp; Coordinate with client</v>
      </c>
      <c r="E634" s="86"/>
    </row>
    <row r="635">
      <c r="A635" s="4"/>
      <c r="B635" s="85">
        <f>IFERROR(__xludf.DUMMYFUNCTION("""COMPUTED_VALUE"""),46054.785416666666)</f>
        <v>46054.78542</v>
      </c>
      <c r="C635" s="4" t="str">
        <f>IFERROR(__xludf.DUMMYFUNCTION("""COMPUTED_VALUE""")," Enquire &amp; Coordinate with client")</f>
        <v> Enquire &amp; Coordinate with client</v>
      </c>
      <c r="E635" s="86"/>
    </row>
    <row r="636">
      <c r="A636" s="4"/>
      <c r="B636" s="85">
        <f>IFERROR(__xludf.DUMMYFUNCTION("""COMPUTED_VALUE"""),46054.78958333333)</f>
        <v>46054.78958</v>
      </c>
      <c r="C636" s="4" t="str">
        <f>IFERROR(__xludf.DUMMYFUNCTION("""COMPUTED_VALUE""")," Enquire &amp; Coordinate with client")</f>
        <v> Enquire &amp; Coordinate with client</v>
      </c>
      <c r="E636" s="86"/>
    </row>
    <row r="637">
      <c r="A637" s="4"/>
      <c r="B637" s="85">
        <f>IFERROR(__xludf.DUMMYFUNCTION("""COMPUTED_VALUE"""),46054.794444444444)</f>
        <v>46054.79444</v>
      </c>
      <c r="C637" s="4" t="str">
        <f>IFERROR(__xludf.DUMMYFUNCTION("""COMPUTED_VALUE""")," Enquire &amp; Coordinate with client")</f>
        <v> Enquire &amp; Coordinate with client</v>
      </c>
      <c r="E637" s="86"/>
    </row>
    <row r="638">
      <c r="A638" s="4"/>
      <c r="B638" s="85">
        <f>IFERROR(__xludf.DUMMYFUNCTION("""COMPUTED_VALUE"""),46056.67013888889)</f>
        <v>46056.67014</v>
      </c>
      <c r="C638" s="4" t="str">
        <f>IFERROR(__xludf.DUMMYFUNCTION("""COMPUTED_VALUE""")," Enquire &amp; Coordinate with client")</f>
        <v> Enquire &amp; Coordinate with client</v>
      </c>
      <c r="E638" s="86"/>
    </row>
    <row r="639">
      <c r="A639" s="4"/>
      <c r="B639" s="85">
        <f>IFERROR(__xludf.DUMMYFUNCTION("""COMPUTED_VALUE"""),46056.691666666666)</f>
        <v>46056.69167</v>
      </c>
      <c r="C639" s="4" t="str">
        <f>IFERROR(__xludf.DUMMYFUNCTION("""COMPUTED_VALUE""")," Enquire &amp; Coordinate with client")</f>
        <v> Enquire &amp; Coordinate with client</v>
      </c>
      <c r="E639" s="86"/>
    </row>
    <row r="640">
      <c r="A640" s="4"/>
      <c r="B640" s="85">
        <f>IFERROR(__xludf.DUMMYFUNCTION("""COMPUTED_VALUE"""),46056.694444444445)</f>
        <v>46056.69444</v>
      </c>
      <c r="C640" s="4" t="str">
        <f>IFERROR(__xludf.DUMMYFUNCTION("""COMPUTED_VALUE""")," Enquire &amp; Coordinate with client")</f>
        <v> Enquire &amp; Coordinate with client</v>
      </c>
      <c r="E640" s="86"/>
    </row>
    <row r="641">
      <c r="A641" s="4"/>
      <c r="B641" s="85">
        <f>IFERROR(__xludf.DUMMYFUNCTION("""COMPUTED_VALUE"""),46057.64444444445)</f>
        <v>46057.64444</v>
      </c>
      <c r="C641" s="4" t="str">
        <f>IFERROR(__xludf.DUMMYFUNCTION("""COMPUTED_VALUE""")," Enquire &amp; Coordinate with client")</f>
        <v> Enquire &amp; Coordinate with client</v>
      </c>
      <c r="E641" s="86"/>
    </row>
    <row r="642">
      <c r="A642" s="4"/>
      <c r="B642" s="85">
        <f>IFERROR(__xludf.DUMMYFUNCTION("""COMPUTED_VALUE"""),46063.69027777778)</f>
        <v>46063.69028</v>
      </c>
      <c r="C642" s="4" t="str">
        <f>IFERROR(__xludf.DUMMYFUNCTION("""COMPUTED_VALUE""")," Enquire &amp; Coordinate with client")</f>
        <v> Enquire &amp; Coordinate with client</v>
      </c>
      <c r="E642" s="86"/>
    </row>
    <row r="643">
      <c r="A643" s="4"/>
      <c r="B643" s="85">
        <f>IFERROR(__xludf.DUMMYFUNCTION("""COMPUTED_VALUE"""),46064.638194444444)</f>
        <v>46064.63819</v>
      </c>
      <c r="C643" s="4" t="str">
        <f>IFERROR(__xludf.DUMMYFUNCTION("""COMPUTED_VALUE""")," Enquire &amp; Coordinate with client")</f>
        <v> Enquire &amp; Coordinate with client</v>
      </c>
      <c r="E643" s="86"/>
    </row>
    <row r="644">
      <c r="A644" s="4"/>
      <c r="B644" s="85">
        <f>IFERROR(__xludf.DUMMYFUNCTION("""COMPUTED_VALUE"""),46064.68194444444)</f>
        <v>46064.68194</v>
      </c>
      <c r="C644" s="4" t="str">
        <f>IFERROR(__xludf.DUMMYFUNCTION("""COMPUTED_VALUE""")," Enquire &amp; Coordinate with client")</f>
        <v> Enquire &amp; Coordinate with client</v>
      </c>
      <c r="E644" s="86"/>
    </row>
    <row r="645">
      <c r="A645" s="4"/>
      <c r="B645" s="85">
        <f>IFERROR(__xludf.DUMMYFUNCTION("""COMPUTED_VALUE"""),46064.68263888889)</f>
        <v>46064.68264</v>
      </c>
      <c r="C645" s="4" t="str">
        <f>IFERROR(__xludf.DUMMYFUNCTION("""COMPUTED_VALUE""")," Enquire &amp; Coordinate with client")</f>
        <v> Enquire &amp; Coordinate with client</v>
      </c>
      <c r="E645" s="86"/>
    </row>
    <row r="646">
      <c r="A646" s="4"/>
      <c r="B646" s="85">
        <f>IFERROR(__xludf.DUMMYFUNCTION("""COMPUTED_VALUE"""),46064.73055555555)</f>
        <v>46064.73056</v>
      </c>
      <c r="C646" s="4" t="str">
        <f>IFERROR(__xludf.DUMMYFUNCTION("""COMPUTED_VALUE""")," Enquire &amp; Coordinate with client")</f>
        <v> Enquire &amp; Coordinate with client</v>
      </c>
      <c r="E646" s="86"/>
    </row>
    <row r="647">
      <c r="A647" s="4"/>
      <c r="B647" s="85">
        <f>IFERROR(__xludf.DUMMYFUNCTION("""COMPUTED_VALUE"""),46064.7375)</f>
        <v>46064.7375</v>
      </c>
      <c r="C647" s="4" t="str">
        <f>IFERROR(__xludf.DUMMYFUNCTION("""COMPUTED_VALUE""")," Enquire &amp; Coordinate with client")</f>
        <v> Enquire &amp; Coordinate with client</v>
      </c>
      <c r="E647" s="86"/>
    </row>
    <row r="648">
      <c r="A648" s="4"/>
      <c r="B648" s="85">
        <f>IFERROR(__xludf.DUMMYFUNCTION("""COMPUTED_VALUE"""),46064.74097222222)</f>
        <v>46064.74097</v>
      </c>
      <c r="C648" s="4" t="str">
        <f>IFERROR(__xludf.DUMMYFUNCTION("""COMPUTED_VALUE""")," Enquire &amp; Coordinate with client")</f>
        <v> Enquire &amp; Coordinate with client</v>
      </c>
      <c r="E648" s="86"/>
    </row>
    <row r="649">
      <c r="A649" s="4"/>
      <c r="B649" s="85">
        <f>IFERROR(__xludf.DUMMYFUNCTION("""COMPUTED_VALUE"""),46066.55625)</f>
        <v>46066.55625</v>
      </c>
      <c r="C649" s="4" t="str">
        <f>IFERROR(__xludf.DUMMYFUNCTION("""COMPUTED_VALUE""")," Enquire &amp; Coordinate with client")</f>
        <v> Enquire &amp; Coordinate with client</v>
      </c>
      <c r="E649" s="86"/>
    </row>
    <row r="650">
      <c r="A650" s="4"/>
      <c r="B650" s="85">
        <f>IFERROR(__xludf.DUMMYFUNCTION("""COMPUTED_VALUE"""),46067.67291666666)</f>
        <v>46067.67292</v>
      </c>
      <c r="C650" s="4" t="str">
        <f>IFERROR(__xludf.DUMMYFUNCTION("""COMPUTED_VALUE""")," Enquire &amp; Coordinate with client")</f>
        <v> Enquire &amp; Coordinate with client</v>
      </c>
      <c r="E650" s="86"/>
    </row>
    <row r="651">
      <c r="A651" s="4"/>
      <c r="B651" s="85">
        <f>IFERROR(__xludf.DUMMYFUNCTION("""COMPUTED_VALUE"""),46072.62986111111)</f>
        <v>46072.62986</v>
      </c>
      <c r="C651" s="4" t="str">
        <f>IFERROR(__xludf.DUMMYFUNCTION("""COMPUTED_VALUE""")," Enquire &amp; Coordinate with client")</f>
        <v> Enquire &amp; Coordinate with client</v>
      </c>
      <c r="E651" s="86"/>
    </row>
    <row r="652">
      <c r="A652" s="4"/>
      <c r="B652" s="85">
        <f>IFERROR(__xludf.DUMMYFUNCTION("""COMPUTED_VALUE"""),46072.631944444445)</f>
        <v>46072.63194</v>
      </c>
      <c r="C652" s="4" t="str">
        <f>IFERROR(__xludf.DUMMYFUNCTION("""COMPUTED_VALUE""")," Enquire &amp; Coordinate with client")</f>
        <v> Enquire &amp; Coordinate with client</v>
      </c>
      <c r="E652" s="86"/>
    </row>
    <row r="653">
      <c r="A653" s="4"/>
      <c r="B653" s="85">
        <f>IFERROR(__xludf.DUMMYFUNCTION("""COMPUTED_VALUE"""),46072.63541666667)</f>
        <v>46072.63542</v>
      </c>
      <c r="C653" s="4" t="str">
        <f>IFERROR(__xludf.DUMMYFUNCTION("""COMPUTED_VALUE""")," Enquire &amp; Coordinate with client")</f>
        <v> Enquire &amp; Coordinate with client</v>
      </c>
      <c r="E653" s="86"/>
    </row>
    <row r="654">
      <c r="A654" s="4"/>
      <c r="B654" s="85">
        <f>IFERROR(__xludf.DUMMYFUNCTION("""COMPUTED_VALUE"""),46072.65069444444)</f>
        <v>46072.65069</v>
      </c>
      <c r="C654" s="4" t="str">
        <f>IFERROR(__xludf.DUMMYFUNCTION("""COMPUTED_VALUE""")," Enquire &amp; Coordinate with client")</f>
        <v> Enquire &amp; Coordinate with client</v>
      </c>
      <c r="E654" s="86"/>
    </row>
    <row r="655">
      <c r="A655" s="4"/>
      <c r="B655" s="85">
        <f>IFERROR(__xludf.DUMMYFUNCTION("""COMPUTED_VALUE"""),46072.68958333333)</f>
        <v>46072.68958</v>
      </c>
      <c r="C655" s="4" t="str">
        <f>IFERROR(__xludf.DUMMYFUNCTION("""COMPUTED_VALUE""")," Enquire &amp; Coordinate with client")</f>
        <v> Enquire &amp; Coordinate with client</v>
      </c>
      <c r="E655" s="86"/>
    </row>
    <row r="656">
      <c r="A656" s="4"/>
      <c r="B656" s="85">
        <f>IFERROR(__xludf.DUMMYFUNCTION("""COMPUTED_VALUE"""),46072.69027777778)</f>
        <v>46072.69028</v>
      </c>
      <c r="C656" s="4" t="str">
        <f>IFERROR(__xludf.DUMMYFUNCTION("""COMPUTED_VALUE""")," Enquire &amp; Coordinate with client")</f>
        <v> Enquire &amp; Coordinate with client</v>
      </c>
      <c r="E656" s="86"/>
    </row>
    <row r="657">
      <c r="A657" s="4"/>
      <c r="B657" s="85">
        <f>IFERROR(__xludf.DUMMYFUNCTION("""COMPUTED_VALUE"""),46072.691666666666)</f>
        <v>46072.69167</v>
      </c>
      <c r="C657" s="4" t="str">
        <f>IFERROR(__xludf.DUMMYFUNCTION("""COMPUTED_VALUE""")," Enquire &amp; Coordinate with client")</f>
        <v> Enquire &amp; Coordinate with client</v>
      </c>
      <c r="E657" s="86"/>
    </row>
    <row r="658">
      <c r="A658" s="4"/>
      <c r="B658" s="85">
        <f>IFERROR(__xludf.DUMMYFUNCTION("""COMPUTED_VALUE"""),46072.69375)</f>
        <v>46072.69375</v>
      </c>
      <c r="C658" s="4" t="str">
        <f>IFERROR(__xludf.DUMMYFUNCTION("""COMPUTED_VALUE""")," Enquire &amp; Coordinate with client")</f>
        <v> Enquire &amp; Coordinate with client</v>
      </c>
      <c r="E658" s="86"/>
    </row>
    <row r="659">
      <c r="A659" s="4"/>
      <c r="B659" s="85">
        <f>IFERROR(__xludf.DUMMYFUNCTION("""COMPUTED_VALUE"""),46072.69652777778)</f>
        <v>46072.69653</v>
      </c>
      <c r="C659" s="4" t="str">
        <f>IFERROR(__xludf.DUMMYFUNCTION("""COMPUTED_VALUE""")," Enquire &amp; Coordinate with client")</f>
        <v> Enquire &amp; Coordinate with client</v>
      </c>
      <c r="E659" s="86"/>
    </row>
    <row r="660">
      <c r="A660" s="4"/>
      <c r="B660" s="85">
        <f>IFERROR(__xludf.DUMMYFUNCTION("""COMPUTED_VALUE"""),46072.697222222225)</f>
        <v>46072.69722</v>
      </c>
      <c r="C660" s="4" t="str">
        <f>IFERROR(__xludf.DUMMYFUNCTION("""COMPUTED_VALUE""")," Enquire &amp; Coordinate with client")</f>
        <v> Enquire &amp; Coordinate with client</v>
      </c>
      <c r="E660" s="86"/>
    </row>
    <row r="661">
      <c r="A661" s="4"/>
      <c r="B661" s="85">
        <f>IFERROR(__xludf.DUMMYFUNCTION("""COMPUTED_VALUE"""),46072.69791666667)</f>
        <v>46072.69792</v>
      </c>
      <c r="C661" s="4" t="str">
        <f>IFERROR(__xludf.DUMMYFUNCTION("""COMPUTED_VALUE""")," Enquire &amp; Coordinate with client")</f>
        <v> Enquire &amp; Coordinate with client</v>
      </c>
      <c r="E661" s="86"/>
    </row>
    <row r="662">
      <c r="A662" s="4"/>
      <c r="B662" s="85">
        <f>IFERROR(__xludf.DUMMYFUNCTION("""COMPUTED_VALUE"""),46072.69930555555)</f>
        <v>46072.69931</v>
      </c>
      <c r="C662" s="4" t="str">
        <f>IFERROR(__xludf.DUMMYFUNCTION("""COMPUTED_VALUE""")," Enquire &amp; Coordinate with client")</f>
        <v> Enquire &amp; Coordinate with client</v>
      </c>
      <c r="E662" s="86"/>
    </row>
    <row r="663">
      <c r="A663" s="4"/>
      <c r="B663" s="85">
        <f>IFERROR(__xludf.DUMMYFUNCTION("""COMPUTED_VALUE"""),46072.725694444445)</f>
        <v>46072.72569</v>
      </c>
      <c r="C663" s="4" t="str">
        <f>IFERROR(__xludf.DUMMYFUNCTION("""COMPUTED_VALUE""")," Enquire &amp; Coordinate with client")</f>
        <v> Enquire &amp; Coordinate with client</v>
      </c>
      <c r="E663" s="86"/>
    </row>
    <row r="664">
      <c r="A664" s="4"/>
      <c r="B664" s="85">
        <f>IFERROR(__xludf.DUMMYFUNCTION("""COMPUTED_VALUE"""),46073.62708333333)</f>
        <v>46073.62708</v>
      </c>
      <c r="C664" s="4" t="str">
        <f>IFERROR(__xludf.DUMMYFUNCTION("""COMPUTED_VALUE""")," Enquire &amp; Coordinate with client")</f>
        <v> Enquire &amp; Coordinate with client</v>
      </c>
      <c r="E664" s="86"/>
    </row>
    <row r="665">
      <c r="A665" s="4"/>
      <c r="B665" s="85">
        <f>IFERROR(__xludf.DUMMYFUNCTION("""COMPUTED_VALUE"""),46074.575694444444)</f>
        <v>46074.57569</v>
      </c>
      <c r="C665" s="4" t="str">
        <f>IFERROR(__xludf.DUMMYFUNCTION("""COMPUTED_VALUE""")," Enquire &amp; Coordinate with client")</f>
        <v> Enquire &amp; Coordinate with client</v>
      </c>
      <c r="E665" s="86"/>
    </row>
    <row r="666">
      <c r="A666" s="4"/>
      <c r="B666" s="85">
        <f>IFERROR(__xludf.DUMMYFUNCTION("""COMPUTED_VALUE"""),46074.57638888889)</f>
        <v>46074.57639</v>
      </c>
      <c r="C666" s="4" t="str">
        <f>IFERROR(__xludf.DUMMYFUNCTION("""COMPUTED_VALUE""")," Enquire &amp; Coordinate with client")</f>
        <v> Enquire &amp; Coordinate with client</v>
      </c>
      <c r="E666" s="86"/>
    </row>
    <row r="667">
      <c r="A667" s="4"/>
      <c r="B667" s="85">
        <f>IFERROR(__xludf.DUMMYFUNCTION("""COMPUTED_VALUE"""),46074.57777777778)</f>
        <v>46074.57778</v>
      </c>
      <c r="C667" s="4" t="str">
        <f>IFERROR(__xludf.DUMMYFUNCTION("""COMPUTED_VALUE""")," Enquire &amp; Coordinate with client")</f>
        <v> Enquire &amp; Coordinate with client</v>
      </c>
      <c r="E667" s="86"/>
    </row>
    <row r="668">
      <c r="A668" s="4"/>
      <c r="B668" s="85">
        <f>IFERROR(__xludf.DUMMYFUNCTION("""COMPUTED_VALUE"""),46074.773611111115)</f>
        <v>46074.77361</v>
      </c>
      <c r="C668" s="4" t="str">
        <f>IFERROR(__xludf.DUMMYFUNCTION("""COMPUTED_VALUE""")," Enquire &amp; Coordinate with client")</f>
        <v> Enquire &amp; Coordinate with client</v>
      </c>
      <c r="E668" s="86"/>
    </row>
    <row r="669">
      <c r="A669" s="4"/>
      <c r="B669" s="85">
        <f>IFERROR(__xludf.DUMMYFUNCTION("""COMPUTED_VALUE"""),46074.775)</f>
        <v>46074.775</v>
      </c>
      <c r="C669" s="4" t="str">
        <f>IFERROR(__xludf.DUMMYFUNCTION("""COMPUTED_VALUE""")," Enquire &amp; Coordinate with client")</f>
        <v> Enquire &amp; Coordinate with client</v>
      </c>
      <c r="E669" s="86"/>
    </row>
    <row r="670">
      <c r="A670" s="4"/>
      <c r="B670" s="85">
        <f>IFERROR(__xludf.DUMMYFUNCTION("""COMPUTED_VALUE"""),46074.77569444444)</f>
        <v>46074.77569</v>
      </c>
      <c r="C670" s="4" t="str">
        <f>IFERROR(__xludf.DUMMYFUNCTION("""COMPUTED_VALUE""")," Enquire &amp; Coordinate with client")</f>
        <v> Enquire &amp; Coordinate with client</v>
      </c>
      <c r="E670" s="86"/>
    </row>
    <row r="671">
      <c r="A671" s="4"/>
      <c r="B671" s="85">
        <f>IFERROR(__xludf.DUMMYFUNCTION("""COMPUTED_VALUE"""),46074.777083333334)</f>
        <v>46074.77708</v>
      </c>
      <c r="C671" s="4" t="str">
        <f>IFERROR(__xludf.DUMMYFUNCTION("""COMPUTED_VALUE""")," Enquire &amp; Coordinate with client")</f>
        <v> Enquire &amp; Coordinate with client</v>
      </c>
      <c r="E671" s="86"/>
    </row>
    <row r="672">
      <c r="A672" s="4"/>
      <c r="B672" s="85">
        <f>IFERROR(__xludf.DUMMYFUNCTION("""COMPUTED_VALUE"""),46074.77777777778)</f>
        <v>46074.77778</v>
      </c>
      <c r="C672" s="4" t="str">
        <f>IFERROR(__xludf.DUMMYFUNCTION("""COMPUTED_VALUE""")," Enquire &amp; Coordinate with client")</f>
        <v> Enquire &amp; Coordinate with client</v>
      </c>
      <c r="E672" s="86"/>
    </row>
    <row r="673">
      <c r="A673" s="4"/>
      <c r="B673" s="85">
        <f>IFERROR(__xludf.DUMMYFUNCTION("""COMPUTED_VALUE"""),46075.75555555556)</f>
        <v>46075.75556</v>
      </c>
      <c r="C673" s="4" t="str">
        <f>IFERROR(__xludf.DUMMYFUNCTION("""COMPUTED_VALUE""")," Enquire &amp; Coordinate with client")</f>
        <v> Enquire &amp; Coordinate with client</v>
      </c>
      <c r="E673" s="86"/>
    </row>
    <row r="674">
      <c r="A674" s="4"/>
      <c r="B674" s="85">
        <f>IFERROR(__xludf.DUMMYFUNCTION("""COMPUTED_VALUE"""),46075.756944444445)</f>
        <v>46075.75694</v>
      </c>
      <c r="C674" s="4" t="str">
        <f>IFERROR(__xludf.DUMMYFUNCTION("""COMPUTED_VALUE""")," Enquire &amp; Coordinate with client")</f>
        <v> Enquire &amp; Coordinate with client</v>
      </c>
      <c r="E674" s="86"/>
    </row>
    <row r="675">
      <c r="A675" s="4"/>
      <c r="B675" s="85">
        <f>IFERROR(__xludf.DUMMYFUNCTION("""COMPUTED_VALUE"""),46078.67708333333)</f>
        <v>46078.67708</v>
      </c>
      <c r="C675" s="4" t="str">
        <f>IFERROR(__xludf.DUMMYFUNCTION("""COMPUTED_VALUE""")," Enquire &amp; Coordinate with client")</f>
        <v> Enquire &amp; Coordinate with client</v>
      </c>
      <c r="E675" s="86"/>
    </row>
    <row r="676">
      <c r="A676" s="4"/>
      <c r="B676" s="85">
        <f>IFERROR(__xludf.DUMMYFUNCTION("""COMPUTED_VALUE"""),46078.677777777775)</f>
        <v>46078.67778</v>
      </c>
      <c r="C676" s="4" t="str">
        <f>IFERROR(__xludf.DUMMYFUNCTION("""COMPUTED_VALUE""")," Enquire &amp; Coordinate with client")</f>
        <v> Enquire &amp; Coordinate with client</v>
      </c>
      <c r="E676" s="86"/>
    </row>
    <row r="677">
      <c r="A677" s="4"/>
      <c r="B677" s="85">
        <f>IFERROR(__xludf.DUMMYFUNCTION("""COMPUTED_VALUE"""),46078.67847222222)</f>
        <v>46078.67847</v>
      </c>
      <c r="C677" s="4" t="str">
        <f>IFERROR(__xludf.DUMMYFUNCTION("""COMPUTED_VALUE""")," Enquire &amp; Coordinate with client")</f>
        <v> Enquire &amp; Coordinate with client</v>
      </c>
      <c r="E677" s="86"/>
    </row>
    <row r="678">
      <c r="A678" s="4"/>
      <c r="B678" s="85">
        <f>IFERROR(__xludf.DUMMYFUNCTION("""COMPUTED_VALUE"""),46078.700694444444)</f>
        <v>46078.70069</v>
      </c>
      <c r="C678" s="4" t="str">
        <f>IFERROR(__xludf.DUMMYFUNCTION("""COMPUTED_VALUE""")," Enquire &amp; Coordinate with client")</f>
        <v> Enquire &amp; Coordinate with client</v>
      </c>
      <c r="E678" s="86"/>
    </row>
    <row r="679">
      <c r="A679" s="4"/>
      <c r="B679" s="85">
        <f>IFERROR(__xludf.DUMMYFUNCTION("""COMPUTED_VALUE"""),46078.70208333334)</f>
        <v>46078.70208</v>
      </c>
      <c r="C679" s="4" t="str">
        <f>IFERROR(__xludf.DUMMYFUNCTION("""COMPUTED_VALUE""")," Enquire &amp; Coordinate with client")</f>
        <v> Enquire &amp; Coordinate with client</v>
      </c>
      <c r="E679" s="86"/>
    </row>
    <row r="680">
      <c r="A680" s="4"/>
      <c r="B680" s="85">
        <f>IFERROR(__xludf.DUMMYFUNCTION("""COMPUTED_VALUE"""),46078.70277777778)</f>
        <v>46078.70278</v>
      </c>
      <c r="C680" s="4" t="str">
        <f>IFERROR(__xludf.DUMMYFUNCTION("""COMPUTED_VALUE""")," Enquire &amp; Coordinate with client")</f>
        <v> Enquire &amp; Coordinate with client</v>
      </c>
      <c r="E680" s="86"/>
    </row>
    <row r="681">
      <c r="A681" s="4"/>
      <c r="B681" s="85">
        <f>IFERROR(__xludf.DUMMYFUNCTION("""COMPUTED_VALUE"""),46078.70416666666)</f>
        <v>46078.70417</v>
      </c>
      <c r="C681" s="4" t="str">
        <f>IFERROR(__xludf.DUMMYFUNCTION("""COMPUTED_VALUE""")," Enquire &amp; Coordinate with client")</f>
        <v> Enquire &amp; Coordinate with client</v>
      </c>
      <c r="E681" s="86"/>
    </row>
    <row r="682">
      <c r="A682" s="4"/>
      <c r="B682" s="85">
        <f>IFERROR(__xludf.DUMMYFUNCTION("""COMPUTED_VALUE"""),46078.7125)</f>
        <v>46078.7125</v>
      </c>
      <c r="C682" s="4" t="str">
        <f>IFERROR(__xludf.DUMMYFUNCTION("""COMPUTED_VALUE""")," Enquire &amp; Coordinate with client")</f>
        <v> Enquire &amp; Coordinate with client</v>
      </c>
      <c r="E682" s="86"/>
    </row>
    <row r="683">
      <c r="A683" s="4"/>
      <c r="B683" s="85">
        <f>IFERROR(__xludf.DUMMYFUNCTION("""COMPUTED_VALUE"""),46081.60625)</f>
        <v>46081.60625</v>
      </c>
      <c r="C683" s="4" t="str">
        <f>IFERROR(__xludf.DUMMYFUNCTION("""COMPUTED_VALUE""")," Enquire &amp; Coordinate with client")</f>
        <v> Enquire &amp; Coordinate with client</v>
      </c>
      <c r="E683" s="86"/>
    </row>
    <row r="684">
      <c r="A684" s="4"/>
      <c r="B684" s="85">
        <f>IFERROR(__xludf.DUMMYFUNCTION("""COMPUTED_VALUE"""),46081.60763888889)</f>
        <v>46081.60764</v>
      </c>
      <c r="C684" s="4" t="str">
        <f>IFERROR(__xludf.DUMMYFUNCTION("""COMPUTED_VALUE""")," Enquire &amp; Coordinate with client")</f>
        <v> Enquire &amp; Coordinate with client</v>
      </c>
      <c r="E684" s="86"/>
    </row>
    <row r="685">
      <c r="A685" s="4"/>
      <c r="B685" s="85">
        <f>IFERROR(__xludf.DUMMYFUNCTION("""COMPUTED_VALUE"""),46081.611805555556)</f>
        <v>46081.61181</v>
      </c>
      <c r="C685" s="4" t="str">
        <f>IFERROR(__xludf.DUMMYFUNCTION("""COMPUTED_VALUE""")," Enquire &amp; Coordinate with client")</f>
        <v> Enquire &amp; Coordinate with client</v>
      </c>
      <c r="E685" s="86"/>
    </row>
    <row r="686">
      <c r="A686" s="4"/>
      <c r="B686" s="85">
        <f>IFERROR(__xludf.DUMMYFUNCTION("""COMPUTED_VALUE"""),46081.61319444445)</f>
        <v>46081.61319</v>
      </c>
      <c r="C686" s="4" t="str">
        <f>IFERROR(__xludf.DUMMYFUNCTION("""COMPUTED_VALUE""")," Enquire &amp; Coordinate with client")</f>
        <v> Enquire &amp; Coordinate with client</v>
      </c>
      <c r="E686" s="86"/>
    </row>
    <row r="687">
      <c r="A687" s="4"/>
      <c r="B687" s="85">
        <f>IFERROR(__xludf.DUMMYFUNCTION("""COMPUTED_VALUE"""),46081.64444444445)</f>
        <v>46081.64444</v>
      </c>
      <c r="C687" s="4" t="str">
        <f>IFERROR(__xludf.DUMMYFUNCTION("""COMPUTED_VALUE""")," Enquire &amp; Coordinate with client")</f>
        <v> Enquire &amp; Coordinate with client</v>
      </c>
      <c r="E687" s="86"/>
    </row>
    <row r="688">
      <c r="A688" s="4"/>
      <c r="B688" s="85">
        <f>IFERROR(__xludf.DUMMYFUNCTION("""COMPUTED_VALUE"""),46081.711805555555)</f>
        <v>46081.71181</v>
      </c>
      <c r="C688" s="4" t="str">
        <f>IFERROR(__xludf.DUMMYFUNCTION("""COMPUTED_VALUE""")," Enquire &amp; Coordinate with client")</f>
        <v> Enquire &amp; Coordinate with client</v>
      </c>
      <c r="E688" s="86"/>
    </row>
    <row r="689">
      <c r="A689" s="4"/>
      <c r="B689" s="85">
        <f>IFERROR(__xludf.DUMMYFUNCTION("""COMPUTED_VALUE"""),46081.71319444444)</f>
        <v>46081.71319</v>
      </c>
      <c r="C689" s="4" t="str">
        <f>IFERROR(__xludf.DUMMYFUNCTION("""COMPUTED_VALUE""")," Enquire &amp; Coordinate with client")</f>
        <v> Enquire &amp; Coordinate with client</v>
      </c>
      <c r="E689" s="86"/>
    </row>
    <row r="690">
      <c r="A690" s="4"/>
      <c r="B690" s="85">
        <f>IFERROR(__xludf.DUMMYFUNCTION("""COMPUTED_VALUE"""),46081.71527777778)</f>
        <v>46081.71528</v>
      </c>
      <c r="C690" s="4" t="str">
        <f>IFERROR(__xludf.DUMMYFUNCTION("""COMPUTED_VALUE""")," Enquire &amp; Coordinate with client")</f>
        <v> Enquire &amp; Coordinate with client</v>
      </c>
      <c r="E690" s="86"/>
    </row>
    <row r="691">
      <c r="A691" s="4"/>
      <c r="B691" s="85">
        <f>IFERROR(__xludf.DUMMYFUNCTION("""COMPUTED_VALUE"""),46102.660416666666)</f>
        <v>46102.66042</v>
      </c>
      <c r="C691" s="4" t="str">
        <f>IFERROR(__xludf.DUMMYFUNCTION("""COMPUTED_VALUE""")," Enquire &amp; Coordinate with client")</f>
        <v> Enquire &amp; Coordinate with client</v>
      </c>
      <c r="E691" s="86"/>
    </row>
    <row r="692">
      <c r="A692" s="4"/>
      <c r="B692" s="85">
        <f>IFERROR(__xludf.DUMMYFUNCTION("""COMPUTED_VALUE"""),46102.66180555556)</f>
        <v>46102.66181</v>
      </c>
      <c r="C692" s="4" t="str">
        <f>IFERROR(__xludf.DUMMYFUNCTION("""COMPUTED_VALUE""")," Enquire &amp; Coordinate with client")</f>
        <v> Enquire &amp; Coordinate with client</v>
      </c>
      <c r="E692" s="86"/>
    </row>
    <row r="693">
      <c r="A693" s="4"/>
      <c r="B693" s="85">
        <f>IFERROR(__xludf.DUMMYFUNCTION("""COMPUTED_VALUE"""),46102.663194444445)</f>
        <v>46102.66319</v>
      </c>
      <c r="C693" s="4" t="str">
        <f>IFERROR(__xludf.DUMMYFUNCTION("""COMPUTED_VALUE""")," Enquire &amp; Coordinate with client")</f>
        <v> Enquire &amp; Coordinate with client</v>
      </c>
      <c r="E693" s="86"/>
    </row>
    <row r="694">
      <c r="A694" s="4"/>
      <c r="B694" s="85">
        <f>IFERROR(__xludf.DUMMYFUNCTION("""COMPUTED_VALUE"""),46102.66527777778)</f>
        <v>46102.66528</v>
      </c>
      <c r="C694" s="4" t="str">
        <f>IFERROR(__xludf.DUMMYFUNCTION("""COMPUTED_VALUE""")," Enquire &amp; Coordinate with client")</f>
        <v> Enquire &amp; Coordinate with client</v>
      </c>
      <c r="E694" s="86"/>
    </row>
    <row r="695">
      <c r="A695" s="4"/>
      <c r="B695" s="85">
        <f>IFERROR(__xludf.DUMMYFUNCTION("""COMPUTED_VALUE"""),46102.665972222225)</f>
        <v>46102.66597</v>
      </c>
      <c r="C695" s="4" t="str">
        <f>IFERROR(__xludf.DUMMYFUNCTION("""COMPUTED_VALUE""")," Enquire &amp; Coordinate with client")</f>
        <v> Enquire &amp; Coordinate with client</v>
      </c>
      <c r="E695" s="86"/>
    </row>
    <row r="696">
      <c r="A696" s="4"/>
      <c r="B696" s="85">
        <f>IFERROR(__xludf.DUMMYFUNCTION("""COMPUTED_VALUE"""),46102.669444444444)</f>
        <v>46102.66944</v>
      </c>
      <c r="C696" s="4" t="str">
        <f>IFERROR(__xludf.DUMMYFUNCTION("""COMPUTED_VALUE""")," Enquire &amp; Coordinate with client")</f>
        <v> Enquire &amp; Coordinate with client</v>
      </c>
      <c r="E696" s="86"/>
    </row>
    <row r="697">
      <c r="A697" s="4"/>
      <c r="B697" s="85">
        <f>IFERROR(__xludf.DUMMYFUNCTION("""COMPUTED_VALUE"""),46102.67013888889)</f>
        <v>46102.67014</v>
      </c>
      <c r="C697" s="4" t="str">
        <f>IFERROR(__xludf.DUMMYFUNCTION("""COMPUTED_VALUE""")," Enquire &amp; Coordinate with client")</f>
        <v> Enquire &amp; Coordinate with client</v>
      </c>
      <c r="E697" s="86"/>
    </row>
    <row r="698">
      <c r="A698" s="4"/>
      <c r="B698" s="85">
        <f>IFERROR(__xludf.DUMMYFUNCTION("""COMPUTED_VALUE"""),46102.67152777778)</f>
        <v>46102.67153</v>
      </c>
      <c r="C698" s="4" t="str">
        <f>IFERROR(__xludf.DUMMYFUNCTION("""COMPUTED_VALUE""")," Enquire &amp; Coordinate with client")</f>
        <v> Enquire &amp; Coordinate with client</v>
      </c>
      <c r="E698" s="86"/>
    </row>
    <row r="699">
      <c r="A699" s="4"/>
      <c r="B699" s="85">
        <f>IFERROR(__xludf.DUMMYFUNCTION("""COMPUTED_VALUE"""),46102.67222222222)</f>
        <v>46102.67222</v>
      </c>
      <c r="C699" s="4" t="str">
        <f>IFERROR(__xludf.DUMMYFUNCTION("""COMPUTED_VALUE""")," Enquire &amp; Coordinate with client")</f>
        <v> Enquire &amp; Coordinate with client</v>
      </c>
      <c r="E699" s="86"/>
    </row>
    <row r="700">
      <c r="A700" s="4"/>
      <c r="B700" s="85">
        <f>IFERROR(__xludf.DUMMYFUNCTION("""COMPUTED_VALUE"""),46102.67361111111)</f>
        <v>46102.67361</v>
      </c>
      <c r="C700" s="4" t="str">
        <f>IFERROR(__xludf.DUMMYFUNCTION("""COMPUTED_VALUE""")," Enquire &amp; Coordinate with client")</f>
        <v> Enquire &amp; Coordinate with client</v>
      </c>
      <c r="E700" s="86"/>
    </row>
    <row r="701">
      <c r="A701" s="4"/>
      <c r="B701" s="85">
        <f>IFERROR(__xludf.DUMMYFUNCTION("""COMPUTED_VALUE"""),46102.6875)</f>
        <v>46102.6875</v>
      </c>
      <c r="C701" s="4" t="str">
        <f>IFERROR(__xludf.DUMMYFUNCTION("""COMPUTED_VALUE""")," Enquire &amp; Coordinate with client")</f>
        <v> Enquire &amp; Coordinate with client</v>
      </c>
      <c r="E701" s="86"/>
    </row>
    <row r="702">
      <c r="A702" s="4"/>
      <c r="B702" s="85">
        <f>IFERROR(__xludf.DUMMYFUNCTION("""COMPUTED_VALUE"""),46102.68888888889)</f>
        <v>46102.68889</v>
      </c>
      <c r="C702" s="4" t="str">
        <f>IFERROR(__xludf.DUMMYFUNCTION("""COMPUTED_VALUE""")," Enquire &amp; Coordinate with client")</f>
        <v> Enquire &amp; Coordinate with client</v>
      </c>
      <c r="E702" s="86"/>
    </row>
    <row r="703">
      <c r="A703" s="4"/>
      <c r="B703" s="85">
        <f>IFERROR(__xludf.DUMMYFUNCTION("""COMPUTED_VALUE"""),46102.69097222222)</f>
        <v>46102.69097</v>
      </c>
      <c r="C703" s="4" t="str">
        <f>IFERROR(__xludf.DUMMYFUNCTION("""COMPUTED_VALUE""")," Enquire &amp; Coordinate with client")</f>
        <v> Enquire &amp; Coordinate with client</v>
      </c>
      <c r="E703" s="86"/>
    </row>
    <row r="704">
      <c r="A704" s="4"/>
      <c r="B704" s="85">
        <f>IFERROR(__xludf.DUMMYFUNCTION("""COMPUTED_VALUE"""),46102.69236111111)</f>
        <v>46102.69236</v>
      </c>
      <c r="C704" s="4" t="str">
        <f>IFERROR(__xludf.DUMMYFUNCTION("""COMPUTED_VALUE""")," Enquire &amp; Coordinate with client")</f>
        <v> Enquire &amp; Coordinate with client</v>
      </c>
      <c r="E704" s="86"/>
    </row>
    <row r="705">
      <c r="A705" s="4"/>
      <c r="B705" s="85">
        <f>IFERROR(__xludf.DUMMYFUNCTION("""COMPUTED_VALUE"""),46102.695138888885)</f>
        <v>46102.69514</v>
      </c>
      <c r="C705" s="4" t="str">
        <f>IFERROR(__xludf.DUMMYFUNCTION("""COMPUTED_VALUE""")," Enquire &amp; Coordinate with client")</f>
        <v> Enquire &amp; Coordinate with client</v>
      </c>
      <c r="E705" s="86"/>
    </row>
    <row r="706">
      <c r="A706" s="4"/>
      <c r="B706" s="85">
        <f>IFERROR(__xludf.DUMMYFUNCTION("""COMPUTED_VALUE"""),46105.54791666666)</f>
        <v>46105.54792</v>
      </c>
      <c r="C706" s="4" t="str">
        <f>IFERROR(__xludf.DUMMYFUNCTION("""COMPUTED_VALUE""")," Enquire &amp; Coordinate with client")</f>
        <v> Enquire &amp; Coordinate with client</v>
      </c>
      <c r="E706" s="86"/>
    </row>
    <row r="707">
      <c r="A707" s="4"/>
      <c r="B707" s="85">
        <f>IFERROR(__xludf.DUMMYFUNCTION("""COMPUTED_VALUE"""),46105.549305555556)</f>
        <v>46105.54931</v>
      </c>
      <c r="C707" s="4" t="str">
        <f>IFERROR(__xludf.DUMMYFUNCTION("""COMPUTED_VALUE""")," Enquire &amp; Coordinate with client")</f>
        <v> Enquire &amp; Coordinate with client</v>
      </c>
      <c r="E707" s="86"/>
    </row>
    <row r="708">
      <c r="A708" s="4"/>
      <c r="B708" s="85">
        <f>IFERROR(__xludf.DUMMYFUNCTION("""COMPUTED_VALUE"""),46105.55069444445)</f>
        <v>46105.55069</v>
      </c>
      <c r="C708" s="4" t="str">
        <f>IFERROR(__xludf.DUMMYFUNCTION("""COMPUTED_VALUE""")," Enquire &amp; Coordinate with client")</f>
        <v> Enquire &amp; Coordinate with client</v>
      </c>
      <c r="E708" s="86"/>
    </row>
    <row r="709">
      <c r="A709" s="4"/>
      <c r="B709" s="85">
        <f>IFERROR(__xludf.DUMMYFUNCTION("""COMPUTED_VALUE"""),46105.55138888889)</f>
        <v>46105.55139</v>
      </c>
      <c r="C709" s="4" t="str">
        <f>IFERROR(__xludf.DUMMYFUNCTION("""COMPUTED_VALUE""")," Enquire &amp; Coordinate with client")</f>
        <v> Enquire &amp; Coordinate with client</v>
      </c>
      <c r="E709" s="86"/>
    </row>
    <row r="710">
      <c r="A710" s="4"/>
      <c r="B710" s="85">
        <f>IFERROR(__xludf.DUMMYFUNCTION("""COMPUTED_VALUE"""),46107.67708333333)</f>
        <v>46107.67708</v>
      </c>
      <c r="C710" s="4" t="str">
        <f>IFERROR(__xludf.DUMMYFUNCTION("""COMPUTED_VALUE""")," Enquire &amp; Coordinate with client")</f>
        <v> Enquire &amp; Coordinate with client</v>
      </c>
      <c r="E710" s="86"/>
    </row>
    <row r="711">
      <c r="A711" s="4"/>
      <c r="B711" s="85">
        <f>IFERROR(__xludf.DUMMYFUNCTION("""COMPUTED_VALUE"""),46107.679861111115)</f>
        <v>46107.67986</v>
      </c>
      <c r="C711" s="4" t="str">
        <f>IFERROR(__xludf.DUMMYFUNCTION("""COMPUTED_VALUE""")," Enquire &amp; Coordinate with client")</f>
        <v> Enquire &amp; Coordinate with client</v>
      </c>
      <c r="E711" s="86"/>
    </row>
    <row r="712">
      <c r="A712" s="4"/>
      <c r="B712" s="85">
        <f>IFERROR(__xludf.DUMMYFUNCTION("""COMPUTED_VALUE"""),46107.68194444444)</f>
        <v>46107.68194</v>
      </c>
      <c r="C712" s="4" t="str">
        <f>IFERROR(__xludf.DUMMYFUNCTION("""COMPUTED_VALUE""")," Enquire &amp; Coordinate with client")</f>
        <v> Enquire &amp; Coordinate with client</v>
      </c>
      <c r="E712" s="86"/>
    </row>
    <row r="713">
      <c r="A713" s="4"/>
      <c r="B713" s="85">
        <f>IFERROR(__xludf.DUMMYFUNCTION("""COMPUTED_VALUE"""),46107.68263888889)</f>
        <v>46107.68264</v>
      </c>
      <c r="C713" s="4" t="str">
        <f>IFERROR(__xludf.DUMMYFUNCTION("""COMPUTED_VALUE""")," Enquire &amp; Coordinate with client")</f>
        <v> Enquire &amp; Coordinate with client</v>
      </c>
      <c r="E713" s="86"/>
    </row>
    <row r="714">
      <c r="A714" s="4"/>
      <c r="B714" s="85">
        <f>IFERROR(__xludf.DUMMYFUNCTION("""COMPUTED_VALUE"""),46107.6875)</f>
        <v>46107.6875</v>
      </c>
      <c r="C714" s="4" t="str">
        <f>IFERROR(__xludf.DUMMYFUNCTION("""COMPUTED_VALUE""")," Enquire &amp; Coordinate with client")</f>
        <v> Enquire &amp; Coordinate with client</v>
      </c>
      <c r="E714" s="86"/>
    </row>
    <row r="715">
      <c r="A715" s="4"/>
      <c r="B715" s="85">
        <f>IFERROR(__xludf.DUMMYFUNCTION("""COMPUTED_VALUE"""),46107.68888888889)</f>
        <v>46107.68889</v>
      </c>
      <c r="C715" s="4" t="str">
        <f>IFERROR(__xludf.DUMMYFUNCTION("""COMPUTED_VALUE""")," Enquire &amp; Coordinate with client")</f>
        <v> Enquire &amp; Coordinate with client</v>
      </c>
      <c r="E715" s="86"/>
    </row>
    <row r="716">
      <c r="A716" s="4"/>
      <c r="B716" s="85">
        <f>IFERROR(__xludf.DUMMYFUNCTION("""COMPUTED_VALUE"""),46107.69861111111)</f>
        <v>46107.69861</v>
      </c>
      <c r="C716" s="4" t="str">
        <f>IFERROR(__xludf.DUMMYFUNCTION("""COMPUTED_VALUE""")," Enquire &amp; Coordinate with client")</f>
        <v> Enquire &amp; Coordinate with client</v>
      </c>
      <c r="E716" s="86"/>
    </row>
    <row r="717">
      <c r="A717" s="4"/>
      <c r="B717" s="85">
        <f>IFERROR(__xludf.DUMMYFUNCTION("""COMPUTED_VALUE"""),46107.69930555555)</f>
        <v>46107.69931</v>
      </c>
      <c r="C717" s="4" t="str">
        <f>IFERROR(__xludf.DUMMYFUNCTION("""COMPUTED_VALUE""")," Enquire &amp; Coordinate with client")</f>
        <v> Enquire &amp; Coordinate with client</v>
      </c>
      <c r="E717" s="86"/>
    </row>
    <row r="718">
      <c r="A718" s="4"/>
      <c r="B718" s="85">
        <f>IFERROR(__xludf.DUMMYFUNCTION("""COMPUTED_VALUE"""),46107.70208333334)</f>
        <v>46107.70208</v>
      </c>
      <c r="C718" s="4" t="str">
        <f>IFERROR(__xludf.DUMMYFUNCTION("""COMPUTED_VALUE""")," Enquire &amp; Coordinate with client")</f>
        <v> Enquire &amp; Coordinate with client</v>
      </c>
      <c r="E718" s="86"/>
    </row>
    <row r="719">
      <c r="A719" s="4"/>
      <c r="B719" s="85">
        <f>IFERROR(__xludf.DUMMYFUNCTION("""COMPUTED_VALUE"""),46107.70416666666)</f>
        <v>46107.70417</v>
      </c>
      <c r="C719" s="4" t="str">
        <f>IFERROR(__xludf.DUMMYFUNCTION("""COMPUTED_VALUE""")," Enquire &amp; Coordinate with client")</f>
        <v> Enquire &amp; Coordinate with client</v>
      </c>
      <c r="E719" s="86"/>
    </row>
    <row r="720">
      <c r="A720" s="4"/>
      <c r="B720" s="85">
        <f>IFERROR(__xludf.DUMMYFUNCTION("""COMPUTED_VALUE"""),46107.70486111111)</f>
        <v>46107.70486</v>
      </c>
      <c r="C720" s="4" t="str">
        <f>IFERROR(__xludf.DUMMYFUNCTION("""COMPUTED_VALUE""")," Enquire &amp; Coordinate with client")</f>
        <v> Enquire &amp; Coordinate with client</v>
      </c>
      <c r="E720" s="86"/>
    </row>
    <row r="721">
      <c r="A721" s="4"/>
      <c r="B721" s="85">
        <f>IFERROR(__xludf.DUMMYFUNCTION("""COMPUTED_VALUE"""),46107.705555555556)</f>
        <v>46107.70556</v>
      </c>
      <c r="C721" s="4" t="str">
        <f>IFERROR(__xludf.DUMMYFUNCTION("""COMPUTED_VALUE""")," Enquire &amp; Coordinate with client")</f>
        <v> Enquire &amp; Coordinate with client</v>
      </c>
      <c r="E721" s="86"/>
    </row>
    <row r="722">
      <c r="A722" s="4"/>
      <c r="B722" s="85">
        <f>IFERROR(__xludf.DUMMYFUNCTION("""COMPUTED_VALUE"""),46107.70625)</f>
        <v>46107.70625</v>
      </c>
      <c r="C722" s="4" t="str">
        <f>IFERROR(__xludf.DUMMYFUNCTION("""COMPUTED_VALUE""")," Enquire &amp; Coordinate with client")</f>
        <v> Enquire &amp; Coordinate with client</v>
      </c>
      <c r="E722" s="86"/>
    </row>
    <row r="723">
      <c r="A723" s="4"/>
      <c r="B723" s="85">
        <f>IFERROR(__xludf.DUMMYFUNCTION("""COMPUTED_VALUE"""),46108.518055555556)</f>
        <v>46108.51806</v>
      </c>
      <c r="C723" s="4" t="str">
        <f>IFERROR(__xludf.DUMMYFUNCTION("""COMPUTED_VALUE""")," Enquire &amp; Coordinate with client")</f>
        <v> Enquire &amp; Coordinate with client</v>
      </c>
      <c r="E723" s="86"/>
    </row>
    <row r="724">
      <c r="A724" s="4"/>
      <c r="B724" s="85">
        <f>IFERROR(__xludf.DUMMYFUNCTION("""COMPUTED_VALUE"""),46108.51944444445)</f>
        <v>46108.51944</v>
      </c>
      <c r="C724" s="4" t="str">
        <f>IFERROR(__xludf.DUMMYFUNCTION("""COMPUTED_VALUE""")," Enquire &amp; Coordinate with client")</f>
        <v> Enquire &amp; Coordinate with client</v>
      </c>
      <c r="E724" s="86"/>
    </row>
    <row r="725">
      <c r="A725" s="4"/>
      <c r="B725" s="85">
        <f>IFERROR(__xludf.DUMMYFUNCTION("""COMPUTED_VALUE"""),46108.52013888889)</f>
        <v>46108.52014</v>
      </c>
      <c r="C725" s="4" t="str">
        <f>IFERROR(__xludf.DUMMYFUNCTION("""COMPUTED_VALUE""")," Enquire &amp; Coordinate with client")</f>
        <v> Enquire &amp; Coordinate with client</v>
      </c>
      <c r="E725" s="86"/>
    </row>
    <row r="726">
      <c r="A726" s="4"/>
      <c r="B726" s="85">
        <f>IFERROR(__xludf.DUMMYFUNCTION("""COMPUTED_VALUE"""),46108.521527777775)</f>
        <v>46108.52153</v>
      </c>
      <c r="C726" s="4" t="str">
        <f>IFERROR(__xludf.DUMMYFUNCTION("""COMPUTED_VALUE""")," Enquire &amp; Coordinate with client")</f>
        <v> Enquire &amp; Coordinate with client</v>
      </c>
      <c r="E726" s="86"/>
    </row>
    <row r="727">
      <c r="A727" s="4"/>
      <c r="B727" s="85">
        <f>IFERROR(__xludf.DUMMYFUNCTION("""COMPUTED_VALUE"""),46108.52222222222)</f>
        <v>46108.52222</v>
      </c>
      <c r="C727" s="4" t="str">
        <f>IFERROR(__xludf.DUMMYFUNCTION("""COMPUTED_VALUE""")," Enquire &amp; Coordinate with client")</f>
        <v> Enquire &amp; Coordinate with client</v>
      </c>
      <c r="E727" s="86"/>
    </row>
    <row r="728">
      <c r="A728" s="4"/>
      <c r="B728" s="85">
        <f>IFERROR(__xludf.DUMMYFUNCTION("""COMPUTED_VALUE"""),46108.523611111115)</f>
        <v>46108.52361</v>
      </c>
      <c r="C728" s="4" t="str">
        <f>IFERROR(__xludf.DUMMYFUNCTION("""COMPUTED_VALUE""")," Enquire &amp; Coordinate with client")</f>
        <v> Enquire &amp; Coordinate with client</v>
      </c>
      <c r="E728" s="86"/>
    </row>
    <row r="729">
      <c r="A729" s="4"/>
      <c r="B729" s="85">
        <f>IFERROR(__xludf.DUMMYFUNCTION("""COMPUTED_VALUE"""),46108.524305555555)</f>
        <v>46108.52431</v>
      </c>
      <c r="C729" s="4" t="str">
        <f>IFERROR(__xludf.DUMMYFUNCTION("""COMPUTED_VALUE""")," Enquire &amp; Coordinate with client")</f>
        <v> Enquire &amp; Coordinate with client</v>
      </c>
      <c r="E729" s="86"/>
    </row>
    <row r="730">
      <c r="A730" s="4"/>
      <c r="B730" s="85">
        <f>IFERROR(__xludf.DUMMYFUNCTION("""COMPUTED_VALUE"""),46108.52777777778)</f>
        <v>46108.52778</v>
      </c>
      <c r="C730" s="4" t="str">
        <f>IFERROR(__xludf.DUMMYFUNCTION("""COMPUTED_VALUE""")," Enquire &amp; Coordinate with client")</f>
        <v> Enquire &amp; Coordinate with client</v>
      </c>
      <c r="E730" s="86"/>
    </row>
    <row r="731">
      <c r="A731" s="4"/>
      <c r="B731" s="85">
        <f>IFERROR(__xludf.DUMMYFUNCTION("""COMPUTED_VALUE"""),46108.52847222222)</f>
        <v>46108.52847</v>
      </c>
      <c r="C731" s="4" t="str">
        <f>IFERROR(__xludf.DUMMYFUNCTION("""COMPUTED_VALUE""")," Enquire &amp; Coordinate with client")</f>
        <v> Enquire &amp; Coordinate with client</v>
      </c>
      <c r="E731" s="86"/>
    </row>
    <row r="732">
      <c r="A732" s="4"/>
      <c r="B732" s="85">
        <f>IFERROR(__xludf.DUMMYFUNCTION("""COMPUTED_VALUE"""),46108.52916666667)</f>
        <v>46108.52917</v>
      </c>
      <c r="C732" s="4" t="str">
        <f>IFERROR(__xludf.DUMMYFUNCTION("""COMPUTED_VALUE""")," Enquire &amp; Coordinate with client")</f>
        <v> Enquire &amp; Coordinate with client</v>
      </c>
      <c r="E732" s="86"/>
    </row>
    <row r="733">
      <c r="A733" s="4"/>
      <c r="B733" s="85">
        <f>IFERROR(__xludf.DUMMYFUNCTION("""COMPUTED_VALUE"""),46108.52986111111)</f>
        <v>46108.52986</v>
      </c>
      <c r="C733" s="4" t="str">
        <f>IFERROR(__xludf.DUMMYFUNCTION("""COMPUTED_VALUE""")," Enquire &amp; Coordinate with client")</f>
        <v> Enquire &amp; Coordinate with client</v>
      </c>
      <c r="E733" s="86"/>
    </row>
    <row r="734">
      <c r="A734" s="4"/>
      <c r="B734" s="85">
        <f>IFERROR(__xludf.DUMMYFUNCTION("""COMPUTED_VALUE"""),46108.53055555555)</f>
        <v>46108.53056</v>
      </c>
      <c r="C734" s="4" t="str">
        <f>IFERROR(__xludf.DUMMYFUNCTION("""COMPUTED_VALUE""")," Enquire &amp; Coordinate with client")</f>
        <v> Enquire &amp; Coordinate with client</v>
      </c>
      <c r="E734" s="86"/>
    </row>
    <row r="735">
      <c r="A735" s="4"/>
      <c r="B735" s="85">
        <f>IFERROR(__xludf.DUMMYFUNCTION("""COMPUTED_VALUE"""),46109.53680555556)</f>
        <v>46109.53681</v>
      </c>
      <c r="C735" s="4" t="str">
        <f>IFERROR(__xludf.DUMMYFUNCTION("""COMPUTED_VALUE""")," Enquire &amp; Coordinate with client")</f>
        <v> Enquire &amp; Coordinate with client</v>
      </c>
      <c r="E735" s="86"/>
    </row>
    <row r="736">
      <c r="A736" s="4"/>
      <c r="B736" s="85">
        <f>IFERROR(__xludf.DUMMYFUNCTION("""COMPUTED_VALUE"""),46109.5375)</f>
        <v>46109.5375</v>
      </c>
      <c r="C736" s="4" t="str">
        <f>IFERROR(__xludf.DUMMYFUNCTION("""COMPUTED_VALUE""")," Enquire &amp; Coordinate with client")</f>
        <v> Enquire &amp; Coordinate with client</v>
      </c>
      <c r="E736" s="86"/>
    </row>
    <row r="737">
      <c r="A737" s="4"/>
      <c r="B737" s="85">
        <f>IFERROR(__xludf.DUMMYFUNCTION("""COMPUTED_VALUE"""),46109.538194444445)</f>
        <v>46109.53819</v>
      </c>
      <c r="C737" s="4" t="str">
        <f>IFERROR(__xludf.DUMMYFUNCTION("""COMPUTED_VALUE""")," Enquire &amp; Coordinate with client")</f>
        <v> Enquire &amp; Coordinate with client</v>
      </c>
      <c r="E737" s="86"/>
    </row>
    <row r="738">
      <c r="A738" s="4"/>
      <c r="B738" s="85">
        <f>IFERROR(__xludf.DUMMYFUNCTION("""COMPUTED_VALUE"""),46109.7)</f>
        <v>46109.7</v>
      </c>
      <c r="C738" s="4" t="str">
        <f>IFERROR(__xludf.DUMMYFUNCTION("""COMPUTED_VALUE""")," Enquire &amp; Coordinate with client")</f>
        <v> Enquire &amp; Coordinate with client</v>
      </c>
      <c r="E738" s="86"/>
    </row>
    <row r="739">
      <c r="A739" s="4"/>
      <c r="B739" s="85">
        <f>IFERROR(__xludf.DUMMYFUNCTION("""COMPUTED_VALUE"""),46109.70972222222)</f>
        <v>46109.70972</v>
      </c>
      <c r="C739" s="4" t="str">
        <f>IFERROR(__xludf.DUMMYFUNCTION("""COMPUTED_VALUE""")," Enquire &amp; Coordinate with client")</f>
        <v> Enquire &amp; Coordinate with client</v>
      </c>
      <c r="E739" s="86"/>
    </row>
    <row r="740">
      <c r="A740" s="4"/>
      <c r="B740" s="85">
        <f>IFERROR(__xludf.DUMMYFUNCTION("""COMPUTED_VALUE"""),46109.71041666667)</f>
        <v>46109.71042</v>
      </c>
      <c r="C740" s="4" t="str">
        <f>IFERROR(__xludf.DUMMYFUNCTION("""COMPUTED_VALUE""")," Enquire &amp; Coordinate with client")</f>
        <v> Enquire &amp; Coordinate with client</v>
      </c>
      <c r="E740" s="86"/>
    </row>
    <row r="741">
      <c r="A741" s="4"/>
      <c r="B741" s="85">
        <f>IFERROR(__xludf.DUMMYFUNCTION("""COMPUTED_VALUE"""),46109.72986111111)</f>
        <v>46109.72986</v>
      </c>
      <c r="C741" s="4" t="str">
        <f>IFERROR(__xludf.DUMMYFUNCTION("""COMPUTED_VALUE""")," Enquire &amp; Coordinate with client")</f>
        <v> Enquire &amp; Coordinate with client</v>
      </c>
      <c r="E741" s="86"/>
    </row>
    <row r="742">
      <c r="A742" s="4"/>
      <c r="B742" s="85">
        <f>IFERROR(__xludf.DUMMYFUNCTION("""COMPUTED_VALUE"""),46109.75347222222)</f>
        <v>46109.75347</v>
      </c>
      <c r="C742" s="4" t="str">
        <f>IFERROR(__xludf.DUMMYFUNCTION("""COMPUTED_VALUE""")," Enquire &amp; Coordinate with client")</f>
        <v> Enquire &amp; Coordinate with client</v>
      </c>
      <c r="E742" s="86"/>
    </row>
    <row r="743">
      <c r="A743" s="4"/>
      <c r="B743" s="85">
        <f>IFERROR(__xludf.DUMMYFUNCTION("""COMPUTED_VALUE"""),46109.754166666666)</f>
        <v>46109.75417</v>
      </c>
      <c r="C743" s="4" t="str">
        <f>IFERROR(__xludf.DUMMYFUNCTION("""COMPUTED_VALUE""")," Enquire &amp; Coordinate with client")</f>
        <v> Enquire &amp; Coordinate with client</v>
      </c>
      <c r="E743" s="86"/>
    </row>
    <row r="744">
      <c r="A744" s="4"/>
      <c r="B744" s="85">
        <f>IFERROR(__xludf.DUMMYFUNCTION("""COMPUTED_VALUE"""),46109.75486111111)</f>
        <v>46109.75486</v>
      </c>
      <c r="C744" s="4" t="str">
        <f>IFERROR(__xludf.DUMMYFUNCTION("""COMPUTED_VALUE""")," Enquire &amp; Coordinate with client")</f>
        <v> Enquire &amp; Coordinate with client</v>
      </c>
      <c r="E744" s="86"/>
    </row>
    <row r="745">
      <c r="A745" s="4"/>
      <c r="B745" s="85">
        <f>IFERROR(__xludf.DUMMYFUNCTION("""COMPUTED_VALUE"""),46109.75555555556)</f>
        <v>46109.75556</v>
      </c>
      <c r="C745" s="4" t="str">
        <f>IFERROR(__xludf.DUMMYFUNCTION("""COMPUTED_VALUE""")," Enquire &amp; Coordinate with client")</f>
        <v> Enquire &amp; Coordinate with client</v>
      </c>
      <c r="E745" s="86"/>
    </row>
    <row r="746">
      <c r="A746" s="4"/>
      <c r="B746" s="85">
        <f>IFERROR(__xludf.DUMMYFUNCTION("""COMPUTED_VALUE"""),46113.64722222222)</f>
        <v>46113.64722</v>
      </c>
      <c r="C746" s="4" t="str">
        <f>IFERROR(__xludf.DUMMYFUNCTION("""COMPUTED_VALUE""")," Enquire &amp; Coordinate with client")</f>
        <v> Enquire &amp; Coordinate with client</v>
      </c>
      <c r="E746" s="86"/>
    </row>
    <row r="747">
      <c r="A747" s="4"/>
      <c r="B747" s="85">
        <f>IFERROR(__xludf.DUMMYFUNCTION("""COMPUTED_VALUE"""),46114.64375)</f>
        <v>46114.64375</v>
      </c>
      <c r="C747" s="4" t="str">
        <f>IFERROR(__xludf.DUMMYFUNCTION("""COMPUTED_VALUE""")," Enquire &amp; Coordinate with client")</f>
        <v> Enquire &amp; Coordinate with client</v>
      </c>
      <c r="E747" s="86"/>
    </row>
    <row r="748">
      <c r="A748" s="4"/>
      <c r="B748" s="85">
        <f>IFERROR(__xludf.DUMMYFUNCTION("""COMPUTED_VALUE"""),46114.64444444445)</f>
        <v>46114.64444</v>
      </c>
      <c r="C748" s="4" t="str">
        <f>IFERROR(__xludf.DUMMYFUNCTION("""COMPUTED_VALUE""")," Enquire &amp; Coordinate with client")</f>
        <v> Enquire &amp; Coordinate with client</v>
      </c>
      <c r="E748" s="86"/>
    </row>
    <row r="749">
      <c r="A749" s="4"/>
      <c r="B749" s="85">
        <f>IFERROR(__xludf.DUMMYFUNCTION("""COMPUTED_VALUE"""),46115.80902777778)</f>
        <v>46115.80903</v>
      </c>
      <c r="C749" s="4" t="str">
        <f>IFERROR(__xludf.DUMMYFUNCTION("""COMPUTED_VALUE""")," Enquire &amp; Coordinate with client")</f>
        <v> Enquire &amp; Coordinate with client</v>
      </c>
      <c r="E749" s="86"/>
    </row>
    <row r="750">
      <c r="A750" s="4"/>
      <c r="B750" s="85">
        <f>IFERROR(__xludf.DUMMYFUNCTION("""COMPUTED_VALUE"""),46116.51666666666)</f>
        <v>46116.51667</v>
      </c>
      <c r="C750" s="4" t="str">
        <f>IFERROR(__xludf.DUMMYFUNCTION("""COMPUTED_VALUE""")," Enquire &amp; Coordinate with client")</f>
        <v> Enquire &amp; Coordinate with client</v>
      </c>
      <c r="E750" s="86"/>
    </row>
    <row r="751">
      <c r="A751" s="4"/>
      <c r="B751" s="85">
        <f>IFERROR(__xludf.DUMMYFUNCTION("""COMPUTED_VALUE"""),46116.51736111111)</f>
        <v>46116.51736</v>
      </c>
      <c r="C751" s="4" t="str">
        <f>IFERROR(__xludf.DUMMYFUNCTION("""COMPUTED_VALUE""")," Enquire &amp; Coordinate with client")</f>
        <v> Enquire &amp; Coordinate with client</v>
      </c>
      <c r="E751" s="86"/>
    </row>
    <row r="752">
      <c r="A752" s="4"/>
      <c r="B752" s="85">
        <f>IFERROR(__xludf.DUMMYFUNCTION("""COMPUTED_VALUE"""),46116.51875)</f>
        <v>46116.51875</v>
      </c>
      <c r="C752" s="4" t="str">
        <f>IFERROR(__xludf.DUMMYFUNCTION("""COMPUTED_VALUE""")," Enquire &amp; Coordinate with client")</f>
        <v> Enquire &amp; Coordinate with client</v>
      </c>
      <c r="E752" s="86"/>
    </row>
    <row r="753">
      <c r="A753" s="4"/>
      <c r="B753" s="85">
        <f>IFERROR(__xludf.DUMMYFUNCTION("""COMPUTED_VALUE"""),46116.51944444445)</f>
        <v>46116.51944</v>
      </c>
      <c r="C753" s="4" t="str">
        <f>IFERROR(__xludf.DUMMYFUNCTION("""COMPUTED_VALUE""")," Enquire &amp; Coordinate with client")</f>
        <v> Enquire &amp; Coordinate with client</v>
      </c>
      <c r="E753" s="86"/>
    </row>
    <row r="754">
      <c r="A754" s="4"/>
      <c r="B754" s="85">
        <f>IFERROR(__xludf.DUMMYFUNCTION("""COMPUTED_VALUE"""),46116.52013888889)</f>
        <v>46116.52014</v>
      </c>
      <c r="C754" s="4" t="str">
        <f>IFERROR(__xludf.DUMMYFUNCTION("""COMPUTED_VALUE""")," Enquire &amp; Coordinate with client")</f>
        <v> Enquire &amp; Coordinate with client</v>
      </c>
      <c r="E754" s="86"/>
    </row>
    <row r="755">
      <c r="A755" s="4"/>
      <c r="B755" s="85">
        <f>IFERROR(__xludf.DUMMYFUNCTION("""COMPUTED_VALUE"""),46116.521527777775)</f>
        <v>46116.52153</v>
      </c>
      <c r="C755" s="4" t="str">
        <f>IFERROR(__xludf.DUMMYFUNCTION("""COMPUTED_VALUE""")," Enquire &amp; Coordinate with client")</f>
        <v> Enquire &amp; Coordinate with client</v>
      </c>
      <c r="E755" s="86"/>
    </row>
    <row r="756">
      <c r="A756" s="4"/>
      <c r="B756" s="85">
        <f>IFERROR(__xludf.DUMMYFUNCTION("""COMPUTED_VALUE"""),46116.52291666667)</f>
        <v>46116.52292</v>
      </c>
      <c r="C756" s="4" t="str">
        <f>IFERROR(__xludf.DUMMYFUNCTION("""COMPUTED_VALUE""")," Enquire &amp; Coordinate with client")</f>
        <v> Enquire &amp; Coordinate with client</v>
      </c>
      <c r="E756" s="86"/>
    </row>
    <row r="757">
      <c r="A757" s="4"/>
      <c r="B757" s="85">
        <f>IFERROR(__xludf.DUMMYFUNCTION("""COMPUTED_VALUE"""),46116.52638888889)</f>
        <v>46116.52639</v>
      </c>
      <c r="C757" s="4" t="str">
        <f>IFERROR(__xludf.DUMMYFUNCTION("""COMPUTED_VALUE""")," Enquire &amp; Coordinate with client")</f>
        <v> Enquire &amp; Coordinate with client</v>
      </c>
      <c r="E757" s="86"/>
    </row>
    <row r="758">
      <c r="A758" s="4"/>
      <c r="B758" s="85">
        <f>IFERROR(__xludf.DUMMYFUNCTION("""COMPUTED_VALUE"""),46116.52777777778)</f>
        <v>46116.52778</v>
      </c>
      <c r="C758" s="4" t="str">
        <f>IFERROR(__xludf.DUMMYFUNCTION("""COMPUTED_VALUE""")," Enquire &amp; Coordinate with client")</f>
        <v> Enquire &amp; Coordinate with client</v>
      </c>
      <c r="E758" s="86"/>
    </row>
    <row r="759">
      <c r="A759" s="4"/>
      <c r="B759" s="85">
        <f>IFERROR(__xludf.DUMMYFUNCTION("""COMPUTED_VALUE"""),46116.52847222222)</f>
        <v>46116.52847</v>
      </c>
      <c r="C759" s="4" t="str">
        <f>IFERROR(__xludf.DUMMYFUNCTION("""COMPUTED_VALUE""")," Enquire &amp; Coordinate with client")</f>
        <v> Enquire &amp; Coordinate with client</v>
      </c>
      <c r="E759" s="86"/>
    </row>
    <row r="760">
      <c r="A760" s="4"/>
      <c r="B760" s="85">
        <f>IFERROR(__xludf.DUMMYFUNCTION("""COMPUTED_VALUE"""),46116.52916666667)</f>
        <v>46116.52917</v>
      </c>
      <c r="C760" s="4" t="str">
        <f>IFERROR(__xludf.DUMMYFUNCTION("""COMPUTED_VALUE""")," Enquire &amp; Coordinate with client")</f>
        <v> Enquire &amp; Coordinate with client</v>
      </c>
      <c r="E760" s="86"/>
    </row>
    <row r="761">
      <c r="A761" s="4"/>
      <c r="B761" s="85">
        <f>IFERROR(__xludf.DUMMYFUNCTION("""COMPUTED_VALUE"""),46116.52986111111)</f>
        <v>46116.52986</v>
      </c>
      <c r="C761" s="4" t="str">
        <f>IFERROR(__xludf.DUMMYFUNCTION("""COMPUTED_VALUE""")," Enquire &amp; Coordinate with client")</f>
        <v> Enquire &amp; Coordinate with client</v>
      </c>
      <c r="E761" s="86"/>
    </row>
    <row r="762">
      <c r="A762" s="4"/>
      <c r="B762" s="85">
        <f>IFERROR(__xludf.DUMMYFUNCTION("""COMPUTED_VALUE"""),46116.53055555555)</f>
        <v>46116.53056</v>
      </c>
      <c r="C762" s="4" t="str">
        <f>IFERROR(__xludf.DUMMYFUNCTION("""COMPUTED_VALUE""")," Enquire &amp; Coordinate with client")</f>
        <v> Enquire &amp; Coordinate with client</v>
      </c>
      <c r="E762" s="86"/>
    </row>
    <row r="763">
      <c r="A763" s="4"/>
      <c r="B763" s="85">
        <f>IFERROR(__xludf.DUMMYFUNCTION("""COMPUTED_VALUE"""),46116.53194444445)</f>
        <v>46116.53194</v>
      </c>
      <c r="C763" s="4" t="str">
        <f>IFERROR(__xludf.DUMMYFUNCTION("""COMPUTED_VALUE""")," Enquire &amp; Coordinate with client")</f>
        <v> Enquire &amp; Coordinate with client</v>
      </c>
      <c r="E763" s="86"/>
    </row>
    <row r="764">
      <c r="A764" s="4"/>
      <c r="B764" s="85">
        <f>IFERROR(__xludf.DUMMYFUNCTION("""COMPUTED_VALUE"""),46116.53194444445)</f>
        <v>46116.53194</v>
      </c>
      <c r="C764" s="4" t="str">
        <f>IFERROR(__xludf.DUMMYFUNCTION("""COMPUTED_VALUE""")," Enquire &amp; Coordinate with client")</f>
        <v> Enquire &amp; Coordinate with client</v>
      </c>
      <c r="E764" s="86"/>
    </row>
    <row r="765">
      <c r="A765" s="4"/>
      <c r="B765" s="85">
        <f>IFERROR(__xludf.DUMMYFUNCTION("""COMPUTED_VALUE"""),46117.552777777775)</f>
        <v>46117.55278</v>
      </c>
      <c r="C765" s="4" t="str">
        <f>IFERROR(__xludf.DUMMYFUNCTION("""COMPUTED_VALUE""")," Enquire &amp; Coordinate with client")</f>
        <v> Enquire &amp; Coordinate with client</v>
      </c>
      <c r="E765" s="86"/>
    </row>
    <row r="766">
      <c r="A766" s="4"/>
      <c r="B766" s="85">
        <f>IFERROR(__xludf.DUMMYFUNCTION("""COMPUTED_VALUE"""),46117.56805555556)</f>
        <v>46117.56806</v>
      </c>
      <c r="C766" s="4" t="str">
        <f>IFERROR(__xludf.DUMMYFUNCTION("""COMPUTED_VALUE""")," Enquire &amp; Coordinate with client")</f>
        <v> Enquire &amp; Coordinate with client</v>
      </c>
      <c r="E766" s="86"/>
    </row>
    <row r="767">
      <c r="A767" s="4"/>
      <c r="B767" s="85">
        <f>IFERROR(__xludf.DUMMYFUNCTION("""COMPUTED_VALUE"""),46117.763194444444)</f>
        <v>46117.76319</v>
      </c>
      <c r="C767" s="4" t="str">
        <f>IFERROR(__xludf.DUMMYFUNCTION("""COMPUTED_VALUE""")," Enquire &amp; Coordinate with client")</f>
        <v> Enquire &amp; Coordinate with client</v>
      </c>
      <c r="E767" s="86"/>
    </row>
    <row r="768">
      <c r="A768" s="4"/>
      <c r="B768" s="85">
        <f>IFERROR(__xludf.DUMMYFUNCTION("""COMPUTED_VALUE"""),46119.65694444445)</f>
        <v>46119.65694</v>
      </c>
      <c r="C768" s="4" t="str">
        <f>IFERROR(__xludf.DUMMYFUNCTION("""COMPUTED_VALUE""")," Enquire &amp; Coordinate with client")</f>
        <v> Enquire &amp; Coordinate with client</v>
      </c>
      <c r="E768" s="86"/>
    </row>
    <row r="769">
      <c r="A769" s="4"/>
      <c r="B769" s="85">
        <f>IFERROR(__xludf.DUMMYFUNCTION("""COMPUTED_VALUE"""),46120.49722222222)</f>
        <v>46120.49722</v>
      </c>
      <c r="C769" s="4" t="str">
        <f>IFERROR(__xludf.DUMMYFUNCTION("""COMPUTED_VALUE""")," Enquire &amp; Coordinate with client")</f>
        <v> Enquire &amp; Coordinate with client</v>
      </c>
      <c r="E769" s="86"/>
    </row>
    <row r="770">
      <c r="A770" s="4"/>
      <c r="B770" s="85">
        <f>IFERROR(__xludf.DUMMYFUNCTION("""COMPUTED_VALUE"""),46120.49861111111)</f>
        <v>46120.49861</v>
      </c>
      <c r="C770" s="4" t="str">
        <f>IFERROR(__xludf.DUMMYFUNCTION("""COMPUTED_VALUE""")," Enquire &amp; Coordinate with client")</f>
        <v> Enquire &amp; Coordinate with client</v>
      </c>
      <c r="E770" s="86"/>
    </row>
    <row r="771">
      <c r="A771" s="4"/>
      <c r="B771" s="85">
        <f>IFERROR(__xludf.DUMMYFUNCTION("""COMPUTED_VALUE"""),46120.50138888889)</f>
        <v>46120.50139</v>
      </c>
      <c r="C771" s="4" t="str">
        <f>IFERROR(__xludf.DUMMYFUNCTION("""COMPUTED_VALUE""")," Enquire &amp; Coordinate with client")</f>
        <v> Enquire &amp; Coordinate with client</v>
      </c>
      <c r="E771" s="86"/>
    </row>
    <row r="772">
      <c r="A772" s="4"/>
      <c r="B772" s="85">
        <f>IFERROR(__xludf.DUMMYFUNCTION("""COMPUTED_VALUE"""),46120.50902777778)</f>
        <v>46120.50903</v>
      </c>
      <c r="C772" s="4" t="str">
        <f>IFERROR(__xludf.DUMMYFUNCTION("""COMPUTED_VALUE""")," Enquire &amp; Coordinate with client")</f>
        <v> Enquire &amp; Coordinate with client</v>
      </c>
      <c r="E772" s="86"/>
    </row>
    <row r="773">
      <c r="A773" s="4"/>
      <c r="B773" s="85">
        <f>IFERROR(__xludf.DUMMYFUNCTION("""COMPUTED_VALUE"""),46120.509722222225)</f>
        <v>46120.50972</v>
      </c>
      <c r="C773" s="4" t="str">
        <f>IFERROR(__xludf.DUMMYFUNCTION("""COMPUTED_VALUE""")," Enquire &amp; Coordinate with client")</f>
        <v> Enquire &amp; Coordinate with client</v>
      </c>
      <c r="E773" s="86"/>
    </row>
    <row r="774">
      <c r="A774" s="4"/>
      <c r="B774" s="85">
        <f>IFERROR(__xludf.DUMMYFUNCTION("""COMPUTED_VALUE"""),46120.51111111111)</f>
        <v>46120.51111</v>
      </c>
      <c r="C774" s="4" t="str">
        <f>IFERROR(__xludf.DUMMYFUNCTION("""COMPUTED_VALUE""")," Enquire &amp; Coordinate with client")</f>
        <v> Enquire &amp; Coordinate with client</v>
      </c>
      <c r="E774" s="86"/>
    </row>
    <row r="775">
      <c r="A775" s="4"/>
      <c r="B775" s="85">
        <f>IFERROR(__xludf.DUMMYFUNCTION("""COMPUTED_VALUE"""),46120.51180555555)</f>
        <v>46120.51181</v>
      </c>
      <c r="C775" s="4" t="str">
        <f>IFERROR(__xludf.DUMMYFUNCTION("""COMPUTED_VALUE""")," Enquire &amp; Coordinate with client")</f>
        <v> Enquire &amp; Coordinate with client</v>
      </c>
      <c r="E775" s="86"/>
    </row>
    <row r="776">
      <c r="A776" s="4"/>
      <c r="B776" s="85">
        <f>IFERROR(__xludf.DUMMYFUNCTION("""COMPUTED_VALUE"""),46120.5125)</f>
        <v>46120.5125</v>
      </c>
      <c r="C776" s="4" t="str">
        <f>IFERROR(__xludf.DUMMYFUNCTION("""COMPUTED_VALUE""")," Enquire &amp; Coordinate with client")</f>
        <v> Enquire &amp; Coordinate with client</v>
      </c>
      <c r="E776" s="86"/>
    </row>
    <row r="777">
      <c r="A777" s="4"/>
      <c r="B777" s="85">
        <f>IFERROR(__xludf.DUMMYFUNCTION("""COMPUTED_VALUE"""),46120.51388888889)</f>
        <v>46120.51389</v>
      </c>
      <c r="C777" s="4" t="str">
        <f>IFERROR(__xludf.DUMMYFUNCTION("""COMPUTED_VALUE""")," Enquire &amp; Coordinate with client")</f>
        <v> Enquire &amp; Coordinate with client</v>
      </c>
      <c r="E777" s="86"/>
    </row>
    <row r="778">
      <c r="A778" s="4"/>
      <c r="B778" s="85">
        <f>IFERROR(__xludf.DUMMYFUNCTION("""COMPUTED_VALUE"""),46120.51527777778)</f>
        <v>46120.51528</v>
      </c>
      <c r="C778" s="4" t="str">
        <f>IFERROR(__xludf.DUMMYFUNCTION("""COMPUTED_VALUE""")," Enquire &amp; Coordinate with client")</f>
        <v> Enquire &amp; Coordinate with client</v>
      </c>
      <c r="E778" s="86"/>
    </row>
    <row r="779">
      <c r="A779" s="4"/>
      <c r="B779" s="85">
        <f>IFERROR(__xludf.DUMMYFUNCTION("""COMPUTED_VALUE"""),46120.51597222222)</f>
        <v>46120.51597</v>
      </c>
      <c r="C779" s="4" t="str">
        <f>IFERROR(__xludf.DUMMYFUNCTION("""COMPUTED_VALUE""")," Enquire &amp; Coordinate with client")</f>
        <v> Enquire &amp; Coordinate with client</v>
      </c>
      <c r="E779" s="86"/>
    </row>
    <row r="780">
      <c r="A780" s="4"/>
      <c r="B780" s="85">
        <f>IFERROR(__xludf.DUMMYFUNCTION("""COMPUTED_VALUE"""),46120.518055555556)</f>
        <v>46120.51806</v>
      </c>
      <c r="C780" s="4" t="str">
        <f>IFERROR(__xludf.DUMMYFUNCTION("""COMPUTED_VALUE""")," Enquire &amp; Coordinate with client")</f>
        <v> Enquire &amp; Coordinate with client</v>
      </c>
      <c r="E780" s="86"/>
    </row>
    <row r="781">
      <c r="A781" s="4"/>
      <c r="B781" s="85">
        <f>IFERROR(__xludf.DUMMYFUNCTION("""COMPUTED_VALUE"""),46120.52222222222)</f>
        <v>46120.52222</v>
      </c>
      <c r="C781" s="4" t="str">
        <f>IFERROR(__xludf.DUMMYFUNCTION("""COMPUTED_VALUE""")," Enquire &amp; Coordinate with client")</f>
        <v> Enquire &amp; Coordinate with client</v>
      </c>
      <c r="E781" s="86"/>
    </row>
    <row r="782">
      <c r="A782" s="4"/>
      <c r="B782" s="85">
        <f>IFERROR(__xludf.DUMMYFUNCTION("""COMPUTED_VALUE"""),46120.52986111111)</f>
        <v>46120.52986</v>
      </c>
      <c r="C782" s="4" t="str">
        <f>IFERROR(__xludf.DUMMYFUNCTION("""COMPUTED_VALUE""")," Enquire &amp; Coordinate with client")</f>
        <v> Enquire &amp; Coordinate with client</v>
      </c>
      <c r="E782" s="86"/>
    </row>
    <row r="783">
      <c r="A783" s="4"/>
      <c r="B783" s="85">
        <f>IFERROR(__xludf.DUMMYFUNCTION("""COMPUTED_VALUE"""),46120.558333333334)</f>
        <v>46120.55833</v>
      </c>
      <c r="C783" s="4" t="str">
        <f>IFERROR(__xludf.DUMMYFUNCTION("""COMPUTED_VALUE""")," Enquire &amp; Coordinate with client")</f>
        <v> Enquire &amp; Coordinate with client</v>
      </c>
      <c r="E783" s="86"/>
    </row>
    <row r="784">
      <c r="A784" s="4"/>
      <c r="B784" s="85">
        <f>IFERROR(__xludf.DUMMYFUNCTION("""COMPUTED_VALUE"""),46120.55972222222)</f>
        <v>46120.55972</v>
      </c>
      <c r="C784" s="4" t="str">
        <f>IFERROR(__xludf.DUMMYFUNCTION("""COMPUTED_VALUE""")," Enquire &amp; Coordinate with client")</f>
        <v> Enquire &amp; Coordinate with client</v>
      </c>
      <c r="E784" s="86"/>
    </row>
    <row r="785">
      <c r="A785" s="4"/>
      <c r="B785" s="85">
        <f>IFERROR(__xludf.DUMMYFUNCTION("""COMPUTED_VALUE"""),46122.570138888885)</f>
        <v>46122.57014</v>
      </c>
      <c r="C785" s="4" t="str">
        <f>IFERROR(__xludf.DUMMYFUNCTION("""COMPUTED_VALUE""")," Enquire &amp; Coordinate with client")</f>
        <v> Enquire &amp; Coordinate with client</v>
      </c>
      <c r="E785" s="86"/>
    </row>
    <row r="786">
      <c r="A786" s="4"/>
      <c r="B786" s="85">
        <f>IFERROR(__xludf.DUMMYFUNCTION("""COMPUTED_VALUE"""),46122.57361111111)</f>
        <v>46122.57361</v>
      </c>
      <c r="C786" s="4" t="str">
        <f>IFERROR(__xludf.DUMMYFUNCTION("""COMPUTED_VALUE""")," Enquire &amp; Coordinate with client")</f>
        <v> Enquire &amp; Coordinate with client</v>
      </c>
      <c r="E786" s="86"/>
    </row>
    <row r="787">
      <c r="A787" s="4"/>
      <c r="B787" s="85">
        <f>IFERROR(__xludf.DUMMYFUNCTION("""COMPUTED_VALUE"""),46122.57430555555)</f>
        <v>46122.57431</v>
      </c>
      <c r="C787" s="4" t="str">
        <f>IFERROR(__xludf.DUMMYFUNCTION("""COMPUTED_VALUE""")," Enquire &amp; Coordinate with client")</f>
        <v> Enquire &amp; Coordinate with client</v>
      </c>
      <c r="E787" s="86"/>
    </row>
    <row r="788">
      <c r="A788" s="4"/>
      <c r="B788" s="85">
        <f>IFERROR(__xludf.DUMMYFUNCTION("""COMPUTED_VALUE"""),46122.575694444444)</f>
        <v>46122.57569</v>
      </c>
      <c r="C788" s="4" t="str">
        <f>IFERROR(__xludf.DUMMYFUNCTION("""COMPUTED_VALUE""")," Enquire &amp; Coordinate with client")</f>
        <v> Enquire &amp; Coordinate with client</v>
      </c>
      <c r="E788" s="86"/>
    </row>
    <row r="789">
      <c r="A789" s="4"/>
      <c r="B789" s="85">
        <f>IFERROR(__xludf.DUMMYFUNCTION("""COMPUTED_VALUE"""),46122.57638888889)</f>
        <v>46122.57639</v>
      </c>
      <c r="C789" s="4" t="str">
        <f>IFERROR(__xludf.DUMMYFUNCTION("""COMPUTED_VALUE""")," Enquire &amp; Coordinate with client")</f>
        <v> Enquire &amp; Coordinate with client</v>
      </c>
      <c r="E789" s="86"/>
    </row>
    <row r="790">
      <c r="A790" s="4"/>
      <c r="B790" s="85">
        <f>IFERROR(__xludf.DUMMYFUNCTION("""COMPUTED_VALUE"""),46122.57708333334)</f>
        <v>46122.57708</v>
      </c>
      <c r="C790" s="4" t="str">
        <f>IFERROR(__xludf.DUMMYFUNCTION("""COMPUTED_VALUE""")," Enquire &amp; Coordinate with client")</f>
        <v> Enquire &amp; Coordinate with client</v>
      </c>
      <c r="E790" s="86"/>
    </row>
    <row r="791">
      <c r="A791" s="4"/>
      <c r="B791" s="85">
        <f>IFERROR(__xludf.DUMMYFUNCTION("""COMPUTED_VALUE"""),46122.57777777778)</f>
        <v>46122.57778</v>
      </c>
      <c r="C791" s="4" t="str">
        <f>IFERROR(__xludf.DUMMYFUNCTION("""COMPUTED_VALUE""")," Enquire &amp; Coordinate with client")</f>
        <v> Enquire &amp; Coordinate with client</v>
      </c>
      <c r="E791" s="86"/>
    </row>
    <row r="792">
      <c r="A792" s="4"/>
      <c r="B792" s="85">
        <f>IFERROR(__xludf.DUMMYFUNCTION("""COMPUTED_VALUE"""),46122.63888888889)</f>
        <v>46122.63889</v>
      </c>
      <c r="C792" s="4" t="str">
        <f>IFERROR(__xludf.DUMMYFUNCTION("""COMPUTED_VALUE""")," Enquire &amp; Coordinate with client")</f>
        <v> Enquire &amp; Coordinate with client</v>
      </c>
      <c r="E792" s="86"/>
    </row>
    <row r="793">
      <c r="A793" s="4"/>
      <c r="B793" s="85">
        <f>IFERROR(__xludf.DUMMYFUNCTION("""COMPUTED_VALUE"""),46123.73819444445)</f>
        <v>46123.73819</v>
      </c>
      <c r="C793" s="4" t="str">
        <f>IFERROR(__xludf.DUMMYFUNCTION("""COMPUTED_VALUE""")," Enquire &amp; Coordinate with client")</f>
        <v> Enquire &amp; Coordinate with client</v>
      </c>
      <c r="E793" s="86"/>
    </row>
    <row r="794">
      <c r="A794" s="4"/>
      <c r="B794" s="85">
        <f>IFERROR(__xludf.DUMMYFUNCTION("""COMPUTED_VALUE"""),46123.81180555555)</f>
        <v>46123.81181</v>
      </c>
      <c r="C794" s="4" t="str">
        <f>IFERROR(__xludf.DUMMYFUNCTION("""COMPUTED_VALUE""")," Enquire &amp; Coordinate with client")</f>
        <v> Enquire &amp; Coordinate with client</v>
      </c>
      <c r="E794" s="86"/>
    </row>
    <row r="795">
      <c r="A795" s="4"/>
      <c r="B795" s="85">
        <f>IFERROR(__xludf.DUMMYFUNCTION("""COMPUTED_VALUE"""),46123.8125)</f>
        <v>46123.8125</v>
      </c>
      <c r="C795" s="4" t="str">
        <f>IFERROR(__xludf.DUMMYFUNCTION("""COMPUTED_VALUE""")," Enquire &amp; Coordinate with client")</f>
        <v> Enquire &amp; Coordinate with client</v>
      </c>
      <c r="E795" s="86"/>
    </row>
    <row r="796">
      <c r="A796" s="4"/>
      <c r="B796" s="85">
        <f>IFERROR(__xludf.DUMMYFUNCTION("""COMPUTED_VALUE"""),46123.81388888889)</f>
        <v>46123.81389</v>
      </c>
      <c r="C796" s="4" t="str">
        <f>IFERROR(__xludf.DUMMYFUNCTION("""COMPUTED_VALUE""")," Enquire &amp; Coordinate with client")</f>
        <v> Enquire &amp; Coordinate with client</v>
      </c>
      <c r="E796" s="86"/>
    </row>
    <row r="797">
      <c r="A797" s="4"/>
      <c r="B797" s="85">
        <f>IFERROR(__xludf.DUMMYFUNCTION("""COMPUTED_VALUE"""),46126.649305555555)</f>
        <v>46126.64931</v>
      </c>
      <c r="C797" s="4" t="str">
        <f>IFERROR(__xludf.DUMMYFUNCTION("""COMPUTED_VALUE""")," Enquire &amp; Coordinate with client")</f>
        <v> Enquire &amp; Coordinate with client</v>
      </c>
      <c r="E797" s="86"/>
    </row>
    <row r="798">
      <c r="A798" s="4"/>
      <c r="B798" s="85">
        <f>IFERROR(__xludf.DUMMYFUNCTION("""COMPUTED_VALUE"""),46126.65)</f>
        <v>46126.65</v>
      </c>
      <c r="C798" s="4" t="str">
        <f>IFERROR(__xludf.DUMMYFUNCTION("""COMPUTED_VALUE""")," Enquire &amp; Coordinate with client")</f>
        <v> Enquire &amp; Coordinate with client</v>
      </c>
      <c r="E798" s="86"/>
    </row>
    <row r="799">
      <c r="A799" s="4"/>
      <c r="B799" s="85">
        <f>IFERROR(__xludf.DUMMYFUNCTION("""COMPUTED_VALUE"""),46126.65138888889)</f>
        <v>46126.65139</v>
      </c>
      <c r="C799" s="4" t="str">
        <f>IFERROR(__xludf.DUMMYFUNCTION("""COMPUTED_VALUE""")," Enquire &amp; Coordinate with client")</f>
        <v> Enquire &amp; Coordinate with client</v>
      </c>
      <c r="E799" s="86"/>
    </row>
    <row r="800">
      <c r="A800" s="4"/>
      <c r="B800" s="85">
        <f>IFERROR(__xludf.DUMMYFUNCTION("""COMPUTED_VALUE"""),46126.74166666667)</f>
        <v>46126.74167</v>
      </c>
      <c r="C800" s="4" t="str">
        <f>IFERROR(__xludf.DUMMYFUNCTION("""COMPUTED_VALUE""")," Enquire &amp; Coordinate with client")</f>
        <v> Enquire &amp; Coordinate with client</v>
      </c>
      <c r="E800" s="86"/>
    </row>
    <row r="801">
      <c r="A801" s="4"/>
      <c r="B801" s="85">
        <f>IFERROR(__xludf.DUMMYFUNCTION("""COMPUTED_VALUE"""),46126.75208333333)</f>
        <v>46126.75208</v>
      </c>
      <c r="C801" s="4" t="str">
        <f>IFERROR(__xludf.DUMMYFUNCTION("""COMPUTED_VALUE""")," Enquire &amp; Coordinate with client")</f>
        <v> Enquire &amp; Coordinate with client</v>
      </c>
      <c r="E801" s="86"/>
    </row>
    <row r="802">
      <c r="A802" s="4"/>
      <c r="B802" s="85">
        <f>IFERROR(__xludf.DUMMYFUNCTION("""COMPUTED_VALUE"""),46126.78194444445)</f>
        <v>46126.78194</v>
      </c>
      <c r="C802" s="4" t="str">
        <f>IFERROR(__xludf.DUMMYFUNCTION("""COMPUTED_VALUE""")," Enquire &amp; Coordinate with client")</f>
        <v> Enquire &amp; Coordinate with client</v>
      </c>
      <c r="E802" s="86"/>
    </row>
    <row r="803">
      <c r="A803" s="4"/>
      <c r="B803" s="85">
        <f>IFERROR(__xludf.DUMMYFUNCTION("""COMPUTED_VALUE"""),46128.79652777778)</f>
        <v>46128.79653</v>
      </c>
      <c r="C803" s="4" t="str">
        <f>IFERROR(__xludf.DUMMYFUNCTION("""COMPUTED_VALUE""")," Enquire &amp; Coordinate with client")</f>
        <v> Enquire &amp; Coordinate with client</v>
      </c>
      <c r="E803" s="86"/>
    </row>
    <row r="804">
      <c r="A804" s="4"/>
      <c r="B804" s="85">
        <f>IFERROR(__xludf.DUMMYFUNCTION("""COMPUTED_VALUE"""),46128.79861111111)</f>
        <v>46128.79861</v>
      </c>
      <c r="C804" s="4" t="str">
        <f>IFERROR(__xludf.DUMMYFUNCTION("""COMPUTED_VALUE""")," Enquire &amp; Coordinate with client")</f>
        <v> Enquire &amp; Coordinate with client</v>
      </c>
      <c r="E804" s="86"/>
    </row>
    <row r="805">
      <c r="A805" s="4"/>
      <c r="B805" s="85">
        <f>IFERROR(__xludf.DUMMYFUNCTION("""COMPUTED_VALUE"""),46128.80347222222)</f>
        <v>46128.80347</v>
      </c>
      <c r="C805" s="4" t="str">
        <f>IFERROR(__xludf.DUMMYFUNCTION("""COMPUTED_VALUE""")," Enquire &amp; Coordinate with client")</f>
        <v> Enquire &amp; Coordinate with client</v>
      </c>
      <c r="E805" s="86"/>
    </row>
    <row r="806">
      <c r="A806" s="4"/>
      <c r="B806" s="85">
        <f>IFERROR(__xludf.DUMMYFUNCTION("""COMPUTED_VALUE"""),46128.805555555555)</f>
        <v>46128.80556</v>
      </c>
      <c r="C806" s="4" t="str">
        <f>IFERROR(__xludf.DUMMYFUNCTION("""COMPUTED_VALUE""")," Enquire &amp; Coordinate with client")</f>
        <v> Enquire &amp; Coordinate with client</v>
      </c>
      <c r="E806" s="86"/>
    </row>
    <row r="807">
      <c r="A807" s="4"/>
      <c r="B807" s="85">
        <f>IFERROR(__xludf.DUMMYFUNCTION("""COMPUTED_VALUE"""),46128.81041666667)</f>
        <v>46128.81042</v>
      </c>
      <c r="C807" s="4" t="str">
        <f>IFERROR(__xludf.DUMMYFUNCTION("""COMPUTED_VALUE""")," Enquire &amp; Coordinate with client")</f>
        <v> Enquire &amp; Coordinate with client</v>
      </c>
      <c r="E807" s="86"/>
    </row>
    <row r="808">
      <c r="A808" s="4"/>
      <c r="B808" s="85">
        <f>IFERROR(__xludf.DUMMYFUNCTION("""COMPUTED_VALUE"""),44628.5625)</f>
        <v>44628.5625</v>
      </c>
      <c r="C808" s="4" t="str">
        <f>IFERROR(__xludf.DUMMYFUNCTION("""COMPUTED_VALUE""")," Estimate ")</f>
        <v> Estimate </v>
      </c>
      <c r="E808" s="86"/>
    </row>
    <row r="809">
      <c r="A809" s="4"/>
      <c r="B809" s="85">
        <f>IFERROR(__xludf.DUMMYFUNCTION("""COMPUTED_VALUE"""),44629.50208333333)</f>
        <v>44629.50208</v>
      </c>
      <c r="C809" s="4" t="str">
        <f>IFERROR(__xludf.DUMMYFUNCTION("""COMPUTED_VALUE""")," Estimate ")</f>
        <v> Estimate </v>
      </c>
      <c r="E809" s="86"/>
    </row>
    <row r="810">
      <c r="A810" s="4"/>
      <c r="B810" s="85">
        <f>IFERROR(__xludf.DUMMYFUNCTION("""COMPUTED_VALUE"""),44629.66805555555)</f>
        <v>44629.66806</v>
      </c>
      <c r="C810" s="4" t="str">
        <f>IFERROR(__xludf.DUMMYFUNCTION("""COMPUTED_VALUE""")," Estimate ")</f>
        <v> Estimate </v>
      </c>
      <c r="E810" s="86"/>
    </row>
    <row r="811">
      <c r="A811" s="4"/>
      <c r="B811" s="85">
        <f>IFERROR(__xludf.DUMMYFUNCTION("""COMPUTED_VALUE"""),44629.66875)</f>
        <v>44629.66875</v>
      </c>
      <c r="C811" s="4" t="str">
        <f>IFERROR(__xludf.DUMMYFUNCTION("""COMPUTED_VALUE""")," Estimate ")</f>
        <v> Estimate </v>
      </c>
      <c r="E811" s="86"/>
    </row>
    <row r="812">
      <c r="A812" s="4"/>
      <c r="B812" s="85">
        <f>IFERROR(__xludf.DUMMYFUNCTION("""COMPUTED_VALUE"""),44629.67083333334)</f>
        <v>44629.67083</v>
      </c>
      <c r="C812" s="4" t="str">
        <f>IFERROR(__xludf.DUMMYFUNCTION("""COMPUTED_VALUE""")," Estimate ")</f>
        <v> Estimate </v>
      </c>
      <c r="E812" s="86"/>
    </row>
    <row r="813">
      <c r="A813" s="4"/>
      <c r="B813" s="85">
        <f>IFERROR(__xludf.DUMMYFUNCTION("""COMPUTED_VALUE"""),44637.72152777778)</f>
        <v>44637.72153</v>
      </c>
      <c r="C813" s="4" t="str">
        <f>IFERROR(__xludf.DUMMYFUNCTION("""COMPUTED_VALUE""")," Estimate ")</f>
        <v> Estimate </v>
      </c>
      <c r="E813" s="86"/>
    </row>
    <row r="814">
      <c r="A814" s="4"/>
      <c r="B814" s="85">
        <f>IFERROR(__xludf.DUMMYFUNCTION("""COMPUTED_VALUE"""),44638.49722222222)</f>
        <v>44638.49722</v>
      </c>
      <c r="C814" s="4" t="str">
        <f>IFERROR(__xludf.DUMMYFUNCTION("""COMPUTED_VALUE""")," Estimate ")</f>
        <v> Estimate </v>
      </c>
      <c r="E814" s="86"/>
    </row>
    <row r="815">
      <c r="A815" s="4"/>
      <c r="B815" s="85">
        <f>IFERROR(__xludf.DUMMYFUNCTION("""COMPUTED_VALUE"""),44638.50138888889)</f>
        <v>44638.50139</v>
      </c>
      <c r="C815" s="4" t="str">
        <f>IFERROR(__xludf.DUMMYFUNCTION("""COMPUTED_VALUE""")," Estimate ")</f>
        <v> Estimate </v>
      </c>
      <c r="E815" s="86"/>
    </row>
    <row r="816">
      <c r="A816" s="4"/>
      <c r="B816" s="85">
        <f>IFERROR(__xludf.DUMMYFUNCTION("""COMPUTED_VALUE"""),44638.50902777778)</f>
        <v>44638.50903</v>
      </c>
      <c r="C816" s="4" t="str">
        <f>IFERROR(__xludf.DUMMYFUNCTION("""COMPUTED_VALUE""")," Estimate ")</f>
        <v> Estimate </v>
      </c>
      <c r="E816" s="86"/>
    </row>
    <row r="817">
      <c r="A817" s="4"/>
      <c r="B817" s="85">
        <f>IFERROR(__xludf.DUMMYFUNCTION("""COMPUTED_VALUE"""),44645.68819444445)</f>
        <v>44645.68819</v>
      </c>
      <c r="C817" s="4" t="str">
        <f>IFERROR(__xludf.DUMMYFUNCTION("""COMPUTED_VALUE""")," Estimate ")</f>
        <v> Estimate </v>
      </c>
      <c r="E817" s="86"/>
    </row>
    <row r="818">
      <c r="A818" s="4"/>
      <c r="B818" s="85">
        <f>IFERROR(__xludf.DUMMYFUNCTION("""COMPUTED_VALUE"""),44645.68958333333)</f>
        <v>44645.68958</v>
      </c>
      <c r="C818" s="4" t="str">
        <f>IFERROR(__xludf.DUMMYFUNCTION("""COMPUTED_VALUE""")," Estimate ")</f>
        <v> Estimate </v>
      </c>
      <c r="E818" s="86"/>
    </row>
    <row r="819">
      <c r="A819" s="4"/>
      <c r="B819" s="85">
        <f>IFERROR(__xludf.DUMMYFUNCTION("""COMPUTED_VALUE"""),44645.69097222222)</f>
        <v>44645.69097</v>
      </c>
      <c r="C819" s="4" t="str">
        <f>IFERROR(__xludf.DUMMYFUNCTION("""COMPUTED_VALUE""")," Estimate ")</f>
        <v> Estimate </v>
      </c>
      <c r="E819" s="86"/>
    </row>
    <row r="820">
      <c r="A820" s="4"/>
      <c r="B820" s="85">
        <f>IFERROR(__xludf.DUMMYFUNCTION("""COMPUTED_VALUE"""),44645.691666666666)</f>
        <v>44645.69167</v>
      </c>
      <c r="C820" s="4" t="str">
        <f>IFERROR(__xludf.DUMMYFUNCTION("""COMPUTED_VALUE""")," Estimate ")</f>
        <v> Estimate </v>
      </c>
      <c r="E820" s="86"/>
    </row>
    <row r="821">
      <c r="A821" s="4"/>
      <c r="B821" s="85">
        <f>IFERROR(__xludf.DUMMYFUNCTION("""COMPUTED_VALUE"""),44645.69305555556)</f>
        <v>44645.69306</v>
      </c>
      <c r="C821" s="4" t="str">
        <f>IFERROR(__xludf.DUMMYFUNCTION("""COMPUTED_VALUE""")," Estimate ")</f>
        <v> Estimate </v>
      </c>
      <c r="E821" s="86"/>
    </row>
    <row r="822">
      <c r="A822" s="4"/>
      <c r="B822" s="85">
        <f>IFERROR(__xludf.DUMMYFUNCTION("""COMPUTED_VALUE"""),44647.58263888889)</f>
        <v>44647.58264</v>
      </c>
      <c r="C822" s="4" t="str">
        <f>IFERROR(__xludf.DUMMYFUNCTION("""COMPUTED_VALUE""")," Estimate ")</f>
        <v> Estimate </v>
      </c>
      <c r="E822" s="86"/>
    </row>
    <row r="823">
      <c r="A823" s="4"/>
      <c r="B823" s="85">
        <f>IFERROR(__xludf.DUMMYFUNCTION("""COMPUTED_VALUE"""),44680.49097222222)</f>
        <v>44680.49097</v>
      </c>
      <c r="C823" s="4" t="str">
        <f>IFERROR(__xludf.DUMMYFUNCTION("""COMPUTED_VALUE""")," Estimate ")</f>
        <v> Estimate </v>
      </c>
      <c r="E823" s="86"/>
    </row>
    <row r="824">
      <c r="A824" s="4"/>
      <c r="B824" s="85">
        <f>IFERROR(__xludf.DUMMYFUNCTION("""COMPUTED_VALUE"""),44682.73888888889)</f>
        <v>44682.73889</v>
      </c>
      <c r="C824" s="4" t="str">
        <f>IFERROR(__xludf.DUMMYFUNCTION("""COMPUTED_VALUE""")," Estimate ")</f>
        <v> Estimate </v>
      </c>
      <c r="E824" s="86"/>
    </row>
    <row r="825">
      <c r="A825" s="4"/>
      <c r="B825" s="85">
        <f>IFERROR(__xludf.DUMMYFUNCTION("""COMPUTED_VALUE"""),44686.61041666666)</f>
        <v>44686.61042</v>
      </c>
      <c r="C825" s="4" t="str">
        <f>IFERROR(__xludf.DUMMYFUNCTION("""COMPUTED_VALUE""")," Estimate ")</f>
        <v> Estimate </v>
      </c>
      <c r="E825" s="86"/>
    </row>
    <row r="826">
      <c r="A826" s="4"/>
      <c r="B826" s="85">
        <f>IFERROR(__xludf.DUMMYFUNCTION("""COMPUTED_VALUE"""),44687.48888888889)</f>
        <v>44687.48889</v>
      </c>
      <c r="C826" s="4" t="str">
        <f>IFERROR(__xludf.DUMMYFUNCTION("""COMPUTED_VALUE""")," Estimate ")</f>
        <v> Estimate </v>
      </c>
      <c r="E826" s="86"/>
    </row>
    <row r="827">
      <c r="A827" s="4"/>
      <c r="B827" s="85">
        <f>IFERROR(__xludf.DUMMYFUNCTION("""COMPUTED_VALUE"""),44692.48402777778)</f>
        <v>44692.48403</v>
      </c>
      <c r="C827" s="4" t="str">
        <f>IFERROR(__xludf.DUMMYFUNCTION("""COMPUTED_VALUE""")," Estimate ")</f>
        <v> Estimate </v>
      </c>
      <c r="E827" s="86"/>
    </row>
    <row r="828">
      <c r="A828" s="4"/>
      <c r="B828" s="85">
        <f>IFERROR(__xludf.DUMMYFUNCTION("""COMPUTED_VALUE"""),44696.486805555556)</f>
        <v>44696.48681</v>
      </c>
      <c r="C828" s="4" t="str">
        <f>IFERROR(__xludf.DUMMYFUNCTION("""COMPUTED_VALUE""")," Estimate ")</f>
        <v> Estimate </v>
      </c>
      <c r="E828" s="86"/>
    </row>
    <row r="829">
      <c r="A829" s="4"/>
      <c r="B829" s="85">
        <f>IFERROR(__xludf.DUMMYFUNCTION("""COMPUTED_VALUE"""),44696.48819444445)</f>
        <v>44696.48819</v>
      </c>
      <c r="C829" s="4" t="str">
        <f>IFERROR(__xludf.DUMMYFUNCTION("""COMPUTED_VALUE""")," Estimate ")</f>
        <v> Estimate </v>
      </c>
      <c r="E829" s="86"/>
    </row>
    <row r="830">
      <c r="A830" s="4"/>
      <c r="B830" s="85">
        <f>IFERROR(__xludf.DUMMYFUNCTION("""COMPUTED_VALUE"""),44696.48958333333)</f>
        <v>44696.48958</v>
      </c>
      <c r="C830" s="4" t="str">
        <f>IFERROR(__xludf.DUMMYFUNCTION("""COMPUTED_VALUE""")," Estimate ")</f>
        <v> Estimate </v>
      </c>
      <c r="E830" s="86"/>
    </row>
    <row r="831">
      <c r="A831" s="4"/>
      <c r="B831" s="85">
        <f>IFERROR(__xludf.DUMMYFUNCTION("""COMPUTED_VALUE"""),44712.648611111115)</f>
        <v>44712.64861</v>
      </c>
      <c r="C831" s="4" t="str">
        <f>IFERROR(__xludf.DUMMYFUNCTION("""COMPUTED_VALUE""")," Estimate ")</f>
        <v> Estimate </v>
      </c>
      <c r="E831" s="86"/>
    </row>
    <row r="832">
      <c r="A832" s="4"/>
      <c r="B832" s="85">
        <f>IFERROR(__xludf.DUMMYFUNCTION("""COMPUTED_VALUE"""),44713.5125)</f>
        <v>44713.5125</v>
      </c>
      <c r="C832" s="4" t="str">
        <f>IFERROR(__xludf.DUMMYFUNCTION("""COMPUTED_VALUE""")," Estimate ")</f>
        <v> Estimate </v>
      </c>
      <c r="E832" s="86"/>
    </row>
    <row r="833">
      <c r="A833" s="4"/>
      <c r="B833" s="85">
        <f>IFERROR(__xludf.DUMMYFUNCTION("""COMPUTED_VALUE"""),44713.51458333334)</f>
        <v>44713.51458</v>
      </c>
      <c r="C833" s="4" t="str">
        <f>IFERROR(__xludf.DUMMYFUNCTION("""COMPUTED_VALUE""")," Estimate ")</f>
        <v> Estimate </v>
      </c>
      <c r="E833" s="86"/>
    </row>
    <row r="834">
      <c r="A834" s="4"/>
      <c r="B834" s="85">
        <f>IFERROR(__xludf.DUMMYFUNCTION("""COMPUTED_VALUE"""),44722.52013888889)</f>
        <v>44722.52014</v>
      </c>
      <c r="C834" s="4" t="str">
        <f>IFERROR(__xludf.DUMMYFUNCTION("""COMPUTED_VALUE""")," Estimate ")</f>
        <v> Estimate </v>
      </c>
      <c r="E834" s="86"/>
    </row>
    <row r="835">
      <c r="A835" s="4"/>
      <c r="B835" s="85">
        <f>IFERROR(__xludf.DUMMYFUNCTION("""COMPUTED_VALUE"""),44722.523611111115)</f>
        <v>44722.52361</v>
      </c>
      <c r="C835" s="4" t="str">
        <f>IFERROR(__xludf.DUMMYFUNCTION("""COMPUTED_VALUE""")," Estimate ")</f>
        <v> Estimate </v>
      </c>
      <c r="E835" s="86"/>
    </row>
    <row r="836">
      <c r="A836" s="4"/>
      <c r="B836" s="85">
        <f>IFERROR(__xludf.DUMMYFUNCTION("""COMPUTED_VALUE"""),44722.525)</f>
        <v>44722.525</v>
      </c>
      <c r="C836" s="4" t="str">
        <f>IFERROR(__xludf.DUMMYFUNCTION("""COMPUTED_VALUE""")," Estimate ")</f>
        <v> Estimate </v>
      </c>
      <c r="E836" s="86"/>
    </row>
    <row r="837">
      <c r="A837" s="4"/>
      <c r="B837" s="85">
        <f>IFERROR(__xludf.DUMMYFUNCTION("""COMPUTED_VALUE"""),44722.52638888889)</f>
        <v>44722.52639</v>
      </c>
      <c r="C837" s="4" t="str">
        <f>IFERROR(__xludf.DUMMYFUNCTION("""COMPUTED_VALUE""")," Estimate ")</f>
        <v> Estimate </v>
      </c>
      <c r="E837" s="86"/>
    </row>
    <row r="838">
      <c r="A838" s="4"/>
      <c r="B838" s="85">
        <f>IFERROR(__xludf.DUMMYFUNCTION("""COMPUTED_VALUE"""),44724.53611111111)</f>
        <v>44724.53611</v>
      </c>
      <c r="C838" s="4" t="str">
        <f>IFERROR(__xludf.DUMMYFUNCTION("""COMPUTED_VALUE""")," Estimate ")</f>
        <v> Estimate </v>
      </c>
      <c r="E838" s="86"/>
    </row>
    <row r="839">
      <c r="A839" s="4"/>
      <c r="B839" s="85">
        <f>IFERROR(__xludf.DUMMYFUNCTION("""COMPUTED_VALUE"""),44728.54166666667)</f>
        <v>44728.54167</v>
      </c>
      <c r="C839" s="4" t="str">
        <f>IFERROR(__xludf.DUMMYFUNCTION("""COMPUTED_VALUE""")," Estimate ")</f>
        <v> Estimate </v>
      </c>
      <c r="E839" s="86"/>
    </row>
    <row r="840">
      <c r="A840" s="4"/>
      <c r="B840" s="85">
        <f>IFERROR(__xludf.DUMMYFUNCTION("""COMPUTED_VALUE"""),44729.52777777778)</f>
        <v>44729.52778</v>
      </c>
      <c r="C840" s="4" t="str">
        <f>IFERROR(__xludf.DUMMYFUNCTION("""COMPUTED_VALUE""")," Estimate ")</f>
        <v> Estimate </v>
      </c>
      <c r="E840" s="86"/>
    </row>
    <row r="841">
      <c r="A841" s="4"/>
      <c r="B841" s="85">
        <f>IFERROR(__xludf.DUMMYFUNCTION("""COMPUTED_VALUE"""),44729.56736111111)</f>
        <v>44729.56736</v>
      </c>
      <c r="C841" s="4" t="str">
        <f>IFERROR(__xludf.DUMMYFUNCTION("""COMPUTED_VALUE""")," Estimate ")</f>
        <v> Estimate </v>
      </c>
      <c r="E841" s="86"/>
    </row>
    <row r="842">
      <c r="A842" s="4"/>
      <c r="B842" s="85">
        <f>IFERROR(__xludf.DUMMYFUNCTION("""COMPUTED_VALUE"""),44730.73819444445)</f>
        <v>44730.73819</v>
      </c>
      <c r="C842" s="4" t="str">
        <f>IFERROR(__xludf.DUMMYFUNCTION("""COMPUTED_VALUE""")," Estimate ")</f>
        <v> Estimate </v>
      </c>
      <c r="E842" s="86"/>
    </row>
    <row r="843">
      <c r="A843" s="4"/>
      <c r="B843" s="85">
        <f>IFERROR(__xludf.DUMMYFUNCTION("""COMPUTED_VALUE"""),44733.70277777778)</f>
        <v>44733.70278</v>
      </c>
      <c r="C843" s="4" t="str">
        <f>IFERROR(__xludf.DUMMYFUNCTION("""COMPUTED_VALUE""")," Estimate ")</f>
        <v> Estimate </v>
      </c>
      <c r="E843" s="86"/>
    </row>
    <row r="844">
      <c r="A844" s="4"/>
      <c r="B844" s="85">
        <f>IFERROR(__xludf.DUMMYFUNCTION("""COMPUTED_VALUE"""),44733.705555555556)</f>
        <v>44733.70556</v>
      </c>
      <c r="C844" s="4" t="str">
        <f>IFERROR(__xludf.DUMMYFUNCTION("""COMPUTED_VALUE""")," Estimate ")</f>
        <v> Estimate </v>
      </c>
      <c r="E844" s="86"/>
    </row>
    <row r="845">
      <c r="A845" s="4"/>
      <c r="B845" s="85">
        <f>IFERROR(__xludf.DUMMYFUNCTION("""COMPUTED_VALUE"""),44733.70694444445)</f>
        <v>44733.70694</v>
      </c>
      <c r="C845" s="4" t="str">
        <f>IFERROR(__xludf.DUMMYFUNCTION("""COMPUTED_VALUE""")," Estimate ")</f>
        <v> Estimate </v>
      </c>
      <c r="E845" s="86"/>
    </row>
    <row r="846">
      <c r="A846" s="4"/>
      <c r="B846" s="85">
        <f>IFERROR(__xludf.DUMMYFUNCTION("""COMPUTED_VALUE"""),44733.70833333333)</f>
        <v>44733.70833</v>
      </c>
      <c r="C846" s="4" t="str">
        <f>IFERROR(__xludf.DUMMYFUNCTION("""COMPUTED_VALUE""")," Estimate ")</f>
        <v> Estimate </v>
      </c>
      <c r="E846" s="86"/>
    </row>
    <row r="847">
      <c r="A847" s="4"/>
      <c r="B847" s="85">
        <f>IFERROR(__xludf.DUMMYFUNCTION("""COMPUTED_VALUE"""),44733.71041666667)</f>
        <v>44733.71042</v>
      </c>
      <c r="C847" s="4" t="str">
        <f>IFERROR(__xludf.DUMMYFUNCTION("""COMPUTED_VALUE""")," Estimate ")</f>
        <v> Estimate </v>
      </c>
      <c r="E847" s="86"/>
    </row>
    <row r="848">
      <c r="A848" s="4"/>
      <c r="B848" s="85">
        <f>IFERROR(__xludf.DUMMYFUNCTION("""COMPUTED_VALUE"""),44733.714583333334)</f>
        <v>44733.71458</v>
      </c>
      <c r="C848" s="4" t="str">
        <f>IFERROR(__xludf.DUMMYFUNCTION("""COMPUTED_VALUE""")," Estimate ")</f>
        <v> Estimate </v>
      </c>
      <c r="E848" s="86"/>
    </row>
    <row r="849">
      <c r="A849" s="4"/>
      <c r="B849" s="85">
        <f>IFERROR(__xludf.DUMMYFUNCTION("""COMPUTED_VALUE"""),44735.55138888889)</f>
        <v>44735.55139</v>
      </c>
      <c r="C849" s="4" t="str">
        <f>IFERROR(__xludf.DUMMYFUNCTION("""COMPUTED_VALUE""")," Estimate ")</f>
        <v> Estimate </v>
      </c>
      <c r="E849" s="86"/>
    </row>
    <row r="850">
      <c r="A850" s="4"/>
      <c r="B850" s="85">
        <f>IFERROR(__xludf.DUMMYFUNCTION("""COMPUTED_VALUE"""),44743.75)</f>
        <v>44743.75</v>
      </c>
      <c r="C850" s="4" t="str">
        <f>IFERROR(__xludf.DUMMYFUNCTION("""COMPUTED_VALUE""")," Estimate ")</f>
        <v> Estimate </v>
      </c>
      <c r="E850" s="86"/>
    </row>
    <row r="851">
      <c r="A851" s="4"/>
      <c r="B851" s="85">
        <f>IFERROR(__xludf.DUMMYFUNCTION("""COMPUTED_VALUE"""),44743.75138888889)</f>
        <v>44743.75139</v>
      </c>
      <c r="C851" s="4" t="str">
        <f>IFERROR(__xludf.DUMMYFUNCTION("""COMPUTED_VALUE""")," Estimate ")</f>
        <v> Estimate </v>
      </c>
      <c r="E851" s="86"/>
    </row>
    <row r="852">
      <c r="A852" s="4"/>
      <c r="B852" s="85">
        <f>IFERROR(__xludf.DUMMYFUNCTION("""COMPUTED_VALUE"""),44745.572222222225)</f>
        <v>44745.57222</v>
      </c>
      <c r="C852" s="4" t="str">
        <f>IFERROR(__xludf.DUMMYFUNCTION("""COMPUTED_VALUE""")," Estimate ")</f>
        <v> Estimate </v>
      </c>
      <c r="E852" s="86"/>
    </row>
    <row r="853">
      <c r="A853" s="4"/>
      <c r="B853" s="85">
        <f>IFERROR(__xludf.DUMMYFUNCTION("""COMPUTED_VALUE"""),44745.67222222222)</f>
        <v>44745.67222</v>
      </c>
      <c r="C853" s="4" t="str">
        <f>IFERROR(__xludf.DUMMYFUNCTION("""COMPUTED_VALUE""")," Estimate ")</f>
        <v> Estimate </v>
      </c>
      <c r="E853" s="86"/>
    </row>
    <row r="854">
      <c r="A854" s="4"/>
      <c r="B854" s="85">
        <f>IFERROR(__xludf.DUMMYFUNCTION("""COMPUTED_VALUE"""),44747.65)</f>
        <v>44747.65</v>
      </c>
      <c r="C854" s="4" t="str">
        <f>IFERROR(__xludf.DUMMYFUNCTION("""COMPUTED_VALUE""")," Estimate ")</f>
        <v> Estimate </v>
      </c>
      <c r="E854" s="86"/>
    </row>
    <row r="855">
      <c r="A855" s="4"/>
      <c r="B855" s="85">
        <f>IFERROR(__xludf.DUMMYFUNCTION("""COMPUTED_VALUE"""),44748.76527777778)</f>
        <v>44748.76528</v>
      </c>
      <c r="C855" s="4" t="str">
        <f>IFERROR(__xludf.DUMMYFUNCTION("""COMPUTED_VALUE""")," Estimate ")</f>
        <v> Estimate </v>
      </c>
      <c r="E855" s="86"/>
    </row>
    <row r="856">
      <c r="A856" s="4"/>
      <c r="B856" s="85">
        <f>IFERROR(__xludf.DUMMYFUNCTION("""COMPUTED_VALUE"""),44749.524305555555)</f>
        <v>44749.52431</v>
      </c>
      <c r="C856" s="4" t="str">
        <f>IFERROR(__xludf.DUMMYFUNCTION("""COMPUTED_VALUE""")," Estimate ")</f>
        <v> Estimate </v>
      </c>
      <c r="E856" s="86"/>
    </row>
    <row r="857">
      <c r="A857" s="4"/>
      <c r="B857" s="85">
        <f>IFERROR(__xludf.DUMMYFUNCTION("""COMPUTED_VALUE"""),44755.56319444445)</f>
        <v>44755.56319</v>
      </c>
      <c r="C857" s="4" t="str">
        <f>IFERROR(__xludf.DUMMYFUNCTION("""COMPUTED_VALUE""")," Estimate ")</f>
        <v> Estimate </v>
      </c>
      <c r="E857" s="86"/>
    </row>
    <row r="858">
      <c r="A858" s="4"/>
      <c r="B858" s="85">
        <f>IFERROR(__xludf.DUMMYFUNCTION("""COMPUTED_VALUE"""),44756.54722222222)</f>
        <v>44756.54722</v>
      </c>
      <c r="C858" s="4" t="str">
        <f>IFERROR(__xludf.DUMMYFUNCTION("""COMPUTED_VALUE""")," Estimate ")</f>
        <v> Estimate </v>
      </c>
      <c r="E858" s="86"/>
    </row>
    <row r="859">
      <c r="A859" s="4"/>
      <c r="B859" s="85">
        <f>IFERROR(__xludf.DUMMYFUNCTION("""COMPUTED_VALUE"""),44756.58263888889)</f>
        <v>44756.58264</v>
      </c>
      <c r="C859" s="4" t="str">
        <f>IFERROR(__xludf.DUMMYFUNCTION("""COMPUTED_VALUE""")," Estimate ")</f>
        <v> Estimate </v>
      </c>
      <c r="E859" s="86"/>
    </row>
    <row r="860">
      <c r="A860" s="4"/>
      <c r="B860" s="85">
        <f>IFERROR(__xludf.DUMMYFUNCTION("""COMPUTED_VALUE"""),44756.58333333333)</f>
        <v>44756.58333</v>
      </c>
      <c r="C860" s="4" t="str">
        <f>IFERROR(__xludf.DUMMYFUNCTION("""COMPUTED_VALUE""")," Estimate ")</f>
        <v> Estimate </v>
      </c>
      <c r="E860" s="86"/>
    </row>
    <row r="861">
      <c r="A861" s="4"/>
      <c r="B861" s="85">
        <f>IFERROR(__xludf.DUMMYFUNCTION("""COMPUTED_VALUE"""),44756.611805555556)</f>
        <v>44756.61181</v>
      </c>
      <c r="C861" s="4" t="str">
        <f>IFERROR(__xludf.DUMMYFUNCTION("""COMPUTED_VALUE""")," Estimate ")</f>
        <v> Estimate </v>
      </c>
      <c r="E861" s="86"/>
    </row>
    <row r="862">
      <c r="A862" s="4"/>
      <c r="B862" s="85">
        <f>IFERROR(__xludf.DUMMYFUNCTION("""COMPUTED_VALUE"""),44757.68263888889)</f>
        <v>44757.68264</v>
      </c>
      <c r="C862" s="4" t="str">
        <f>IFERROR(__xludf.DUMMYFUNCTION("""COMPUTED_VALUE""")," Estimate ")</f>
        <v> Estimate </v>
      </c>
      <c r="E862" s="86"/>
    </row>
    <row r="863">
      <c r="A863" s="4"/>
      <c r="B863" s="85">
        <f>IFERROR(__xludf.DUMMYFUNCTION("""COMPUTED_VALUE"""),44759.52083333333)</f>
        <v>44759.52083</v>
      </c>
      <c r="C863" s="4" t="str">
        <f>IFERROR(__xludf.DUMMYFUNCTION("""COMPUTED_VALUE""")," Estimate ")</f>
        <v> Estimate </v>
      </c>
      <c r="E863" s="86"/>
    </row>
    <row r="864">
      <c r="A864" s="4"/>
      <c r="B864" s="85">
        <f>IFERROR(__xludf.DUMMYFUNCTION("""COMPUTED_VALUE"""),44761.59305555555)</f>
        <v>44761.59306</v>
      </c>
      <c r="C864" s="4" t="str">
        <f>IFERROR(__xludf.DUMMYFUNCTION("""COMPUTED_VALUE""")," Estimate ")</f>
        <v> Estimate </v>
      </c>
      <c r="E864" s="86"/>
    </row>
    <row r="865">
      <c r="A865" s="4"/>
      <c r="B865" s="85">
        <f>IFERROR(__xludf.DUMMYFUNCTION("""COMPUTED_VALUE"""),44763.51597222222)</f>
        <v>44763.51597</v>
      </c>
      <c r="C865" s="4" t="str">
        <f>IFERROR(__xludf.DUMMYFUNCTION("""COMPUTED_VALUE""")," Estimate ")</f>
        <v> Estimate </v>
      </c>
      <c r="E865" s="86"/>
    </row>
    <row r="866">
      <c r="A866" s="4"/>
      <c r="B866" s="85">
        <f>IFERROR(__xludf.DUMMYFUNCTION("""COMPUTED_VALUE"""),44765.50555555556)</f>
        <v>44765.50556</v>
      </c>
      <c r="C866" s="4" t="str">
        <f>IFERROR(__xludf.DUMMYFUNCTION("""COMPUTED_VALUE""")," Estimate ")</f>
        <v> Estimate </v>
      </c>
      <c r="E866" s="86"/>
    </row>
    <row r="867">
      <c r="A867" s="4"/>
      <c r="B867" s="85">
        <f>IFERROR(__xludf.DUMMYFUNCTION("""COMPUTED_VALUE"""),44766.506944444445)</f>
        <v>44766.50694</v>
      </c>
      <c r="C867" s="4" t="str">
        <f>IFERROR(__xludf.DUMMYFUNCTION("""COMPUTED_VALUE""")," Estimate ")</f>
        <v> Estimate </v>
      </c>
      <c r="E867" s="86"/>
    </row>
    <row r="868">
      <c r="A868" s="4"/>
      <c r="B868" s="85">
        <f>IFERROR(__xludf.DUMMYFUNCTION("""COMPUTED_VALUE"""),44769.62847222222)</f>
        <v>44769.62847</v>
      </c>
      <c r="C868" s="4" t="str">
        <f>IFERROR(__xludf.DUMMYFUNCTION("""COMPUTED_VALUE""")," Estimate ")</f>
        <v> Estimate </v>
      </c>
      <c r="E868" s="86"/>
    </row>
    <row r="869">
      <c r="A869" s="4"/>
      <c r="B869" s="85">
        <f>IFERROR(__xludf.DUMMYFUNCTION("""COMPUTED_VALUE"""),44770.48958333333)</f>
        <v>44770.48958</v>
      </c>
      <c r="C869" s="4" t="str">
        <f>IFERROR(__xludf.DUMMYFUNCTION("""COMPUTED_VALUE""")," Estimate ")</f>
        <v> Estimate </v>
      </c>
      <c r="E869" s="86"/>
    </row>
    <row r="870">
      <c r="A870" s="4"/>
      <c r="B870" s="85">
        <f>IFERROR(__xludf.DUMMYFUNCTION("""COMPUTED_VALUE"""),44770.49097222222)</f>
        <v>44770.49097</v>
      </c>
      <c r="C870" s="4" t="str">
        <f>IFERROR(__xludf.DUMMYFUNCTION("""COMPUTED_VALUE""")," Estimate ")</f>
        <v> Estimate </v>
      </c>
      <c r="E870" s="86"/>
    </row>
    <row r="871">
      <c r="A871" s="4"/>
      <c r="B871" s="85">
        <f>IFERROR(__xludf.DUMMYFUNCTION("""COMPUTED_VALUE"""),44771.72152777778)</f>
        <v>44771.72153</v>
      </c>
      <c r="C871" s="4" t="str">
        <f>IFERROR(__xludf.DUMMYFUNCTION("""COMPUTED_VALUE""")," Estimate ")</f>
        <v> Estimate </v>
      </c>
      <c r="E871" s="86"/>
    </row>
    <row r="872">
      <c r="A872" s="4"/>
      <c r="B872" s="85">
        <f>IFERROR(__xludf.DUMMYFUNCTION("""COMPUTED_VALUE"""),44772.69791666667)</f>
        <v>44772.69792</v>
      </c>
      <c r="C872" s="4" t="str">
        <f>IFERROR(__xludf.DUMMYFUNCTION("""COMPUTED_VALUE""")," Estimate ")</f>
        <v> Estimate </v>
      </c>
      <c r="E872" s="86"/>
    </row>
    <row r="873">
      <c r="A873" s="4"/>
      <c r="B873" s="85">
        <f>IFERROR(__xludf.DUMMYFUNCTION("""COMPUTED_VALUE"""),44778.69930555555)</f>
        <v>44778.69931</v>
      </c>
      <c r="C873" s="4" t="str">
        <f>IFERROR(__xludf.DUMMYFUNCTION("""COMPUTED_VALUE""")," Estimate ")</f>
        <v> Estimate </v>
      </c>
      <c r="E873" s="86"/>
    </row>
    <row r="874">
      <c r="A874" s="4"/>
      <c r="B874" s="85">
        <f>IFERROR(__xludf.DUMMYFUNCTION("""COMPUTED_VALUE"""),44778.70277777778)</f>
        <v>44778.70278</v>
      </c>
      <c r="C874" s="4" t="str">
        <f>IFERROR(__xludf.DUMMYFUNCTION("""COMPUTED_VALUE""")," Estimate ")</f>
        <v> Estimate </v>
      </c>
      <c r="E874" s="86"/>
    </row>
    <row r="875">
      <c r="A875" s="4"/>
      <c r="B875" s="85">
        <f>IFERROR(__xludf.DUMMYFUNCTION("""COMPUTED_VALUE"""),44782.55347222222)</f>
        <v>44782.55347</v>
      </c>
      <c r="C875" s="4" t="str">
        <f>IFERROR(__xludf.DUMMYFUNCTION("""COMPUTED_VALUE""")," Estimate ")</f>
        <v> Estimate </v>
      </c>
      <c r="E875" s="86"/>
    </row>
    <row r="876">
      <c r="A876" s="4"/>
      <c r="B876" s="85">
        <f>IFERROR(__xludf.DUMMYFUNCTION("""COMPUTED_VALUE"""),44785.66180555556)</f>
        <v>44785.66181</v>
      </c>
      <c r="C876" s="4" t="str">
        <f>IFERROR(__xludf.DUMMYFUNCTION("""COMPUTED_VALUE""")," Estimate ")</f>
        <v> Estimate </v>
      </c>
      <c r="E876" s="86"/>
    </row>
    <row r="877">
      <c r="A877" s="4"/>
      <c r="B877" s="85">
        <f>IFERROR(__xludf.DUMMYFUNCTION("""COMPUTED_VALUE"""),44787.58819444444)</f>
        <v>44787.58819</v>
      </c>
      <c r="C877" s="4" t="str">
        <f>IFERROR(__xludf.DUMMYFUNCTION("""COMPUTED_VALUE""")," Estimate ")</f>
        <v> Estimate </v>
      </c>
      <c r="E877" s="86"/>
    </row>
    <row r="878">
      <c r="A878" s="4"/>
      <c r="B878" s="85">
        <f>IFERROR(__xludf.DUMMYFUNCTION("""COMPUTED_VALUE"""),44789.788194444445)</f>
        <v>44789.78819</v>
      </c>
      <c r="C878" s="4" t="str">
        <f>IFERROR(__xludf.DUMMYFUNCTION("""COMPUTED_VALUE""")," Estimate ")</f>
        <v> Estimate </v>
      </c>
      <c r="E878" s="86"/>
    </row>
    <row r="879">
      <c r="A879" s="4"/>
      <c r="B879" s="85">
        <f>IFERROR(__xludf.DUMMYFUNCTION("""COMPUTED_VALUE"""),44792.47083333333)</f>
        <v>44792.47083</v>
      </c>
      <c r="C879" s="4" t="str">
        <f>IFERROR(__xludf.DUMMYFUNCTION("""COMPUTED_VALUE""")," Estimate ")</f>
        <v> Estimate </v>
      </c>
      <c r="E879" s="86"/>
    </row>
    <row r="880">
      <c r="A880" s="4"/>
      <c r="B880" s="85">
        <f>IFERROR(__xludf.DUMMYFUNCTION("""COMPUTED_VALUE"""),44796.58194444445)</f>
        <v>44796.58194</v>
      </c>
      <c r="C880" s="4" t="str">
        <f>IFERROR(__xludf.DUMMYFUNCTION("""COMPUTED_VALUE""")," Estimate ")</f>
        <v> Estimate </v>
      </c>
      <c r="E880" s="86"/>
    </row>
    <row r="881">
      <c r="A881" s="4"/>
      <c r="B881" s="85">
        <f>IFERROR(__xludf.DUMMYFUNCTION("""COMPUTED_VALUE"""),44796.58472222222)</f>
        <v>44796.58472</v>
      </c>
      <c r="C881" s="4" t="str">
        <f>IFERROR(__xludf.DUMMYFUNCTION("""COMPUTED_VALUE""")," Estimate ")</f>
        <v> Estimate </v>
      </c>
      <c r="E881" s="86"/>
    </row>
    <row r="882">
      <c r="A882" s="4"/>
      <c r="B882" s="85">
        <f>IFERROR(__xludf.DUMMYFUNCTION("""COMPUTED_VALUE"""),44796.59652777778)</f>
        <v>44796.59653</v>
      </c>
      <c r="C882" s="4" t="str">
        <f>IFERROR(__xludf.DUMMYFUNCTION("""COMPUTED_VALUE""")," Estimate ")</f>
        <v> Estimate </v>
      </c>
      <c r="E882" s="86"/>
    </row>
    <row r="883">
      <c r="A883" s="4"/>
      <c r="B883" s="85">
        <f>IFERROR(__xludf.DUMMYFUNCTION("""COMPUTED_VALUE"""),44797.45138888889)</f>
        <v>44797.45139</v>
      </c>
      <c r="C883" s="4" t="str">
        <f>IFERROR(__xludf.DUMMYFUNCTION("""COMPUTED_VALUE""")," Estimate ")</f>
        <v> Estimate </v>
      </c>
      <c r="E883" s="86"/>
    </row>
    <row r="884">
      <c r="A884" s="4"/>
      <c r="B884" s="85">
        <f>IFERROR(__xludf.DUMMYFUNCTION("""COMPUTED_VALUE"""),44801.51666666666)</f>
        <v>44801.51667</v>
      </c>
      <c r="C884" s="4" t="str">
        <f>IFERROR(__xludf.DUMMYFUNCTION("""COMPUTED_VALUE""")," Estimate ")</f>
        <v> Estimate </v>
      </c>
      <c r="E884" s="86"/>
    </row>
    <row r="885">
      <c r="A885" s="4"/>
      <c r="B885" s="85">
        <f>IFERROR(__xludf.DUMMYFUNCTION("""COMPUTED_VALUE"""),44801.69027777778)</f>
        <v>44801.69028</v>
      </c>
      <c r="C885" s="4" t="str">
        <f>IFERROR(__xludf.DUMMYFUNCTION("""COMPUTED_VALUE""")," Estimate ")</f>
        <v> Estimate </v>
      </c>
      <c r="E885" s="86"/>
    </row>
    <row r="886">
      <c r="A886" s="4"/>
      <c r="B886" s="85">
        <f>IFERROR(__xludf.DUMMYFUNCTION("""COMPUTED_VALUE"""),44803.57986111111)</f>
        <v>44803.57986</v>
      </c>
      <c r="C886" s="4" t="str">
        <f>IFERROR(__xludf.DUMMYFUNCTION("""COMPUTED_VALUE""")," Estimate ")</f>
        <v> Estimate </v>
      </c>
      <c r="E886" s="86"/>
    </row>
    <row r="887">
      <c r="A887" s="4"/>
      <c r="B887" s="85">
        <f>IFERROR(__xludf.DUMMYFUNCTION("""COMPUTED_VALUE"""),44803.58333333333)</f>
        <v>44803.58333</v>
      </c>
      <c r="C887" s="4" t="str">
        <f>IFERROR(__xludf.DUMMYFUNCTION("""COMPUTED_VALUE""")," Estimate ")</f>
        <v> Estimate </v>
      </c>
      <c r="E887" s="86"/>
    </row>
    <row r="888">
      <c r="A888" s="4"/>
      <c r="B888" s="85">
        <f>IFERROR(__xludf.DUMMYFUNCTION("""COMPUTED_VALUE"""),44803.589583333334)</f>
        <v>44803.58958</v>
      </c>
      <c r="C888" s="4" t="str">
        <f>IFERROR(__xludf.DUMMYFUNCTION("""COMPUTED_VALUE""")," Estimate ")</f>
        <v> Estimate </v>
      </c>
      <c r="E888" s="86"/>
    </row>
    <row r="889">
      <c r="A889" s="4"/>
      <c r="B889" s="85">
        <f>IFERROR(__xludf.DUMMYFUNCTION("""COMPUTED_VALUE"""),44803.68125)</f>
        <v>44803.68125</v>
      </c>
      <c r="C889" s="4" t="str">
        <f>IFERROR(__xludf.DUMMYFUNCTION("""COMPUTED_VALUE""")," Estimate ")</f>
        <v> Estimate </v>
      </c>
      <c r="E889" s="86"/>
    </row>
    <row r="890">
      <c r="A890" s="4"/>
      <c r="B890" s="85">
        <f>IFERROR(__xludf.DUMMYFUNCTION("""COMPUTED_VALUE"""),44812.65555555555)</f>
        <v>44812.65556</v>
      </c>
      <c r="C890" s="4" t="str">
        <f>IFERROR(__xludf.DUMMYFUNCTION("""COMPUTED_VALUE""")," Estimate ")</f>
        <v> Estimate </v>
      </c>
      <c r="E890" s="86"/>
    </row>
    <row r="891">
      <c r="A891" s="4"/>
      <c r="B891" s="85">
        <f>IFERROR(__xludf.DUMMYFUNCTION("""COMPUTED_VALUE"""),44812.65694444445)</f>
        <v>44812.65694</v>
      </c>
      <c r="C891" s="4" t="str">
        <f>IFERROR(__xludf.DUMMYFUNCTION("""COMPUTED_VALUE""")," Estimate ")</f>
        <v> Estimate </v>
      </c>
      <c r="E891" s="86"/>
    </row>
    <row r="892">
      <c r="A892" s="4"/>
      <c r="B892" s="85">
        <f>IFERROR(__xludf.DUMMYFUNCTION("""COMPUTED_VALUE"""),44814.57152777778)</f>
        <v>44814.57153</v>
      </c>
      <c r="C892" s="4" t="str">
        <f>IFERROR(__xludf.DUMMYFUNCTION("""COMPUTED_VALUE""")," Estimate ")</f>
        <v> Estimate </v>
      </c>
      <c r="E892" s="86"/>
    </row>
    <row r="893">
      <c r="A893" s="4"/>
      <c r="B893" s="85">
        <f>IFERROR(__xludf.DUMMYFUNCTION("""COMPUTED_VALUE"""),44824.74791666667)</f>
        <v>44824.74792</v>
      </c>
      <c r="C893" s="4" t="str">
        <f>IFERROR(__xludf.DUMMYFUNCTION("""COMPUTED_VALUE""")," Estimate ")</f>
        <v> Estimate </v>
      </c>
      <c r="E893" s="86"/>
    </row>
    <row r="894">
      <c r="A894" s="4"/>
      <c r="B894" s="85">
        <f>IFERROR(__xludf.DUMMYFUNCTION("""COMPUTED_VALUE"""),44825.631944444445)</f>
        <v>44825.63194</v>
      </c>
      <c r="C894" s="4" t="str">
        <f>IFERROR(__xludf.DUMMYFUNCTION("""COMPUTED_VALUE""")," Estimate ")</f>
        <v> Estimate </v>
      </c>
      <c r="E894" s="86"/>
    </row>
    <row r="895">
      <c r="A895" s="4"/>
      <c r="B895" s="85">
        <f>IFERROR(__xludf.DUMMYFUNCTION("""COMPUTED_VALUE"""),44827.44861111111)</f>
        <v>44827.44861</v>
      </c>
      <c r="C895" s="4" t="str">
        <f>IFERROR(__xludf.DUMMYFUNCTION("""COMPUTED_VALUE""")," Estimate ")</f>
        <v> Estimate </v>
      </c>
      <c r="E895" s="86"/>
    </row>
    <row r="896">
      <c r="A896" s="4"/>
      <c r="B896" s="85">
        <f>IFERROR(__xludf.DUMMYFUNCTION("""COMPUTED_VALUE"""),44833.57708333334)</f>
        <v>44833.57708</v>
      </c>
      <c r="C896" s="4" t="str">
        <f>IFERROR(__xludf.DUMMYFUNCTION("""COMPUTED_VALUE""")," Estimate ")</f>
        <v> Estimate </v>
      </c>
      <c r="E896" s="86"/>
    </row>
    <row r="897">
      <c r="A897" s="4"/>
      <c r="B897" s="85">
        <f>IFERROR(__xludf.DUMMYFUNCTION("""COMPUTED_VALUE"""),44835.77916666667)</f>
        <v>44835.77917</v>
      </c>
      <c r="C897" s="4" t="str">
        <f>IFERROR(__xludf.DUMMYFUNCTION("""COMPUTED_VALUE""")," Estimate ")</f>
        <v> Estimate </v>
      </c>
      <c r="E897" s="86"/>
    </row>
    <row r="898">
      <c r="A898" s="4"/>
      <c r="B898" s="85">
        <f>IFERROR(__xludf.DUMMYFUNCTION("""COMPUTED_VALUE"""),44838.48402777778)</f>
        <v>44838.48403</v>
      </c>
      <c r="C898" s="4" t="str">
        <f>IFERROR(__xludf.DUMMYFUNCTION("""COMPUTED_VALUE""")," Estimate ")</f>
        <v> Estimate </v>
      </c>
      <c r="E898" s="86"/>
    </row>
    <row r="899">
      <c r="A899" s="4"/>
      <c r="B899" s="85">
        <f>IFERROR(__xludf.DUMMYFUNCTION("""COMPUTED_VALUE"""),44838.48611111111)</f>
        <v>44838.48611</v>
      </c>
      <c r="C899" s="4" t="str">
        <f>IFERROR(__xludf.DUMMYFUNCTION("""COMPUTED_VALUE""")," Estimate ")</f>
        <v> Estimate </v>
      </c>
      <c r="E899" s="86"/>
    </row>
    <row r="900">
      <c r="A900" s="4"/>
      <c r="B900" s="85">
        <f>IFERROR(__xludf.DUMMYFUNCTION("""COMPUTED_VALUE"""),44840.73819444445)</f>
        <v>44840.73819</v>
      </c>
      <c r="C900" s="4" t="str">
        <f>IFERROR(__xludf.DUMMYFUNCTION("""COMPUTED_VALUE""")," Estimate ")</f>
        <v> Estimate </v>
      </c>
      <c r="E900" s="86"/>
    </row>
    <row r="901">
      <c r="A901" s="4"/>
      <c r="B901" s="85">
        <f>IFERROR(__xludf.DUMMYFUNCTION("""COMPUTED_VALUE"""),44843.55763888889)</f>
        <v>44843.55764</v>
      </c>
      <c r="C901" s="4" t="str">
        <f>IFERROR(__xludf.DUMMYFUNCTION("""COMPUTED_VALUE""")," Estimate ")</f>
        <v> Estimate </v>
      </c>
      <c r="E901" s="86"/>
    </row>
    <row r="902">
      <c r="A902" s="4"/>
      <c r="B902" s="85">
        <f>IFERROR(__xludf.DUMMYFUNCTION("""COMPUTED_VALUE"""),44845.48541666666)</f>
        <v>44845.48542</v>
      </c>
      <c r="C902" s="4" t="str">
        <f>IFERROR(__xludf.DUMMYFUNCTION("""COMPUTED_VALUE""")," Estimate ")</f>
        <v> Estimate </v>
      </c>
      <c r="E902" s="86"/>
    </row>
    <row r="903">
      <c r="A903" s="4"/>
      <c r="B903" s="85">
        <f>IFERROR(__xludf.DUMMYFUNCTION("""COMPUTED_VALUE"""),44846.777083333334)</f>
        <v>44846.77708</v>
      </c>
      <c r="C903" s="4" t="str">
        <f>IFERROR(__xludf.DUMMYFUNCTION("""COMPUTED_VALUE""")," Estimate ")</f>
        <v> Estimate </v>
      </c>
      <c r="E903" s="86"/>
    </row>
    <row r="904">
      <c r="A904" s="4"/>
      <c r="B904" s="85">
        <f>IFERROR(__xludf.DUMMYFUNCTION("""COMPUTED_VALUE"""),44847.540972222225)</f>
        <v>44847.54097</v>
      </c>
      <c r="C904" s="4" t="str">
        <f>IFERROR(__xludf.DUMMYFUNCTION("""COMPUTED_VALUE""")," Estimate ")</f>
        <v> Estimate </v>
      </c>
      <c r="E904" s="86"/>
    </row>
    <row r="905">
      <c r="A905" s="4"/>
      <c r="B905" s="85">
        <f>IFERROR(__xludf.DUMMYFUNCTION("""COMPUTED_VALUE"""),44854.66666666667)</f>
        <v>44854.66667</v>
      </c>
      <c r="C905" s="4" t="str">
        <f>IFERROR(__xludf.DUMMYFUNCTION("""COMPUTED_VALUE""")," Estimate ")</f>
        <v> Estimate </v>
      </c>
      <c r="E905" s="86"/>
    </row>
    <row r="906">
      <c r="A906" s="4"/>
      <c r="B906" s="85">
        <f>IFERROR(__xludf.DUMMYFUNCTION("""COMPUTED_VALUE"""),44857.42916666667)</f>
        <v>44857.42917</v>
      </c>
      <c r="C906" s="4" t="str">
        <f>IFERROR(__xludf.DUMMYFUNCTION("""COMPUTED_VALUE""")," Estimate ")</f>
        <v> Estimate </v>
      </c>
      <c r="E906" s="86"/>
    </row>
    <row r="907">
      <c r="A907" s="4"/>
      <c r="B907" s="85">
        <f>IFERROR(__xludf.DUMMYFUNCTION("""COMPUTED_VALUE"""),44857.43125)</f>
        <v>44857.43125</v>
      </c>
      <c r="C907" s="4" t="str">
        <f>IFERROR(__xludf.DUMMYFUNCTION("""COMPUTED_VALUE""")," Estimate ")</f>
        <v> Estimate </v>
      </c>
      <c r="E907" s="86"/>
    </row>
    <row r="908">
      <c r="A908" s="4"/>
      <c r="B908" s="85">
        <f>IFERROR(__xludf.DUMMYFUNCTION("""COMPUTED_VALUE"""),44857.43402777778)</f>
        <v>44857.43403</v>
      </c>
      <c r="C908" s="4" t="str">
        <f>IFERROR(__xludf.DUMMYFUNCTION("""COMPUTED_VALUE""")," Estimate ")</f>
        <v> Estimate </v>
      </c>
      <c r="E908" s="86"/>
    </row>
    <row r="909">
      <c r="A909" s="4"/>
      <c r="B909" s="85">
        <f>IFERROR(__xludf.DUMMYFUNCTION("""COMPUTED_VALUE"""),44867.78680555556)</f>
        <v>44867.78681</v>
      </c>
      <c r="C909" s="4" t="str">
        <f>IFERROR(__xludf.DUMMYFUNCTION("""COMPUTED_VALUE""")," Estimate ")</f>
        <v> Estimate </v>
      </c>
      <c r="E909" s="86"/>
    </row>
    <row r="910">
      <c r="A910" s="4"/>
      <c r="B910" s="85">
        <f>IFERROR(__xludf.DUMMYFUNCTION("""COMPUTED_VALUE"""),44868.7)</f>
        <v>44868.7</v>
      </c>
      <c r="C910" s="4" t="str">
        <f>IFERROR(__xludf.DUMMYFUNCTION("""COMPUTED_VALUE""")," Estimate ")</f>
        <v> Estimate </v>
      </c>
      <c r="E910" s="86"/>
    </row>
    <row r="911">
      <c r="A911" s="4"/>
      <c r="B911" s="85">
        <f>IFERROR(__xludf.DUMMYFUNCTION("""COMPUTED_VALUE"""),44868.70138888889)</f>
        <v>44868.70139</v>
      </c>
      <c r="C911" s="4" t="str">
        <f>IFERROR(__xludf.DUMMYFUNCTION("""COMPUTED_VALUE""")," Estimate ")</f>
        <v> Estimate </v>
      </c>
      <c r="E911" s="86"/>
    </row>
    <row r="912">
      <c r="A912" s="4"/>
      <c r="B912" s="85">
        <f>IFERROR(__xludf.DUMMYFUNCTION("""COMPUTED_VALUE"""),44871.47361111111)</f>
        <v>44871.47361</v>
      </c>
      <c r="C912" s="4" t="str">
        <f>IFERROR(__xludf.DUMMYFUNCTION("""COMPUTED_VALUE""")," Estimate ")</f>
        <v> Estimate </v>
      </c>
      <c r="E912" s="86"/>
    </row>
    <row r="913">
      <c r="A913" s="4"/>
      <c r="B913" s="85">
        <f>IFERROR(__xludf.DUMMYFUNCTION("""COMPUTED_VALUE"""),44871.475694444445)</f>
        <v>44871.47569</v>
      </c>
      <c r="C913" s="4" t="str">
        <f>IFERROR(__xludf.DUMMYFUNCTION("""COMPUTED_VALUE""")," Estimate ")</f>
        <v> Estimate </v>
      </c>
      <c r="E913" s="86"/>
    </row>
    <row r="914">
      <c r="A914" s="4"/>
      <c r="B914" s="85">
        <f>IFERROR(__xludf.DUMMYFUNCTION("""COMPUTED_VALUE"""),44871.47708333333)</f>
        <v>44871.47708</v>
      </c>
      <c r="C914" s="4" t="str">
        <f>IFERROR(__xludf.DUMMYFUNCTION("""COMPUTED_VALUE""")," Estimate ")</f>
        <v> Estimate </v>
      </c>
      <c r="E914" s="86"/>
    </row>
    <row r="915">
      <c r="A915" s="4"/>
      <c r="B915" s="85">
        <f>IFERROR(__xludf.DUMMYFUNCTION("""COMPUTED_VALUE"""),44871.478472222225)</f>
        <v>44871.47847</v>
      </c>
      <c r="C915" s="4" t="str">
        <f>IFERROR(__xludf.DUMMYFUNCTION("""COMPUTED_VALUE""")," Estimate ")</f>
        <v> Estimate </v>
      </c>
      <c r="E915" s="86"/>
    </row>
    <row r="916">
      <c r="A916" s="4"/>
      <c r="B916" s="85">
        <f>IFERROR(__xludf.DUMMYFUNCTION("""COMPUTED_VALUE"""),44871.48125)</f>
        <v>44871.48125</v>
      </c>
      <c r="C916" s="4" t="str">
        <f>IFERROR(__xludf.DUMMYFUNCTION("""COMPUTED_VALUE""")," Estimate ")</f>
        <v> Estimate </v>
      </c>
      <c r="E916" s="86"/>
    </row>
    <row r="917">
      <c r="A917" s="4"/>
      <c r="B917" s="85">
        <f>IFERROR(__xludf.DUMMYFUNCTION("""COMPUTED_VALUE"""),44871.48263888889)</f>
        <v>44871.48264</v>
      </c>
      <c r="C917" s="4" t="str">
        <f>IFERROR(__xludf.DUMMYFUNCTION("""COMPUTED_VALUE""")," Estimate ")</f>
        <v> Estimate </v>
      </c>
      <c r="E917" s="86"/>
    </row>
    <row r="918">
      <c r="A918" s="4"/>
      <c r="B918" s="85">
        <f>IFERROR(__xludf.DUMMYFUNCTION("""COMPUTED_VALUE"""),44875.50625)</f>
        <v>44875.50625</v>
      </c>
      <c r="C918" s="4" t="str">
        <f>IFERROR(__xludf.DUMMYFUNCTION("""COMPUTED_VALUE""")," Estimate ")</f>
        <v> Estimate </v>
      </c>
      <c r="E918" s="86"/>
    </row>
    <row r="919">
      <c r="A919" s="4"/>
      <c r="B919" s="85">
        <f>IFERROR(__xludf.DUMMYFUNCTION("""COMPUTED_VALUE"""),44875.506944444445)</f>
        <v>44875.50694</v>
      </c>
      <c r="C919" s="4" t="str">
        <f>IFERROR(__xludf.DUMMYFUNCTION("""COMPUTED_VALUE""")," Estimate ")</f>
        <v> Estimate </v>
      </c>
      <c r="E919" s="86"/>
    </row>
    <row r="920">
      <c r="A920" s="4"/>
      <c r="B920" s="85">
        <f>IFERROR(__xludf.DUMMYFUNCTION("""COMPUTED_VALUE"""),44875.50833333333)</f>
        <v>44875.50833</v>
      </c>
      <c r="C920" s="4" t="str">
        <f>IFERROR(__xludf.DUMMYFUNCTION("""COMPUTED_VALUE""")," Estimate ")</f>
        <v> Estimate </v>
      </c>
      <c r="E920" s="86"/>
    </row>
    <row r="921">
      <c r="A921" s="4"/>
      <c r="B921" s="85">
        <f>IFERROR(__xludf.DUMMYFUNCTION("""COMPUTED_VALUE"""),44875.50902777778)</f>
        <v>44875.50903</v>
      </c>
      <c r="C921" s="4" t="str">
        <f>IFERROR(__xludf.DUMMYFUNCTION("""COMPUTED_VALUE""")," Estimate ")</f>
        <v> Estimate </v>
      </c>
      <c r="E921" s="86"/>
    </row>
    <row r="922">
      <c r="A922" s="4"/>
      <c r="B922" s="85">
        <f>IFERROR(__xludf.DUMMYFUNCTION("""COMPUTED_VALUE"""),44875.52291666667)</f>
        <v>44875.52292</v>
      </c>
      <c r="C922" s="4" t="str">
        <f>IFERROR(__xludf.DUMMYFUNCTION("""COMPUTED_VALUE""")," Estimate ")</f>
        <v> Estimate </v>
      </c>
      <c r="E922" s="86"/>
    </row>
    <row r="923">
      <c r="A923" s="4"/>
      <c r="B923" s="85">
        <f>IFERROR(__xludf.DUMMYFUNCTION("""COMPUTED_VALUE"""),44878.55069444445)</f>
        <v>44878.55069</v>
      </c>
      <c r="C923" s="4" t="str">
        <f>IFERROR(__xludf.DUMMYFUNCTION("""COMPUTED_VALUE""")," Estimate ")</f>
        <v> Estimate </v>
      </c>
      <c r="E923" s="86"/>
    </row>
    <row r="924">
      <c r="A924" s="4"/>
      <c r="B924" s="85">
        <f>IFERROR(__xludf.DUMMYFUNCTION("""COMPUTED_VALUE"""),44878.55208333333)</f>
        <v>44878.55208</v>
      </c>
      <c r="C924" s="4" t="str">
        <f>IFERROR(__xludf.DUMMYFUNCTION("""COMPUTED_VALUE""")," Estimate ")</f>
        <v> Estimate </v>
      </c>
      <c r="E924" s="86"/>
    </row>
    <row r="925">
      <c r="A925" s="4"/>
      <c r="B925" s="85">
        <f>IFERROR(__xludf.DUMMYFUNCTION("""COMPUTED_VALUE"""),44880.48888888889)</f>
        <v>44880.48889</v>
      </c>
      <c r="C925" s="4" t="str">
        <f>IFERROR(__xludf.DUMMYFUNCTION("""COMPUTED_VALUE""")," Estimate ")</f>
        <v> Estimate </v>
      </c>
      <c r="E925" s="86"/>
    </row>
    <row r="926">
      <c r="A926" s="4"/>
      <c r="B926" s="85">
        <f>IFERROR(__xludf.DUMMYFUNCTION("""COMPUTED_VALUE"""),44880.80347222222)</f>
        <v>44880.80347</v>
      </c>
      <c r="C926" s="4" t="str">
        <f>IFERROR(__xludf.DUMMYFUNCTION("""COMPUTED_VALUE""")," Estimate ")</f>
        <v> Estimate </v>
      </c>
      <c r="E926" s="86"/>
    </row>
    <row r="927">
      <c r="A927" s="4"/>
      <c r="B927" s="85">
        <f>IFERROR(__xludf.DUMMYFUNCTION("""COMPUTED_VALUE"""),44882.544444444444)</f>
        <v>44882.54444</v>
      </c>
      <c r="C927" s="4" t="str">
        <f>IFERROR(__xludf.DUMMYFUNCTION("""COMPUTED_VALUE""")," Estimate ")</f>
        <v> Estimate </v>
      </c>
      <c r="E927" s="86"/>
    </row>
    <row r="928">
      <c r="A928" s="4"/>
      <c r="B928" s="85">
        <f>IFERROR(__xludf.DUMMYFUNCTION("""COMPUTED_VALUE"""),44882.771527777775)</f>
        <v>44882.77153</v>
      </c>
      <c r="C928" s="4" t="str">
        <f>IFERROR(__xludf.DUMMYFUNCTION("""COMPUTED_VALUE""")," Estimate ")</f>
        <v> Estimate </v>
      </c>
      <c r="E928" s="86"/>
    </row>
    <row r="929">
      <c r="A929" s="4"/>
      <c r="B929" s="85">
        <f>IFERROR(__xludf.DUMMYFUNCTION("""COMPUTED_VALUE"""),44882.77291666667)</f>
        <v>44882.77292</v>
      </c>
      <c r="C929" s="4" t="str">
        <f>IFERROR(__xludf.DUMMYFUNCTION("""COMPUTED_VALUE""")," Estimate ")</f>
        <v> Estimate </v>
      </c>
      <c r="E929" s="86"/>
    </row>
    <row r="930">
      <c r="A930" s="4"/>
      <c r="B930" s="85">
        <f>IFERROR(__xludf.DUMMYFUNCTION("""COMPUTED_VALUE"""),44887.55902777778)</f>
        <v>44887.55903</v>
      </c>
      <c r="C930" s="4" t="str">
        <f>IFERROR(__xludf.DUMMYFUNCTION("""COMPUTED_VALUE""")," Estimate ")</f>
        <v> Estimate </v>
      </c>
      <c r="E930" s="86"/>
    </row>
    <row r="931">
      <c r="A931" s="4"/>
      <c r="B931" s="85">
        <f>IFERROR(__xludf.DUMMYFUNCTION("""COMPUTED_VALUE"""),44887.57083333333)</f>
        <v>44887.57083</v>
      </c>
      <c r="C931" s="4" t="str">
        <f>IFERROR(__xludf.DUMMYFUNCTION("""COMPUTED_VALUE""")," Estimate ")</f>
        <v> Estimate </v>
      </c>
      <c r="E931" s="86"/>
    </row>
    <row r="932">
      <c r="A932" s="4"/>
      <c r="B932" s="85">
        <f>IFERROR(__xludf.DUMMYFUNCTION("""COMPUTED_VALUE"""),44887.572222222225)</f>
        <v>44887.57222</v>
      </c>
      <c r="C932" s="4" t="str">
        <f>IFERROR(__xludf.DUMMYFUNCTION("""COMPUTED_VALUE""")," Estimate ")</f>
        <v> Estimate </v>
      </c>
      <c r="E932" s="86"/>
    </row>
    <row r="933">
      <c r="A933" s="4"/>
      <c r="B933" s="85">
        <f>IFERROR(__xludf.DUMMYFUNCTION("""COMPUTED_VALUE"""),44887.57361111111)</f>
        <v>44887.57361</v>
      </c>
      <c r="C933" s="4" t="str">
        <f>IFERROR(__xludf.DUMMYFUNCTION("""COMPUTED_VALUE""")," Estimate ")</f>
        <v> Estimate </v>
      </c>
      <c r="E933" s="86"/>
    </row>
    <row r="934">
      <c r="A934" s="4"/>
      <c r="B934" s="85">
        <f>IFERROR(__xludf.DUMMYFUNCTION("""COMPUTED_VALUE"""),44887.64583333333)</f>
        <v>44887.64583</v>
      </c>
      <c r="C934" s="4" t="str">
        <f>IFERROR(__xludf.DUMMYFUNCTION("""COMPUTED_VALUE""")," Estimate ")</f>
        <v> Estimate </v>
      </c>
      <c r="E934" s="86"/>
    </row>
    <row r="935">
      <c r="A935" s="4"/>
      <c r="B935" s="85">
        <f>IFERROR(__xludf.DUMMYFUNCTION("""COMPUTED_VALUE"""),44889.450694444444)</f>
        <v>44889.45069</v>
      </c>
      <c r="C935" s="4" t="str">
        <f>IFERROR(__xludf.DUMMYFUNCTION("""COMPUTED_VALUE""")," Estimate ")</f>
        <v> Estimate </v>
      </c>
      <c r="E935" s="86"/>
    </row>
    <row r="936">
      <c r="A936" s="4"/>
      <c r="B936" s="85">
        <f>IFERROR(__xludf.DUMMYFUNCTION("""COMPUTED_VALUE"""),44889.569444444445)</f>
        <v>44889.56944</v>
      </c>
      <c r="C936" s="4" t="str">
        <f>IFERROR(__xludf.DUMMYFUNCTION("""COMPUTED_VALUE""")," Estimate ")</f>
        <v> Estimate </v>
      </c>
      <c r="E936" s="86"/>
    </row>
    <row r="937">
      <c r="A937" s="4"/>
      <c r="B937" s="85">
        <f>IFERROR(__xludf.DUMMYFUNCTION("""COMPUTED_VALUE"""),44892.49444444444)</f>
        <v>44892.49444</v>
      </c>
      <c r="C937" s="4" t="str">
        <f>IFERROR(__xludf.DUMMYFUNCTION("""COMPUTED_VALUE""")," Estimate ")</f>
        <v> Estimate </v>
      </c>
      <c r="E937" s="86"/>
    </row>
    <row r="938">
      <c r="A938" s="4"/>
      <c r="B938" s="85">
        <f>IFERROR(__xludf.DUMMYFUNCTION("""COMPUTED_VALUE"""),44894.74513888889)</f>
        <v>44894.74514</v>
      </c>
      <c r="C938" s="4" t="str">
        <f>IFERROR(__xludf.DUMMYFUNCTION("""COMPUTED_VALUE""")," Estimate ")</f>
        <v> Estimate </v>
      </c>
      <c r="E938" s="86"/>
    </row>
    <row r="939">
      <c r="A939" s="4"/>
      <c r="B939" s="85">
        <f>IFERROR(__xludf.DUMMYFUNCTION("""COMPUTED_VALUE"""),44903.49652777778)</f>
        <v>44903.49653</v>
      </c>
      <c r="C939" s="4" t="str">
        <f>IFERROR(__xludf.DUMMYFUNCTION("""COMPUTED_VALUE""")," Estimate ")</f>
        <v> Estimate </v>
      </c>
      <c r="E939" s="86"/>
    </row>
    <row r="940">
      <c r="A940" s="4"/>
      <c r="B940" s="85">
        <f>IFERROR(__xludf.DUMMYFUNCTION("""COMPUTED_VALUE"""),44905.79236111111)</f>
        <v>44905.79236</v>
      </c>
      <c r="C940" s="4" t="str">
        <f>IFERROR(__xludf.DUMMYFUNCTION("""COMPUTED_VALUE""")," Estimate ")</f>
        <v> Estimate </v>
      </c>
      <c r="E940" s="86"/>
    </row>
    <row r="941">
      <c r="A941" s="4"/>
      <c r="B941" s="85">
        <f>IFERROR(__xludf.DUMMYFUNCTION("""COMPUTED_VALUE"""),44917.535416666666)</f>
        <v>44917.53542</v>
      </c>
      <c r="C941" s="4" t="str">
        <f>IFERROR(__xludf.DUMMYFUNCTION("""COMPUTED_VALUE""")," Estimate ")</f>
        <v> Estimate </v>
      </c>
      <c r="E941" s="86"/>
    </row>
    <row r="942">
      <c r="A942" s="4"/>
      <c r="B942" s="85">
        <f>IFERROR(__xludf.DUMMYFUNCTION("""COMPUTED_VALUE"""),44917.53680555556)</f>
        <v>44917.53681</v>
      </c>
      <c r="C942" s="4" t="str">
        <f>IFERROR(__xludf.DUMMYFUNCTION("""COMPUTED_VALUE""")," Estimate ")</f>
        <v> Estimate </v>
      </c>
      <c r="E942" s="86"/>
    </row>
    <row r="943">
      <c r="A943" s="4"/>
      <c r="B943" s="85">
        <f>IFERROR(__xludf.DUMMYFUNCTION("""COMPUTED_VALUE"""),44917.725694444445)</f>
        <v>44917.72569</v>
      </c>
      <c r="C943" s="4" t="str">
        <f>IFERROR(__xludf.DUMMYFUNCTION("""COMPUTED_VALUE""")," Estimate ")</f>
        <v> Estimate </v>
      </c>
      <c r="E943" s="86"/>
    </row>
    <row r="944">
      <c r="A944" s="4"/>
      <c r="B944" s="85">
        <f>IFERROR(__xludf.DUMMYFUNCTION("""COMPUTED_VALUE"""),44917.72708333333)</f>
        <v>44917.72708</v>
      </c>
      <c r="C944" s="4" t="str">
        <f>IFERROR(__xludf.DUMMYFUNCTION("""COMPUTED_VALUE""")," Estimate ")</f>
        <v> Estimate </v>
      </c>
      <c r="E944" s="86"/>
    </row>
    <row r="945">
      <c r="A945" s="4"/>
      <c r="B945" s="85">
        <f>IFERROR(__xludf.DUMMYFUNCTION("""COMPUTED_VALUE"""),44922.774305555555)</f>
        <v>44922.77431</v>
      </c>
      <c r="C945" s="4" t="str">
        <f>IFERROR(__xludf.DUMMYFUNCTION("""COMPUTED_VALUE""")," Estimate ")</f>
        <v> Estimate </v>
      </c>
      <c r="E945" s="86"/>
    </row>
    <row r="946">
      <c r="A946" s="4"/>
      <c r="B946" s="85">
        <f>IFERROR(__xludf.DUMMYFUNCTION("""COMPUTED_VALUE"""),44923.773611111115)</f>
        <v>44923.77361</v>
      </c>
      <c r="C946" s="4" t="str">
        <f>IFERROR(__xludf.DUMMYFUNCTION("""COMPUTED_VALUE""")," Estimate ")</f>
        <v> Estimate </v>
      </c>
      <c r="E946" s="86"/>
    </row>
    <row r="947">
      <c r="A947" s="4"/>
      <c r="B947" s="85">
        <f>IFERROR(__xludf.DUMMYFUNCTION("""COMPUTED_VALUE"""),44926.70694444445)</f>
        <v>44926.70694</v>
      </c>
      <c r="C947" s="4" t="str">
        <f>IFERROR(__xludf.DUMMYFUNCTION("""COMPUTED_VALUE""")," Estimate ")</f>
        <v> Estimate </v>
      </c>
      <c r="E947" s="86"/>
    </row>
    <row r="948">
      <c r="A948" s="4"/>
      <c r="B948" s="85">
        <f>IFERROR(__xludf.DUMMYFUNCTION("""COMPUTED_VALUE"""),44930.57708333334)</f>
        <v>44930.57708</v>
      </c>
      <c r="C948" s="4" t="str">
        <f>IFERROR(__xludf.DUMMYFUNCTION("""COMPUTED_VALUE""")," Estimate ")</f>
        <v> Estimate </v>
      </c>
      <c r="E948" s="86"/>
    </row>
    <row r="949">
      <c r="A949" s="4"/>
      <c r="B949" s="85">
        <f>IFERROR(__xludf.DUMMYFUNCTION("""COMPUTED_VALUE"""),44930.57986111111)</f>
        <v>44930.57986</v>
      </c>
      <c r="C949" s="4" t="str">
        <f>IFERROR(__xludf.DUMMYFUNCTION("""COMPUTED_VALUE""")," Estimate ")</f>
        <v> Estimate </v>
      </c>
      <c r="E949" s="86"/>
    </row>
    <row r="950">
      <c r="A950" s="4"/>
      <c r="B950" s="85">
        <f>IFERROR(__xludf.DUMMYFUNCTION("""COMPUTED_VALUE"""),44938.46319444444)</f>
        <v>44938.46319</v>
      </c>
      <c r="C950" s="4" t="str">
        <f>IFERROR(__xludf.DUMMYFUNCTION("""COMPUTED_VALUE""")," Estimate ")</f>
        <v> Estimate </v>
      </c>
      <c r="E950" s="86"/>
    </row>
    <row r="951">
      <c r="A951" s="4"/>
      <c r="B951" s="85">
        <f>IFERROR(__xludf.DUMMYFUNCTION("""COMPUTED_VALUE"""),44938.46388888889)</f>
        <v>44938.46389</v>
      </c>
      <c r="C951" s="4" t="str">
        <f>IFERROR(__xludf.DUMMYFUNCTION("""COMPUTED_VALUE""")," Estimate ")</f>
        <v> Estimate </v>
      </c>
      <c r="E951" s="86"/>
    </row>
    <row r="952">
      <c r="A952" s="4"/>
      <c r="B952" s="85">
        <f>IFERROR(__xludf.DUMMYFUNCTION("""COMPUTED_VALUE"""),44938.46527777778)</f>
        <v>44938.46528</v>
      </c>
      <c r="C952" s="4" t="str">
        <f>IFERROR(__xludf.DUMMYFUNCTION("""COMPUTED_VALUE""")," Estimate ")</f>
        <v> Estimate </v>
      </c>
      <c r="E952" s="86"/>
    </row>
    <row r="953">
      <c r="A953" s="4"/>
      <c r="B953" s="85">
        <f>IFERROR(__xludf.DUMMYFUNCTION("""COMPUTED_VALUE"""),44938.51944444445)</f>
        <v>44938.51944</v>
      </c>
      <c r="C953" s="4" t="str">
        <f>IFERROR(__xludf.DUMMYFUNCTION("""COMPUTED_VALUE""")," Estimate ")</f>
        <v> Estimate </v>
      </c>
      <c r="E953" s="86"/>
    </row>
    <row r="954">
      <c r="A954" s="4"/>
      <c r="B954" s="85">
        <f>IFERROR(__xludf.DUMMYFUNCTION("""COMPUTED_VALUE"""),44938.53680555556)</f>
        <v>44938.53681</v>
      </c>
      <c r="C954" s="4" t="str">
        <f>IFERROR(__xludf.DUMMYFUNCTION("""COMPUTED_VALUE""")," Estimate ")</f>
        <v> Estimate </v>
      </c>
      <c r="E954" s="86"/>
    </row>
    <row r="955">
      <c r="A955" s="4"/>
      <c r="B955" s="85">
        <f>IFERROR(__xludf.DUMMYFUNCTION("""COMPUTED_VALUE"""),44940.504166666666)</f>
        <v>44940.50417</v>
      </c>
      <c r="C955" s="4" t="str">
        <f>IFERROR(__xludf.DUMMYFUNCTION("""COMPUTED_VALUE""")," Estimate ")</f>
        <v> Estimate </v>
      </c>
      <c r="E955" s="86"/>
    </row>
    <row r="956">
      <c r="A956" s="4"/>
      <c r="B956" s="85">
        <f>IFERROR(__xludf.DUMMYFUNCTION("""COMPUTED_VALUE"""),44941.58472222222)</f>
        <v>44941.58472</v>
      </c>
      <c r="C956" s="4" t="str">
        <f>IFERROR(__xludf.DUMMYFUNCTION("""COMPUTED_VALUE""")," Estimate ")</f>
        <v> Estimate </v>
      </c>
      <c r="E956" s="86"/>
    </row>
    <row r="957">
      <c r="A957" s="4"/>
      <c r="B957" s="85">
        <f>IFERROR(__xludf.DUMMYFUNCTION("""COMPUTED_VALUE"""),44944.51041666667)</f>
        <v>44944.51042</v>
      </c>
      <c r="C957" s="4" t="str">
        <f>IFERROR(__xludf.DUMMYFUNCTION("""COMPUTED_VALUE""")," Estimate ")</f>
        <v> Estimate </v>
      </c>
      <c r="E957" s="86"/>
    </row>
    <row r="958">
      <c r="A958" s="4"/>
      <c r="B958" s="85">
        <f>IFERROR(__xludf.DUMMYFUNCTION("""COMPUTED_VALUE"""),44944.51111111111)</f>
        <v>44944.51111</v>
      </c>
      <c r="C958" s="4" t="str">
        <f>IFERROR(__xludf.DUMMYFUNCTION("""COMPUTED_VALUE""")," Estimate ")</f>
        <v> Estimate </v>
      </c>
      <c r="E958" s="86"/>
    </row>
    <row r="959">
      <c r="A959" s="4"/>
      <c r="B959" s="85">
        <f>IFERROR(__xludf.DUMMYFUNCTION("""COMPUTED_VALUE"""),44944.51388888889)</f>
        <v>44944.51389</v>
      </c>
      <c r="C959" s="4" t="str">
        <f>IFERROR(__xludf.DUMMYFUNCTION("""COMPUTED_VALUE""")," Estimate ")</f>
        <v> Estimate </v>
      </c>
      <c r="E959" s="86"/>
    </row>
    <row r="960">
      <c r="A960" s="4"/>
      <c r="B960" s="85">
        <f>IFERROR(__xludf.DUMMYFUNCTION("""COMPUTED_VALUE"""),44946.51875)</f>
        <v>44946.51875</v>
      </c>
      <c r="C960" s="4" t="str">
        <f>IFERROR(__xludf.DUMMYFUNCTION("""COMPUTED_VALUE""")," Estimate ")</f>
        <v> Estimate </v>
      </c>
      <c r="E960" s="86"/>
    </row>
    <row r="961">
      <c r="A961" s="4"/>
      <c r="B961" s="85">
        <f>IFERROR(__xludf.DUMMYFUNCTION("""COMPUTED_VALUE"""),44946.523611111115)</f>
        <v>44946.52361</v>
      </c>
      <c r="C961" s="4" t="str">
        <f>IFERROR(__xludf.DUMMYFUNCTION("""COMPUTED_VALUE""")," Estimate ")</f>
        <v> Estimate </v>
      </c>
      <c r="E961" s="86"/>
    </row>
    <row r="962">
      <c r="A962" s="4"/>
      <c r="B962" s="85">
        <f>IFERROR(__xludf.DUMMYFUNCTION("""COMPUTED_VALUE"""),44946.53055555555)</f>
        <v>44946.53056</v>
      </c>
      <c r="C962" s="4" t="str">
        <f>IFERROR(__xludf.DUMMYFUNCTION("""COMPUTED_VALUE""")," Estimate ")</f>
        <v> Estimate </v>
      </c>
      <c r="E962" s="86"/>
    </row>
    <row r="963">
      <c r="A963" s="4"/>
      <c r="B963" s="85">
        <f>IFERROR(__xludf.DUMMYFUNCTION("""COMPUTED_VALUE"""),44946.54861111111)</f>
        <v>44946.54861</v>
      </c>
      <c r="C963" s="4" t="str">
        <f>IFERROR(__xludf.DUMMYFUNCTION("""COMPUTED_VALUE""")," Estimate ")</f>
        <v> Estimate </v>
      </c>
      <c r="E963" s="86"/>
    </row>
    <row r="964">
      <c r="A964" s="4"/>
      <c r="B964" s="85">
        <f>IFERROR(__xludf.DUMMYFUNCTION("""COMPUTED_VALUE"""),44987.674305555556)</f>
        <v>44987.67431</v>
      </c>
      <c r="C964" s="4" t="str">
        <f>IFERROR(__xludf.DUMMYFUNCTION("""COMPUTED_VALUE""")," Estimate ")</f>
        <v> Estimate </v>
      </c>
      <c r="E964" s="86"/>
    </row>
    <row r="965">
      <c r="A965" s="4"/>
      <c r="B965" s="85">
        <f>IFERROR(__xludf.DUMMYFUNCTION("""COMPUTED_VALUE"""),45042.96666666667)</f>
        <v>45042.96667</v>
      </c>
      <c r="C965" s="4" t="str">
        <f>IFERROR(__xludf.DUMMYFUNCTION("""COMPUTED_VALUE""")," Estimate ")</f>
        <v> Estimate </v>
      </c>
      <c r="E965" s="86"/>
    </row>
    <row r="966">
      <c r="A966" s="4"/>
      <c r="B966" s="85">
        <f>IFERROR(__xludf.DUMMYFUNCTION("""COMPUTED_VALUE"""),45043.79513888889)</f>
        <v>45043.79514</v>
      </c>
      <c r="C966" s="4" t="str">
        <f>IFERROR(__xludf.DUMMYFUNCTION("""COMPUTED_VALUE""")," Estimate ")</f>
        <v> Estimate </v>
      </c>
      <c r="E966" s="86"/>
    </row>
    <row r="967">
      <c r="A967" s="4"/>
      <c r="B967" s="85">
        <f>IFERROR(__xludf.DUMMYFUNCTION("""COMPUTED_VALUE"""),45044.54236111111)</f>
        <v>45044.54236</v>
      </c>
      <c r="C967" s="4" t="str">
        <f>IFERROR(__xludf.DUMMYFUNCTION("""COMPUTED_VALUE""")," Estimate ")</f>
        <v> Estimate </v>
      </c>
      <c r="E967" s="86"/>
    </row>
    <row r="968">
      <c r="A968" s="4"/>
      <c r="B968" s="85">
        <f>IFERROR(__xludf.DUMMYFUNCTION("""COMPUTED_VALUE"""),45044.58888888889)</f>
        <v>45044.58889</v>
      </c>
      <c r="C968" s="4" t="str">
        <f>IFERROR(__xludf.DUMMYFUNCTION("""COMPUTED_VALUE""")," Estimate ")</f>
        <v> Estimate </v>
      </c>
      <c r="E968" s="86"/>
    </row>
    <row r="969">
      <c r="A969" s="4"/>
      <c r="B969" s="85">
        <f>IFERROR(__xludf.DUMMYFUNCTION("""COMPUTED_VALUE"""),45044.62430555555)</f>
        <v>45044.62431</v>
      </c>
      <c r="C969" s="4" t="str">
        <f>IFERROR(__xludf.DUMMYFUNCTION("""COMPUTED_VALUE""")," Estimate ")</f>
        <v> Estimate </v>
      </c>
      <c r="E969" s="86"/>
    </row>
    <row r="970">
      <c r="A970" s="4"/>
      <c r="B970" s="85">
        <f>IFERROR(__xludf.DUMMYFUNCTION("""COMPUTED_VALUE"""),45057.552777777775)</f>
        <v>45057.55278</v>
      </c>
      <c r="C970" s="4" t="str">
        <f>IFERROR(__xludf.DUMMYFUNCTION("""COMPUTED_VALUE""")," Estimate ")</f>
        <v> Estimate </v>
      </c>
      <c r="E970" s="86"/>
    </row>
    <row r="971">
      <c r="A971" s="4"/>
      <c r="B971" s="85">
        <f>IFERROR(__xludf.DUMMYFUNCTION("""COMPUTED_VALUE"""),45057.55347222222)</f>
        <v>45057.55347</v>
      </c>
      <c r="C971" s="4" t="str">
        <f>IFERROR(__xludf.DUMMYFUNCTION("""COMPUTED_VALUE""")," Estimate ")</f>
        <v> Estimate </v>
      </c>
      <c r="E971" s="86"/>
    </row>
    <row r="972">
      <c r="A972" s="4"/>
      <c r="B972" s="85">
        <f>IFERROR(__xludf.DUMMYFUNCTION("""COMPUTED_VALUE"""),45057.554861111115)</f>
        <v>45057.55486</v>
      </c>
      <c r="C972" s="4" t="str">
        <f>IFERROR(__xludf.DUMMYFUNCTION("""COMPUTED_VALUE""")," Estimate ")</f>
        <v> Estimate </v>
      </c>
      <c r="E972" s="86"/>
    </row>
    <row r="973">
      <c r="A973" s="4"/>
      <c r="B973" s="85">
        <f>IFERROR(__xludf.DUMMYFUNCTION("""COMPUTED_VALUE"""),45057.555555555555)</f>
        <v>45057.55556</v>
      </c>
      <c r="C973" s="4" t="str">
        <f>IFERROR(__xludf.DUMMYFUNCTION("""COMPUTED_VALUE""")," Estimate ")</f>
        <v> Estimate </v>
      </c>
      <c r="E973" s="86"/>
    </row>
    <row r="974">
      <c r="A974" s="4"/>
      <c r="B974" s="85">
        <f>IFERROR(__xludf.DUMMYFUNCTION("""COMPUTED_VALUE"""),45057.55625)</f>
        <v>45057.55625</v>
      </c>
      <c r="C974" s="4" t="str">
        <f>IFERROR(__xludf.DUMMYFUNCTION("""COMPUTED_VALUE""")," Estimate ")</f>
        <v> Estimate </v>
      </c>
      <c r="E974" s="86"/>
    </row>
    <row r="975">
      <c r="A975" s="4"/>
      <c r="B975" s="85">
        <f>IFERROR(__xludf.DUMMYFUNCTION("""COMPUTED_VALUE"""),45057.77013888889)</f>
        <v>45057.77014</v>
      </c>
      <c r="C975" s="4" t="str">
        <f>IFERROR(__xludf.DUMMYFUNCTION("""COMPUTED_VALUE""")," Estimate ")</f>
        <v> Estimate </v>
      </c>
      <c r="E975" s="86"/>
    </row>
    <row r="976">
      <c r="A976" s="4"/>
      <c r="B976" s="85">
        <f>IFERROR(__xludf.DUMMYFUNCTION("""COMPUTED_VALUE"""),45057.78472222222)</f>
        <v>45057.78472</v>
      </c>
      <c r="C976" s="4" t="str">
        <f>IFERROR(__xludf.DUMMYFUNCTION("""COMPUTED_VALUE""")," Estimate ")</f>
        <v> Estimate </v>
      </c>
      <c r="E976" s="86"/>
    </row>
    <row r="977">
      <c r="A977" s="4"/>
      <c r="B977" s="85">
        <f>IFERROR(__xludf.DUMMYFUNCTION("""COMPUTED_VALUE"""),45057.788888888885)</f>
        <v>45057.78889</v>
      </c>
      <c r="C977" s="4" t="str">
        <f>IFERROR(__xludf.DUMMYFUNCTION("""COMPUTED_VALUE""")," Estimate ")</f>
        <v> Estimate </v>
      </c>
      <c r="E977" s="86"/>
    </row>
    <row r="978">
      <c r="A978" s="4"/>
      <c r="B978" s="85">
        <f>IFERROR(__xludf.DUMMYFUNCTION("""COMPUTED_VALUE"""),45057.79027777778)</f>
        <v>45057.79028</v>
      </c>
      <c r="C978" s="4" t="str">
        <f>IFERROR(__xludf.DUMMYFUNCTION("""COMPUTED_VALUE""")," Estimate ")</f>
        <v> Estimate </v>
      </c>
      <c r="E978" s="86"/>
    </row>
    <row r="979">
      <c r="A979" s="4"/>
      <c r="B979" s="85">
        <f>IFERROR(__xludf.DUMMYFUNCTION("""COMPUTED_VALUE"""),45057.790972222225)</f>
        <v>45057.79097</v>
      </c>
      <c r="C979" s="4" t="str">
        <f>IFERROR(__xludf.DUMMYFUNCTION("""COMPUTED_VALUE""")," Estimate ")</f>
        <v> Estimate </v>
      </c>
      <c r="E979" s="86"/>
    </row>
    <row r="980">
      <c r="A980" s="4"/>
      <c r="B980" s="85">
        <f>IFERROR(__xludf.DUMMYFUNCTION("""COMPUTED_VALUE"""),45057.79583333334)</f>
        <v>45057.79583</v>
      </c>
      <c r="C980" s="4" t="str">
        <f>IFERROR(__xludf.DUMMYFUNCTION("""COMPUTED_VALUE""")," Estimate ")</f>
        <v> Estimate </v>
      </c>
      <c r="E980" s="86"/>
    </row>
    <row r="981">
      <c r="A981" s="4"/>
      <c r="B981" s="85">
        <f>IFERROR(__xludf.DUMMYFUNCTION("""COMPUTED_VALUE"""),45057.79722222222)</f>
        <v>45057.79722</v>
      </c>
      <c r="C981" s="4" t="str">
        <f>IFERROR(__xludf.DUMMYFUNCTION("""COMPUTED_VALUE""")," Estimate ")</f>
        <v> Estimate </v>
      </c>
      <c r="E981" s="86"/>
    </row>
    <row r="982">
      <c r="A982" s="4"/>
      <c r="B982" s="85">
        <f>IFERROR(__xludf.DUMMYFUNCTION("""COMPUTED_VALUE"""),45057.79861111111)</f>
        <v>45057.79861</v>
      </c>
      <c r="C982" s="4" t="str">
        <f>IFERROR(__xludf.DUMMYFUNCTION("""COMPUTED_VALUE""")," Estimate ")</f>
        <v> Estimate </v>
      </c>
      <c r="E982" s="86"/>
    </row>
    <row r="983">
      <c r="A983" s="4"/>
      <c r="B983" s="85">
        <f>IFERROR(__xludf.DUMMYFUNCTION("""COMPUTED_VALUE"""),45058.50902777778)</f>
        <v>45058.50903</v>
      </c>
      <c r="C983" s="4" t="str">
        <f>IFERROR(__xludf.DUMMYFUNCTION("""COMPUTED_VALUE""")," Estimate ")</f>
        <v> Estimate </v>
      </c>
      <c r="E983" s="86"/>
    </row>
    <row r="984">
      <c r="A984" s="4"/>
      <c r="B984" s="85">
        <f>IFERROR(__xludf.DUMMYFUNCTION("""COMPUTED_VALUE"""),45060.538194444445)</f>
        <v>45060.53819</v>
      </c>
      <c r="C984" s="4" t="str">
        <f>IFERROR(__xludf.DUMMYFUNCTION("""COMPUTED_VALUE""")," Estimate ")</f>
        <v> Estimate </v>
      </c>
      <c r="E984" s="86"/>
    </row>
    <row r="985">
      <c r="A985" s="4"/>
      <c r="B985" s="85">
        <f>IFERROR(__xludf.DUMMYFUNCTION("""COMPUTED_VALUE"""),45063.805555555555)</f>
        <v>45063.80556</v>
      </c>
      <c r="C985" s="4" t="str">
        <f>IFERROR(__xludf.DUMMYFUNCTION("""COMPUTED_VALUE""")," Estimate ")</f>
        <v> Estimate </v>
      </c>
      <c r="E985" s="86"/>
    </row>
    <row r="986">
      <c r="A986" s="4"/>
      <c r="B986" s="85">
        <f>IFERROR(__xludf.DUMMYFUNCTION("""COMPUTED_VALUE"""),45065.58472222222)</f>
        <v>45065.58472</v>
      </c>
      <c r="C986" s="4" t="str">
        <f>IFERROR(__xludf.DUMMYFUNCTION("""COMPUTED_VALUE""")," Estimate ")</f>
        <v> Estimate </v>
      </c>
      <c r="E986" s="86"/>
    </row>
    <row r="987">
      <c r="A987" s="4"/>
      <c r="B987" s="85">
        <f>IFERROR(__xludf.DUMMYFUNCTION("""COMPUTED_VALUE"""),45066.67152777778)</f>
        <v>45066.67153</v>
      </c>
      <c r="C987" s="4" t="str">
        <f>IFERROR(__xludf.DUMMYFUNCTION("""COMPUTED_VALUE""")," Estimate ")</f>
        <v> Estimate </v>
      </c>
      <c r="E987" s="86"/>
    </row>
    <row r="988">
      <c r="A988" s="4"/>
      <c r="B988" s="85">
        <f>IFERROR(__xludf.DUMMYFUNCTION("""COMPUTED_VALUE"""),45069.554861111115)</f>
        <v>45069.55486</v>
      </c>
      <c r="C988" s="4" t="str">
        <f>IFERROR(__xludf.DUMMYFUNCTION("""COMPUTED_VALUE""")," Estimate ")</f>
        <v> Estimate </v>
      </c>
      <c r="E988" s="86"/>
    </row>
    <row r="989">
      <c r="A989" s="4"/>
      <c r="B989" s="85">
        <f>IFERROR(__xludf.DUMMYFUNCTION("""COMPUTED_VALUE"""),45069.57777777778)</f>
        <v>45069.57778</v>
      </c>
      <c r="C989" s="4" t="str">
        <f>IFERROR(__xludf.DUMMYFUNCTION("""COMPUTED_VALUE""")," Estimate ")</f>
        <v> Estimate </v>
      </c>
      <c r="E989" s="86"/>
    </row>
    <row r="990">
      <c r="A990" s="4"/>
      <c r="B990" s="85">
        <f>IFERROR(__xludf.DUMMYFUNCTION("""COMPUTED_VALUE"""),45070.61944444444)</f>
        <v>45070.61944</v>
      </c>
      <c r="C990" s="4" t="str">
        <f>IFERROR(__xludf.DUMMYFUNCTION("""COMPUTED_VALUE""")," Estimate ")</f>
        <v> Estimate </v>
      </c>
      <c r="E990" s="86"/>
    </row>
    <row r="991">
      <c r="A991" s="4"/>
      <c r="B991" s="85">
        <f>IFERROR(__xludf.DUMMYFUNCTION("""COMPUTED_VALUE"""),45070.70277777778)</f>
        <v>45070.70278</v>
      </c>
      <c r="C991" s="4" t="str">
        <f>IFERROR(__xludf.DUMMYFUNCTION("""COMPUTED_VALUE""")," Estimate ")</f>
        <v> Estimate </v>
      </c>
      <c r="E991" s="86"/>
    </row>
    <row r="992">
      <c r="A992" s="4"/>
      <c r="B992" s="85">
        <f>IFERROR(__xludf.DUMMYFUNCTION("""COMPUTED_VALUE"""),45070.70347222222)</f>
        <v>45070.70347</v>
      </c>
      <c r="C992" s="4" t="str">
        <f>IFERROR(__xludf.DUMMYFUNCTION("""COMPUTED_VALUE""")," Estimate ")</f>
        <v> Estimate </v>
      </c>
      <c r="E992" s="86"/>
    </row>
    <row r="993">
      <c r="A993" s="4"/>
      <c r="B993" s="85">
        <f>IFERROR(__xludf.DUMMYFUNCTION("""COMPUTED_VALUE"""),45070.70486111111)</f>
        <v>45070.70486</v>
      </c>
      <c r="C993" s="4" t="str">
        <f>IFERROR(__xludf.DUMMYFUNCTION("""COMPUTED_VALUE""")," Estimate ")</f>
        <v> Estimate </v>
      </c>
      <c r="E993" s="86"/>
    </row>
    <row r="994">
      <c r="A994" s="4"/>
      <c r="B994" s="85">
        <f>IFERROR(__xludf.DUMMYFUNCTION("""COMPUTED_VALUE"""),45073.51111111111)</f>
        <v>45073.51111</v>
      </c>
      <c r="C994" s="4" t="str">
        <f>IFERROR(__xludf.DUMMYFUNCTION("""COMPUTED_VALUE""")," Estimate ")</f>
        <v> Estimate </v>
      </c>
      <c r="E994" s="86"/>
    </row>
    <row r="995">
      <c r="A995" s="4"/>
      <c r="B995" s="85">
        <f>IFERROR(__xludf.DUMMYFUNCTION("""COMPUTED_VALUE"""),45084.6375)</f>
        <v>45084.6375</v>
      </c>
      <c r="C995" s="4" t="str">
        <f>IFERROR(__xludf.DUMMYFUNCTION("""COMPUTED_VALUE""")," Estimate ")</f>
        <v> Estimate </v>
      </c>
      <c r="E995" s="86"/>
    </row>
    <row r="996">
      <c r="A996" s="4"/>
      <c r="B996" s="85">
        <f>IFERROR(__xludf.DUMMYFUNCTION("""COMPUTED_VALUE"""),45090.53611111111)</f>
        <v>45090.53611</v>
      </c>
      <c r="C996" s="4" t="str">
        <f>IFERROR(__xludf.DUMMYFUNCTION("""COMPUTED_VALUE""")," Estimate ")</f>
        <v> Estimate </v>
      </c>
      <c r="E996" s="86"/>
    </row>
    <row r="997">
      <c r="A997" s="4"/>
      <c r="B997" s="85">
        <f>IFERROR(__xludf.DUMMYFUNCTION("""COMPUTED_VALUE"""),45098.6375)</f>
        <v>45098.6375</v>
      </c>
      <c r="C997" s="4" t="str">
        <f>IFERROR(__xludf.DUMMYFUNCTION("""COMPUTED_VALUE""")," Estimate ")</f>
        <v> Estimate </v>
      </c>
      <c r="E997" s="86"/>
    </row>
    <row r="998">
      <c r="A998" s="4"/>
      <c r="B998" s="85">
        <f>IFERROR(__xludf.DUMMYFUNCTION("""COMPUTED_VALUE"""),45108.60486111111)</f>
        <v>45108.60486</v>
      </c>
      <c r="C998" s="4" t="str">
        <f>IFERROR(__xludf.DUMMYFUNCTION("""COMPUTED_VALUE""")," Estimate ")</f>
        <v> Estimate </v>
      </c>
      <c r="E998" s="86"/>
    </row>
    <row r="999">
      <c r="A999" s="4"/>
      <c r="B999" s="85">
        <f>IFERROR(__xludf.DUMMYFUNCTION("""COMPUTED_VALUE"""),45115.71388888889)</f>
        <v>45115.71389</v>
      </c>
      <c r="C999" s="4" t="str">
        <f>IFERROR(__xludf.DUMMYFUNCTION("""COMPUTED_VALUE""")," Estimate ")</f>
        <v> Estimate </v>
      </c>
      <c r="E999" s="86"/>
    </row>
    <row r="1000">
      <c r="A1000" s="4"/>
      <c r="B1000" s="85">
        <f>IFERROR(__xludf.DUMMYFUNCTION("""COMPUTED_VALUE"""),45115.70347222222)</f>
        <v>45115.70347</v>
      </c>
      <c r="C1000" s="4" t="str">
        <f>IFERROR(__xludf.DUMMYFUNCTION("""COMPUTED_VALUE""")," Estimate ")</f>
        <v> Estimate </v>
      </c>
      <c r="E1000" s="86"/>
    </row>
    <row r="1001">
      <c r="A1001" s="4"/>
      <c r="B1001" s="85">
        <f>IFERROR(__xludf.DUMMYFUNCTION("""COMPUTED_VALUE"""),45115.70208333334)</f>
        <v>45115.70208</v>
      </c>
      <c r="C1001" s="4" t="str">
        <f>IFERROR(__xludf.DUMMYFUNCTION("""COMPUTED_VALUE""")," Estimate ")</f>
        <v> Estimate </v>
      </c>
      <c r="E1001" s="86"/>
    </row>
    <row r="1002">
      <c r="A1002" s="4"/>
      <c r="B1002" s="85">
        <f>IFERROR(__xludf.DUMMYFUNCTION("""COMPUTED_VALUE"""),45115.70416666666)</f>
        <v>45115.70417</v>
      </c>
      <c r="C1002" s="4" t="str">
        <f>IFERROR(__xludf.DUMMYFUNCTION("""COMPUTED_VALUE""")," Estimate ")</f>
        <v> Estimate </v>
      </c>
      <c r="E1002" s="86"/>
    </row>
    <row r="1003">
      <c r="A1003" s="4"/>
      <c r="B1003" s="85">
        <f>IFERROR(__xludf.DUMMYFUNCTION("""COMPUTED_VALUE"""),45115.700694444444)</f>
        <v>45115.70069</v>
      </c>
      <c r="C1003" s="4" t="str">
        <f>IFERROR(__xludf.DUMMYFUNCTION("""COMPUTED_VALUE""")," Estimate ")</f>
        <v> Estimate </v>
      </c>
      <c r="E1003" s="86"/>
    </row>
    <row r="1004">
      <c r="A1004" s="4"/>
      <c r="B1004" s="85">
        <f>IFERROR(__xludf.DUMMYFUNCTION("""COMPUTED_VALUE"""),45114.67152777778)</f>
        <v>45114.67153</v>
      </c>
      <c r="C1004" s="4" t="str">
        <f>IFERROR(__xludf.DUMMYFUNCTION("""COMPUTED_VALUE""")," Estimate ")</f>
        <v> Estimate </v>
      </c>
      <c r="E1004" s="86"/>
    </row>
    <row r="1005">
      <c r="A1005" s="4"/>
      <c r="B1005" s="85">
        <f>IFERROR(__xludf.DUMMYFUNCTION("""COMPUTED_VALUE"""),45115.70694444445)</f>
        <v>45115.70694</v>
      </c>
      <c r="C1005" s="4" t="str">
        <f>IFERROR(__xludf.DUMMYFUNCTION("""COMPUTED_VALUE""")," Estimate ")</f>
        <v> Estimate </v>
      </c>
      <c r="E1005" s="86"/>
    </row>
    <row r="1006">
      <c r="A1006" s="4"/>
      <c r="B1006" s="85">
        <f>IFERROR(__xludf.DUMMYFUNCTION("""COMPUTED_VALUE"""),45115.69930555555)</f>
        <v>45115.69931</v>
      </c>
      <c r="C1006" s="4" t="str">
        <f>IFERROR(__xludf.DUMMYFUNCTION("""COMPUTED_VALUE""")," Estimate ")</f>
        <v> Estimate </v>
      </c>
      <c r="E1006" s="86"/>
    </row>
    <row r="1007">
      <c r="A1007" s="4"/>
      <c r="B1007" s="85">
        <f>IFERROR(__xludf.DUMMYFUNCTION("""COMPUTED_VALUE"""),45118.55694444444)</f>
        <v>45118.55694</v>
      </c>
      <c r="C1007" s="4" t="str">
        <f>IFERROR(__xludf.DUMMYFUNCTION("""COMPUTED_VALUE""")," Estimate ")</f>
        <v> Estimate </v>
      </c>
      <c r="E1007" s="86"/>
    </row>
    <row r="1008">
      <c r="A1008" s="4"/>
      <c r="B1008" s="85">
        <f>IFERROR(__xludf.DUMMYFUNCTION("""COMPUTED_VALUE"""),45116.61041666666)</f>
        <v>45116.61042</v>
      </c>
      <c r="C1008" s="4" t="str">
        <f>IFERROR(__xludf.DUMMYFUNCTION("""COMPUTED_VALUE""")," Estimate ")</f>
        <v> Estimate </v>
      </c>
      <c r="E1008" s="86"/>
    </row>
    <row r="1009">
      <c r="A1009" s="4"/>
      <c r="B1009" s="85">
        <f>IFERROR(__xludf.DUMMYFUNCTION("""COMPUTED_VALUE"""),45118.57847222222)</f>
        <v>45118.57847</v>
      </c>
      <c r="C1009" s="4" t="str">
        <f>IFERROR(__xludf.DUMMYFUNCTION("""COMPUTED_VALUE""")," Estimate ")</f>
        <v> Estimate </v>
      </c>
      <c r="E1009" s="86"/>
    </row>
    <row r="1010">
      <c r="A1010" s="4"/>
      <c r="B1010" s="85">
        <f>IFERROR(__xludf.DUMMYFUNCTION("""COMPUTED_VALUE"""),45121.53333333333)</f>
        <v>45121.53333</v>
      </c>
      <c r="C1010" s="4" t="str">
        <f>IFERROR(__xludf.DUMMYFUNCTION("""COMPUTED_VALUE""")," Estimate ")</f>
        <v> Estimate </v>
      </c>
      <c r="E1010" s="86"/>
    </row>
    <row r="1011">
      <c r="A1011" s="4"/>
      <c r="B1011" s="85">
        <f>IFERROR(__xludf.DUMMYFUNCTION("""COMPUTED_VALUE"""),45121.63680555555)</f>
        <v>45121.63681</v>
      </c>
      <c r="C1011" s="4" t="str">
        <f>IFERROR(__xludf.DUMMYFUNCTION("""COMPUTED_VALUE""")," Estimate ")</f>
        <v> Estimate </v>
      </c>
      <c r="E1011" s="86"/>
    </row>
    <row r="1012">
      <c r="A1012" s="4"/>
      <c r="B1012" s="85">
        <f>IFERROR(__xludf.DUMMYFUNCTION("""COMPUTED_VALUE"""),45122.74791666667)</f>
        <v>45122.74792</v>
      </c>
      <c r="C1012" s="4" t="str">
        <f>IFERROR(__xludf.DUMMYFUNCTION("""COMPUTED_VALUE""")," Estimate ")</f>
        <v> Estimate </v>
      </c>
      <c r="E1012" s="86"/>
    </row>
    <row r="1013">
      <c r="A1013" s="4"/>
      <c r="B1013" s="85">
        <f>IFERROR(__xludf.DUMMYFUNCTION("""COMPUTED_VALUE"""),45123.725694444445)</f>
        <v>45123.72569</v>
      </c>
      <c r="C1013" s="4" t="str">
        <f>IFERROR(__xludf.DUMMYFUNCTION("""COMPUTED_VALUE""")," Estimate ")</f>
        <v> Estimate </v>
      </c>
      <c r="E1013" s="86"/>
    </row>
    <row r="1014">
      <c r="A1014" s="4"/>
      <c r="B1014" s="85">
        <f>IFERROR(__xludf.DUMMYFUNCTION("""COMPUTED_VALUE"""),45126.554861111115)</f>
        <v>45126.55486</v>
      </c>
      <c r="C1014" s="4" t="str">
        <f>IFERROR(__xludf.DUMMYFUNCTION("""COMPUTED_VALUE""")," Estimate ")</f>
        <v> Estimate </v>
      </c>
      <c r="E1014" s="86"/>
    </row>
    <row r="1015">
      <c r="A1015" s="4"/>
      <c r="B1015" s="85">
        <f>IFERROR(__xludf.DUMMYFUNCTION("""COMPUTED_VALUE"""),45126.558333333334)</f>
        <v>45126.55833</v>
      </c>
      <c r="C1015" s="4" t="str">
        <f>IFERROR(__xludf.DUMMYFUNCTION("""COMPUTED_VALUE""")," Estimate ")</f>
        <v> Estimate </v>
      </c>
      <c r="E1015" s="86"/>
    </row>
    <row r="1016">
      <c r="A1016" s="4"/>
      <c r="B1016" s="85">
        <f>IFERROR(__xludf.DUMMYFUNCTION("""COMPUTED_VALUE"""),45127.55)</f>
        <v>45127.55</v>
      </c>
      <c r="C1016" s="4" t="str">
        <f>IFERROR(__xludf.DUMMYFUNCTION("""COMPUTED_VALUE""")," Estimate ")</f>
        <v> Estimate </v>
      </c>
      <c r="E1016" s="86"/>
    </row>
    <row r="1017">
      <c r="A1017" s="4"/>
      <c r="B1017" s="85">
        <f>IFERROR(__xludf.DUMMYFUNCTION("""COMPUTED_VALUE"""),45128.65277777778)</f>
        <v>45128.65278</v>
      </c>
      <c r="C1017" s="4" t="str">
        <f>IFERROR(__xludf.DUMMYFUNCTION("""COMPUTED_VALUE""")," Estimate ")</f>
        <v> Estimate </v>
      </c>
      <c r="E1017" s="86"/>
    </row>
    <row r="1018">
      <c r="A1018" s="4"/>
      <c r="B1018" s="85">
        <f>IFERROR(__xludf.DUMMYFUNCTION("""COMPUTED_VALUE"""),45128.660416666666)</f>
        <v>45128.66042</v>
      </c>
      <c r="C1018" s="4" t="str">
        <f>IFERROR(__xludf.DUMMYFUNCTION("""COMPUTED_VALUE""")," Estimate ")</f>
        <v> Estimate </v>
      </c>
      <c r="E1018" s="86"/>
    </row>
    <row r="1019">
      <c r="A1019" s="4"/>
      <c r="B1019" s="85">
        <f>IFERROR(__xludf.DUMMYFUNCTION("""COMPUTED_VALUE"""),45128.6875)</f>
        <v>45128.6875</v>
      </c>
      <c r="C1019" s="4" t="str">
        <f>IFERROR(__xludf.DUMMYFUNCTION("""COMPUTED_VALUE""")," Estimate ")</f>
        <v> Estimate </v>
      </c>
      <c r="E1019" s="86"/>
    </row>
    <row r="1020">
      <c r="A1020" s="4"/>
      <c r="B1020" s="85">
        <f>IFERROR(__xludf.DUMMYFUNCTION("""COMPUTED_VALUE"""),45128.722916666666)</f>
        <v>45128.72292</v>
      </c>
      <c r="C1020" s="4" t="str">
        <f>IFERROR(__xludf.DUMMYFUNCTION("""COMPUTED_VALUE""")," Estimate ")</f>
        <v> Estimate </v>
      </c>
      <c r="E1020" s="86"/>
    </row>
    <row r="1021">
      <c r="A1021" s="4"/>
      <c r="B1021" s="85">
        <f>IFERROR(__xludf.DUMMYFUNCTION("""COMPUTED_VALUE"""),45129.63402777778)</f>
        <v>45129.63403</v>
      </c>
      <c r="C1021" s="4" t="str">
        <f>IFERROR(__xludf.DUMMYFUNCTION("""COMPUTED_VALUE""")," Estimate ")</f>
        <v> Estimate </v>
      </c>
      <c r="E1021" s="86"/>
    </row>
    <row r="1022">
      <c r="A1022" s="4"/>
      <c r="B1022" s="85">
        <f>IFERROR(__xludf.DUMMYFUNCTION("""COMPUTED_VALUE"""),45132.61944444444)</f>
        <v>45132.61944</v>
      </c>
      <c r="C1022" s="4" t="str">
        <f>IFERROR(__xludf.DUMMYFUNCTION("""COMPUTED_VALUE""")," Estimate ")</f>
        <v> Estimate </v>
      </c>
      <c r="E1022" s="86"/>
    </row>
    <row r="1023">
      <c r="A1023" s="4"/>
      <c r="B1023" s="85">
        <f>IFERROR(__xludf.DUMMYFUNCTION("""COMPUTED_VALUE"""),45133.62361111111)</f>
        <v>45133.62361</v>
      </c>
      <c r="C1023" s="4" t="str">
        <f>IFERROR(__xludf.DUMMYFUNCTION("""COMPUTED_VALUE""")," Estimate ")</f>
        <v> Estimate </v>
      </c>
      <c r="E1023" s="86"/>
    </row>
    <row r="1024">
      <c r="A1024" s="4"/>
      <c r="B1024" s="85">
        <f>IFERROR(__xludf.DUMMYFUNCTION("""COMPUTED_VALUE"""),45135.52847222222)</f>
        <v>45135.52847</v>
      </c>
      <c r="C1024" s="4" t="str">
        <f>IFERROR(__xludf.DUMMYFUNCTION("""COMPUTED_VALUE""")," Estimate ")</f>
        <v> Estimate </v>
      </c>
      <c r="E1024" s="86"/>
    </row>
    <row r="1025">
      <c r="A1025" s="4"/>
      <c r="B1025" s="85">
        <f>IFERROR(__xludf.DUMMYFUNCTION("""COMPUTED_VALUE"""),45135.75)</f>
        <v>45135.75</v>
      </c>
      <c r="C1025" s="4" t="str">
        <f>IFERROR(__xludf.DUMMYFUNCTION("""COMPUTED_VALUE""")," Estimate ")</f>
        <v> Estimate </v>
      </c>
      <c r="E1025" s="86"/>
    </row>
    <row r="1026">
      <c r="A1026" s="4"/>
      <c r="B1026" s="85">
        <f>IFERROR(__xludf.DUMMYFUNCTION("""COMPUTED_VALUE"""),45135.75347222222)</f>
        <v>45135.75347</v>
      </c>
      <c r="C1026" s="4" t="str">
        <f>IFERROR(__xludf.DUMMYFUNCTION("""COMPUTED_VALUE""")," Estimate ")</f>
        <v> Estimate </v>
      </c>
      <c r="E1026" s="86"/>
    </row>
    <row r="1027">
      <c r="A1027" s="4"/>
      <c r="B1027" s="85">
        <f>IFERROR(__xludf.DUMMYFUNCTION("""COMPUTED_VALUE"""),45135.7625)</f>
        <v>45135.7625</v>
      </c>
      <c r="C1027" s="4" t="str">
        <f>IFERROR(__xludf.DUMMYFUNCTION("""COMPUTED_VALUE""")," Estimate ")</f>
        <v> Estimate </v>
      </c>
      <c r="E1027" s="86"/>
    </row>
    <row r="1028">
      <c r="A1028" s="4"/>
      <c r="B1028" s="85">
        <f>IFERROR(__xludf.DUMMYFUNCTION("""COMPUTED_VALUE"""),45136.56388888889)</f>
        <v>45136.56389</v>
      </c>
      <c r="C1028" s="4" t="str">
        <f>IFERROR(__xludf.DUMMYFUNCTION("""COMPUTED_VALUE""")," Estimate ")</f>
        <v> Estimate </v>
      </c>
      <c r="E1028" s="86"/>
    </row>
    <row r="1029">
      <c r="A1029" s="4"/>
      <c r="B1029" s="85">
        <f>IFERROR(__xludf.DUMMYFUNCTION("""COMPUTED_VALUE"""),45139.615277777775)</f>
        <v>45139.61528</v>
      </c>
      <c r="C1029" s="4" t="str">
        <f>IFERROR(__xludf.DUMMYFUNCTION("""COMPUTED_VALUE""")," Estimate ")</f>
        <v> Estimate </v>
      </c>
      <c r="E1029" s="86"/>
    </row>
    <row r="1030">
      <c r="A1030" s="4"/>
      <c r="B1030" s="85">
        <f>IFERROR(__xludf.DUMMYFUNCTION("""COMPUTED_VALUE"""),45139.62986111111)</f>
        <v>45139.62986</v>
      </c>
      <c r="C1030" s="4" t="str">
        <f>IFERROR(__xludf.DUMMYFUNCTION("""COMPUTED_VALUE""")," Estimate ")</f>
        <v> Estimate </v>
      </c>
      <c r="E1030" s="86"/>
    </row>
    <row r="1031">
      <c r="A1031" s="4"/>
      <c r="B1031" s="85">
        <f>IFERROR(__xludf.DUMMYFUNCTION("""COMPUTED_VALUE"""),45141.62430555555)</f>
        <v>45141.62431</v>
      </c>
      <c r="C1031" s="4" t="str">
        <f>IFERROR(__xludf.DUMMYFUNCTION("""COMPUTED_VALUE""")," Estimate ")</f>
        <v> Estimate </v>
      </c>
      <c r="E1031" s="86"/>
    </row>
    <row r="1032">
      <c r="A1032" s="4"/>
      <c r="B1032" s="85">
        <f>IFERROR(__xludf.DUMMYFUNCTION("""COMPUTED_VALUE"""),45141.63055555556)</f>
        <v>45141.63056</v>
      </c>
      <c r="C1032" s="4" t="str">
        <f>IFERROR(__xludf.DUMMYFUNCTION("""COMPUTED_VALUE""")," Estimate ")</f>
        <v> Estimate </v>
      </c>
      <c r="E1032" s="86"/>
    </row>
    <row r="1033">
      <c r="A1033" s="4"/>
      <c r="B1033" s="85">
        <f>IFERROR(__xludf.DUMMYFUNCTION("""COMPUTED_VALUE"""),45146.50138888889)</f>
        <v>45146.50139</v>
      </c>
      <c r="C1033" s="4" t="str">
        <f>IFERROR(__xludf.DUMMYFUNCTION("""COMPUTED_VALUE""")," Estimate ")</f>
        <v> Estimate </v>
      </c>
      <c r="E1033" s="86"/>
    </row>
    <row r="1034">
      <c r="A1034" s="4"/>
      <c r="B1034" s="85">
        <f>IFERROR(__xludf.DUMMYFUNCTION("""COMPUTED_VALUE"""),45146.55625)</f>
        <v>45146.55625</v>
      </c>
      <c r="C1034" s="4" t="str">
        <f>IFERROR(__xludf.DUMMYFUNCTION("""COMPUTED_VALUE""")," Estimate ")</f>
        <v> Estimate </v>
      </c>
      <c r="E1034" s="86"/>
    </row>
    <row r="1035">
      <c r="A1035" s="4"/>
      <c r="B1035" s="85">
        <f>IFERROR(__xludf.DUMMYFUNCTION("""COMPUTED_VALUE"""),45146.68680555555)</f>
        <v>45146.68681</v>
      </c>
      <c r="C1035" s="4" t="str">
        <f>IFERROR(__xludf.DUMMYFUNCTION("""COMPUTED_VALUE""")," Estimate ")</f>
        <v> Estimate </v>
      </c>
      <c r="E1035" s="86"/>
    </row>
    <row r="1036">
      <c r="A1036" s="4"/>
      <c r="B1036" s="85">
        <f>IFERROR(__xludf.DUMMYFUNCTION("""COMPUTED_VALUE"""),45146.69375)</f>
        <v>45146.69375</v>
      </c>
      <c r="C1036" s="4" t="str">
        <f>IFERROR(__xludf.DUMMYFUNCTION("""COMPUTED_VALUE""")," Estimate ")</f>
        <v> Estimate </v>
      </c>
      <c r="E1036" s="86"/>
    </row>
    <row r="1037">
      <c r="A1037" s="4"/>
      <c r="B1037" s="85">
        <f>IFERROR(__xludf.DUMMYFUNCTION("""COMPUTED_VALUE"""),45146.70763888889)</f>
        <v>45146.70764</v>
      </c>
      <c r="C1037" s="4" t="str">
        <f>IFERROR(__xludf.DUMMYFUNCTION("""COMPUTED_VALUE""")," Estimate ")</f>
        <v> Estimate </v>
      </c>
      <c r="E1037" s="86"/>
    </row>
    <row r="1038">
      <c r="A1038" s="4"/>
      <c r="B1038" s="85">
        <f>IFERROR(__xludf.DUMMYFUNCTION("""COMPUTED_VALUE"""),45146.740277777775)</f>
        <v>45146.74028</v>
      </c>
      <c r="C1038" s="4" t="str">
        <f>IFERROR(__xludf.DUMMYFUNCTION("""COMPUTED_VALUE""")," Estimate ")</f>
        <v> Estimate </v>
      </c>
      <c r="E1038" s="86"/>
    </row>
    <row r="1039">
      <c r="A1039" s="4"/>
      <c r="B1039" s="85">
        <f>IFERROR(__xludf.DUMMYFUNCTION("""COMPUTED_VALUE"""),45147.538194444445)</f>
        <v>45147.53819</v>
      </c>
      <c r="C1039" s="4" t="str">
        <f>IFERROR(__xludf.DUMMYFUNCTION("""COMPUTED_VALUE""")," Estimate ")</f>
        <v> Estimate </v>
      </c>
      <c r="E1039" s="86"/>
    </row>
    <row r="1040">
      <c r="A1040" s="4"/>
      <c r="B1040" s="85">
        <f>IFERROR(__xludf.DUMMYFUNCTION("""COMPUTED_VALUE"""),45147.55347222222)</f>
        <v>45147.55347</v>
      </c>
      <c r="C1040" s="4" t="str">
        <f>IFERROR(__xludf.DUMMYFUNCTION("""COMPUTED_VALUE""")," Estimate ")</f>
        <v> Estimate </v>
      </c>
      <c r="E1040" s="86"/>
    </row>
    <row r="1041">
      <c r="A1041" s="4"/>
      <c r="B1041" s="85">
        <f>IFERROR(__xludf.DUMMYFUNCTION("""COMPUTED_VALUE"""),45147.62986111111)</f>
        <v>45147.62986</v>
      </c>
      <c r="C1041" s="4" t="str">
        <f>IFERROR(__xludf.DUMMYFUNCTION("""COMPUTED_VALUE""")," Estimate ")</f>
        <v> Estimate </v>
      </c>
      <c r="E1041" s="86"/>
    </row>
    <row r="1042">
      <c r="A1042" s="4"/>
      <c r="B1042" s="85">
        <f>IFERROR(__xludf.DUMMYFUNCTION("""COMPUTED_VALUE"""),45148.788888888885)</f>
        <v>45148.78889</v>
      </c>
      <c r="C1042" s="4" t="str">
        <f>IFERROR(__xludf.DUMMYFUNCTION("""COMPUTED_VALUE""")," Estimate ")</f>
        <v> Estimate </v>
      </c>
      <c r="E1042" s="86"/>
    </row>
    <row r="1043">
      <c r="A1043" s="4"/>
      <c r="B1043" s="85">
        <f>IFERROR(__xludf.DUMMYFUNCTION("""COMPUTED_VALUE"""),45148.79236111111)</f>
        <v>45148.79236</v>
      </c>
      <c r="C1043" s="4" t="str">
        <f>IFERROR(__xludf.DUMMYFUNCTION("""COMPUTED_VALUE""")," Estimate ")</f>
        <v> Estimate </v>
      </c>
      <c r="E1043" s="86"/>
    </row>
    <row r="1044">
      <c r="A1044" s="4"/>
      <c r="B1044" s="85">
        <f>IFERROR(__xludf.DUMMYFUNCTION("""COMPUTED_VALUE"""),45151.48402777778)</f>
        <v>45151.48403</v>
      </c>
      <c r="C1044" s="4" t="str">
        <f>IFERROR(__xludf.DUMMYFUNCTION("""COMPUTED_VALUE""")," Estimate ")</f>
        <v> Estimate </v>
      </c>
      <c r="E1044" s="86"/>
    </row>
    <row r="1045">
      <c r="A1045" s="4"/>
      <c r="B1045" s="85">
        <f>IFERROR(__xludf.DUMMYFUNCTION("""COMPUTED_VALUE"""),45151.65625)</f>
        <v>45151.65625</v>
      </c>
      <c r="C1045" s="4" t="str">
        <f>IFERROR(__xludf.DUMMYFUNCTION("""COMPUTED_VALUE""")," Estimate ")</f>
        <v> Estimate </v>
      </c>
      <c r="E1045" s="86"/>
    </row>
    <row r="1046">
      <c r="A1046" s="4"/>
      <c r="B1046" s="85">
        <f>IFERROR(__xludf.DUMMYFUNCTION("""COMPUTED_VALUE"""),45153.629166666666)</f>
        <v>45153.62917</v>
      </c>
      <c r="C1046" s="4" t="str">
        <f>IFERROR(__xludf.DUMMYFUNCTION("""COMPUTED_VALUE""")," Estimate ")</f>
        <v> Estimate </v>
      </c>
      <c r="E1046" s="86"/>
    </row>
    <row r="1047">
      <c r="A1047" s="4"/>
      <c r="B1047" s="85">
        <f>IFERROR(__xludf.DUMMYFUNCTION("""COMPUTED_VALUE"""),45156.805555555555)</f>
        <v>45156.80556</v>
      </c>
      <c r="C1047" s="4" t="str">
        <f>IFERROR(__xludf.DUMMYFUNCTION("""COMPUTED_VALUE""")," Estimate ")</f>
        <v> Estimate </v>
      </c>
      <c r="E1047" s="86"/>
    </row>
    <row r="1048">
      <c r="A1048" s="4"/>
      <c r="B1048" s="85">
        <f>IFERROR(__xludf.DUMMYFUNCTION("""COMPUTED_VALUE"""),45156.80763888889)</f>
        <v>45156.80764</v>
      </c>
      <c r="C1048" s="4" t="str">
        <f>IFERROR(__xludf.DUMMYFUNCTION("""COMPUTED_VALUE""")," Estimate ")</f>
        <v> Estimate </v>
      </c>
      <c r="E1048" s="86"/>
    </row>
    <row r="1049">
      <c r="A1049" s="4"/>
      <c r="B1049" s="85">
        <f>IFERROR(__xludf.DUMMYFUNCTION("""COMPUTED_VALUE"""),45156.80972222222)</f>
        <v>45156.80972</v>
      </c>
      <c r="C1049" s="4" t="str">
        <f>IFERROR(__xludf.DUMMYFUNCTION("""COMPUTED_VALUE""")," Estimate ")</f>
        <v> Estimate </v>
      </c>
      <c r="E1049" s="86"/>
    </row>
    <row r="1050">
      <c r="A1050" s="4"/>
      <c r="B1050" s="85">
        <f>IFERROR(__xludf.DUMMYFUNCTION("""COMPUTED_VALUE"""),45157.77777777778)</f>
        <v>45157.77778</v>
      </c>
      <c r="C1050" s="4" t="str">
        <f>IFERROR(__xludf.DUMMYFUNCTION("""COMPUTED_VALUE""")," Estimate ")</f>
        <v> Estimate </v>
      </c>
      <c r="E1050" s="86"/>
    </row>
    <row r="1051">
      <c r="A1051" s="4"/>
      <c r="B1051" s="85">
        <f>IFERROR(__xludf.DUMMYFUNCTION("""COMPUTED_VALUE"""),45160.59375)</f>
        <v>45160.59375</v>
      </c>
      <c r="C1051" s="4" t="str">
        <f>IFERROR(__xludf.DUMMYFUNCTION("""COMPUTED_VALUE""")," Estimate ")</f>
        <v> Estimate </v>
      </c>
      <c r="E1051" s="86"/>
    </row>
    <row r="1052">
      <c r="A1052" s="4"/>
      <c r="B1052" s="85">
        <f>IFERROR(__xludf.DUMMYFUNCTION("""COMPUTED_VALUE"""),45161.48888888889)</f>
        <v>45161.48889</v>
      </c>
      <c r="C1052" s="4" t="str">
        <f>IFERROR(__xludf.DUMMYFUNCTION("""COMPUTED_VALUE""")," Estimate ")</f>
        <v> Estimate </v>
      </c>
      <c r="E1052" s="86"/>
    </row>
    <row r="1053">
      <c r="A1053" s="4"/>
      <c r="B1053" s="85">
        <f>IFERROR(__xludf.DUMMYFUNCTION("""COMPUTED_VALUE"""),45162.611805555556)</f>
        <v>45162.61181</v>
      </c>
      <c r="C1053" s="4" t="str">
        <f>IFERROR(__xludf.DUMMYFUNCTION("""COMPUTED_VALUE""")," Estimate ")</f>
        <v> Estimate </v>
      </c>
      <c r="E1053" s="86"/>
    </row>
    <row r="1054">
      <c r="A1054" s="4"/>
      <c r="B1054" s="85">
        <f>IFERROR(__xludf.DUMMYFUNCTION("""COMPUTED_VALUE"""),45165.49513888889)</f>
        <v>45165.49514</v>
      </c>
      <c r="C1054" s="4" t="str">
        <f>IFERROR(__xludf.DUMMYFUNCTION("""COMPUTED_VALUE""")," Estimate ")</f>
        <v> Estimate </v>
      </c>
      <c r="E1054" s="86"/>
    </row>
    <row r="1055">
      <c r="A1055" s="4"/>
      <c r="B1055" s="85">
        <f>IFERROR(__xludf.DUMMYFUNCTION("""COMPUTED_VALUE"""),45169.51875)</f>
        <v>45169.51875</v>
      </c>
      <c r="C1055" s="4" t="str">
        <f>IFERROR(__xludf.DUMMYFUNCTION("""COMPUTED_VALUE""")," Estimate ")</f>
        <v> Estimate </v>
      </c>
      <c r="E1055" s="86"/>
    </row>
    <row r="1056">
      <c r="A1056" s="4"/>
      <c r="B1056" s="85">
        <f>IFERROR(__xludf.DUMMYFUNCTION("""COMPUTED_VALUE"""),45169.538888888885)</f>
        <v>45169.53889</v>
      </c>
      <c r="C1056" s="4" t="str">
        <f>IFERROR(__xludf.DUMMYFUNCTION("""COMPUTED_VALUE""")," Estimate ")</f>
        <v> Estimate </v>
      </c>
      <c r="E1056" s="86"/>
    </row>
    <row r="1057">
      <c r="A1057" s="4"/>
      <c r="B1057" s="85">
        <f>IFERROR(__xludf.DUMMYFUNCTION("""COMPUTED_VALUE"""),45169.558333333334)</f>
        <v>45169.55833</v>
      </c>
      <c r="C1057" s="4" t="str">
        <f>IFERROR(__xludf.DUMMYFUNCTION("""COMPUTED_VALUE""")," Estimate ")</f>
        <v> Estimate </v>
      </c>
      <c r="E1057" s="86"/>
    </row>
    <row r="1058">
      <c r="A1058" s="4"/>
      <c r="B1058" s="85">
        <f>IFERROR(__xludf.DUMMYFUNCTION("""COMPUTED_VALUE"""),45170.52777777778)</f>
        <v>45170.52778</v>
      </c>
      <c r="C1058" s="4" t="str">
        <f>IFERROR(__xludf.DUMMYFUNCTION("""COMPUTED_VALUE""")," Estimate ")</f>
        <v> Estimate </v>
      </c>
      <c r="E1058" s="86"/>
    </row>
    <row r="1059">
      <c r="A1059" s="4"/>
      <c r="B1059" s="85">
        <f>IFERROR(__xludf.DUMMYFUNCTION("""COMPUTED_VALUE"""),45172.540972222225)</f>
        <v>45172.54097</v>
      </c>
      <c r="C1059" s="4" t="str">
        <f>IFERROR(__xludf.DUMMYFUNCTION("""COMPUTED_VALUE""")," Estimate ")</f>
        <v> Estimate </v>
      </c>
      <c r="E1059" s="86"/>
    </row>
    <row r="1060">
      <c r="A1060" s="4"/>
      <c r="B1060" s="85">
        <f>IFERROR(__xludf.DUMMYFUNCTION("""COMPUTED_VALUE"""),45176.799305555556)</f>
        <v>45176.79931</v>
      </c>
      <c r="C1060" s="4" t="str">
        <f>IFERROR(__xludf.DUMMYFUNCTION("""COMPUTED_VALUE""")," Estimate ")</f>
        <v> Estimate </v>
      </c>
      <c r="E1060" s="86"/>
    </row>
    <row r="1061">
      <c r="A1061" s="4"/>
      <c r="B1061" s="85">
        <f>IFERROR(__xludf.DUMMYFUNCTION("""COMPUTED_VALUE"""),45177.72083333333)</f>
        <v>45177.72083</v>
      </c>
      <c r="C1061" s="4" t="str">
        <f>IFERROR(__xludf.DUMMYFUNCTION("""COMPUTED_VALUE""")," Estimate ")</f>
        <v> Estimate </v>
      </c>
      <c r="E1061" s="86"/>
    </row>
    <row r="1062">
      <c r="A1062" s="4"/>
      <c r="B1062" s="85">
        <f>IFERROR(__xludf.DUMMYFUNCTION("""COMPUTED_VALUE"""),45186.50833333333)</f>
        <v>45186.50833</v>
      </c>
      <c r="C1062" s="4" t="str">
        <f>IFERROR(__xludf.DUMMYFUNCTION("""COMPUTED_VALUE""")," Estimate ")</f>
        <v> Estimate </v>
      </c>
      <c r="E1062" s="86"/>
    </row>
    <row r="1063">
      <c r="A1063" s="4"/>
      <c r="B1063" s="85">
        <f>IFERROR(__xludf.DUMMYFUNCTION("""COMPUTED_VALUE"""),45186.51944444445)</f>
        <v>45186.51944</v>
      </c>
      <c r="C1063" s="4" t="str">
        <f>IFERROR(__xludf.DUMMYFUNCTION("""COMPUTED_VALUE""")," Estimate ")</f>
        <v> Estimate </v>
      </c>
      <c r="E1063" s="86"/>
    </row>
    <row r="1064">
      <c r="A1064" s="4"/>
      <c r="B1064" s="85">
        <f>IFERROR(__xludf.DUMMYFUNCTION("""COMPUTED_VALUE"""),45186.521527777775)</f>
        <v>45186.52153</v>
      </c>
      <c r="C1064" s="4" t="str">
        <f>IFERROR(__xludf.DUMMYFUNCTION("""COMPUTED_VALUE""")," Estimate ")</f>
        <v> Estimate </v>
      </c>
      <c r="E1064" s="86"/>
    </row>
    <row r="1065">
      <c r="A1065" s="4"/>
      <c r="B1065" s="85">
        <f>IFERROR(__xludf.DUMMYFUNCTION("""COMPUTED_VALUE"""),45186.538888888885)</f>
        <v>45186.53889</v>
      </c>
      <c r="C1065" s="4" t="str">
        <f>IFERROR(__xludf.DUMMYFUNCTION("""COMPUTED_VALUE""")," Estimate ")</f>
        <v> Estimate </v>
      </c>
      <c r="E1065" s="86"/>
    </row>
    <row r="1066">
      <c r="A1066" s="4"/>
      <c r="B1066" s="85">
        <f>IFERROR(__xludf.DUMMYFUNCTION("""COMPUTED_VALUE"""),45186.554861111115)</f>
        <v>45186.55486</v>
      </c>
      <c r="C1066" s="4" t="str">
        <f>IFERROR(__xludf.DUMMYFUNCTION("""COMPUTED_VALUE""")," Estimate ")</f>
        <v> Estimate </v>
      </c>
      <c r="E1066" s="86"/>
    </row>
    <row r="1067">
      <c r="A1067" s="4"/>
      <c r="B1067" s="85">
        <f>IFERROR(__xludf.DUMMYFUNCTION("""COMPUTED_VALUE"""),45186.55902777778)</f>
        <v>45186.55903</v>
      </c>
      <c r="C1067" s="4" t="str">
        <f>IFERROR(__xludf.DUMMYFUNCTION("""COMPUTED_VALUE""")," Estimate ")</f>
        <v> Estimate </v>
      </c>
      <c r="E1067" s="86"/>
    </row>
    <row r="1068">
      <c r="A1068" s="4"/>
      <c r="B1068" s="85">
        <f>IFERROR(__xludf.DUMMYFUNCTION("""COMPUTED_VALUE"""),45214.82638888889)</f>
        <v>45214.82639</v>
      </c>
      <c r="C1068" s="4" t="str">
        <f>IFERROR(__xludf.DUMMYFUNCTION("""COMPUTED_VALUE""")," Estimate ")</f>
        <v> Estimate </v>
      </c>
      <c r="E1068" s="86"/>
    </row>
    <row r="1069">
      <c r="A1069" s="4"/>
      <c r="B1069" s="85">
        <f>IFERROR(__xludf.DUMMYFUNCTION("""COMPUTED_VALUE"""),45233.65138888889)</f>
        <v>45233.65139</v>
      </c>
      <c r="C1069" s="4" t="str">
        <f>IFERROR(__xludf.DUMMYFUNCTION("""COMPUTED_VALUE""")," Estimate ")</f>
        <v> Estimate </v>
      </c>
      <c r="E1069" s="86"/>
    </row>
    <row r="1070">
      <c r="A1070" s="4"/>
      <c r="B1070" s="85">
        <f>IFERROR(__xludf.DUMMYFUNCTION("""COMPUTED_VALUE"""),45233.66666666667)</f>
        <v>45233.66667</v>
      </c>
      <c r="C1070" s="4" t="str">
        <f>IFERROR(__xludf.DUMMYFUNCTION("""COMPUTED_VALUE""")," Estimate ")</f>
        <v> Estimate </v>
      </c>
      <c r="E1070" s="86"/>
    </row>
    <row r="1071">
      <c r="A1071" s="4"/>
      <c r="B1071" s="85">
        <f>IFERROR(__xludf.DUMMYFUNCTION("""COMPUTED_VALUE"""),45233.67361111111)</f>
        <v>45233.67361</v>
      </c>
      <c r="C1071" s="4" t="str">
        <f>IFERROR(__xludf.DUMMYFUNCTION("""COMPUTED_VALUE""")," Estimate ")</f>
        <v> Estimate </v>
      </c>
      <c r="E1071" s="86"/>
    </row>
    <row r="1072">
      <c r="A1072" s="4"/>
      <c r="B1072" s="85">
        <f>IFERROR(__xludf.DUMMYFUNCTION("""COMPUTED_VALUE"""),45233.69375)</f>
        <v>45233.69375</v>
      </c>
      <c r="C1072" s="4" t="str">
        <f>IFERROR(__xludf.DUMMYFUNCTION("""COMPUTED_VALUE""")," Estimate ")</f>
        <v> Estimate </v>
      </c>
      <c r="E1072" s="86"/>
    </row>
    <row r="1073">
      <c r="A1073" s="4"/>
      <c r="B1073" s="85">
        <f>IFERROR(__xludf.DUMMYFUNCTION("""COMPUTED_VALUE"""),45234.70347222222)</f>
        <v>45234.70347</v>
      </c>
      <c r="C1073" s="4" t="str">
        <f>IFERROR(__xludf.DUMMYFUNCTION("""COMPUTED_VALUE""")," Estimate ")</f>
        <v> Estimate </v>
      </c>
      <c r="E1073" s="86"/>
    </row>
    <row r="1074">
      <c r="A1074" s="4"/>
      <c r="B1074" s="85">
        <f>IFERROR(__xludf.DUMMYFUNCTION("""COMPUTED_VALUE"""),45234.76111111111)</f>
        <v>45234.76111</v>
      </c>
      <c r="C1074" s="4" t="str">
        <f>IFERROR(__xludf.DUMMYFUNCTION("""COMPUTED_VALUE""")," Estimate ")</f>
        <v> Estimate </v>
      </c>
      <c r="E1074" s="86"/>
    </row>
    <row r="1075">
      <c r="A1075" s="4"/>
      <c r="B1075" s="85">
        <f>IFERROR(__xludf.DUMMYFUNCTION("""COMPUTED_VALUE"""),45235.49097222222)</f>
        <v>45235.49097</v>
      </c>
      <c r="C1075" s="4" t="str">
        <f>IFERROR(__xludf.DUMMYFUNCTION("""COMPUTED_VALUE""")," Estimate ")</f>
        <v> Estimate </v>
      </c>
      <c r="E1075" s="86"/>
    </row>
    <row r="1076">
      <c r="A1076" s="4"/>
      <c r="B1076" s="85">
        <f>IFERROR(__xludf.DUMMYFUNCTION("""COMPUTED_VALUE"""),45235.49375)</f>
        <v>45235.49375</v>
      </c>
      <c r="C1076" s="4" t="str">
        <f>IFERROR(__xludf.DUMMYFUNCTION("""COMPUTED_VALUE""")," Estimate ")</f>
        <v> Estimate </v>
      </c>
      <c r="E1076" s="86"/>
    </row>
    <row r="1077">
      <c r="A1077" s="4"/>
      <c r="B1077" s="85">
        <f>IFERROR(__xludf.DUMMYFUNCTION("""COMPUTED_VALUE"""),45235.49930555555)</f>
        <v>45235.49931</v>
      </c>
      <c r="C1077" s="4" t="str">
        <f>IFERROR(__xludf.DUMMYFUNCTION("""COMPUTED_VALUE""")," Estimate ")</f>
        <v> Estimate </v>
      </c>
      <c r="E1077" s="86"/>
    </row>
    <row r="1078">
      <c r="A1078" s="4"/>
      <c r="B1078" s="85">
        <f>IFERROR(__xludf.DUMMYFUNCTION("""COMPUTED_VALUE"""),45235.57291666667)</f>
        <v>45235.57292</v>
      </c>
      <c r="C1078" s="4" t="str">
        <f>IFERROR(__xludf.DUMMYFUNCTION("""COMPUTED_VALUE""")," Estimate ")</f>
        <v> Estimate </v>
      </c>
      <c r="E1078" s="86"/>
    </row>
    <row r="1079">
      <c r="A1079" s="4"/>
      <c r="B1079" s="85">
        <f>IFERROR(__xludf.DUMMYFUNCTION("""COMPUTED_VALUE"""),45235.64722222222)</f>
        <v>45235.64722</v>
      </c>
      <c r="C1079" s="4" t="str">
        <f>IFERROR(__xludf.DUMMYFUNCTION("""COMPUTED_VALUE""")," Estimate ")</f>
        <v> Estimate </v>
      </c>
      <c r="E1079" s="86"/>
    </row>
    <row r="1080">
      <c r="A1080" s="4"/>
      <c r="B1080" s="85">
        <f>IFERROR(__xludf.DUMMYFUNCTION("""COMPUTED_VALUE"""),45235.649305555555)</f>
        <v>45235.64931</v>
      </c>
      <c r="C1080" s="4" t="str">
        <f>IFERROR(__xludf.DUMMYFUNCTION("""COMPUTED_VALUE""")," Estimate ")</f>
        <v> Estimate </v>
      </c>
      <c r="E1080" s="86"/>
    </row>
    <row r="1081">
      <c r="A1081" s="4"/>
      <c r="B1081" s="85">
        <f>IFERROR(__xludf.DUMMYFUNCTION("""COMPUTED_VALUE"""),45235.65138888889)</f>
        <v>45235.65139</v>
      </c>
      <c r="C1081" s="4" t="str">
        <f>IFERROR(__xludf.DUMMYFUNCTION("""COMPUTED_VALUE""")," Estimate ")</f>
        <v> Estimate </v>
      </c>
      <c r="E1081" s="86"/>
    </row>
    <row r="1082">
      <c r="A1082" s="4"/>
      <c r="B1082" s="85">
        <f>IFERROR(__xludf.DUMMYFUNCTION("""COMPUTED_VALUE"""),45235.65277777778)</f>
        <v>45235.65278</v>
      </c>
      <c r="C1082" s="4" t="str">
        <f>IFERROR(__xludf.DUMMYFUNCTION("""COMPUTED_VALUE""")," Estimate ")</f>
        <v> Estimate </v>
      </c>
      <c r="E1082" s="86"/>
    </row>
    <row r="1083">
      <c r="A1083" s="4"/>
      <c r="B1083" s="85">
        <f>IFERROR(__xludf.DUMMYFUNCTION("""COMPUTED_VALUE"""),45235.66875)</f>
        <v>45235.66875</v>
      </c>
      <c r="C1083" s="4" t="str">
        <f>IFERROR(__xludf.DUMMYFUNCTION("""COMPUTED_VALUE""")," Estimate ")</f>
        <v> Estimate </v>
      </c>
      <c r="E1083" s="86"/>
    </row>
    <row r="1084">
      <c r="A1084" s="4"/>
      <c r="B1084" s="85">
        <f>IFERROR(__xludf.DUMMYFUNCTION("""COMPUTED_VALUE"""),45235.677777777775)</f>
        <v>45235.67778</v>
      </c>
      <c r="C1084" s="4" t="str">
        <f>IFERROR(__xludf.DUMMYFUNCTION("""COMPUTED_VALUE""")," Estimate ")</f>
        <v> Estimate </v>
      </c>
      <c r="E1084" s="86"/>
    </row>
    <row r="1085">
      <c r="A1085" s="4"/>
      <c r="B1085" s="85">
        <f>IFERROR(__xludf.DUMMYFUNCTION("""COMPUTED_VALUE"""),45235.68125)</f>
        <v>45235.68125</v>
      </c>
      <c r="C1085" s="4" t="str">
        <f>IFERROR(__xludf.DUMMYFUNCTION("""COMPUTED_VALUE""")," Estimate ")</f>
        <v> Estimate </v>
      </c>
      <c r="E1085" s="86"/>
    </row>
    <row r="1086">
      <c r="A1086" s="4"/>
      <c r="B1086" s="85">
        <f>IFERROR(__xludf.DUMMYFUNCTION("""COMPUTED_VALUE"""),45238.67916666667)</f>
        <v>45238.67917</v>
      </c>
      <c r="C1086" s="4" t="str">
        <f>IFERROR(__xludf.DUMMYFUNCTION("""COMPUTED_VALUE""")," Estimate ")</f>
        <v> Estimate </v>
      </c>
      <c r="E1086" s="86"/>
    </row>
    <row r="1087">
      <c r="A1087" s="4"/>
      <c r="B1087" s="85">
        <f>IFERROR(__xludf.DUMMYFUNCTION("""COMPUTED_VALUE"""),45239.572222222225)</f>
        <v>45239.57222</v>
      </c>
      <c r="C1087" s="4" t="str">
        <f>IFERROR(__xludf.DUMMYFUNCTION("""COMPUTED_VALUE""")," Estimate ")</f>
        <v> Estimate </v>
      </c>
      <c r="E1087" s="86"/>
    </row>
    <row r="1088">
      <c r="A1088" s="4"/>
      <c r="B1088" s="85">
        <f>IFERROR(__xludf.DUMMYFUNCTION("""COMPUTED_VALUE"""),45241.52569444444)</f>
        <v>45241.52569</v>
      </c>
      <c r="C1088" s="4" t="str">
        <f>IFERROR(__xludf.DUMMYFUNCTION("""COMPUTED_VALUE""")," Estimate ")</f>
        <v> Estimate </v>
      </c>
      <c r="E1088" s="86"/>
    </row>
    <row r="1089">
      <c r="A1089" s="4"/>
      <c r="B1089" s="85">
        <f>IFERROR(__xludf.DUMMYFUNCTION("""COMPUTED_VALUE"""),45241.52777777778)</f>
        <v>45241.52778</v>
      </c>
      <c r="C1089" s="4" t="str">
        <f>IFERROR(__xludf.DUMMYFUNCTION("""COMPUTED_VALUE""")," Estimate ")</f>
        <v> Estimate </v>
      </c>
      <c r="E1089" s="86"/>
    </row>
    <row r="1090">
      <c r="A1090" s="4"/>
      <c r="B1090" s="85">
        <f>IFERROR(__xludf.DUMMYFUNCTION("""COMPUTED_VALUE"""),45241.53125)</f>
        <v>45241.53125</v>
      </c>
      <c r="C1090" s="4" t="str">
        <f>IFERROR(__xludf.DUMMYFUNCTION("""COMPUTED_VALUE""")," Estimate ")</f>
        <v> Estimate </v>
      </c>
      <c r="E1090" s="86"/>
    </row>
    <row r="1091">
      <c r="A1091" s="4"/>
      <c r="B1091" s="85">
        <f>IFERROR(__xludf.DUMMYFUNCTION("""COMPUTED_VALUE"""),45241.53402777778)</f>
        <v>45241.53403</v>
      </c>
      <c r="C1091" s="4" t="str">
        <f>IFERROR(__xludf.DUMMYFUNCTION("""COMPUTED_VALUE""")," Estimate ")</f>
        <v> Estimate </v>
      </c>
      <c r="E1091" s="86"/>
    </row>
    <row r="1092">
      <c r="A1092" s="4"/>
      <c r="B1092" s="85">
        <f>IFERROR(__xludf.DUMMYFUNCTION("""COMPUTED_VALUE"""),45241.552777777775)</f>
        <v>45241.55278</v>
      </c>
      <c r="C1092" s="4" t="str">
        <f>IFERROR(__xludf.DUMMYFUNCTION("""COMPUTED_VALUE""")," Estimate ")</f>
        <v> Estimate </v>
      </c>
      <c r="E1092" s="86"/>
    </row>
    <row r="1093">
      <c r="A1093" s="4"/>
      <c r="B1093" s="85">
        <f>IFERROR(__xludf.DUMMYFUNCTION("""COMPUTED_VALUE"""),45248.64375)</f>
        <v>45248.64375</v>
      </c>
      <c r="C1093" s="4" t="str">
        <f>IFERROR(__xludf.DUMMYFUNCTION("""COMPUTED_VALUE""")," Estimate ")</f>
        <v> Estimate </v>
      </c>
      <c r="E1093" s="86"/>
    </row>
    <row r="1094">
      <c r="A1094" s="4"/>
      <c r="B1094" s="85">
        <f>IFERROR(__xludf.DUMMYFUNCTION("""COMPUTED_VALUE"""),45248.705555555556)</f>
        <v>45248.70556</v>
      </c>
      <c r="C1094" s="4" t="str">
        <f>IFERROR(__xludf.DUMMYFUNCTION("""COMPUTED_VALUE""")," Estimate ")</f>
        <v> Estimate </v>
      </c>
      <c r="E1094" s="86"/>
    </row>
    <row r="1095">
      <c r="A1095" s="4"/>
      <c r="B1095" s="85">
        <f>IFERROR(__xludf.DUMMYFUNCTION("""COMPUTED_VALUE"""),45248.71319444444)</f>
        <v>45248.71319</v>
      </c>
      <c r="C1095" s="4" t="str">
        <f>IFERROR(__xludf.DUMMYFUNCTION("""COMPUTED_VALUE""")," Estimate ")</f>
        <v> Estimate </v>
      </c>
      <c r="E1095" s="86"/>
    </row>
    <row r="1096">
      <c r="A1096" s="4"/>
      <c r="B1096" s="85">
        <f>IFERROR(__xludf.DUMMYFUNCTION("""COMPUTED_VALUE"""),45248.714583333334)</f>
        <v>45248.71458</v>
      </c>
      <c r="C1096" s="4" t="str">
        <f>IFERROR(__xludf.DUMMYFUNCTION("""COMPUTED_VALUE""")," Estimate ")</f>
        <v> Estimate </v>
      </c>
      <c r="E1096" s="86"/>
    </row>
    <row r="1097">
      <c r="A1097" s="4"/>
      <c r="B1097" s="85">
        <f>IFERROR(__xludf.DUMMYFUNCTION("""COMPUTED_VALUE"""),45255.524305555555)</f>
        <v>45255.52431</v>
      </c>
      <c r="C1097" s="4" t="str">
        <f>IFERROR(__xludf.DUMMYFUNCTION("""COMPUTED_VALUE""")," Estimate ")</f>
        <v> Estimate </v>
      </c>
      <c r="E1097" s="86"/>
    </row>
    <row r="1098">
      <c r="A1098" s="4"/>
      <c r="B1098" s="85">
        <f>IFERROR(__xludf.DUMMYFUNCTION("""COMPUTED_VALUE"""),45255.52638888889)</f>
        <v>45255.52639</v>
      </c>
      <c r="C1098" s="4" t="str">
        <f>IFERROR(__xludf.DUMMYFUNCTION("""COMPUTED_VALUE""")," Estimate ")</f>
        <v> Estimate </v>
      </c>
      <c r="E1098" s="86"/>
    </row>
    <row r="1099">
      <c r="A1099" s="4"/>
      <c r="B1099" s="85">
        <f>IFERROR(__xludf.DUMMYFUNCTION("""COMPUTED_VALUE"""),45255.57986111111)</f>
        <v>45255.57986</v>
      </c>
      <c r="C1099" s="4" t="str">
        <f>IFERROR(__xludf.DUMMYFUNCTION("""COMPUTED_VALUE""")," Estimate ")</f>
        <v> Estimate </v>
      </c>
      <c r="E1099" s="86"/>
    </row>
    <row r="1100">
      <c r="A1100" s="4"/>
      <c r="B1100" s="85">
        <f>IFERROR(__xludf.DUMMYFUNCTION("""COMPUTED_VALUE"""),45255.58263888889)</f>
        <v>45255.58264</v>
      </c>
      <c r="C1100" s="4" t="str">
        <f>IFERROR(__xludf.DUMMYFUNCTION("""COMPUTED_VALUE""")," Estimate ")</f>
        <v> Estimate </v>
      </c>
      <c r="E1100" s="86"/>
    </row>
    <row r="1101">
      <c r="A1101" s="4"/>
      <c r="B1101" s="85">
        <f>IFERROR(__xludf.DUMMYFUNCTION("""COMPUTED_VALUE"""),45307.56875)</f>
        <v>45307.56875</v>
      </c>
      <c r="C1101" s="4" t="str">
        <f>IFERROR(__xludf.DUMMYFUNCTION("""COMPUTED_VALUE""")," Estimate ")</f>
        <v> Estimate </v>
      </c>
      <c r="E1101" s="86"/>
    </row>
    <row r="1102">
      <c r="A1102" s="4"/>
      <c r="B1102" s="85">
        <f>IFERROR(__xludf.DUMMYFUNCTION("""COMPUTED_VALUE"""),45307.60972222222)</f>
        <v>45307.60972</v>
      </c>
      <c r="C1102" s="4" t="str">
        <f>IFERROR(__xludf.DUMMYFUNCTION("""COMPUTED_VALUE""")," Estimate ")</f>
        <v> Estimate </v>
      </c>
      <c r="E1102" s="86"/>
    </row>
    <row r="1103">
      <c r="A1103" s="4"/>
      <c r="B1103" s="85">
        <f>IFERROR(__xludf.DUMMYFUNCTION("""COMPUTED_VALUE"""),45307.65763888889)</f>
        <v>45307.65764</v>
      </c>
      <c r="C1103" s="4" t="str">
        <f>IFERROR(__xludf.DUMMYFUNCTION("""COMPUTED_VALUE""")," Estimate ")</f>
        <v> Estimate </v>
      </c>
      <c r="E1103" s="86"/>
    </row>
    <row r="1104">
      <c r="A1104" s="4"/>
      <c r="B1104" s="85">
        <f>IFERROR(__xludf.DUMMYFUNCTION("""COMPUTED_VALUE"""),45309.56041666667)</f>
        <v>45309.56042</v>
      </c>
      <c r="C1104" s="4" t="str">
        <f>IFERROR(__xludf.DUMMYFUNCTION("""COMPUTED_VALUE""")," Estimate ")</f>
        <v> Estimate </v>
      </c>
      <c r="E1104" s="86"/>
    </row>
    <row r="1105">
      <c r="A1105" s="4"/>
      <c r="B1105" s="85">
        <f>IFERROR(__xludf.DUMMYFUNCTION("""COMPUTED_VALUE"""),45309.56527777778)</f>
        <v>45309.56528</v>
      </c>
      <c r="C1105" s="4" t="str">
        <f>IFERROR(__xludf.DUMMYFUNCTION("""COMPUTED_VALUE""")," Estimate ")</f>
        <v> Estimate </v>
      </c>
      <c r="E1105" s="86"/>
    </row>
    <row r="1106">
      <c r="A1106" s="4"/>
      <c r="B1106" s="85">
        <f>IFERROR(__xludf.DUMMYFUNCTION("""COMPUTED_VALUE"""),45309.584027777775)</f>
        <v>45309.58403</v>
      </c>
      <c r="C1106" s="4" t="str">
        <f>IFERROR(__xludf.DUMMYFUNCTION("""COMPUTED_VALUE""")," Estimate ")</f>
        <v> Estimate </v>
      </c>
      <c r="E1106" s="86"/>
    </row>
    <row r="1107">
      <c r="A1107" s="4"/>
      <c r="B1107" s="85">
        <f>IFERROR(__xludf.DUMMYFUNCTION("""COMPUTED_VALUE"""),45309.65277777778)</f>
        <v>45309.65278</v>
      </c>
      <c r="C1107" s="4" t="str">
        <f>IFERROR(__xludf.DUMMYFUNCTION("""COMPUTED_VALUE""")," Estimate ")</f>
        <v> Estimate </v>
      </c>
      <c r="E1107" s="86"/>
    </row>
    <row r="1108">
      <c r="A1108" s="4"/>
      <c r="B1108" s="85">
        <f>IFERROR(__xludf.DUMMYFUNCTION("""COMPUTED_VALUE"""),45309.65833333333)</f>
        <v>45309.65833</v>
      </c>
      <c r="C1108" s="4" t="str">
        <f>IFERROR(__xludf.DUMMYFUNCTION("""COMPUTED_VALUE""")," Estimate ")</f>
        <v> Estimate </v>
      </c>
      <c r="E1108" s="86"/>
    </row>
    <row r="1109">
      <c r="A1109" s="4"/>
      <c r="B1109" s="85">
        <f>IFERROR(__xludf.DUMMYFUNCTION("""COMPUTED_VALUE"""),45309.66180555556)</f>
        <v>45309.66181</v>
      </c>
      <c r="C1109" s="4" t="str">
        <f>IFERROR(__xludf.DUMMYFUNCTION("""COMPUTED_VALUE""")," Estimate ")</f>
        <v> Estimate </v>
      </c>
      <c r="E1109" s="86"/>
    </row>
    <row r="1110">
      <c r="A1110" s="4"/>
      <c r="B1110" s="85">
        <f>IFERROR(__xludf.DUMMYFUNCTION("""COMPUTED_VALUE"""),45309.66666666667)</f>
        <v>45309.66667</v>
      </c>
      <c r="C1110" s="4" t="str">
        <f>IFERROR(__xludf.DUMMYFUNCTION("""COMPUTED_VALUE""")," Estimate ")</f>
        <v> Estimate </v>
      </c>
      <c r="E1110" s="86"/>
    </row>
    <row r="1111">
      <c r="A1111" s="4"/>
      <c r="B1111" s="85">
        <f>IFERROR(__xludf.DUMMYFUNCTION("""COMPUTED_VALUE"""),45309.67291666666)</f>
        <v>45309.67292</v>
      </c>
      <c r="C1111" s="4" t="str">
        <f>IFERROR(__xludf.DUMMYFUNCTION("""COMPUTED_VALUE""")," Estimate ")</f>
        <v> Estimate </v>
      </c>
      <c r="E1111" s="86"/>
    </row>
    <row r="1112">
      <c r="A1112" s="4"/>
      <c r="B1112" s="85">
        <f>IFERROR(__xludf.DUMMYFUNCTION("""COMPUTED_VALUE"""),45309.67569444445)</f>
        <v>45309.67569</v>
      </c>
      <c r="C1112" s="4" t="str">
        <f>IFERROR(__xludf.DUMMYFUNCTION("""COMPUTED_VALUE""")," Estimate ")</f>
        <v> Estimate </v>
      </c>
      <c r="E1112" s="86"/>
    </row>
    <row r="1113">
      <c r="A1113" s="4"/>
      <c r="B1113" s="85">
        <f>IFERROR(__xludf.DUMMYFUNCTION("""COMPUTED_VALUE"""),45309.67847222222)</f>
        <v>45309.67847</v>
      </c>
      <c r="C1113" s="4" t="str">
        <f>IFERROR(__xludf.DUMMYFUNCTION("""COMPUTED_VALUE""")," Estimate ")</f>
        <v> Estimate </v>
      </c>
      <c r="E1113" s="86"/>
    </row>
    <row r="1114">
      <c r="A1114" s="4"/>
      <c r="B1114" s="85">
        <f>IFERROR(__xludf.DUMMYFUNCTION("""COMPUTED_VALUE"""),45309.68541666667)</f>
        <v>45309.68542</v>
      </c>
      <c r="C1114" s="4" t="str">
        <f>IFERROR(__xludf.DUMMYFUNCTION("""COMPUTED_VALUE""")," Estimate ")</f>
        <v> Estimate </v>
      </c>
      <c r="E1114" s="86"/>
    </row>
    <row r="1115">
      <c r="A1115" s="4"/>
      <c r="B1115" s="85">
        <f>IFERROR(__xludf.DUMMYFUNCTION("""COMPUTED_VALUE"""),45309.74166666667)</f>
        <v>45309.74167</v>
      </c>
      <c r="C1115" s="4" t="str">
        <f>IFERROR(__xludf.DUMMYFUNCTION("""COMPUTED_VALUE""")," Estimate ")</f>
        <v> Estimate </v>
      </c>
      <c r="E1115" s="86"/>
    </row>
    <row r="1116">
      <c r="A1116" s="4"/>
      <c r="B1116" s="85">
        <f>IFERROR(__xludf.DUMMYFUNCTION("""COMPUTED_VALUE"""),45310.68611111111)</f>
        <v>45310.68611</v>
      </c>
      <c r="C1116" s="4" t="str">
        <f>IFERROR(__xludf.DUMMYFUNCTION("""COMPUTED_VALUE""")," Estimate ")</f>
        <v> Estimate </v>
      </c>
      <c r="E1116" s="86"/>
    </row>
    <row r="1117">
      <c r="A1117" s="4"/>
      <c r="B1117" s="85">
        <f>IFERROR(__xludf.DUMMYFUNCTION("""COMPUTED_VALUE"""),45310.68958333333)</f>
        <v>45310.68958</v>
      </c>
      <c r="C1117" s="4" t="str">
        <f>IFERROR(__xludf.DUMMYFUNCTION("""COMPUTED_VALUE""")," Estimate ")</f>
        <v> Estimate </v>
      </c>
      <c r="E1117" s="86"/>
    </row>
    <row r="1118">
      <c r="A1118" s="4"/>
      <c r="B1118" s="85">
        <f>IFERROR(__xludf.DUMMYFUNCTION("""COMPUTED_VALUE"""),45310.69861111111)</f>
        <v>45310.69861</v>
      </c>
      <c r="C1118" s="4" t="str">
        <f>IFERROR(__xludf.DUMMYFUNCTION("""COMPUTED_VALUE""")," Estimate ")</f>
        <v> Estimate </v>
      </c>
      <c r="E1118" s="86"/>
    </row>
    <row r="1119">
      <c r="A1119" s="4"/>
      <c r="B1119" s="85">
        <f>IFERROR(__xludf.DUMMYFUNCTION("""COMPUTED_VALUE"""),45311.617361111115)</f>
        <v>45311.61736</v>
      </c>
      <c r="C1119" s="4" t="str">
        <f>IFERROR(__xludf.DUMMYFUNCTION("""COMPUTED_VALUE""")," Estimate ")</f>
        <v> Estimate </v>
      </c>
      <c r="E1119" s="86"/>
    </row>
    <row r="1120">
      <c r="A1120" s="4"/>
      <c r="B1120" s="85">
        <f>IFERROR(__xludf.DUMMYFUNCTION("""COMPUTED_VALUE"""),45311.62361111111)</f>
        <v>45311.62361</v>
      </c>
      <c r="C1120" s="4" t="str">
        <f>IFERROR(__xludf.DUMMYFUNCTION("""COMPUTED_VALUE""")," Estimate ")</f>
        <v> Estimate </v>
      </c>
      <c r="E1120" s="86"/>
    </row>
    <row r="1121">
      <c r="A1121" s="4"/>
      <c r="B1121" s="85">
        <f>IFERROR(__xludf.DUMMYFUNCTION("""COMPUTED_VALUE"""),45311.62777777778)</f>
        <v>45311.62778</v>
      </c>
      <c r="C1121" s="4" t="str">
        <f>IFERROR(__xludf.DUMMYFUNCTION("""COMPUTED_VALUE""")," Estimate ")</f>
        <v> Estimate </v>
      </c>
      <c r="E1121" s="86"/>
    </row>
    <row r="1122">
      <c r="A1122" s="4"/>
      <c r="B1122" s="85">
        <f>IFERROR(__xludf.DUMMYFUNCTION("""COMPUTED_VALUE"""),45322.69375)</f>
        <v>45322.69375</v>
      </c>
      <c r="C1122" s="4" t="str">
        <f>IFERROR(__xludf.DUMMYFUNCTION("""COMPUTED_VALUE""")," Estimate ")</f>
        <v> Estimate </v>
      </c>
      <c r="E1122" s="86"/>
    </row>
    <row r="1123">
      <c r="A1123" s="4"/>
      <c r="B1123" s="85">
        <f>IFERROR(__xludf.DUMMYFUNCTION("""COMPUTED_VALUE"""),45325.54027777778)</f>
        <v>45325.54028</v>
      </c>
      <c r="C1123" s="4" t="str">
        <f>IFERROR(__xludf.DUMMYFUNCTION("""COMPUTED_VALUE""")," Estimate ")</f>
        <v> Estimate </v>
      </c>
      <c r="E1123" s="86"/>
    </row>
    <row r="1124">
      <c r="A1124" s="4"/>
      <c r="B1124" s="85">
        <f>IFERROR(__xludf.DUMMYFUNCTION("""COMPUTED_VALUE"""),45325.54166666667)</f>
        <v>45325.54167</v>
      </c>
      <c r="C1124" s="4" t="str">
        <f>IFERROR(__xludf.DUMMYFUNCTION("""COMPUTED_VALUE""")," Estimate ")</f>
        <v> Estimate </v>
      </c>
      <c r="E1124" s="86"/>
    </row>
    <row r="1125">
      <c r="A1125" s="4"/>
      <c r="B1125" s="85">
        <f>IFERROR(__xludf.DUMMYFUNCTION("""COMPUTED_VALUE"""),45325.54305555555)</f>
        <v>45325.54306</v>
      </c>
      <c r="C1125" s="4" t="str">
        <f>IFERROR(__xludf.DUMMYFUNCTION("""COMPUTED_VALUE""")," Estimate ")</f>
        <v> Estimate </v>
      </c>
      <c r="E1125" s="86"/>
    </row>
    <row r="1126">
      <c r="A1126" s="4"/>
      <c r="B1126" s="85">
        <f>IFERROR(__xludf.DUMMYFUNCTION("""COMPUTED_VALUE"""),45325.544444444444)</f>
        <v>45325.54444</v>
      </c>
      <c r="C1126" s="4" t="str">
        <f>IFERROR(__xludf.DUMMYFUNCTION("""COMPUTED_VALUE""")," Estimate ")</f>
        <v> Estimate </v>
      </c>
      <c r="E1126" s="86"/>
    </row>
    <row r="1127">
      <c r="A1127" s="4"/>
      <c r="B1127" s="85">
        <f>IFERROR(__xludf.DUMMYFUNCTION("""COMPUTED_VALUE"""),45325.54513888889)</f>
        <v>45325.54514</v>
      </c>
      <c r="C1127" s="4" t="str">
        <f>IFERROR(__xludf.DUMMYFUNCTION("""COMPUTED_VALUE""")," Estimate ")</f>
        <v> Estimate </v>
      </c>
      <c r="E1127" s="86"/>
    </row>
    <row r="1128">
      <c r="A1128" s="4"/>
      <c r="B1128" s="85">
        <f>IFERROR(__xludf.DUMMYFUNCTION("""COMPUTED_VALUE"""),45325.549305555556)</f>
        <v>45325.54931</v>
      </c>
      <c r="C1128" s="4" t="str">
        <f>IFERROR(__xludf.DUMMYFUNCTION("""COMPUTED_VALUE""")," Estimate ")</f>
        <v> Estimate </v>
      </c>
      <c r="E1128" s="86"/>
    </row>
    <row r="1129">
      <c r="A1129" s="4"/>
      <c r="B1129" s="85">
        <f>IFERROR(__xludf.DUMMYFUNCTION("""COMPUTED_VALUE"""),45325.55069444445)</f>
        <v>45325.55069</v>
      </c>
      <c r="C1129" s="4" t="str">
        <f>IFERROR(__xludf.DUMMYFUNCTION("""COMPUTED_VALUE""")," Estimate ")</f>
        <v> Estimate </v>
      </c>
      <c r="E1129" s="86"/>
    </row>
    <row r="1130">
      <c r="A1130" s="4"/>
      <c r="B1130" s="85">
        <f>IFERROR(__xludf.DUMMYFUNCTION("""COMPUTED_VALUE"""),45325.552777777775)</f>
        <v>45325.55278</v>
      </c>
      <c r="C1130" s="4" t="str">
        <f>IFERROR(__xludf.DUMMYFUNCTION("""COMPUTED_VALUE""")," Estimate ")</f>
        <v> Estimate </v>
      </c>
      <c r="E1130" s="86"/>
    </row>
    <row r="1131">
      <c r="A1131" s="4"/>
      <c r="B1131" s="85">
        <f>IFERROR(__xludf.DUMMYFUNCTION("""COMPUTED_VALUE"""),45325.55347222222)</f>
        <v>45325.55347</v>
      </c>
      <c r="C1131" s="4" t="str">
        <f>IFERROR(__xludf.DUMMYFUNCTION("""COMPUTED_VALUE""")," Estimate ")</f>
        <v> Estimate </v>
      </c>
      <c r="E1131" s="86"/>
    </row>
    <row r="1132">
      <c r="A1132" s="4"/>
      <c r="B1132" s="85">
        <f>IFERROR(__xludf.DUMMYFUNCTION("""COMPUTED_VALUE"""),45325.555555555555)</f>
        <v>45325.55556</v>
      </c>
      <c r="C1132" s="4" t="str">
        <f>IFERROR(__xludf.DUMMYFUNCTION("""COMPUTED_VALUE""")," Estimate ")</f>
        <v> Estimate </v>
      </c>
      <c r="E1132" s="86"/>
    </row>
    <row r="1133">
      <c r="A1133" s="4"/>
      <c r="B1133" s="85">
        <f>IFERROR(__xludf.DUMMYFUNCTION("""COMPUTED_VALUE"""),45325.55625)</f>
        <v>45325.55625</v>
      </c>
      <c r="C1133" s="4" t="str">
        <f>IFERROR(__xludf.DUMMYFUNCTION("""COMPUTED_VALUE""")," Estimate ")</f>
        <v> Estimate </v>
      </c>
      <c r="E1133" s="86"/>
    </row>
    <row r="1134">
      <c r="A1134" s="4"/>
      <c r="B1134" s="85">
        <f>IFERROR(__xludf.DUMMYFUNCTION("""COMPUTED_VALUE"""),45325.55763888889)</f>
        <v>45325.55764</v>
      </c>
      <c r="C1134" s="4" t="str">
        <f>IFERROR(__xludf.DUMMYFUNCTION("""COMPUTED_VALUE""")," Estimate ")</f>
        <v> Estimate </v>
      </c>
      <c r="E1134" s="86"/>
    </row>
    <row r="1135">
      <c r="A1135" s="4"/>
      <c r="B1135" s="85">
        <f>IFERROR(__xludf.DUMMYFUNCTION("""COMPUTED_VALUE"""),45325.55902777778)</f>
        <v>45325.55903</v>
      </c>
      <c r="C1135" s="4" t="str">
        <f>IFERROR(__xludf.DUMMYFUNCTION("""COMPUTED_VALUE""")," Estimate ")</f>
        <v> Estimate </v>
      </c>
      <c r="E1135" s="86"/>
    </row>
    <row r="1136">
      <c r="A1136" s="4"/>
      <c r="B1136" s="85">
        <f>IFERROR(__xludf.DUMMYFUNCTION("""COMPUTED_VALUE"""),45325.56041666667)</f>
        <v>45325.56042</v>
      </c>
      <c r="C1136" s="4" t="str">
        <f>IFERROR(__xludf.DUMMYFUNCTION("""COMPUTED_VALUE""")," Estimate ")</f>
        <v> Estimate </v>
      </c>
      <c r="E1136" s="86"/>
    </row>
    <row r="1137">
      <c r="A1137" s="4"/>
      <c r="B1137" s="85">
        <f>IFERROR(__xludf.DUMMYFUNCTION("""COMPUTED_VALUE"""),45325.56111111111)</f>
        <v>45325.56111</v>
      </c>
      <c r="C1137" s="4" t="str">
        <f>IFERROR(__xludf.DUMMYFUNCTION("""COMPUTED_VALUE""")," Estimate ")</f>
        <v> Estimate </v>
      </c>
      <c r="E1137" s="86"/>
    </row>
    <row r="1138">
      <c r="A1138" s="4"/>
      <c r="B1138" s="85">
        <f>IFERROR(__xludf.DUMMYFUNCTION("""COMPUTED_VALUE"""),45325.5625)</f>
        <v>45325.5625</v>
      </c>
      <c r="C1138" s="4" t="str">
        <f>IFERROR(__xludf.DUMMYFUNCTION("""COMPUTED_VALUE""")," Estimate ")</f>
        <v> Estimate </v>
      </c>
      <c r="E1138" s="86"/>
    </row>
    <row r="1139">
      <c r="A1139" s="4"/>
      <c r="B1139" s="85">
        <f>IFERROR(__xludf.DUMMYFUNCTION("""COMPUTED_VALUE"""),45325.56319444445)</f>
        <v>45325.56319</v>
      </c>
      <c r="C1139" s="4" t="str">
        <f>IFERROR(__xludf.DUMMYFUNCTION("""COMPUTED_VALUE""")," Estimate ")</f>
        <v> Estimate </v>
      </c>
      <c r="E1139" s="86"/>
    </row>
    <row r="1140">
      <c r="A1140" s="4"/>
      <c r="B1140" s="85">
        <f>IFERROR(__xludf.DUMMYFUNCTION("""COMPUTED_VALUE"""),45325.56388888889)</f>
        <v>45325.56389</v>
      </c>
      <c r="C1140" s="4" t="str">
        <f>IFERROR(__xludf.DUMMYFUNCTION("""COMPUTED_VALUE""")," Estimate ")</f>
        <v> Estimate </v>
      </c>
      <c r="E1140" s="86"/>
    </row>
    <row r="1141">
      <c r="A1141" s="4"/>
      <c r="B1141" s="85">
        <f>IFERROR(__xludf.DUMMYFUNCTION("""COMPUTED_VALUE"""),45325.56458333333)</f>
        <v>45325.56458</v>
      </c>
      <c r="C1141" s="4" t="str">
        <f>IFERROR(__xludf.DUMMYFUNCTION("""COMPUTED_VALUE""")," Estimate ")</f>
        <v> Estimate </v>
      </c>
      <c r="E1141" s="86"/>
    </row>
    <row r="1142">
      <c r="A1142" s="4"/>
      <c r="B1142" s="85">
        <f>IFERROR(__xludf.DUMMYFUNCTION("""COMPUTED_VALUE"""),45325.56527777778)</f>
        <v>45325.56528</v>
      </c>
      <c r="C1142" s="4" t="str">
        <f>IFERROR(__xludf.DUMMYFUNCTION("""COMPUTED_VALUE""")," Estimate ")</f>
        <v> Estimate </v>
      </c>
      <c r="E1142" s="86"/>
    </row>
    <row r="1143">
      <c r="A1143" s="4"/>
      <c r="B1143" s="85">
        <f>IFERROR(__xludf.DUMMYFUNCTION("""COMPUTED_VALUE"""),45325.56597222222)</f>
        <v>45325.56597</v>
      </c>
      <c r="C1143" s="4" t="str">
        <f>IFERROR(__xludf.DUMMYFUNCTION("""COMPUTED_VALUE""")," Estimate ")</f>
        <v> Estimate </v>
      </c>
      <c r="E1143" s="86"/>
    </row>
    <row r="1144">
      <c r="A1144" s="4"/>
      <c r="B1144" s="85">
        <f>IFERROR(__xludf.DUMMYFUNCTION("""COMPUTED_VALUE"""),45325.566666666666)</f>
        <v>45325.56667</v>
      </c>
      <c r="C1144" s="4" t="str">
        <f>IFERROR(__xludf.DUMMYFUNCTION("""COMPUTED_VALUE""")," Estimate ")</f>
        <v> Estimate </v>
      </c>
      <c r="E1144" s="86"/>
    </row>
    <row r="1145">
      <c r="A1145" s="4"/>
      <c r="B1145" s="85">
        <f>IFERROR(__xludf.DUMMYFUNCTION("""COMPUTED_VALUE"""),45325.697222222225)</f>
        <v>45325.69722</v>
      </c>
      <c r="C1145" s="4" t="str">
        <f>IFERROR(__xludf.DUMMYFUNCTION("""COMPUTED_VALUE""")," Estimate ")</f>
        <v> Estimate </v>
      </c>
      <c r="E1145" s="86"/>
    </row>
    <row r="1146">
      <c r="A1146" s="4"/>
      <c r="B1146" s="85">
        <f>IFERROR(__xludf.DUMMYFUNCTION("""COMPUTED_VALUE"""),45325.69930555555)</f>
        <v>45325.69931</v>
      </c>
      <c r="C1146" s="4" t="str">
        <f>IFERROR(__xludf.DUMMYFUNCTION("""COMPUTED_VALUE""")," Estimate ")</f>
        <v> Estimate </v>
      </c>
      <c r="E1146" s="86"/>
    </row>
    <row r="1147">
      <c r="A1147" s="4"/>
      <c r="B1147" s="85">
        <f>IFERROR(__xludf.DUMMYFUNCTION("""COMPUTED_VALUE"""),45325.7)</f>
        <v>45325.7</v>
      </c>
      <c r="C1147" s="4" t="str">
        <f>IFERROR(__xludf.DUMMYFUNCTION("""COMPUTED_VALUE""")," Estimate ")</f>
        <v> Estimate </v>
      </c>
      <c r="E1147" s="86"/>
    </row>
    <row r="1148">
      <c r="A1148" s="4"/>
      <c r="B1148" s="85">
        <f>IFERROR(__xludf.DUMMYFUNCTION("""COMPUTED_VALUE"""),45325.70416666666)</f>
        <v>45325.70417</v>
      </c>
      <c r="C1148" s="4" t="str">
        <f>IFERROR(__xludf.DUMMYFUNCTION("""COMPUTED_VALUE""")," Estimate ")</f>
        <v> Estimate </v>
      </c>
      <c r="E1148" s="86"/>
    </row>
    <row r="1149">
      <c r="A1149" s="4"/>
      <c r="B1149" s="85">
        <f>IFERROR(__xludf.DUMMYFUNCTION("""COMPUTED_VALUE"""),45328.70486111111)</f>
        <v>45328.70486</v>
      </c>
      <c r="C1149" s="4" t="str">
        <f>IFERROR(__xludf.DUMMYFUNCTION("""COMPUTED_VALUE""")," Estimate ")</f>
        <v> Estimate </v>
      </c>
      <c r="E1149" s="86"/>
    </row>
    <row r="1150">
      <c r="A1150" s="4"/>
      <c r="B1150" s="85">
        <f>IFERROR(__xludf.DUMMYFUNCTION("""COMPUTED_VALUE"""),45328.70625)</f>
        <v>45328.70625</v>
      </c>
      <c r="C1150" s="4" t="str">
        <f>IFERROR(__xludf.DUMMYFUNCTION("""COMPUTED_VALUE""")," Estimate ")</f>
        <v> Estimate </v>
      </c>
      <c r="E1150" s="86"/>
    </row>
    <row r="1151">
      <c r="A1151" s="4"/>
      <c r="B1151" s="85">
        <f>IFERROR(__xludf.DUMMYFUNCTION("""COMPUTED_VALUE"""),45328.70694444445)</f>
        <v>45328.70694</v>
      </c>
      <c r="C1151" s="4" t="str">
        <f>IFERROR(__xludf.DUMMYFUNCTION("""COMPUTED_VALUE""")," Estimate ")</f>
        <v> Estimate </v>
      </c>
      <c r="E1151" s="86"/>
    </row>
    <row r="1152">
      <c r="A1152" s="4"/>
      <c r="B1152" s="85">
        <f>IFERROR(__xludf.DUMMYFUNCTION("""COMPUTED_VALUE"""),45328.70833333333)</f>
        <v>45328.70833</v>
      </c>
      <c r="C1152" s="4" t="str">
        <f>IFERROR(__xludf.DUMMYFUNCTION("""COMPUTED_VALUE""")," Estimate ")</f>
        <v> Estimate </v>
      </c>
      <c r="E1152" s="86"/>
    </row>
    <row r="1153">
      <c r="A1153" s="4"/>
      <c r="B1153" s="85">
        <f>IFERROR(__xludf.DUMMYFUNCTION("""COMPUTED_VALUE"""),45328.709027777775)</f>
        <v>45328.70903</v>
      </c>
      <c r="C1153" s="4" t="str">
        <f>IFERROR(__xludf.DUMMYFUNCTION("""COMPUTED_VALUE""")," Estimate ")</f>
        <v> Estimate </v>
      </c>
      <c r="E1153" s="86"/>
    </row>
    <row r="1154">
      <c r="A1154" s="4"/>
      <c r="B1154" s="85">
        <f>IFERROR(__xludf.DUMMYFUNCTION("""COMPUTED_VALUE"""),45328.71041666667)</f>
        <v>45328.71042</v>
      </c>
      <c r="C1154" s="4" t="str">
        <f>IFERROR(__xludf.DUMMYFUNCTION("""COMPUTED_VALUE""")," Estimate ")</f>
        <v> Estimate </v>
      </c>
      <c r="E1154" s="86"/>
    </row>
    <row r="1155">
      <c r="A1155" s="4"/>
      <c r="B1155" s="85">
        <f>IFERROR(__xludf.DUMMYFUNCTION("""COMPUTED_VALUE"""),45328.71388888889)</f>
        <v>45328.71389</v>
      </c>
      <c r="C1155" s="4" t="str">
        <f>IFERROR(__xludf.DUMMYFUNCTION("""COMPUTED_VALUE""")," Estimate ")</f>
        <v> Estimate </v>
      </c>
      <c r="E1155" s="86"/>
    </row>
    <row r="1156">
      <c r="A1156" s="4"/>
      <c r="B1156" s="85">
        <f>IFERROR(__xludf.DUMMYFUNCTION("""COMPUTED_VALUE"""),45328.722916666666)</f>
        <v>45328.72292</v>
      </c>
      <c r="C1156" s="4" t="str">
        <f>IFERROR(__xludf.DUMMYFUNCTION("""COMPUTED_VALUE""")," Estimate ")</f>
        <v> Estimate </v>
      </c>
      <c r="E1156" s="86"/>
    </row>
    <row r="1157">
      <c r="A1157" s="4"/>
      <c r="B1157" s="85">
        <f>IFERROR(__xludf.DUMMYFUNCTION("""COMPUTED_VALUE"""),45328.725)</f>
        <v>45328.725</v>
      </c>
      <c r="C1157" s="4" t="str">
        <f>IFERROR(__xludf.DUMMYFUNCTION("""COMPUTED_VALUE""")," Estimate ")</f>
        <v> Estimate </v>
      </c>
      <c r="E1157" s="86"/>
    </row>
    <row r="1158">
      <c r="A1158" s="4"/>
      <c r="B1158" s="85">
        <f>IFERROR(__xludf.DUMMYFUNCTION("""COMPUTED_VALUE"""),45328.726388888885)</f>
        <v>45328.72639</v>
      </c>
      <c r="C1158" s="4" t="str">
        <f>IFERROR(__xludf.DUMMYFUNCTION("""COMPUTED_VALUE""")," Estimate ")</f>
        <v> Estimate </v>
      </c>
      <c r="E1158" s="86"/>
    </row>
    <row r="1159">
      <c r="A1159" s="4"/>
      <c r="B1159" s="85">
        <f>IFERROR(__xludf.DUMMYFUNCTION("""COMPUTED_VALUE"""),45328.72777777778)</f>
        <v>45328.72778</v>
      </c>
      <c r="C1159" s="4" t="str">
        <f>IFERROR(__xludf.DUMMYFUNCTION("""COMPUTED_VALUE""")," Estimate ")</f>
        <v> Estimate </v>
      </c>
      <c r="E1159" s="86"/>
    </row>
    <row r="1160">
      <c r="A1160" s="4"/>
      <c r="B1160" s="85">
        <f>IFERROR(__xludf.DUMMYFUNCTION("""COMPUTED_VALUE"""),45328.728472222225)</f>
        <v>45328.72847</v>
      </c>
      <c r="C1160" s="4" t="str">
        <f>IFERROR(__xludf.DUMMYFUNCTION("""COMPUTED_VALUE""")," Estimate ")</f>
        <v> Estimate </v>
      </c>
      <c r="E1160" s="86"/>
    </row>
    <row r="1161">
      <c r="A1161" s="4"/>
      <c r="B1161" s="85">
        <f>IFERROR(__xludf.DUMMYFUNCTION("""COMPUTED_VALUE"""),45328.72986111111)</f>
        <v>45328.72986</v>
      </c>
      <c r="C1161" s="4" t="str">
        <f>IFERROR(__xludf.DUMMYFUNCTION("""COMPUTED_VALUE""")," Estimate ")</f>
        <v> Estimate </v>
      </c>
      <c r="E1161" s="86"/>
    </row>
    <row r="1162">
      <c r="A1162" s="4"/>
      <c r="B1162" s="85">
        <f>IFERROR(__xludf.DUMMYFUNCTION("""COMPUTED_VALUE"""),45328.73055555555)</f>
        <v>45328.73056</v>
      </c>
      <c r="C1162" s="4" t="str">
        <f>IFERROR(__xludf.DUMMYFUNCTION("""COMPUTED_VALUE""")," Estimate ")</f>
        <v> Estimate </v>
      </c>
      <c r="E1162" s="86"/>
    </row>
    <row r="1163">
      <c r="A1163" s="4"/>
      <c r="B1163" s="85">
        <f>IFERROR(__xludf.DUMMYFUNCTION("""COMPUTED_VALUE"""),45328.73263888889)</f>
        <v>45328.73264</v>
      </c>
      <c r="C1163" s="4" t="str">
        <f>IFERROR(__xludf.DUMMYFUNCTION("""COMPUTED_VALUE""")," Estimate ")</f>
        <v> Estimate </v>
      </c>
      <c r="E1163" s="86"/>
    </row>
    <row r="1164">
      <c r="A1164" s="4"/>
      <c r="B1164" s="85">
        <f>IFERROR(__xludf.DUMMYFUNCTION("""COMPUTED_VALUE"""),45328.73333333334)</f>
        <v>45328.73333</v>
      </c>
      <c r="C1164" s="4" t="str">
        <f>IFERROR(__xludf.DUMMYFUNCTION("""COMPUTED_VALUE""")," Estimate ")</f>
        <v> Estimate </v>
      </c>
      <c r="E1164" s="86"/>
    </row>
    <row r="1165">
      <c r="A1165" s="4"/>
      <c r="B1165" s="85">
        <f>IFERROR(__xludf.DUMMYFUNCTION("""COMPUTED_VALUE"""),45328.73402777778)</f>
        <v>45328.73403</v>
      </c>
      <c r="C1165" s="4" t="str">
        <f>IFERROR(__xludf.DUMMYFUNCTION("""COMPUTED_VALUE""")," Estimate ")</f>
        <v> Estimate </v>
      </c>
      <c r="E1165" s="86"/>
    </row>
    <row r="1166">
      <c r="A1166" s="4"/>
      <c r="B1166" s="85">
        <f>IFERROR(__xludf.DUMMYFUNCTION("""COMPUTED_VALUE"""),45330.544444444444)</f>
        <v>45330.54444</v>
      </c>
      <c r="C1166" s="4" t="str">
        <f>IFERROR(__xludf.DUMMYFUNCTION("""COMPUTED_VALUE""")," Estimate ")</f>
        <v> Estimate </v>
      </c>
      <c r="E1166" s="86"/>
    </row>
    <row r="1167">
      <c r="A1167" s="4"/>
      <c r="B1167" s="85">
        <f>IFERROR(__xludf.DUMMYFUNCTION("""COMPUTED_VALUE"""),45330.54791666666)</f>
        <v>45330.54792</v>
      </c>
      <c r="C1167" s="4" t="str">
        <f>IFERROR(__xludf.DUMMYFUNCTION("""COMPUTED_VALUE""")," Estimate ")</f>
        <v> Estimate </v>
      </c>
      <c r="E1167" s="86"/>
    </row>
    <row r="1168">
      <c r="A1168" s="4"/>
      <c r="B1168" s="85">
        <f>IFERROR(__xludf.DUMMYFUNCTION("""COMPUTED_VALUE"""),45330.549305555556)</f>
        <v>45330.54931</v>
      </c>
      <c r="C1168" s="4" t="str">
        <f>IFERROR(__xludf.DUMMYFUNCTION("""COMPUTED_VALUE""")," Estimate ")</f>
        <v> Estimate </v>
      </c>
      <c r="E1168" s="86"/>
    </row>
    <row r="1169">
      <c r="A1169" s="4"/>
      <c r="B1169" s="85">
        <f>IFERROR(__xludf.DUMMYFUNCTION("""COMPUTED_VALUE"""),45330.55)</f>
        <v>45330.55</v>
      </c>
      <c r="C1169" s="4" t="str">
        <f>IFERROR(__xludf.DUMMYFUNCTION("""COMPUTED_VALUE""")," Estimate ")</f>
        <v> Estimate </v>
      </c>
      <c r="E1169" s="86"/>
    </row>
    <row r="1170">
      <c r="A1170" s="4"/>
      <c r="B1170" s="85">
        <f>IFERROR(__xludf.DUMMYFUNCTION("""COMPUTED_VALUE"""),45330.55208333333)</f>
        <v>45330.55208</v>
      </c>
      <c r="C1170" s="4" t="str">
        <f>IFERROR(__xludf.DUMMYFUNCTION("""COMPUTED_VALUE""")," Estimate ")</f>
        <v> Estimate </v>
      </c>
      <c r="E1170" s="86"/>
    </row>
    <row r="1171">
      <c r="A1171" s="4"/>
      <c r="B1171" s="85">
        <f>IFERROR(__xludf.DUMMYFUNCTION("""COMPUTED_VALUE"""),45330.55347222222)</f>
        <v>45330.55347</v>
      </c>
      <c r="C1171" s="4" t="str">
        <f>IFERROR(__xludf.DUMMYFUNCTION("""COMPUTED_VALUE""")," Estimate ")</f>
        <v> Estimate </v>
      </c>
      <c r="E1171" s="86"/>
    </row>
    <row r="1172">
      <c r="A1172" s="4"/>
      <c r="B1172" s="85">
        <f>IFERROR(__xludf.DUMMYFUNCTION("""COMPUTED_VALUE"""),45330.55416666667)</f>
        <v>45330.55417</v>
      </c>
      <c r="C1172" s="4" t="str">
        <f>IFERROR(__xludf.DUMMYFUNCTION("""COMPUTED_VALUE""")," Estimate ")</f>
        <v> Estimate </v>
      </c>
      <c r="E1172" s="86"/>
    </row>
    <row r="1173">
      <c r="A1173" s="4"/>
      <c r="B1173" s="85">
        <f>IFERROR(__xludf.DUMMYFUNCTION("""COMPUTED_VALUE"""),45330.554861111115)</f>
        <v>45330.55486</v>
      </c>
      <c r="C1173" s="4" t="str">
        <f>IFERROR(__xludf.DUMMYFUNCTION("""COMPUTED_VALUE""")," Estimate ")</f>
        <v> Estimate </v>
      </c>
      <c r="E1173" s="86"/>
    </row>
    <row r="1174">
      <c r="A1174" s="4"/>
      <c r="B1174" s="85">
        <f>IFERROR(__xludf.DUMMYFUNCTION("""COMPUTED_VALUE"""),45330.55625)</f>
        <v>45330.55625</v>
      </c>
      <c r="C1174" s="4" t="str">
        <f>IFERROR(__xludf.DUMMYFUNCTION("""COMPUTED_VALUE""")," Estimate ")</f>
        <v> Estimate </v>
      </c>
      <c r="E1174" s="86"/>
    </row>
    <row r="1175">
      <c r="A1175" s="4"/>
      <c r="B1175" s="85">
        <f>IFERROR(__xludf.DUMMYFUNCTION("""COMPUTED_VALUE"""),45330.55694444444)</f>
        <v>45330.55694</v>
      </c>
      <c r="C1175" s="4" t="str">
        <f>IFERROR(__xludf.DUMMYFUNCTION("""COMPUTED_VALUE""")," Estimate ")</f>
        <v> Estimate </v>
      </c>
      <c r="E1175" s="86"/>
    </row>
    <row r="1176">
      <c r="A1176" s="4"/>
      <c r="B1176" s="85">
        <f>IFERROR(__xludf.DUMMYFUNCTION("""COMPUTED_VALUE"""),45330.55763888889)</f>
        <v>45330.55764</v>
      </c>
      <c r="C1176" s="4" t="str">
        <f>IFERROR(__xludf.DUMMYFUNCTION("""COMPUTED_VALUE""")," Estimate ")</f>
        <v> Estimate </v>
      </c>
      <c r="E1176" s="86"/>
    </row>
    <row r="1177">
      <c r="A1177" s="4"/>
      <c r="B1177" s="85">
        <f>IFERROR(__xludf.DUMMYFUNCTION("""COMPUTED_VALUE"""),45330.558333333334)</f>
        <v>45330.55833</v>
      </c>
      <c r="C1177" s="4" t="str">
        <f>IFERROR(__xludf.DUMMYFUNCTION("""COMPUTED_VALUE""")," Estimate ")</f>
        <v> Estimate </v>
      </c>
      <c r="E1177" s="86"/>
    </row>
    <row r="1178">
      <c r="A1178" s="4"/>
      <c r="B1178" s="85">
        <f>IFERROR(__xludf.DUMMYFUNCTION("""COMPUTED_VALUE"""),45330.57916666666)</f>
        <v>45330.57917</v>
      </c>
      <c r="C1178" s="4" t="str">
        <f>IFERROR(__xludf.DUMMYFUNCTION("""COMPUTED_VALUE""")," Estimate ")</f>
        <v> Estimate </v>
      </c>
      <c r="E1178" s="86"/>
    </row>
    <row r="1179">
      <c r="A1179" s="4"/>
      <c r="B1179" s="85">
        <f>IFERROR(__xludf.DUMMYFUNCTION("""COMPUTED_VALUE"""),45330.580555555556)</f>
        <v>45330.58056</v>
      </c>
      <c r="C1179" s="4" t="str">
        <f>IFERROR(__xludf.DUMMYFUNCTION("""COMPUTED_VALUE""")," Estimate ")</f>
        <v> Estimate </v>
      </c>
      <c r="E1179" s="86"/>
    </row>
    <row r="1180">
      <c r="A1180" s="4"/>
      <c r="B1180" s="85">
        <f>IFERROR(__xludf.DUMMYFUNCTION("""COMPUTED_VALUE"""),45330.58125)</f>
        <v>45330.58125</v>
      </c>
      <c r="C1180" s="4" t="str">
        <f>IFERROR(__xludf.DUMMYFUNCTION("""COMPUTED_VALUE""")," Estimate ")</f>
        <v> Estimate </v>
      </c>
      <c r="E1180" s="86"/>
    </row>
    <row r="1181">
      <c r="A1181" s="4"/>
      <c r="B1181" s="85">
        <f>IFERROR(__xludf.DUMMYFUNCTION("""COMPUTED_VALUE"""),45330.67013888889)</f>
        <v>45330.67014</v>
      </c>
      <c r="C1181" s="4" t="str">
        <f>IFERROR(__xludf.DUMMYFUNCTION("""COMPUTED_VALUE""")," Estimate ")</f>
        <v> Estimate </v>
      </c>
      <c r="E1181" s="86"/>
    </row>
    <row r="1182">
      <c r="A1182" s="4"/>
      <c r="B1182" s="85">
        <f>IFERROR(__xludf.DUMMYFUNCTION("""COMPUTED_VALUE"""),45330.67291666666)</f>
        <v>45330.67292</v>
      </c>
      <c r="C1182" s="4" t="str">
        <f>IFERROR(__xludf.DUMMYFUNCTION("""COMPUTED_VALUE""")," Estimate ")</f>
        <v> Estimate </v>
      </c>
      <c r="E1182" s="86"/>
    </row>
    <row r="1183">
      <c r="A1183" s="4"/>
      <c r="B1183" s="85">
        <f>IFERROR(__xludf.DUMMYFUNCTION("""COMPUTED_VALUE"""),45330.68125)</f>
        <v>45330.68125</v>
      </c>
      <c r="C1183" s="4" t="str">
        <f>IFERROR(__xludf.DUMMYFUNCTION("""COMPUTED_VALUE""")," Estimate ")</f>
        <v> Estimate </v>
      </c>
      <c r="E1183" s="86"/>
    </row>
    <row r="1184">
      <c r="A1184" s="4"/>
      <c r="B1184" s="85">
        <f>IFERROR(__xludf.DUMMYFUNCTION("""COMPUTED_VALUE"""),45330.68402777778)</f>
        <v>45330.68403</v>
      </c>
      <c r="C1184" s="4" t="str">
        <f>IFERROR(__xludf.DUMMYFUNCTION("""COMPUTED_VALUE""")," Estimate ")</f>
        <v> Estimate </v>
      </c>
      <c r="E1184" s="86"/>
    </row>
    <row r="1185">
      <c r="A1185" s="4"/>
      <c r="B1185" s="85">
        <f>IFERROR(__xludf.DUMMYFUNCTION("""COMPUTED_VALUE"""),45330.69236111111)</f>
        <v>45330.69236</v>
      </c>
      <c r="C1185" s="4" t="str">
        <f>IFERROR(__xludf.DUMMYFUNCTION("""COMPUTED_VALUE""")," Estimate ")</f>
        <v> Estimate </v>
      </c>
      <c r="E1185" s="86"/>
    </row>
    <row r="1186">
      <c r="A1186" s="4"/>
      <c r="B1186" s="85">
        <f>IFERROR(__xludf.DUMMYFUNCTION("""COMPUTED_VALUE"""),45330.69375)</f>
        <v>45330.69375</v>
      </c>
      <c r="C1186" s="4" t="str">
        <f>IFERROR(__xludf.DUMMYFUNCTION("""COMPUTED_VALUE""")," Estimate ")</f>
        <v> Estimate </v>
      </c>
      <c r="E1186" s="86"/>
    </row>
    <row r="1187">
      <c r="A1187" s="4"/>
      <c r="B1187" s="85">
        <f>IFERROR(__xludf.DUMMYFUNCTION("""COMPUTED_VALUE"""),45330.695138888885)</f>
        <v>45330.69514</v>
      </c>
      <c r="C1187" s="4" t="str">
        <f>IFERROR(__xludf.DUMMYFUNCTION("""COMPUTED_VALUE""")," Estimate ")</f>
        <v> Estimate </v>
      </c>
      <c r="E1187" s="86"/>
    </row>
    <row r="1188">
      <c r="A1188" s="4"/>
      <c r="B1188" s="85">
        <f>IFERROR(__xludf.DUMMYFUNCTION("""COMPUTED_VALUE"""),45331.70833333333)</f>
        <v>45331.70833</v>
      </c>
      <c r="C1188" s="4" t="str">
        <f>IFERROR(__xludf.DUMMYFUNCTION("""COMPUTED_VALUE""")," Estimate ")</f>
        <v> Estimate </v>
      </c>
      <c r="E1188" s="86"/>
    </row>
    <row r="1189">
      <c r="A1189" s="4"/>
      <c r="B1189" s="85">
        <f>IFERROR(__xludf.DUMMYFUNCTION("""COMPUTED_VALUE"""),45331.70972222222)</f>
        <v>45331.70972</v>
      </c>
      <c r="C1189" s="4" t="str">
        <f>IFERROR(__xludf.DUMMYFUNCTION("""COMPUTED_VALUE""")," Estimate ")</f>
        <v> Estimate </v>
      </c>
      <c r="E1189" s="86"/>
    </row>
    <row r="1190">
      <c r="A1190" s="4"/>
      <c r="B1190" s="85">
        <f>IFERROR(__xludf.DUMMYFUNCTION("""COMPUTED_VALUE"""),45331.711111111115)</f>
        <v>45331.71111</v>
      </c>
      <c r="C1190" s="4" t="str">
        <f>IFERROR(__xludf.DUMMYFUNCTION("""COMPUTED_VALUE""")," Estimate ")</f>
        <v> Estimate </v>
      </c>
      <c r="E1190" s="86"/>
    </row>
    <row r="1191">
      <c r="A1191" s="4"/>
      <c r="B1191" s="85">
        <f>IFERROR(__xludf.DUMMYFUNCTION("""COMPUTED_VALUE"""),45331.7125)</f>
        <v>45331.7125</v>
      </c>
      <c r="C1191" s="4" t="str">
        <f>IFERROR(__xludf.DUMMYFUNCTION("""COMPUTED_VALUE""")," Estimate ")</f>
        <v> Estimate </v>
      </c>
      <c r="E1191" s="86"/>
    </row>
    <row r="1192">
      <c r="A1192" s="4"/>
      <c r="B1192" s="85">
        <f>IFERROR(__xludf.DUMMYFUNCTION("""COMPUTED_VALUE"""),45331.71319444444)</f>
        <v>45331.71319</v>
      </c>
      <c r="C1192" s="4" t="str">
        <f>IFERROR(__xludf.DUMMYFUNCTION("""COMPUTED_VALUE""")," Estimate ")</f>
        <v> Estimate </v>
      </c>
      <c r="E1192" s="86"/>
    </row>
    <row r="1193">
      <c r="A1193" s="4"/>
      <c r="B1193" s="85">
        <f>IFERROR(__xludf.DUMMYFUNCTION("""COMPUTED_VALUE"""),45331.71388888889)</f>
        <v>45331.71389</v>
      </c>
      <c r="C1193" s="4" t="str">
        <f>IFERROR(__xludf.DUMMYFUNCTION("""COMPUTED_VALUE""")," Estimate ")</f>
        <v> Estimate </v>
      </c>
      <c r="E1193" s="86"/>
    </row>
    <row r="1194">
      <c r="A1194" s="4"/>
      <c r="B1194" s="85">
        <f>IFERROR(__xludf.DUMMYFUNCTION("""COMPUTED_VALUE"""),45331.71527777778)</f>
        <v>45331.71528</v>
      </c>
      <c r="C1194" s="4" t="str">
        <f>IFERROR(__xludf.DUMMYFUNCTION("""COMPUTED_VALUE""")," Estimate ")</f>
        <v> Estimate </v>
      </c>
      <c r="E1194" s="86"/>
    </row>
    <row r="1195">
      <c r="A1195" s="4"/>
      <c r="B1195" s="85">
        <f>IFERROR(__xludf.DUMMYFUNCTION("""COMPUTED_VALUE"""),45331.71597222222)</f>
        <v>45331.71597</v>
      </c>
      <c r="C1195" s="4" t="str">
        <f>IFERROR(__xludf.DUMMYFUNCTION("""COMPUTED_VALUE""")," Estimate ")</f>
        <v> Estimate </v>
      </c>
      <c r="E1195" s="86"/>
    </row>
    <row r="1196">
      <c r="A1196" s="4"/>
      <c r="B1196" s="85">
        <f>IFERROR(__xludf.DUMMYFUNCTION("""COMPUTED_VALUE"""),45331.71736111111)</f>
        <v>45331.71736</v>
      </c>
      <c r="C1196" s="4" t="str">
        <f>IFERROR(__xludf.DUMMYFUNCTION("""COMPUTED_VALUE""")," Estimate ")</f>
        <v> Estimate </v>
      </c>
      <c r="E1196" s="86"/>
    </row>
    <row r="1197">
      <c r="A1197" s="4"/>
      <c r="B1197" s="85">
        <f>IFERROR(__xludf.DUMMYFUNCTION("""COMPUTED_VALUE"""),45331.71805555555)</f>
        <v>45331.71806</v>
      </c>
      <c r="C1197" s="4" t="str">
        <f>IFERROR(__xludf.DUMMYFUNCTION("""COMPUTED_VALUE""")," Estimate ")</f>
        <v> Estimate </v>
      </c>
      <c r="E1197" s="86"/>
    </row>
    <row r="1198">
      <c r="A1198" s="4"/>
      <c r="B1198" s="85">
        <f>IFERROR(__xludf.DUMMYFUNCTION("""COMPUTED_VALUE"""),45331.71875)</f>
        <v>45331.71875</v>
      </c>
      <c r="C1198" s="4" t="str">
        <f>IFERROR(__xludf.DUMMYFUNCTION("""COMPUTED_VALUE""")," Estimate ")</f>
        <v> Estimate </v>
      </c>
      <c r="E1198" s="86"/>
    </row>
    <row r="1199">
      <c r="A1199" s="4"/>
      <c r="B1199" s="85">
        <f>IFERROR(__xludf.DUMMYFUNCTION("""COMPUTED_VALUE"""),45331.71944444445)</f>
        <v>45331.71944</v>
      </c>
      <c r="C1199" s="4" t="str">
        <f>IFERROR(__xludf.DUMMYFUNCTION("""COMPUTED_VALUE""")," Estimate ")</f>
        <v> Estimate </v>
      </c>
      <c r="E1199" s="86"/>
    </row>
    <row r="1200">
      <c r="A1200" s="4"/>
      <c r="B1200" s="85">
        <f>IFERROR(__xludf.DUMMYFUNCTION("""COMPUTED_VALUE"""),45331.72708333333)</f>
        <v>45331.72708</v>
      </c>
      <c r="C1200" s="4" t="str">
        <f>IFERROR(__xludf.DUMMYFUNCTION("""COMPUTED_VALUE""")," Estimate ")</f>
        <v> Estimate </v>
      </c>
      <c r="E1200" s="86"/>
    </row>
    <row r="1201">
      <c r="A1201" s="4"/>
      <c r="B1201" s="85">
        <f>IFERROR(__xludf.DUMMYFUNCTION("""COMPUTED_VALUE"""),45331.728472222225)</f>
        <v>45331.72847</v>
      </c>
      <c r="C1201" s="4" t="str">
        <f>IFERROR(__xludf.DUMMYFUNCTION("""COMPUTED_VALUE""")," Estimate ")</f>
        <v> Estimate </v>
      </c>
      <c r="E1201" s="86"/>
    </row>
    <row r="1202">
      <c r="A1202" s="4"/>
      <c r="B1202" s="85">
        <f>IFERROR(__xludf.DUMMYFUNCTION("""COMPUTED_VALUE"""),45331.72916666667)</f>
        <v>45331.72917</v>
      </c>
      <c r="C1202" s="4" t="str">
        <f>IFERROR(__xludf.DUMMYFUNCTION("""COMPUTED_VALUE""")," Estimate ")</f>
        <v> Estimate </v>
      </c>
      <c r="E1202" s="86"/>
    </row>
    <row r="1203">
      <c r="A1203" s="4"/>
      <c r="B1203" s="85">
        <f>IFERROR(__xludf.DUMMYFUNCTION("""COMPUTED_VALUE"""),45331.72986111111)</f>
        <v>45331.72986</v>
      </c>
      <c r="C1203" s="4" t="str">
        <f>IFERROR(__xludf.DUMMYFUNCTION("""COMPUTED_VALUE""")," Estimate ")</f>
        <v> Estimate </v>
      </c>
      <c r="E1203" s="86"/>
    </row>
    <row r="1204">
      <c r="A1204" s="4"/>
      <c r="B1204" s="85">
        <f>IFERROR(__xludf.DUMMYFUNCTION("""COMPUTED_VALUE"""),45331.73055555555)</f>
        <v>45331.73056</v>
      </c>
      <c r="C1204" s="4" t="str">
        <f>IFERROR(__xludf.DUMMYFUNCTION("""COMPUTED_VALUE""")," Estimate ")</f>
        <v> Estimate </v>
      </c>
      <c r="E1204" s="86"/>
    </row>
    <row r="1205">
      <c r="A1205" s="4"/>
      <c r="B1205" s="85">
        <f>IFERROR(__xludf.DUMMYFUNCTION("""COMPUTED_VALUE"""),45331.731944444444)</f>
        <v>45331.73194</v>
      </c>
      <c r="C1205" s="4" t="str">
        <f>IFERROR(__xludf.DUMMYFUNCTION("""COMPUTED_VALUE""")," Estimate ")</f>
        <v> Estimate </v>
      </c>
      <c r="E1205" s="86"/>
    </row>
    <row r="1206">
      <c r="A1206" s="4"/>
      <c r="B1206" s="85">
        <f>IFERROR(__xludf.DUMMYFUNCTION("""COMPUTED_VALUE"""),45331.73263888889)</f>
        <v>45331.73264</v>
      </c>
      <c r="C1206" s="4" t="str">
        <f>IFERROR(__xludf.DUMMYFUNCTION("""COMPUTED_VALUE""")," Estimate ")</f>
        <v> Estimate </v>
      </c>
      <c r="E1206" s="86"/>
    </row>
    <row r="1207">
      <c r="A1207" s="4"/>
      <c r="B1207" s="85">
        <f>IFERROR(__xludf.DUMMYFUNCTION("""COMPUTED_VALUE"""),45331.73402777778)</f>
        <v>45331.73403</v>
      </c>
      <c r="C1207" s="4" t="str">
        <f>IFERROR(__xludf.DUMMYFUNCTION("""COMPUTED_VALUE""")," Estimate ")</f>
        <v> Estimate </v>
      </c>
      <c r="E1207" s="86"/>
    </row>
    <row r="1208">
      <c r="A1208" s="4"/>
      <c r="B1208" s="85">
        <f>IFERROR(__xludf.DUMMYFUNCTION("""COMPUTED_VALUE"""),45331.73541666666)</f>
        <v>45331.73542</v>
      </c>
      <c r="C1208" s="4" t="str">
        <f>IFERROR(__xludf.DUMMYFUNCTION("""COMPUTED_VALUE""")," Estimate ")</f>
        <v> Estimate </v>
      </c>
      <c r="E1208" s="86"/>
    </row>
    <row r="1209">
      <c r="A1209" s="4"/>
      <c r="B1209" s="85">
        <f>IFERROR(__xludf.DUMMYFUNCTION("""COMPUTED_VALUE"""),45331.73611111111)</f>
        <v>45331.73611</v>
      </c>
      <c r="C1209" s="4" t="str">
        <f>IFERROR(__xludf.DUMMYFUNCTION("""COMPUTED_VALUE""")," Estimate ")</f>
        <v> Estimate </v>
      </c>
      <c r="E1209" s="86"/>
    </row>
    <row r="1210">
      <c r="A1210" s="4"/>
      <c r="B1210" s="85">
        <f>IFERROR(__xludf.DUMMYFUNCTION("""COMPUTED_VALUE"""),45331.736805555556)</f>
        <v>45331.73681</v>
      </c>
      <c r="C1210" s="4" t="str">
        <f>IFERROR(__xludf.DUMMYFUNCTION("""COMPUTED_VALUE""")," Estimate ")</f>
        <v> Estimate </v>
      </c>
      <c r="E1210" s="86"/>
    </row>
    <row r="1211">
      <c r="A1211" s="4"/>
      <c r="B1211" s="85">
        <f>IFERROR(__xludf.DUMMYFUNCTION("""COMPUTED_VALUE"""),45331.742361111115)</f>
        <v>45331.74236</v>
      </c>
      <c r="C1211" s="4" t="str">
        <f>IFERROR(__xludf.DUMMYFUNCTION("""COMPUTED_VALUE""")," Estimate ")</f>
        <v> Estimate </v>
      </c>
      <c r="E1211" s="86"/>
    </row>
    <row r="1212">
      <c r="A1212" s="4"/>
      <c r="B1212" s="85">
        <f>IFERROR(__xludf.DUMMYFUNCTION("""COMPUTED_VALUE"""),45331.74444444444)</f>
        <v>45331.74444</v>
      </c>
      <c r="C1212" s="4" t="str">
        <f>IFERROR(__xludf.DUMMYFUNCTION("""COMPUTED_VALUE""")," Estimate ")</f>
        <v> Estimate </v>
      </c>
      <c r="E1212" s="86"/>
    </row>
    <row r="1213">
      <c r="A1213" s="4"/>
      <c r="B1213" s="85">
        <f>IFERROR(__xludf.DUMMYFUNCTION("""COMPUTED_VALUE"""),45331.74513888889)</f>
        <v>45331.74514</v>
      </c>
      <c r="C1213" s="4" t="str">
        <f>IFERROR(__xludf.DUMMYFUNCTION("""COMPUTED_VALUE""")," Estimate ")</f>
        <v> Estimate </v>
      </c>
      <c r="E1213" s="86"/>
    </row>
    <row r="1214">
      <c r="A1214" s="4"/>
      <c r="B1214" s="85">
        <f>IFERROR(__xludf.DUMMYFUNCTION("""COMPUTED_VALUE"""),45331.74652777778)</f>
        <v>45331.74653</v>
      </c>
      <c r="C1214" s="4" t="str">
        <f>IFERROR(__xludf.DUMMYFUNCTION("""COMPUTED_VALUE""")," Estimate ")</f>
        <v> Estimate </v>
      </c>
      <c r="E1214" s="86"/>
    </row>
    <row r="1215">
      <c r="A1215" s="4"/>
      <c r="B1215" s="85">
        <f>IFERROR(__xludf.DUMMYFUNCTION("""COMPUTED_VALUE"""),45331.74861111111)</f>
        <v>45331.74861</v>
      </c>
      <c r="C1215" s="4" t="str">
        <f>IFERROR(__xludf.DUMMYFUNCTION("""COMPUTED_VALUE""")," Estimate ")</f>
        <v> Estimate </v>
      </c>
      <c r="E1215" s="86"/>
    </row>
    <row r="1216">
      <c r="A1216" s="4"/>
      <c r="B1216" s="85">
        <f>IFERROR(__xludf.DUMMYFUNCTION("""COMPUTED_VALUE"""),45331.74930555555)</f>
        <v>45331.74931</v>
      </c>
      <c r="C1216" s="4" t="str">
        <f>IFERROR(__xludf.DUMMYFUNCTION("""COMPUTED_VALUE""")," Estimate ")</f>
        <v> Estimate </v>
      </c>
      <c r="E1216" s="86"/>
    </row>
    <row r="1217">
      <c r="A1217" s="4"/>
      <c r="B1217" s="85">
        <f>IFERROR(__xludf.DUMMYFUNCTION("""COMPUTED_VALUE"""),45331.75138888889)</f>
        <v>45331.75139</v>
      </c>
      <c r="C1217" s="4" t="str">
        <f>IFERROR(__xludf.DUMMYFUNCTION("""COMPUTED_VALUE""")," Estimate ")</f>
        <v> Estimate </v>
      </c>
      <c r="E1217" s="86"/>
    </row>
    <row r="1218">
      <c r="A1218" s="4"/>
      <c r="B1218" s="85">
        <f>IFERROR(__xludf.DUMMYFUNCTION("""COMPUTED_VALUE"""),45331.75277777778)</f>
        <v>45331.75278</v>
      </c>
      <c r="C1218" s="4" t="str">
        <f>IFERROR(__xludf.DUMMYFUNCTION("""COMPUTED_VALUE""")," Estimate ")</f>
        <v> Estimate </v>
      </c>
      <c r="E1218" s="86"/>
    </row>
    <row r="1219">
      <c r="A1219" s="4"/>
      <c r="B1219" s="85">
        <f>IFERROR(__xludf.DUMMYFUNCTION("""COMPUTED_VALUE"""),45331.754166666666)</f>
        <v>45331.75417</v>
      </c>
      <c r="C1219" s="4" t="str">
        <f>IFERROR(__xludf.DUMMYFUNCTION("""COMPUTED_VALUE""")," Estimate ")</f>
        <v> Estimate </v>
      </c>
      <c r="E1219" s="86"/>
    </row>
    <row r="1220">
      <c r="A1220" s="4"/>
      <c r="B1220" s="85">
        <f>IFERROR(__xludf.DUMMYFUNCTION("""COMPUTED_VALUE"""),45331.75486111111)</f>
        <v>45331.75486</v>
      </c>
      <c r="C1220" s="4" t="str">
        <f>IFERROR(__xludf.DUMMYFUNCTION("""COMPUTED_VALUE""")," Estimate ")</f>
        <v> Estimate </v>
      </c>
      <c r="E1220" s="86"/>
    </row>
    <row r="1221">
      <c r="A1221" s="4"/>
      <c r="B1221" s="85">
        <f>IFERROR(__xludf.DUMMYFUNCTION("""COMPUTED_VALUE"""),45331.75625)</f>
        <v>45331.75625</v>
      </c>
      <c r="C1221" s="4" t="str">
        <f>IFERROR(__xludf.DUMMYFUNCTION("""COMPUTED_VALUE""")," Estimate ")</f>
        <v> Estimate </v>
      </c>
      <c r="E1221" s="86"/>
    </row>
    <row r="1222">
      <c r="A1222" s="4"/>
      <c r="B1222" s="85">
        <f>IFERROR(__xludf.DUMMYFUNCTION("""COMPUTED_VALUE"""),45331.756944444445)</f>
        <v>45331.75694</v>
      </c>
      <c r="C1222" s="4" t="str">
        <f>IFERROR(__xludf.DUMMYFUNCTION("""COMPUTED_VALUE""")," Estimate ")</f>
        <v> Estimate </v>
      </c>
      <c r="E1222" s="86"/>
    </row>
    <row r="1223">
      <c r="A1223" s="4"/>
      <c r="B1223" s="85">
        <f>IFERROR(__xludf.DUMMYFUNCTION("""COMPUTED_VALUE"""),45331.757638888885)</f>
        <v>45331.75764</v>
      </c>
      <c r="C1223" s="4" t="str">
        <f>IFERROR(__xludf.DUMMYFUNCTION("""COMPUTED_VALUE""")," Estimate ")</f>
        <v> Estimate </v>
      </c>
      <c r="E1223" s="86"/>
    </row>
    <row r="1224">
      <c r="A1224" s="4"/>
      <c r="B1224" s="85">
        <f>IFERROR(__xludf.DUMMYFUNCTION("""COMPUTED_VALUE"""),45331.75833333333)</f>
        <v>45331.75833</v>
      </c>
      <c r="C1224" s="4" t="str">
        <f>IFERROR(__xludf.DUMMYFUNCTION("""COMPUTED_VALUE""")," Estimate ")</f>
        <v> Estimate </v>
      </c>
      <c r="E1224" s="86"/>
    </row>
    <row r="1225">
      <c r="A1225" s="4"/>
      <c r="B1225" s="85">
        <f>IFERROR(__xludf.DUMMYFUNCTION("""COMPUTED_VALUE"""),45332.58194444445)</f>
        <v>45332.58194</v>
      </c>
      <c r="C1225" s="4" t="str">
        <f>IFERROR(__xludf.DUMMYFUNCTION("""COMPUTED_VALUE""")," Estimate ")</f>
        <v> Estimate </v>
      </c>
      <c r="E1225" s="86"/>
    </row>
    <row r="1226">
      <c r="A1226" s="4"/>
      <c r="B1226" s="85">
        <f>IFERROR(__xludf.DUMMYFUNCTION("""COMPUTED_VALUE"""),45332.58333333333)</f>
        <v>45332.58333</v>
      </c>
      <c r="C1226" s="4" t="str">
        <f>IFERROR(__xludf.DUMMYFUNCTION("""COMPUTED_VALUE""")," Estimate ")</f>
        <v> Estimate </v>
      </c>
      <c r="E1226" s="86"/>
    </row>
    <row r="1227">
      <c r="A1227" s="4"/>
      <c r="B1227" s="85">
        <f>IFERROR(__xludf.DUMMYFUNCTION("""COMPUTED_VALUE"""),45332.58472222222)</f>
        <v>45332.58472</v>
      </c>
      <c r="C1227" s="4" t="str">
        <f>IFERROR(__xludf.DUMMYFUNCTION("""COMPUTED_VALUE""")," Estimate ")</f>
        <v> Estimate </v>
      </c>
      <c r="E1227" s="86"/>
    </row>
    <row r="1228">
      <c r="A1228" s="4"/>
      <c r="B1228" s="85">
        <f>IFERROR(__xludf.DUMMYFUNCTION("""COMPUTED_VALUE"""),45332.586805555555)</f>
        <v>45332.58681</v>
      </c>
      <c r="C1228" s="4" t="str">
        <f>IFERROR(__xludf.DUMMYFUNCTION("""COMPUTED_VALUE""")," Estimate ")</f>
        <v> Estimate </v>
      </c>
      <c r="E1228" s="86"/>
    </row>
    <row r="1229">
      <c r="A1229" s="4"/>
      <c r="B1229" s="85">
        <f>IFERROR(__xludf.DUMMYFUNCTION("""COMPUTED_VALUE"""),45332.60555555555)</f>
        <v>45332.60556</v>
      </c>
      <c r="C1229" s="4" t="str">
        <f>IFERROR(__xludf.DUMMYFUNCTION("""COMPUTED_VALUE""")," Estimate ")</f>
        <v> Estimate </v>
      </c>
      <c r="E1229" s="86"/>
    </row>
    <row r="1230">
      <c r="A1230" s="4"/>
      <c r="B1230" s="85">
        <f>IFERROR(__xludf.DUMMYFUNCTION("""COMPUTED_VALUE"""),45332.606944444444)</f>
        <v>45332.60694</v>
      </c>
      <c r="C1230" s="4" t="str">
        <f>IFERROR(__xludf.DUMMYFUNCTION("""COMPUTED_VALUE""")," Estimate ")</f>
        <v> Estimate </v>
      </c>
      <c r="E1230" s="86"/>
    </row>
    <row r="1231">
      <c r="A1231" s="4"/>
      <c r="B1231" s="85">
        <f>IFERROR(__xludf.DUMMYFUNCTION("""COMPUTED_VALUE"""),45332.60833333334)</f>
        <v>45332.60833</v>
      </c>
      <c r="C1231" s="4" t="str">
        <f>IFERROR(__xludf.DUMMYFUNCTION("""COMPUTED_VALUE""")," Estimate ")</f>
        <v> Estimate </v>
      </c>
      <c r="E1231" s="86"/>
    </row>
    <row r="1232">
      <c r="A1232" s="4"/>
      <c r="B1232" s="85">
        <f>IFERROR(__xludf.DUMMYFUNCTION("""COMPUTED_VALUE"""),45332.60902777778)</f>
        <v>45332.60903</v>
      </c>
      <c r="C1232" s="4" t="str">
        <f>IFERROR(__xludf.DUMMYFUNCTION("""COMPUTED_VALUE""")," Estimate ")</f>
        <v> Estimate </v>
      </c>
      <c r="E1232" s="86"/>
    </row>
    <row r="1233">
      <c r="A1233" s="4"/>
      <c r="B1233" s="85">
        <f>IFERROR(__xludf.DUMMYFUNCTION("""COMPUTED_VALUE"""),45332.615277777775)</f>
        <v>45332.61528</v>
      </c>
      <c r="C1233" s="4" t="str">
        <f>IFERROR(__xludf.DUMMYFUNCTION("""COMPUTED_VALUE""")," Estimate ")</f>
        <v> Estimate </v>
      </c>
      <c r="E1233" s="86"/>
    </row>
    <row r="1234">
      <c r="A1234" s="4"/>
      <c r="B1234" s="85">
        <f>IFERROR(__xludf.DUMMYFUNCTION("""COMPUTED_VALUE"""),45332.61666666667)</f>
        <v>45332.61667</v>
      </c>
      <c r="C1234" s="4" t="str">
        <f>IFERROR(__xludf.DUMMYFUNCTION("""COMPUTED_VALUE""")," Estimate ")</f>
        <v> Estimate </v>
      </c>
      <c r="E1234" s="86"/>
    </row>
    <row r="1235">
      <c r="A1235" s="4"/>
      <c r="B1235" s="85">
        <f>IFERROR(__xludf.DUMMYFUNCTION("""COMPUTED_VALUE"""),45332.617361111115)</f>
        <v>45332.61736</v>
      </c>
      <c r="C1235" s="4" t="str">
        <f>IFERROR(__xludf.DUMMYFUNCTION("""COMPUTED_VALUE""")," Estimate ")</f>
        <v> Estimate </v>
      </c>
      <c r="E1235" s="86"/>
    </row>
    <row r="1236">
      <c r="A1236" s="4"/>
      <c r="B1236" s="85">
        <f>IFERROR(__xludf.DUMMYFUNCTION("""COMPUTED_VALUE"""),45332.618055555555)</f>
        <v>45332.61806</v>
      </c>
      <c r="C1236" s="4" t="str">
        <f>IFERROR(__xludf.DUMMYFUNCTION("""COMPUTED_VALUE""")," Estimate ")</f>
        <v> Estimate </v>
      </c>
      <c r="E1236" s="86"/>
    </row>
    <row r="1237">
      <c r="A1237" s="4"/>
      <c r="B1237" s="85">
        <f>IFERROR(__xludf.DUMMYFUNCTION("""COMPUTED_VALUE"""),45332.61944444444)</f>
        <v>45332.61944</v>
      </c>
      <c r="C1237" s="4" t="str">
        <f>IFERROR(__xludf.DUMMYFUNCTION("""COMPUTED_VALUE""")," Estimate ")</f>
        <v> Estimate </v>
      </c>
      <c r="E1237" s="86"/>
    </row>
    <row r="1238">
      <c r="A1238" s="4"/>
      <c r="B1238" s="85">
        <f>IFERROR(__xludf.DUMMYFUNCTION("""COMPUTED_VALUE"""),45332.62152777778)</f>
        <v>45332.62153</v>
      </c>
      <c r="C1238" s="4" t="str">
        <f>IFERROR(__xludf.DUMMYFUNCTION("""COMPUTED_VALUE""")," Estimate ")</f>
        <v> Estimate </v>
      </c>
      <c r="E1238" s="86"/>
    </row>
    <row r="1239">
      <c r="A1239" s="4"/>
      <c r="B1239" s="85">
        <f>IFERROR(__xludf.DUMMYFUNCTION("""COMPUTED_VALUE"""),45332.65902777778)</f>
        <v>45332.65903</v>
      </c>
      <c r="C1239" s="4" t="str">
        <f>IFERROR(__xludf.DUMMYFUNCTION("""COMPUTED_VALUE""")," Estimate ")</f>
        <v> Estimate </v>
      </c>
      <c r="E1239" s="86"/>
    </row>
    <row r="1240">
      <c r="A1240" s="4"/>
      <c r="B1240" s="85">
        <f>IFERROR(__xludf.DUMMYFUNCTION("""COMPUTED_VALUE"""),45332.660416666666)</f>
        <v>45332.66042</v>
      </c>
      <c r="C1240" s="4" t="str">
        <f>IFERROR(__xludf.DUMMYFUNCTION("""COMPUTED_VALUE""")," Estimate ")</f>
        <v> Estimate </v>
      </c>
      <c r="E1240" s="86"/>
    </row>
    <row r="1241">
      <c r="A1241" s="4"/>
      <c r="B1241" s="85">
        <f>IFERROR(__xludf.DUMMYFUNCTION("""COMPUTED_VALUE"""),45332.66180555556)</f>
        <v>45332.66181</v>
      </c>
      <c r="C1241" s="4" t="str">
        <f>IFERROR(__xludf.DUMMYFUNCTION("""COMPUTED_VALUE""")," Estimate ")</f>
        <v> Estimate </v>
      </c>
      <c r="E1241" s="86"/>
    </row>
    <row r="1242">
      <c r="A1242" s="4"/>
      <c r="B1242" s="85">
        <f>IFERROR(__xludf.DUMMYFUNCTION("""COMPUTED_VALUE"""),45332.6625)</f>
        <v>45332.6625</v>
      </c>
      <c r="C1242" s="4" t="str">
        <f>IFERROR(__xludf.DUMMYFUNCTION("""COMPUTED_VALUE""")," Estimate ")</f>
        <v> Estimate </v>
      </c>
      <c r="E1242" s="86"/>
    </row>
    <row r="1243">
      <c r="A1243" s="4"/>
      <c r="B1243" s="85">
        <f>IFERROR(__xludf.DUMMYFUNCTION("""COMPUTED_VALUE"""),45332.665972222225)</f>
        <v>45332.66597</v>
      </c>
      <c r="C1243" s="4" t="str">
        <f>IFERROR(__xludf.DUMMYFUNCTION("""COMPUTED_VALUE""")," Estimate ")</f>
        <v> Estimate </v>
      </c>
      <c r="E1243" s="86"/>
    </row>
    <row r="1244">
      <c r="A1244" s="4"/>
      <c r="B1244" s="85">
        <f>IFERROR(__xludf.DUMMYFUNCTION("""COMPUTED_VALUE"""),45332.691666666666)</f>
        <v>45332.69167</v>
      </c>
      <c r="C1244" s="4" t="str">
        <f>IFERROR(__xludf.DUMMYFUNCTION("""COMPUTED_VALUE""")," Estimate ")</f>
        <v> Estimate </v>
      </c>
      <c r="E1244" s="86"/>
    </row>
    <row r="1245">
      <c r="A1245" s="4"/>
      <c r="B1245" s="85">
        <f>IFERROR(__xludf.DUMMYFUNCTION("""COMPUTED_VALUE"""),45332.69305555556)</f>
        <v>45332.69306</v>
      </c>
      <c r="C1245" s="4" t="str">
        <f>IFERROR(__xludf.DUMMYFUNCTION("""COMPUTED_VALUE""")," Estimate ")</f>
        <v> Estimate </v>
      </c>
      <c r="E1245" s="86"/>
    </row>
    <row r="1246">
      <c r="A1246" s="4"/>
      <c r="B1246" s="85">
        <f>IFERROR(__xludf.DUMMYFUNCTION("""COMPUTED_VALUE"""),45332.694444444445)</f>
        <v>45332.69444</v>
      </c>
      <c r="C1246" s="4" t="str">
        <f>IFERROR(__xludf.DUMMYFUNCTION("""COMPUTED_VALUE""")," Estimate ")</f>
        <v> Estimate </v>
      </c>
      <c r="E1246" s="86"/>
    </row>
    <row r="1247">
      <c r="A1247" s="4"/>
      <c r="B1247" s="85">
        <f>IFERROR(__xludf.DUMMYFUNCTION("""COMPUTED_VALUE"""),45332.69652777778)</f>
        <v>45332.69653</v>
      </c>
      <c r="C1247" s="4" t="str">
        <f>IFERROR(__xludf.DUMMYFUNCTION("""COMPUTED_VALUE""")," Estimate ")</f>
        <v> Estimate </v>
      </c>
      <c r="E1247" s="86"/>
    </row>
    <row r="1248">
      <c r="A1248" s="4"/>
      <c r="B1248" s="85">
        <f>IFERROR(__xludf.DUMMYFUNCTION("""COMPUTED_VALUE"""),45332.69791666667)</f>
        <v>45332.69792</v>
      </c>
      <c r="C1248" s="4" t="str">
        <f>IFERROR(__xludf.DUMMYFUNCTION("""COMPUTED_VALUE""")," Estimate ")</f>
        <v> Estimate </v>
      </c>
      <c r="E1248" s="86"/>
    </row>
    <row r="1249">
      <c r="A1249" s="4"/>
      <c r="B1249" s="85">
        <f>IFERROR(__xludf.DUMMYFUNCTION("""COMPUTED_VALUE"""),45332.69861111111)</f>
        <v>45332.69861</v>
      </c>
      <c r="C1249" s="4" t="str">
        <f>IFERROR(__xludf.DUMMYFUNCTION("""COMPUTED_VALUE""")," Estimate ")</f>
        <v> Estimate </v>
      </c>
      <c r="E1249" s="86"/>
    </row>
    <row r="1250">
      <c r="A1250" s="4"/>
      <c r="B1250" s="85">
        <f>IFERROR(__xludf.DUMMYFUNCTION("""COMPUTED_VALUE"""),45332.70138888889)</f>
        <v>45332.70139</v>
      </c>
      <c r="C1250" s="4" t="str">
        <f>IFERROR(__xludf.DUMMYFUNCTION("""COMPUTED_VALUE""")," Estimate ")</f>
        <v> Estimate </v>
      </c>
      <c r="E1250" s="86"/>
    </row>
    <row r="1251">
      <c r="A1251" s="4"/>
      <c r="B1251" s="85">
        <f>IFERROR(__xludf.DUMMYFUNCTION("""COMPUTED_VALUE"""),45332.70208333334)</f>
        <v>45332.70208</v>
      </c>
      <c r="C1251" s="4" t="str">
        <f>IFERROR(__xludf.DUMMYFUNCTION("""COMPUTED_VALUE""")," Estimate ")</f>
        <v> Estimate </v>
      </c>
      <c r="E1251" s="86"/>
    </row>
    <row r="1252">
      <c r="A1252" s="4"/>
      <c r="B1252" s="85">
        <f>IFERROR(__xludf.DUMMYFUNCTION("""COMPUTED_VALUE"""),45332.70347222222)</f>
        <v>45332.70347</v>
      </c>
      <c r="C1252" s="4" t="str">
        <f>IFERROR(__xludf.DUMMYFUNCTION("""COMPUTED_VALUE""")," Estimate ")</f>
        <v> Estimate </v>
      </c>
      <c r="E1252" s="86"/>
    </row>
    <row r="1253">
      <c r="A1253" s="4"/>
      <c r="B1253" s="85">
        <f>IFERROR(__xludf.DUMMYFUNCTION("""COMPUTED_VALUE"""),45333.55902777778)</f>
        <v>45333.55903</v>
      </c>
      <c r="C1253" s="4" t="str">
        <f>IFERROR(__xludf.DUMMYFUNCTION("""COMPUTED_VALUE""")," Estimate ")</f>
        <v> Estimate </v>
      </c>
      <c r="E1253" s="86"/>
    </row>
    <row r="1254">
      <c r="A1254" s="4"/>
      <c r="B1254" s="85">
        <f>IFERROR(__xludf.DUMMYFUNCTION("""COMPUTED_VALUE"""),45333.55972222222)</f>
        <v>45333.55972</v>
      </c>
      <c r="C1254" s="4" t="str">
        <f>IFERROR(__xludf.DUMMYFUNCTION("""COMPUTED_VALUE""")," Estimate ")</f>
        <v> Estimate </v>
      </c>
      <c r="E1254" s="86"/>
    </row>
    <row r="1255">
      <c r="A1255" s="4"/>
      <c r="B1255" s="85">
        <f>IFERROR(__xludf.DUMMYFUNCTION("""COMPUTED_VALUE"""),45333.56041666667)</f>
        <v>45333.56042</v>
      </c>
      <c r="C1255" s="4" t="str">
        <f>IFERROR(__xludf.DUMMYFUNCTION("""COMPUTED_VALUE""")," Estimate ")</f>
        <v> Estimate </v>
      </c>
      <c r="E1255" s="86"/>
    </row>
    <row r="1256">
      <c r="A1256" s="4"/>
      <c r="B1256" s="85">
        <f>IFERROR(__xludf.DUMMYFUNCTION("""COMPUTED_VALUE"""),45333.60277777778)</f>
        <v>45333.60278</v>
      </c>
      <c r="C1256" s="4" t="str">
        <f>IFERROR(__xludf.DUMMYFUNCTION("""COMPUTED_VALUE""")," Estimate ")</f>
        <v> Estimate </v>
      </c>
      <c r="E1256" s="86"/>
    </row>
    <row r="1257">
      <c r="A1257" s="4"/>
      <c r="B1257" s="85">
        <f>IFERROR(__xludf.DUMMYFUNCTION("""COMPUTED_VALUE"""),45333.603472222225)</f>
        <v>45333.60347</v>
      </c>
      <c r="C1257" s="4" t="str">
        <f>IFERROR(__xludf.DUMMYFUNCTION("""COMPUTED_VALUE""")," Estimate ")</f>
        <v> Estimate </v>
      </c>
      <c r="E1257" s="86"/>
    </row>
    <row r="1258">
      <c r="A1258" s="4"/>
      <c r="B1258" s="85">
        <f>IFERROR(__xludf.DUMMYFUNCTION("""COMPUTED_VALUE"""),45333.60486111111)</f>
        <v>45333.60486</v>
      </c>
      <c r="C1258" s="4" t="str">
        <f>IFERROR(__xludf.DUMMYFUNCTION("""COMPUTED_VALUE""")," Estimate ")</f>
        <v> Estimate </v>
      </c>
      <c r="E1258" s="86"/>
    </row>
    <row r="1259">
      <c r="A1259" s="4"/>
      <c r="B1259" s="85">
        <f>IFERROR(__xludf.DUMMYFUNCTION("""COMPUTED_VALUE"""),45333.60763888889)</f>
        <v>45333.60764</v>
      </c>
      <c r="C1259" s="4" t="str">
        <f>IFERROR(__xludf.DUMMYFUNCTION("""COMPUTED_VALUE""")," Estimate ")</f>
        <v> Estimate </v>
      </c>
      <c r="E1259" s="86"/>
    </row>
    <row r="1260">
      <c r="A1260" s="4"/>
      <c r="B1260" s="85">
        <f>IFERROR(__xludf.DUMMYFUNCTION("""COMPUTED_VALUE"""),45333.60902777778)</f>
        <v>45333.60903</v>
      </c>
      <c r="C1260" s="4" t="str">
        <f>IFERROR(__xludf.DUMMYFUNCTION("""COMPUTED_VALUE""")," Estimate ")</f>
        <v> Estimate </v>
      </c>
      <c r="E1260" s="86"/>
    </row>
    <row r="1261">
      <c r="A1261" s="4"/>
      <c r="B1261" s="85">
        <f>IFERROR(__xludf.DUMMYFUNCTION("""COMPUTED_VALUE"""),45333.61111111111)</f>
        <v>45333.61111</v>
      </c>
      <c r="C1261" s="4" t="str">
        <f>IFERROR(__xludf.DUMMYFUNCTION("""COMPUTED_VALUE""")," Estimate ")</f>
        <v> Estimate </v>
      </c>
      <c r="E1261" s="86"/>
    </row>
    <row r="1262">
      <c r="A1262" s="4"/>
      <c r="B1262" s="85">
        <f>IFERROR(__xludf.DUMMYFUNCTION("""COMPUTED_VALUE"""),45333.6125)</f>
        <v>45333.6125</v>
      </c>
      <c r="C1262" s="4" t="str">
        <f>IFERROR(__xludf.DUMMYFUNCTION("""COMPUTED_VALUE""")," Estimate ")</f>
        <v> Estimate </v>
      </c>
      <c r="E1262" s="86"/>
    </row>
    <row r="1263">
      <c r="A1263" s="4"/>
      <c r="B1263" s="85">
        <f>IFERROR(__xludf.DUMMYFUNCTION("""COMPUTED_VALUE"""),45333.61388888889)</f>
        <v>45333.61389</v>
      </c>
      <c r="C1263" s="4" t="str">
        <f>IFERROR(__xludf.DUMMYFUNCTION("""COMPUTED_VALUE""")," Estimate ")</f>
        <v> Estimate </v>
      </c>
      <c r="E1263" s="86"/>
    </row>
    <row r="1264">
      <c r="A1264" s="4"/>
      <c r="B1264" s="85">
        <f>IFERROR(__xludf.DUMMYFUNCTION("""COMPUTED_VALUE"""),45333.615277777775)</f>
        <v>45333.61528</v>
      </c>
      <c r="C1264" s="4" t="str">
        <f>IFERROR(__xludf.DUMMYFUNCTION("""COMPUTED_VALUE""")," Estimate ")</f>
        <v> Estimate </v>
      </c>
      <c r="E1264" s="86"/>
    </row>
    <row r="1265">
      <c r="A1265" s="4"/>
      <c r="B1265" s="85">
        <f>IFERROR(__xludf.DUMMYFUNCTION("""COMPUTED_VALUE"""),45333.617361111115)</f>
        <v>45333.61736</v>
      </c>
      <c r="C1265" s="4" t="str">
        <f>IFERROR(__xludf.DUMMYFUNCTION("""COMPUTED_VALUE""")," Estimate ")</f>
        <v> Estimate </v>
      </c>
      <c r="E1265" s="86"/>
    </row>
    <row r="1266">
      <c r="A1266" s="4"/>
      <c r="B1266" s="85">
        <f>IFERROR(__xludf.DUMMYFUNCTION("""COMPUTED_VALUE"""),45333.61875)</f>
        <v>45333.61875</v>
      </c>
      <c r="C1266" s="4" t="str">
        <f>IFERROR(__xludf.DUMMYFUNCTION("""COMPUTED_VALUE""")," Estimate ")</f>
        <v> Estimate </v>
      </c>
      <c r="E1266" s="86"/>
    </row>
    <row r="1267">
      <c r="A1267" s="4"/>
      <c r="B1267" s="85">
        <f>IFERROR(__xludf.DUMMYFUNCTION("""COMPUTED_VALUE"""),45333.61944444444)</f>
        <v>45333.61944</v>
      </c>
      <c r="C1267" s="4" t="str">
        <f>IFERROR(__xludf.DUMMYFUNCTION("""COMPUTED_VALUE""")," Estimate ")</f>
        <v> Estimate </v>
      </c>
      <c r="E1267" s="86"/>
    </row>
    <row r="1268">
      <c r="A1268" s="4"/>
      <c r="B1268" s="85">
        <f>IFERROR(__xludf.DUMMYFUNCTION("""COMPUTED_VALUE"""),45333.620833333334)</f>
        <v>45333.62083</v>
      </c>
      <c r="C1268" s="4" t="str">
        <f>IFERROR(__xludf.DUMMYFUNCTION("""COMPUTED_VALUE""")," Estimate ")</f>
        <v> Estimate </v>
      </c>
      <c r="E1268" s="86"/>
    </row>
    <row r="1269">
      <c r="A1269" s="4"/>
      <c r="B1269" s="85">
        <f>IFERROR(__xludf.DUMMYFUNCTION("""COMPUTED_VALUE"""),45333.62152777778)</f>
        <v>45333.62153</v>
      </c>
      <c r="C1269" s="4" t="str">
        <f>IFERROR(__xludf.DUMMYFUNCTION("""COMPUTED_VALUE""")," Estimate ")</f>
        <v> Estimate </v>
      </c>
      <c r="E1269" s="86"/>
    </row>
    <row r="1270">
      <c r="A1270" s="4"/>
      <c r="B1270" s="85">
        <f>IFERROR(__xludf.DUMMYFUNCTION("""COMPUTED_VALUE"""),45333.62222222222)</f>
        <v>45333.62222</v>
      </c>
      <c r="C1270" s="4" t="str">
        <f>IFERROR(__xludf.DUMMYFUNCTION("""COMPUTED_VALUE""")," Estimate ")</f>
        <v> Estimate </v>
      </c>
      <c r="E1270" s="86"/>
    </row>
    <row r="1271">
      <c r="A1271" s="4"/>
      <c r="B1271" s="85">
        <f>IFERROR(__xludf.DUMMYFUNCTION("""COMPUTED_VALUE"""),45333.62430555555)</f>
        <v>45333.62431</v>
      </c>
      <c r="C1271" s="4" t="str">
        <f>IFERROR(__xludf.DUMMYFUNCTION("""COMPUTED_VALUE""")," Estimate ")</f>
        <v> Estimate </v>
      </c>
      <c r="E1271" s="86"/>
    </row>
    <row r="1272">
      <c r="A1272" s="4"/>
      <c r="B1272" s="85">
        <f>IFERROR(__xludf.DUMMYFUNCTION("""COMPUTED_VALUE"""),45333.62708333333)</f>
        <v>45333.62708</v>
      </c>
      <c r="C1272" s="4" t="str">
        <f>IFERROR(__xludf.DUMMYFUNCTION("""COMPUTED_VALUE""")," Estimate ")</f>
        <v> Estimate </v>
      </c>
      <c r="E1272" s="86"/>
    </row>
    <row r="1273">
      <c r="A1273" s="4"/>
      <c r="B1273" s="85">
        <f>IFERROR(__xludf.DUMMYFUNCTION("""COMPUTED_VALUE"""),45337.652083333334)</f>
        <v>45337.65208</v>
      </c>
      <c r="C1273" s="4" t="str">
        <f>IFERROR(__xludf.DUMMYFUNCTION("""COMPUTED_VALUE""")," Estimate ")</f>
        <v> Estimate </v>
      </c>
      <c r="E1273" s="86"/>
    </row>
    <row r="1274">
      <c r="A1274" s="4"/>
      <c r="B1274" s="85">
        <f>IFERROR(__xludf.DUMMYFUNCTION("""COMPUTED_VALUE"""),45337.65347222222)</f>
        <v>45337.65347</v>
      </c>
      <c r="C1274" s="4" t="str">
        <f>IFERROR(__xludf.DUMMYFUNCTION("""COMPUTED_VALUE""")," Estimate ")</f>
        <v> Estimate </v>
      </c>
      <c r="E1274" s="86"/>
    </row>
    <row r="1275">
      <c r="A1275" s="4"/>
      <c r="B1275" s="85">
        <f>IFERROR(__xludf.DUMMYFUNCTION("""COMPUTED_VALUE"""),45337.65486111111)</f>
        <v>45337.65486</v>
      </c>
      <c r="C1275" s="4" t="str">
        <f>IFERROR(__xludf.DUMMYFUNCTION("""COMPUTED_VALUE""")," Estimate ")</f>
        <v> Estimate </v>
      </c>
      <c r="E1275" s="86"/>
    </row>
    <row r="1276">
      <c r="A1276" s="4"/>
      <c r="B1276" s="85">
        <f>IFERROR(__xludf.DUMMYFUNCTION("""COMPUTED_VALUE"""),45337.65625)</f>
        <v>45337.65625</v>
      </c>
      <c r="C1276" s="4" t="str">
        <f>IFERROR(__xludf.DUMMYFUNCTION("""COMPUTED_VALUE""")," Estimate ")</f>
        <v> Estimate </v>
      </c>
      <c r="E1276" s="86"/>
    </row>
    <row r="1277">
      <c r="A1277" s="4"/>
      <c r="B1277" s="85">
        <f>IFERROR(__xludf.DUMMYFUNCTION("""COMPUTED_VALUE"""),45337.65694444445)</f>
        <v>45337.65694</v>
      </c>
      <c r="C1277" s="4" t="str">
        <f>IFERROR(__xludf.DUMMYFUNCTION("""COMPUTED_VALUE""")," Estimate ")</f>
        <v> Estimate </v>
      </c>
      <c r="E1277" s="86"/>
    </row>
    <row r="1278">
      <c r="A1278" s="4"/>
      <c r="B1278" s="85">
        <f>IFERROR(__xludf.DUMMYFUNCTION("""COMPUTED_VALUE"""),45337.65833333333)</f>
        <v>45337.65833</v>
      </c>
      <c r="C1278" s="4" t="str">
        <f>IFERROR(__xludf.DUMMYFUNCTION("""COMPUTED_VALUE""")," Estimate ")</f>
        <v> Estimate </v>
      </c>
      <c r="E1278" s="86"/>
    </row>
    <row r="1279">
      <c r="A1279" s="4"/>
      <c r="B1279" s="85">
        <f>IFERROR(__xludf.DUMMYFUNCTION("""COMPUTED_VALUE"""),45337.65972222222)</f>
        <v>45337.65972</v>
      </c>
      <c r="C1279" s="4" t="str">
        <f>IFERROR(__xludf.DUMMYFUNCTION("""COMPUTED_VALUE""")," Estimate ")</f>
        <v> Estimate </v>
      </c>
      <c r="E1279" s="86"/>
    </row>
    <row r="1280">
      <c r="A1280" s="4"/>
      <c r="B1280" s="85">
        <f>IFERROR(__xludf.DUMMYFUNCTION("""COMPUTED_VALUE"""),45337.660416666666)</f>
        <v>45337.66042</v>
      </c>
      <c r="C1280" s="4" t="str">
        <f>IFERROR(__xludf.DUMMYFUNCTION("""COMPUTED_VALUE""")," Estimate ")</f>
        <v> Estimate </v>
      </c>
      <c r="E1280" s="86"/>
    </row>
    <row r="1281">
      <c r="A1281" s="4"/>
      <c r="B1281" s="85">
        <f>IFERROR(__xludf.DUMMYFUNCTION("""COMPUTED_VALUE"""),45337.66180555556)</f>
        <v>45337.66181</v>
      </c>
      <c r="C1281" s="4" t="str">
        <f>IFERROR(__xludf.DUMMYFUNCTION("""COMPUTED_VALUE""")," Estimate ")</f>
        <v> Estimate </v>
      </c>
      <c r="E1281" s="86"/>
    </row>
    <row r="1282">
      <c r="A1282" s="4"/>
      <c r="B1282" s="85">
        <f>IFERROR(__xludf.DUMMYFUNCTION("""COMPUTED_VALUE"""),45337.663888888885)</f>
        <v>45337.66389</v>
      </c>
      <c r="C1282" s="4" t="str">
        <f>IFERROR(__xludf.DUMMYFUNCTION("""COMPUTED_VALUE""")," Estimate ")</f>
        <v> Estimate </v>
      </c>
      <c r="E1282" s="86"/>
    </row>
    <row r="1283">
      <c r="A1283" s="4"/>
      <c r="B1283" s="85">
        <f>IFERROR(__xludf.DUMMYFUNCTION("""COMPUTED_VALUE"""),45337.66458333333)</f>
        <v>45337.66458</v>
      </c>
      <c r="C1283" s="4" t="str">
        <f>IFERROR(__xludf.DUMMYFUNCTION("""COMPUTED_VALUE""")," Estimate ")</f>
        <v> Estimate </v>
      </c>
      <c r="E1283" s="86"/>
    </row>
    <row r="1284">
      <c r="A1284" s="4"/>
      <c r="B1284" s="85">
        <f>IFERROR(__xludf.DUMMYFUNCTION("""COMPUTED_VALUE"""),45337.665972222225)</f>
        <v>45337.66597</v>
      </c>
      <c r="C1284" s="4" t="str">
        <f>IFERROR(__xludf.DUMMYFUNCTION("""COMPUTED_VALUE""")," Estimate ")</f>
        <v> Estimate </v>
      </c>
      <c r="E1284" s="86"/>
    </row>
    <row r="1285">
      <c r="A1285" s="4"/>
      <c r="B1285" s="85">
        <f>IFERROR(__xludf.DUMMYFUNCTION("""COMPUTED_VALUE"""),45337.66666666667)</f>
        <v>45337.66667</v>
      </c>
      <c r="C1285" s="4" t="str">
        <f>IFERROR(__xludf.DUMMYFUNCTION("""COMPUTED_VALUE""")," Estimate ")</f>
        <v> Estimate </v>
      </c>
      <c r="E1285" s="86"/>
    </row>
    <row r="1286">
      <c r="A1286" s="4"/>
      <c r="B1286" s="85">
        <f>IFERROR(__xludf.DUMMYFUNCTION("""COMPUTED_VALUE"""),45337.66736111111)</f>
        <v>45337.66736</v>
      </c>
      <c r="C1286" s="4" t="str">
        <f>IFERROR(__xludf.DUMMYFUNCTION("""COMPUTED_VALUE""")," Estimate ")</f>
        <v> Estimate </v>
      </c>
      <c r="E1286" s="86"/>
    </row>
    <row r="1287">
      <c r="A1287" s="4"/>
      <c r="B1287" s="85">
        <f>IFERROR(__xludf.DUMMYFUNCTION("""COMPUTED_VALUE"""),45337.66875)</f>
        <v>45337.66875</v>
      </c>
      <c r="C1287" s="4" t="str">
        <f>IFERROR(__xludf.DUMMYFUNCTION("""COMPUTED_VALUE""")," Estimate ")</f>
        <v> Estimate </v>
      </c>
      <c r="E1287" s="86"/>
    </row>
    <row r="1288">
      <c r="A1288" s="4"/>
      <c r="B1288" s="85">
        <f>IFERROR(__xludf.DUMMYFUNCTION("""COMPUTED_VALUE"""),45337.67013888889)</f>
        <v>45337.67014</v>
      </c>
      <c r="C1288" s="4" t="str">
        <f>IFERROR(__xludf.DUMMYFUNCTION("""COMPUTED_VALUE""")," Estimate ")</f>
        <v> Estimate </v>
      </c>
      <c r="E1288" s="86"/>
    </row>
    <row r="1289">
      <c r="A1289" s="4"/>
      <c r="B1289" s="85">
        <f>IFERROR(__xludf.DUMMYFUNCTION("""COMPUTED_VALUE"""),45337.67152777778)</f>
        <v>45337.67153</v>
      </c>
      <c r="C1289" s="4" t="str">
        <f>IFERROR(__xludf.DUMMYFUNCTION("""COMPUTED_VALUE""")," Estimate ")</f>
        <v> Estimate </v>
      </c>
      <c r="E1289" s="86"/>
    </row>
    <row r="1290">
      <c r="A1290" s="4"/>
      <c r="B1290" s="85">
        <f>IFERROR(__xludf.DUMMYFUNCTION("""COMPUTED_VALUE"""),45337.67291666666)</f>
        <v>45337.67292</v>
      </c>
      <c r="C1290" s="4" t="str">
        <f>IFERROR(__xludf.DUMMYFUNCTION("""COMPUTED_VALUE""")," Estimate ")</f>
        <v> Estimate </v>
      </c>
      <c r="E1290" s="86"/>
    </row>
    <row r="1291">
      <c r="A1291" s="4"/>
      <c r="B1291" s="85">
        <f>IFERROR(__xludf.DUMMYFUNCTION("""COMPUTED_VALUE"""),45337.674305555556)</f>
        <v>45337.67431</v>
      </c>
      <c r="C1291" s="4" t="str">
        <f>IFERROR(__xludf.DUMMYFUNCTION("""COMPUTED_VALUE""")," Estimate ")</f>
        <v> Estimate </v>
      </c>
      <c r="E1291" s="86"/>
    </row>
    <row r="1292">
      <c r="A1292" s="4"/>
      <c r="B1292" s="85">
        <f>IFERROR(__xludf.DUMMYFUNCTION("""COMPUTED_VALUE"""),45337.675)</f>
        <v>45337.675</v>
      </c>
      <c r="C1292" s="4" t="str">
        <f>IFERROR(__xludf.DUMMYFUNCTION("""COMPUTED_VALUE""")," Estimate ")</f>
        <v> Estimate </v>
      </c>
      <c r="E1292" s="86"/>
    </row>
    <row r="1293">
      <c r="A1293" s="4"/>
      <c r="B1293" s="85">
        <f>IFERROR(__xludf.DUMMYFUNCTION("""COMPUTED_VALUE"""),45337.67569444445)</f>
        <v>45337.67569</v>
      </c>
      <c r="C1293" s="4" t="str">
        <f>IFERROR(__xludf.DUMMYFUNCTION("""COMPUTED_VALUE""")," Estimate ")</f>
        <v> Estimate </v>
      </c>
      <c r="E1293" s="86"/>
    </row>
    <row r="1294">
      <c r="A1294" s="4"/>
      <c r="B1294" s="85">
        <f>IFERROR(__xludf.DUMMYFUNCTION("""COMPUTED_VALUE"""),45337.67638888889)</f>
        <v>45337.67639</v>
      </c>
      <c r="C1294" s="4" t="str">
        <f>IFERROR(__xludf.DUMMYFUNCTION("""COMPUTED_VALUE""")," Estimate ")</f>
        <v> Estimate </v>
      </c>
      <c r="E1294" s="86"/>
    </row>
    <row r="1295">
      <c r="A1295" s="4"/>
      <c r="B1295" s="85">
        <f>IFERROR(__xludf.DUMMYFUNCTION("""COMPUTED_VALUE"""),45337.677777777775)</f>
        <v>45337.67778</v>
      </c>
      <c r="C1295" s="4" t="str">
        <f>IFERROR(__xludf.DUMMYFUNCTION("""COMPUTED_VALUE""")," Estimate ")</f>
        <v> Estimate </v>
      </c>
      <c r="E1295" s="86"/>
    </row>
    <row r="1296">
      <c r="A1296" s="4"/>
      <c r="B1296" s="85">
        <f>IFERROR(__xludf.DUMMYFUNCTION("""COMPUTED_VALUE"""),45337.67847222222)</f>
        <v>45337.67847</v>
      </c>
      <c r="C1296" s="4" t="str">
        <f>IFERROR(__xludf.DUMMYFUNCTION("""COMPUTED_VALUE""")," Estimate ")</f>
        <v> Estimate </v>
      </c>
      <c r="E1296" s="86"/>
    </row>
    <row r="1297">
      <c r="A1297" s="4"/>
      <c r="B1297" s="85">
        <f>IFERROR(__xludf.DUMMYFUNCTION("""COMPUTED_VALUE"""),45337.679861111115)</f>
        <v>45337.67986</v>
      </c>
      <c r="C1297" s="4" t="str">
        <f>IFERROR(__xludf.DUMMYFUNCTION("""COMPUTED_VALUE""")," Estimate ")</f>
        <v> Estimate </v>
      </c>
      <c r="E1297" s="86"/>
    </row>
    <row r="1298">
      <c r="A1298" s="4"/>
      <c r="B1298" s="85">
        <f>IFERROR(__xludf.DUMMYFUNCTION("""COMPUTED_VALUE"""),45337.68125)</f>
        <v>45337.68125</v>
      </c>
      <c r="C1298" s="4" t="str">
        <f>IFERROR(__xludf.DUMMYFUNCTION("""COMPUTED_VALUE""")," Estimate ")</f>
        <v> Estimate </v>
      </c>
      <c r="E1298" s="86"/>
    </row>
    <row r="1299">
      <c r="A1299" s="4"/>
      <c r="B1299" s="85">
        <f>IFERROR(__xludf.DUMMYFUNCTION("""COMPUTED_VALUE"""),45337.68263888889)</f>
        <v>45337.68264</v>
      </c>
      <c r="C1299" s="4" t="str">
        <f>IFERROR(__xludf.DUMMYFUNCTION("""COMPUTED_VALUE""")," Estimate ")</f>
        <v> Estimate </v>
      </c>
      <c r="E1299" s="86"/>
    </row>
    <row r="1300">
      <c r="A1300" s="4"/>
      <c r="B1300" s="85">
        <f>IFERROR(__xludf.DUMMYFUNCTION("""COMPUTED_VALUE"""),45337.683333333334)</f>
        <v>45337.68333</v>
      </c>
      <c r="C1300" s="4" t="str">
        <f>IFERROR(__xludf.DUMMYFUNCTION("""COMPUTED_VALUE""")," Estimate ")</f>
        <v> Estimate </v>
      </c>
      <c r="E1300" s="86"/>
    </row>
    <row r="1301">
      <c r="A1301" s="4"/>
      <c r="B1301" s="85">
        <f>IFERROR(__xludf.DUMMYFUNCTION("""COMPUTED_VALUE"""),45337.68402777778)</f>
        <v>45337.68403</v>
      </c>
      <c r="C1301" s="4" t="str">
        <f>IFERROR(__xludf.DUMMYFUNCTION("""COMPUTED_VALUE""")," Estimate ")</f>
        <v> Estimate </v>
      </c>
      <c r="E1301" s="86"/>
    </row>
    <row r="1302">
      <c r="A1302" s="4"/>
      <c r="B1302" s="85">
        <f>IFERROR(__xludf.DUMMYFUNCTION("""COMPUTED_VALUE"""),45492.5375)</f>
        <v>45492.5375</v>
      </c>
      <c r="C1302" s="4" t="str">
        <f>IFERROR(__xludf.DUMMYFUNCTION("""COMPUTED_VALUE""")," Estimate ")</f>
        <v> Estimate </v>
      </c>
      <c r="E1302" s="86"/>
    </row>
    <row r="1303">
      <c r="A1303" s="4"/>
      <c r="B1303" s="85">
        <f>IFERROR(__xludf.DUMMYFUNCTION("""COMPUTED_VALUE"""),45492.538888888885)</f>
        <v>45492.53889</v>
      </c>
      <c r="C1303" s="4" t="str">
        <f>IFERROR(__xludf.DUMMYFUNCTION("""COMPUTED_VALUE""")," Estimate ")</f>
        <v> Estimate </v>
      </c>
      <c r="E1303" s="86"/>
    </row>
    <row r="1304">
      <c r="A1304" s="4"/>
      <c r="B1304" s="85">
        <f>IFERROR(__xludf.DUMMYFUNCTION("""COMPUTED_VALUE"""),45492.53958333333)</f>
        <v>45492.53958</v>
      </c>
      <c r="C1304" s="4" t="str">
        <f>IFERROR(__xludf.DUMMYFUNCTION("""COMPUTED_VALUE""")," Estimate ")</f>
        <v> Estimate </v>
      </c>
      <c r="E1304" s="86"/>
    </row>
    <row r="1305">
      <c r="A1305" s="4"/>
      <c r="B1305" s="85">
        <f>IFERROR(__xludf.DUMMYFUNCTION("""COMPUTED_VALUE"""),45492.54166666667)</f>
        <v>45492.54167</v>
      </c>
      <c r="C1305" s="4" t="str">
        <f>IFERROR(__xludf.DUMMYFUNCTION("""COMPUTED_VALUE""")," Estimate ")</f>
        <v> Estimate </v>
      </c>
      <c r="E1305" s="86"/>
    </row>
    <row r="1306">
      <c r="A1306" s="4"/>
      <c r="B1306" s="85">
        <f>IFERROR(__xludf.DUMMYFUNCTION("""COMPUTED_VALUE"""),45492.54236111111)</f>
        <v>45492.54236</v>
      </c>
      <c r="C1306" s="4" t="str">
        <f>IFERROR(__xludf.DUMMYFUNCTION("""COMPUTED_VALUE""")," Estimate ")</f>
        <v> Estimate </v>
      </c>
      <c r="E1306" s="86"/>
    </row>
    <row r="1307">
      <c r="A1307" s="4"/>
      <c r="B1307" s="85">
        <f>IFERROR(__xludf.DUMMYFUNCTION("""COMPUTED_VALUE"""),45498.51388888889)</f>
        <v>45498.51389</v>
      </c>
      <c r="C1307" s="4" t="str">
        <f>IFERROR(__xludf.DUMMYFUNCTION("""COMPUTED_VALUE""")," Estimate ")</f>
        <v> Estimate </v>
      </c>
      <c r="E1307" s="86"/>
    </row>
    <row r="1308">
      <c r="A1308" s="4"/>
      <c r="B1308" s="85">
        <f>IFERROR(__xludf.DUMMYFUNCTION("""COMPUTED_VALUE"""),45498.52777777778)</f>
        <v>45498.52778</v>
      </c>
      <c r="C1308" s="4" t="str">
        <f>IFERROR(__xludf.DUMMYFUNCTION("""COMPUTED_VALUE""")," Estimate ")</f>
        <v> Estimate </v>
      </c>
      <c r="E1308" s="86"/>
    </row>
    <row r="1309">
      <c r="A1309" s="4"/>
      <c r="B1309" s="85">
        <f>IFERROR(__xludf.DUMMYFUNCTION("""COMPUTED_VALUE"""),45501.78611111111)</f>
        <v>45501.78611</v>
      </c>
      <c r="C1309" s="4" t="str">
        <f>IFERROR(__xludf.DUMMYFUNCTION("""COMPUTED_VALUE""")," Estimate ")</f>
        <v> Estimate </v>
      </c>
      <c r="E1309" s="86"/>
    </row>
    <row r="1310">
      <c r="A1310" s="4"/>
      <c r="B1310" s="85">
        <f>IFERROR(__xludf.DUMMYFUNCTION("""COMPUTED_VALUE"""),45504.61111111111)</f>
        <v>45504.61111</v>
      </c>
      <c r="C1310" s="4" t="str">
        <f>IFERROR(__xludf.DUMMYFUNCTION("""COMPUTED_VALUE""")," Estimate ")</f>
        <v> Estimate </v>
      </c>
      <c r="E1310" s="86"/>
    </row>
    <row r="1311">
      <c r="A1311" s="4"/>
      <c r="B1311" s="85">
        <f>IFERROR(__xludf.DUMMYFUNCTION("""COMPUTED_VALUE"""),45506.558333333334)</f>
        <v>45506.55833</v>
      </c>
      <c r="C1311" s="4" t="str">
        <f>IFERROR(__xludf.DUMMYFUNCTION("""COMPUTED_VALUE""")," Estimate ")</f>
        <v> Estimate </v>
      </c>
      <c r="E1311" s="86"/>
    </row>
    <row r="1312">
      <c r="A1312" s="4"/>
      <c r="B1312" s="85">
        <f>IFERROR(__xludf.DUMMYFUNCTION("""COMPUTED_VALUE"""),45506.56527777778)</f>
        <v>45506.56528</v>
      </c>
      <c r="C1312" s="4" t="str">
        <f>IFERROR(__xludf.DUMMYFUNCTION("""COMPUTED_VALUE""")," Estimate ")</f>
        <v> Estimate </v>
      </c>
      <c r="E1312" s="86"/>
    </row>
    <row r="1313">
      <c r="A1313" s="4"/>
      <c r="B1313" s="85">
        <f>IFERROR(__xludf.DUMMYFUNCTION("""COMPUTED_VALUE"""),45514.56597222222)</f>
        <v>45514.56597</v>
      </c>
      <c r="C1313" s="4" t="str">
        <f>IFERROR(__xludf.DUMMYFUNCTION("""COMPUTED_VALUE""")," Estimate ")</f>
        <v> Estimate </v>
      </c>
      <c r="E1313" s="86"/>
    </row>
    <row r="1314">
      <c r="A1314" s="4"/>
      <c r="B1314" s="85">
        <f>IFERROR(__xludf.DUMMYFUNCTION("""COMPUTED_VALUE"""),45514.788194444445)</f>
        <v>45514.78819</v>
      </c>
      <c r="C1314" s="4" t="str">
        <f>IFERROR(__xludf.DUMMYFUNCTION("""COMPUTED_VALUE""")," Estimate ")</f>
        <v> Estimate </v>
      </c>
      <c r="E1314" s="86"/>
    </row>
    <row r="1315">
      <c r="A1315" s="4"/>
      <c r="B1315" s="85">
        <f>IFERROR(__xludf.DUMMYFUNCTION("""COMPUTED_VALUE"""),45527.57361111111)</f>
        <v>45527.57361</v>
      </c>
      <c r="C1315" s="4" t="str">
        <f>IFERROR(__xludf.DUMMYFUNCTION("""COMPUTED_VALUE""")," Estimate ")</f>
        <v> Estimate </v>
      </c>
      <c r="E1315" s="86"/>
    </row>
    <row r="1316">
      <c r="A1316" s="4"/>
      <c r="B1316" s="85">
        <f>IFERROR(__xludf.DUMMYFUNCTION("""COMPUTED_VALUE"""),45539.695138888885)</f>
        <v>45539.69514</v>
      </c>
      <c r="C1316" s="4" t="str">
        <f>IFERROR(__xludf.DUMMYFUNCTION("""COMPUTED_VALUE""")," Estimate ")</f>
        <v> Estimate </v>
      </c>
      <c r="E1316" s="86"/>
    </row>
    <row r="1317">
      <c r="A1317" s="4"/>
      <c r="B1317" s="85">
        <f>IFERROR(__xludf.DUMMYFUNCTION("""COMPUTED_VALUE"""),45539.69791666667)</f>
        <v>45539.69792</v>
      </c>
      <c r="C1317" s="4" t="str">
        <f>IFERROR(__xludf.DUMMYFUNCTION("""COMPUTED_VALUE""")," Estimate ")</f>
        <v> Estimate </v>
      </c>
      <c r="E1317" s="86"/>
    </row>
    <row r="1318">
      <c r="A1318" s="4"/>
      <c r="B1318" s="85">
        <f>IFERROR(__xludf.DUMMYFUNCTION("""COMPUTED_VALUE"""),45539.69930555555)</f>
        <v>45539.69931</v>
      </c>
      <c r="C1318" s="4" t="str">
        <f>IFERROR(__xludf.DUMMYFUNCTION("""COMPUTED_VALUE""")," Estimate ")</f>
        <v> Estimate </v>
      </c>
      <c r="E1318" s="86"/>
    </row>
    <row r="1319">
      <c r="A1319" s="4"/>
      <c r="B1319" s="85">
        <f>IFERROR(__xludf.DUMMYFUNCTION("""COMPUTED_VALUE"""),45539.70138888889)</f>
        <v>45539.70139</v>
      </c>
      <c r="C1319" s="4" t="str">
        <f>IFERROR(__xludf.DUMMYFUNCTION("""COMPUTED_VALUE""")," Estimate ")</f>
        <v> Estimate </v>
      </c>
      <c r="E1319" s="86"/>
    </row>
    <row r="1320">
      <c r="A1320" s="4"/>
      <c r="B1320" s="85">
        <f>IFERROR(__xludf.DUMMYFUNCTION("""COMPUTED_VALUE"""),45543.49722222222)</f>
        <v>45543.49722</v>
      </c>
      <c r="C1320" s="4" t="str">
        <f>IFERROR(__xludf.DUMMYFUNCTION("""COMPUTED_VALUE""")," Estimate ")</f>
        <v> Estimate </v>
      </c>
      <c r="E1320" s="86"/>
    </row>
    <row r="1321">
      <c r="A1321" s="4"/>
      <c r="B1321" s="85">
        <f>IFERROR(__xludf.DUMMYFUNCTION("""COMPUTED_VALUE"""),45543.49930555555)</f>
        <v>45543.49931</v>
      </c>
      <c r="C1321" s="4" t="str">
        <f>IFERROR(__xludf.DUMMYFUNCTION("""COMPUTED_VALUE""")," Estimate ")</f>
        <v> Estimate </v>
      </c>
      <c r="E1321" s="86"/>
    </row>
    <row r="1322">
      <c r="A1322" s="4"/>
      <c r="B1322" s="85">
        <f>IFERROR(__xludf.DUMMYFUNCTION("""COMPUTED_VALUE"""),45559.62430555555)</f>
        <v>45559.62431</v>
      </c>
      <c r="C1322" s="4" t="str">
        <f>IFERROR(__xludf.DUMMYFUNCTION("""COMPUTED_VALUE""")," Estimate ")</f>
        <v> Estimate </v>
      </c>
      <c r="E1322" s="86"/>
    </row>
    <row r="1323">
      <c r="A1323" s="4"/>
      <c r="B1323" s="85">
        <f>IFERROR(__xludf.DUMMYFUNCTION("""COMPUTED_VALUE"""),45559.62777777778)</f>
        <v>45559.62778</v>
      </c>
      <c r="C1323" s="4" t="str">
        <f>IFERROR(__xludf.DUMMYFUNCTION("""COMPUTED_VALUE""")," Estimate ")</f>
        <v> Estimate </v>
      </c>
      <c r="E1323" s="86"/>
    </row>
    <row r="1324">
      <c r="A1324" s="4"/>
      <c r="B1324" s="85">
        <f>IFERROR(__xludf.DUMMYFUNCTION("""COMPUTED_VALUE"""),45559.62986111111)</f>
        <v>45559.62986</v>
      </c>
      <c r="C1324" s="4" t="str">
        <f>IFERROR(__xludf.DUMMYFUNCTION("""COMPUTED_VALUE""")," Estimate ")</f>
        <v> Estimate </v>
      </c>
      <c r="E1324" s="86"/>
    </row>
    <row r="1325">
      <c r="A1325" s="4"/>
      <c r="B1325" s="85">
        <f>IFERROR(__xludf.DUMMYFUNCTION("""COMPUTED_VALUE"""),45559.63611111111)</f>
        <v>45559.63611</v>
      </c>
      <c r="C1325" s="4" t="str">
        <f>IFERROR(__xludf.DUMMYFUNCTION("""COMPUTED_VALUE""")," Estimate ")</f>
        <v> Estimate </v>
      </c>
      <c r="E1325" s="86"/>
    </row>
    <row r="1326">
      <c r="A1326" s="4"/>
      <c r="B1326" s="85">
        <f>IFERROR(__xludf.DUMMYFUNCTION("""COMPUTED_VALUE"""),45562.51458333334)</f>
        <v>45562.51458</v>
      </c>
      <c r="C1326" s="4" t="str">
        <f>IFERROR(__xludf.DUMMYFUNCTION("""COMPUTED_VALUE""")," Estimate ")</f>
        <v> Estimate </v>
      </c>
      <c r="E1326" s="86"/>
    </row>
    <row r="1327">
      <c r="A1327" s="4"/>
      <c r="B1327" s="85">
        <f>IFERROR(__xludf.DUMMYFUNCTION("""COMPUTED_VALUE"""),45563.66111111111)</f>
        <v>45563.66111</v>
      </c>
      <c r="C1327" s="4" t="str">
        <f>IFERROR(__xludf.DUMMYFUNCTION("""COMPUTED_VALUE""")," Estimate ")</f>
        <v> Estimate </v>
      </c>
      <c r="E1327" s="86"/>
    </row>
    <row r="1328">
      <c r="A1328" s="4"/>
      <c r="B1328" s="85">
        <f>IFERROR(__xludf.DUMMYFUNCTION("""COMPUTED_VALUE"""),45566.64583333333)</f>
        <v>45566.64583</v>
      </c>
      <c r="C1328" s="4" t="str">
        <f>IFERROR(__xludf.DUMMYFUNCTION("""COMPUTED_VALUE""")," Estimate ")</f>
        <v> Estimate </v>
      </c>
      <c r="E1328" s="86"/>
    </row>
    <row r="1329">
      <c r="A1329" s="4"/>
      <c r="B1329" s="85">
        <f>IFERROR(__xludf.DUMMYFUNCTION("""COMPUTED_VALUE"""),45566.71319444444)</f>
        <v>45566.71319</v>
      </c>
      <c r="C1329" s="4" t="str">
        <f>IFERROR(__xludf.DUMMYFUNCTION("""COMPUTED_VALUE""")," Estimate ")</f>
        <v> Estimate </v>
      </c>
      <c r="E1329" s="86"/>
    </row>
    <row r="1330">
      <c r="A1330" s="4"/>
      <c r="B1330" s="85">
        <f>IFERROR(__xludf.DUMMYFUNCTION("""COMPUTED_VALUE"""),45566.754166666666)</f>
        <v>45566.75417</v>
      </c>
      <c r="C1330" s="4" t="str">
        <f>IFERROR(__xludf.DUMMYFUNCTION("""COMPUTED_VALUE""")," Estimate ")</f>
        <v> Estimate </v>
      </c>
      <c r="E1330" s="86"/>
    </row>
    <row r="1331">
      <c r="A1331" s="4"/>
      <c r="B1331" s="85">
        <f>IFERROR(__xludf.DUMMYFUNCTION("""COMPUTED_VALUE"""),45566.77986111111)</f>
        <v>45566.77986</v>
      </c>
      <c r="C1331" s="4" t="str">
        <f>IFERROR(__xludf.DUMMYFUNCTION("""COMPUTED_VALUE""")," Estimate ")</f>
        <v> Estimate </v>
      </c>
      <c r="E1331" s="86"/>
    </row>
    <row r="1332">
      <c r="A1332" s="4"/>
      <c r="B1332" s="85">
        <f>IFERROR(__xludf.DUMMYFUNCTION("""COMPUTED_VALUE"""),45568.77638888889)</f>
        <v>45568.77639</v>
      </c>
      <c r="C1332" s="4" t="str">
        <f>IFERROR(__xludf.DUMMYFUNCTION("""COMPUTED_VALUE""")," Estimate ")</f>
        <v> Estimate </v>
      </c>
      <c r="E1332" s="86"/>
    </row>
    <row r="1333">
      <c r="A1333" s="4"/>
      <c r="B1333" s="85">
        <f>IFERROR(__xludf.DUMMYFUNCTION("""COMPUTED_VALUE"""),45575.649305555555)</f>
        <v>45575.64931</v>
      </c>
      <c r="C1333" s="4" t="str">
        <f>IFERROR(__xludf.DUMMYFUNCTION("""COMPUTED_VALUE""")," Estimate ")</f>
        <v> Estimate </v>
      </c>
      <c r="E1333" s="86"/>
    </row>
    <row r="1334">
      <c r="A1334" s="4"/>
      <c r="B1334" s="85">
        <f>IFERROR(__xludf.DUMMYFUNCTION("""COMPUTED_VALUE"""),45575.652083333334)</f>
        <v>45575.65208</v>
      </c>
      <c r="C1334" s="4" t="str">
        <f>IFERROR(__xludf.DUMMYFUNCTION("""COMPUTED_VALUE""")," Estimate ")</f>
        <v> Estimate </v>
      </c>
      <c r="E1334" s="86"/>
    </row>
    <row r="1335">
      <c r="A1335" s="4"/>
      <c r="B1335" s="85">
        <f>IFERROR(__xludf.DUMMYFUNCTION("""COMPUTED_VALUE"""),45575.65277777778)</f>
        <v>45575.65278</v>
      </c>
      <c r="C1335" s="4" t="str">
        <f>IFERROR(__xludf.DUMMYFUNCTION("""COMPUTED_VALUE""")," Estimate ")</f>
        <v> Estimate </v>
      </c>
      <c r="E1335" s="86"/>
    </row>
    <row r="1336">
      <c r="A1336" s="4"/>
      <c r="B1336" s="85">
        <f>IFERROR(__xludf.DUMMYFUNCTION("""COMPUTED_VALUE"""),45583.70625)</f>
        <v>45583.70625</v>
      </c>
      <c r="C1336" s="4" t="str">
        <f>IFERROR(__xludf.DUMMYFUNCTION("""COMPUTED_VALUE""")," Estimate ")</f>
        <v> Estimate </v>
      </c>
      <c r="E1336" s="86"/>
    </row>
    <row r="1337">
      <c r="A1337" s="4"/>
      <c r="B1337" s="85">
        <f>IFERROR(__xludf.DUMMYFUNCTION("""COMPUTED_VALUE"""),45583.71527777778)</f>
        <v>45583.71528</v>
      </c>
      <c r="C1337" s="4" t="str">
        <f>IFERROR(__xludf.DUMMYFUNCTION("""COMPUTED_VALUE""")," Estimate ")</f>
        <v> Estimate </v>
      </c>
      <c r="E1337" s="86"/>
    </row>
    <row r="1338">
      <c r="A1338" s="4"/>
      <c r="B1338" s="85">
        <f>IFERROR(__xludf.DUMMYFUNCTION("""COMPUTED_VALUE"""),45588.62777777778)</f>
        <v>45588.62778</v>
      </c>
      <c r="C1338" s="4" t="str">
        <f>IFERROR(__xludf.DUMMYFUNCTION("""COMPUTED_VALUE""")," Estimate ")</f>
        <v> Estimate </v>
      </c>
      <c r="E1338" s="86"/>
    </row>
    <row r="1339">
      <c r="A1339" s="4"/>
      <c r="B1339" s="85">
        <f>IFERROR(__xludf.DUMMYFUNCTION("""COMPUTED_VALUE"""),45588.62986111111)</f>
        <v>45588.62986</v>
      </c>
      <c r="C1339" s="4" t="str">
        <f>IFERROR(__xludf.DUMMYFUNCTION("""COMPUTED_VALUE""")," Estimate ")</f>
        <v> Estimate </v>
      </c>
      <c r="E1339" s="86"/>
    </row>
    <row r="1340">
      <c r="A1340" s="4"/>
      <c r="B1340" s="85">
        <f>IFERROR(__xludf.DUMMYFUNCTION("""COMPUTED_VALUE"""),45588.631944444445)</f>
        <v>45588.63194</v>
      </c>
      <c r="C1340" s="4" t="str">
        <f>IFERROR(__xludf.DUMMYFUNCTION("""COMPUTED_VALUE""")," Estimate ")</f>
        <v> Estimate </v>
      </c>
      <c r="E1340" s="86"/>
    </row>
    <row r="1341">
      <c r="A1341" s="4"/>
      <c r="B1341" s="85">
        <f>IFERROR(__xludf.DUMMYFUNCTION("""COMPUTED_VALUE"""),45588.69097222222)</f>
        <v>45588.69097</v>
      </c>
      <c r="C1341" s="4" t="str">
        <f>IFERROR(__xludf.DUMMYFUNCTION("""COMPUTED_VALUE""")," Estimate ")</f>
        <v> Estimate </v>
      </c>
      <c r="E1341" s="86"/>
    </row>
    <row r="1342">
      <c r="A1342" s="4"/>
      <c r="B1342" s="85">
        <f>IFERROR(__xludf.DUMMYFUNCTION("""COMPUTED_VALUE"""),45588.695138888885)</f>
        <v>45588.69514</v>
      </c>
      <c r="C1342" s="4" t="str">
        <f>IFERROR(__xludf.DUMMYFUNCTION("""COMPUTED_VALUE""")," Estimate ")</f>
        <v> Estimate </v>
      </c>
      <c r="E1342" s="86"/>
    </row>
    <row r="1343">
      <c r="A1343" s="4"/>
      <c r="B1343" s="85">
        <f>IFERROR(__xludf.DUMMYFUNCTION("""COMPUTED_VALUE"""),45588.69652777778)</f>
        <v>45588.69653</v>
      </c>
      <c r="C1343" s="4" t="str">
        <f>IFERROR(__xludf.DUMMYFUNCTION("""COMPUTED_VALUE""")," Estimate ")</f>
        <v> Estimate </v>
      </c>
      <c r="E1343" s="86"/>
    </row>
    <row r="1344">
      <c r="A1344" s="4"/>
      <c r="B1344" s="85">
        <f>IFERROR(__xludf.DUMMYFUNCTION("""COMPUTED_VALUE"""),45588.7)</f>
        <v>45588.7</v>
      </c>
      <c r="C1344" s="4" t="str">
        <f>IFERROR(__xludf.DUMMYFUNCTION("""COMPUTED_VALUE""")," Estimate ")</f>
        <v> Estimate </v>
      </c>
      <c r="E1344" s="86"/>
    </row>
    <row r="1345">
      <c r="A1345" s="4"/>
      <c r="B1345" s="85">
        <f>IFERROR(__xludf.DUMMYFUNCTION("""COMPUTED_VALUE"""),45589.62777777778)</f>
        <v>45589.62778</v>
      </c>
      <c r="C1345" s="4" t="str">
        <f>IFERROR(__xludf.DUMMYFUNCTION("""COMPUTED_VALUE""")," Estimate ")</f>
        <v> Estimate </v>
      </c>
      <c r="E1345" s="86"/>
    </row>
    <row r="1346">
      <c r="A1346" s="4"/>
      <c r="B1346" s="85">
        <f>IFERROR(__xludf.DUMMYFUNCTION("""COMPUTED_VALUE"""),45591.66736111111)</f>
        <v>45591.66736</v>
      </c>
      <c r="C1346" s="4" t="str">
        <f>IFERROR(__xludf.DUMMYFUNCTION("""COMPUTED_VALUE""")," Estimate ")</f>
        <v> Estimate </v>
      </c>
      <c r="E1346" s="86"/>
    </row>
    <row r="1347">
      <c r="A1347" s="4"/>
      <c r="B1347" s="85">
        <f>IFERROR(__xludf.DUMMYFUNCTION("""COMPUTED_VALUE"""),45594.61041666666)</f>
        <v>45594.61042</v>
      </c>
      <c r="C1347" s="4" t="str">
        <f>IFERROR(__xludf.DUMMYFUNCTION("""COMPUTED_VALUE""")," Estimate ")</f>
        <v> Estimate </v>
      </c>
      <c r="E1347" s="86"/>
    </row>
    <row r="1348">
      <c r="A1348" s="4"/>
      <c r="B1348" s="85">
        <f>IFERROR(__xludf.DUMMYFUNCTION("""COMPUTED_VALUE"""),45594.76666666666)</f>
        <v>45594.76667</v>
      </c>
      <c r="C1348" s="4" t="str">
        <f>IFERROR(__xludf.DUMMYFUNCTION("""COMPUTED_VALUE""")," Estimate ")</f>
        <v> Estimate </v>
      </c>
      <c r="E1348" s="86"/>
    </row>
    <row r="1349">
      <c r="A1349" s="4"/>
      <c r="B1349" s="85">
        <f>IFERROR(__xludf.DUMMYFUNCTION("""COMPUTED_VALUE"""),45594.76875)</f>
        <v>45594.76875</v>
      </c>
      <c r="C1349" s="4" t="str">
        <f>IFERROR(__xludf.DUMMYFUNCTION("""COMPUTED_VALUE""")," Estimate ")</f>
        <v> Estimate </v>
      </c>
      <c r="E1349" s="86"/>
    </row>
    <row r="1350">
      <c r="A1350" s="4"/>
      <c r="B1350" s="85">
        <f>IFERROR(__xludf.DUMMYFUNCTION("""COMPUTED_VALUE"""),45594.76944444445)</f>
        <v>45594.76944</v>
      </c>
      <c r="C1350" s="4" t="str">
        <f>IFERROR(__xludf.DUMMYFUNCTION("""COMPUTED_VALUE""")," Estimate ")</f>
        <v> Estimate </v>
      </c>
      <c r="E1350" s="86"/>
    </row>
    <row r="1351">
      <c r="A1351" s="4"/>
      <c r="B1351" s="85">
        <f>IFERROR(__xludf.DUMMYFUNCTION("""COMPUTED_VALUE"""),45594.77083333333)</f>
        <v>45594.77083</v>
      </c>
      <c r="C1351" s="4" t="str">
        <f>IFERROR(__xludf.DUMMYFUNCTION("""COMPUTED_VALUE""")," Estimate ")</f>
        <v> Estimate </v>
      </c>
      <c r="E1351" s="86"/>
    </row>
    <row r="1352">
      <c r="A1352" s="4"/>
      <c r="B1352" s="85">
        <f>IFERROR(__xludf.DUMMYFUNCTION("""COMPUTED_VALUE"""),45594.77291666667)</f>
        <v>45594.77292</v>
      </c>
      <c r="C1352" s="4" t="str">
        <f>IFERROR(__xludf.DUMMYFUNCTION("""COMPUTED_VALUE""")," Estimate ")</f>
        <v> Estimate </v>
      </c>
      <c r="E1352" s="86"/>
    </row>
    <row r="1353">
      <c r="A1353" s="4"/>
      <c r="B1353" s="85">
        <f>IFERROR(__xludf.DUMMYFUNCTION("""COMPUTED_VALUE"""),45594.774305555555)</f>
        <v>45594.77431</v>
      </c>
      <c r="C1353" s="4" t="str">
        <f>IFERROR(__xludf.DUMMYFUNCTION("""COMPUTED_VALUE""")," Estimate ")</f>
        <v> Estimate </v>
      </c>
      <c r="E1353" s="86"/>
    </row>
    <row r="1354">
      <c r="A1354" s="4"/>
      <c r="B1354" s="85">
        <f>IFERROR(__xludf.DUMMYFUNCTION("""COMPUTED_VALUE"""),45594.77638888889)</f>
        <v>45594.77639</v>
      </c>
      <c r="C1354" s="4" t="str">
        <f>IFERROR(__xludf.DUMMYFUNCTION("""COMPUTED_VALUE""")," Estimate ")</f>
        <v> Estimate </v>
      </c>
      <c r="E1354" s="86"/>
    </row>
    <row r="1355">
      <c r="A1355" s="4"/>
      <c r="B1355" s="85">
        <f>IFERROR(__xludf.DUMMYFUNCTION("""COMPUTED_VALUE"""),45594.77777777778)</f>
        <v>45594.77778</v>
      </c>
      <c r="C1355" s="4" t="str">
        <f>IFERROR(__xludf.DUMMYFUNCTION("""COMPUTED_VALUE""")," Estimate ")</f>
        <v> Estimate </v>
      </c>
      <c r="E1355" s="86"/>
    </row>
    <row r="1356">
      <c r="A1356" s="4"/>
      <c r="B1356" s="85">
        <f>IFERROR(__xludf.DUMMYFUNCTION("""COMPUTED_VALUE"""),45594.78125)</f>
        <v>45594.78125</v>
      </c>
      <c r="C1356" s="4" t="str">
        <f>IFERROR(__xludf.DUMMYFUNCTION("""COMPUTED_VALUE""")," Estimate ")</f>
        <v> Estimate </v>
      </c>
      <c r="E1356" s="86"/>
    </row>
    <row r="1357">
      <c r="A1357" s="4"/>
      <c r="B1357" s="85">
        <f>IFERROR(__xludf.DUMMYFUNCTION("""COMPUTED_VALUE"""),45603.679861111115)</f>
        <v>45603.67986</v>
      </c>
      <c r="C1357" s="4" t="str">
        <f>IFERROR(__xludf.DUMMYFUNCTION("""COMPUTED_VALUE""")," Estimate ")</f>
        <v> Estimate </v>
      </c>
      <c r="E1357" s="86"/>
    </row>
    <row r="1358">
      <c r="A1358" s="4"/>
      <c r="B1358" s="85">
        <f>IFERROR(__xludf.DUMMYFUNCTION("""COMPUTED_VALUE"""),45603.68472222222)</f>
        <v>45603.68472</v>
      </c>
      <c r="C1358" s="4" t="str">
        <f>IFERROR(__xludf.DUMMYFUNCTION("""COMPUTED_VALUE""")," Estimate ")</f>
        <v> Estimate </v>
      </c>
      <c r="E1358" s="86"/>
    </row>
    <row r="1359">
      <c r="A1359" s="4"/>
      <c r="B1359" s="85">
        <f>IFERROR(__xludf.DUMMYFUNCTION("""COMPUTED_VALUE"""),45603.68680555555)</f>
        <v>45603.68681</v>
      </c>
      <c r="C1359" s="4" t="str">
        <f>IFERROR(__xludf.DUMMYFUNCTION("""COMPUTED_VALUE""")," Estimate ")</f>
        <v> Estimate </v>
      </c>
      <c r="E1359" s="86"/>
    </row>
    <row r="1360">
      <c r="A1360" s="4"/>
      <c r="B1360" s="85">
        <f>IFERROR(__xludf.DUMMYFUNCTION("""COMPUTED_VALUE"""),45603.69027777778)</f>
        <v>45603.69028</v>
      </c>
      <c r="C1360" s="4" t="str">
        <f>IFERROR(__xludf.DUMMYFUNCTION("""COMPUTED_VALUE""")," Estimate ")</f>
        <v> Estimate </v>
      </c>
      <c r="E1360" s="86"/>
    </row>
    <row r="1361">
      <c r="A1361" s="4"/>
      <c r="B1361" s="85">
        <f>IFERROR(__xludf.DUMMYFUNCTION("""COMPUTED_VALUE"""),45603.69652777778)</f>
        <v>45603.69653</v>
      </c>
      <c r="C1361" s="4" t="str">
        <f>IFERROR(__xludf.DUMMYFUNCTION("""COMPUTED_VALUE""")," Estimate ")</f>
        <v> Estimate </v>
      </c>
      <c r="E1361" s="86"/>
    </row>
    <row r="1362">
      <c r="A1362" s="4"/>
      <c r="B1362" s="85">
        <f>IFERROR(__xludf.DUMMYFUNCTION("""COMPUTED_VALUE"""),45603.69930555555)</f>
        <v>45603.69931</v>
      </c>
      <c r="C1362" s="4" t="str">
        <f>IFERROR(__xludf.DUMMYFUNCTION("""COMPUTED_VALUE""")," Estimate ")</f>
        <v> Estimate </v>
      </c>
      <c r="E1362" s="86"/>
    </row>
    <row r="1363">
      <c r="A1363" s="4"/>
      <c r="B1363" s="85">
        <f>IFERROR(__xludf.DUMMYFUNCTION("""COMPUTED_VALUE"""),45603.700694444444)</f>
        <v>45603.70069</v>
      </c>
      <c r="C1363" s="4" t="str">
        <f>IFERROR(__xludf.DUMMYFUNCTION("""COMPUTED_VALUE""")," Estimate ")</f>
        <v> Estimate </v>
      </c>
      <c r="E1363" s="86"/>
    </row>
    <row r="1364">
      <c r="A1364" s="4"/>
      <c r="B1364" s="85">
        <f>IFERROR(__xludf.DUMMYFUNCTION("""COMPUTED_VALUE"""),45604.53958333333)</f>
        <v>45604.53958</v>
      </c>
      <c r="C1364" s="4" t="str">
        <f>IFERROR(__xludf.DUMMYFUNCTION("""COMPUTED_VALUE""")," Estimate ")</f>
        <v> Estimate </v>
      </c>
      <c r="E1364" s="86"/>
    </row>
    <row r="1365">
      <c r="A1365" s="4"/>
      <c r="B1365" s="85">
        <f>IFERROR(__xludf.DUMMYFUNCTION("""COMPUTED_VALUE"""),45605.62986111111)</f>
        <v>45605.62986</v>
      </c>
      <c r="C1365" s="4" t="str">
        <f>IFERROR(__xludf.DUMMYFUNCTION("""COMPUTED_VALUE""")," Estimate ")</f>
        <v> Estimate </v>
      </c>
      <c r="E1365" s="86"/>
    </row>
    <row r="1366">
      <c r="A1366" s="4"/>
      <c r="B1366" s="85">
        <f>IFERROR(__xludf.DUMMYFUNCTION("""COMPUTED_VALUE"""),45611.70208333334)</f>
        <v>45611.70208</v>
      </c>
      <c r="C1366" s="4" t="str">
        <f>IFERROR(__xludf.DUMMYFUNCTION("""COMPUTED_VALUE""")," Estimate ")</f>
        <v> Estimate </v>
      </c>
      <c r="E1366" s="86"/>
    </row>
    <row r="1367">
      <c r="A1367" s="4"/>
      <c r="B1367" s="85">
        <f>IFERROR(__xludf.DUMMYFUNCTION("""COMPUTED_VALUE"""),45611.70486111111)</f>
        <v>45611.70486</v>
      </c>
      <c r="C1367" s="4" t="str">
        <f>IFERROR(__xludf.DUMMYFUNCTION("""COMPUTED_VALUE""")," Estimate ")</f>
        <v> Estimate </v>
      </c>
      <c r="E1367" s="86"/>
    </row>
    <row r="1368">
      <c r="A1368" s="4"/>
      <c r="B1368" s="85">
        <f>IFERROR(__xludf.DUMMYFUNCTION("""COMPUTED_VALUE"""),45611.709027777775)</f>
        <v>45611.70903</v>
      </c>
      <c r="C1368" s="4" t="str">
        <f>IFERROR(__xludf.DUMMYFUNCTION("""COMPUTED_VALUE""")," Estimate ")</f>
        <v> Estimate </v>
      </c>
      <c r="E1368" s="86"/>
    </row>
    <row r="1369">
      <c r="A1369" s="4"/>
      <c r="B1369" s="85">
        <f>IFERROR(__xludf.DUMMYFUNCTION("""COMPUTED_VALUE"""),45611.71805555555)</f>
        <v>45611.71806</v>
      </c>
      <c r="C1369" s="4" t="str">
        <f>IFERROR(__xludf.DUMMYFUNCTION("""COMPUTED_VALUE""")," Estimate ")</f>
        <v> Estimate </v>
      </c>
      <c r="E1369" s="86"/>
    </row>
    <row r="1370">
      <c r="A1370" s="4"/>
      <c r="B1370" s="85">
        <f>IFERROR(__xludf.DUMMYFUNCTION("""COMPUTED_VALUE"""),45611.72083333333)</f>
        <v>45611.72083</v>
      </c>
      <c r="C1370" s="4" t="str">
        <f>IFERROR(__xludf.DUMMYFUNCTION("""COMPUTED_VALUE""")," Estimate ")</f>
        <v> Estimate </v>
      </c>
      <c r="E1370" s="86"/>
    </row>
    <row r="1371">
      <c r="A1371" s="4"/>
      <c r="B1371" s="85">
        <f>IFERROR(__xludf.DUMMYFUNCTION("""COMPUTED_VALUE"""),45611.72430555556)</f>
        <v>45611.72431</v>
      </c>
      <c r="C1371" s="4" t="str">
        <f>IFERROR(__xludf.DUMMYFUNCTION("""COMPUTED_VALUE""")," Estimate ")</f>
        <v> Estimate </v>
      </c>
      <c r="E1371" s="86"/>
    </row>
    <row r="1372">
      <c r="A1372" s="4"/>
      <c r="B1372" s="85">
        <f>IFERROR(__xludf.DUMMYFUNCTION("""COMPUTED_VALUE"""),45613.69930555555)</f>
        <v>45613.69931</v>
      </c>
      <c r="C1372" s="4" t="str">
        <f>IFERROR(__xludf.DUMMYFUNCTION("""COMPUTED_VALUE""")," Estimate ")</f>
        <v> Estimate </v>
      </c>
      <c r="E1372" s="86"/>
    </row>
    <row r="1373">
      <c r="A1373" s="4"/>
      <c r="B1373" s="85">
        <f>IFERROR(__xludf.DUMMYFUNCTION("""COMPUTED_VALUE"""),45613.71597222222)</f>
        <v>45613.71597</v>
      </c>
      <c r="C1373" s="4" t="str">
        <f>IFERROR(__xludf.DUMMYFUNCTION("""COMPUTED_VALUE""")," Estimate ")</f>
        <v> Estimate </v>
      </c>
      <c r="E1373" s="86"/>
    </row>
    <row r="1374">
      <c r="A1374" s="4"/>
      <c r="B1374" s="85">
        <f>IFERROR(__xludf.DUMMYFUNCTION("""COMPUTED_VALUE"""),45613.725)</f>
        <v>45613.725</v>
      </c>
      <c r="C1374" s="4" t="str">
        <f>IFERROR(__xludf.DUMMYFUNCTION("""COMPUTED_VALUE""")," Estimate ")</f>
        <v> Estimate </v>
      </c>
      <c r="E1374" s="86"/>
    </row>
    <row r="1375">
      <c r="A1375" s="4"/>
      <c r="B1375" s="85">
        <f>IFERROR(__xludf.DUMMYFUNCTION("""COMPUTED_VALUE"""),45613.725694444445)</f>
        <v>45613.72569</v>
      </c>
      <c r="C1375" s="4" t="str">
        <f>IFERROR(__xludf.DUMMYFUNCTION("""COMPUTED_VALUE""")," Estimate ")</f>
        <v> Estimate </v>
      </c>
      <c r="E1375" s="86"/>
    </row>
    <row r="1376">
      <c r="A1376" s="4"/>
      <c r="B1376" s="85">
        <f>IFERROR(__xludf.DUMMYFUNCTION("""COMPUTED_VALUE"""),45613.72708333333)</f>
        <v>45613.72708</v>
      </c>
      <c r="C1376" s="4" t="str">
        <f>IFERROR(__xludf.DUMMYFUNCTION("""COMPUTED_VALUE""")," Estimate ")</f>
        <v> Estimate </v>
      </c>
      <c r="E1376" s="86"/>
    </row>
    <row r="1377">
      <c r="A1377" s="4"/>
      <c r="B1377" s="85">
        <f>IFERROR(__xludf.DUMMYFUNCTION("""COMPUTED_VALUE"""),45613.72777777778)</f>
        <v>45613.72778</v>
      </c>
      <c r="C1377" s="4" t="str">
        <f>IFERROR(__xludf.DUMMYFUNCTION("""COMPUTED_VALUE""")," Estimate ")</f>
        <v> Estimate </v>
      </c>
      <c r="E1377" s="86"/>
    </row>
    <row r="1378">
      <c r="A1378" s="4"/>
      <c r="B1378" s="85">
        <f>IFERROR(__xludf.DUMMYFUNCTION("""COMPUTED_VALUE"""),45615.675)</f>
        <v>45615.675</v>
      </c>
      <c r="C1378" s="4" t="str">
        <f>IFERROR(__xludf.DUMMYFUNCTION("""COMPUTED_VALUE""")," Estimate ")</f>
        <v> Estimate </v>
      </c>
      <c r="E1378" s="86"/>
    </row>
    <row r="1379">
      <c r="A1379" s="4"/>
      <c r="B1379" s="85">
        <f>IFERROR(__xludf.DUMMYFUNCTION("""COMPUTED_VALUE"""),45615.73333333334)</f>
        <v>45615.73333</v>
      </c>
      <c r="C1379" s="4" t="str">
        <f>IFERROR(__xludf.DUMMYFUNCTION("""COMPUTED_VALUE""")," Estimate ")</f>
        <v> Estimate </v>
      </c>
      <c r="E1379" s="86"/>
    </row>
    <row r="1380">
      <c r="A1380" s="4"/>
      <c r="B1380" s="85">
        <f>IFERROR(__xludf.DUMMYFUNCTION("""COMPUTED_VALUE"""),45619.700694444444)</f>
        <v>45619.70069</v>
      </c>
      <c r="C1380" s="4" t="str">
        <f>IFERROR(__xludf.DUMMYFUNCTION("""COMPUTED_VALUE""")," Estimate ")</f>
        <v> Estimate </v>
      </c>
      <c r="E1380" s="86"/>
    </row>
    <row r="1381">
      <c r="A1381" s="4"/>
      <c r="B1381" s="85">
        <f>IFERROR(__xludf.DUMMYFUNCTION("""COMPUTED_VALUE"""),45619.70694444445)</f>
        <v>45619.70694</v>
      </c>
      <c r="C1381" s="4" t="str">
        <f>IFERROR(__xludf.DUMMYFUNCTION("""COMPUTED_VALUE""")," Estimate ")</f>
        <v> Estimate </v>
      </c>
      <c r="E1381" s="86"/>
    </row>
    <row r="1382">
      <c r="A1382" s="4"/>
      <c r="B1382" s="85">
        <f>IFERROR(__xludf.DUMMYFUNCTION("""COMPUTED_VALUE"""),45620.768055555556)</f>
        <v>45620.76806</v>
      </c>
      <c r="C1382" s="4" t="str">
        <f>IFERROR(__xludf.DUMMYFUNCTION("""COMPUTED_VALUE""")," Estimate ")</f>
        <v> Estimate </v>
      </c>
      <c r="E1382" s="86"/>
    </row>
    <row r="1383">
      <c r="A1383" s="4"/>
      <c r="B1383" s="85">
        <f>IFERROR(__xludf.DUMMYFUNCTION("""COMPUTED_VALUE"""),45622.67222222222)</f>
        <v>45622.67222</v>
      </c>
      <c r="C1383" s="4" t="str">
        <f>IFERROR(__xludf.DUMMYFUNCTION("""COMPUTED_VALUE""")," Estimate ")</f>
        <v> Estimate </v>
      </c>
      <c r="E1383" s="86"/>
    </row>
    <row r="1384">
      <c r="A1384" s="4"/>
      <c r="B1384" s="85">
        <f>IFERROR(__xludf.DUMMYFUNCTION("""COMPUTED_VALUE"""),45626.71527777778)</f>
        <v>45626.71528</v>
      </c>
      <c r="C1384" s="4" t="str">
        <f>IFERROR(__xludf.DUMMYFUNCTION("""COMPUTED_VALUE""")," Estimate ")</f>
        <v> Estimate </v>
      </c>
      <c r="E1384" s="86"/>
    </row>
    <row r="1385">
      <c r="A1385" s="4"/>
      <c r="B1385" s="85">
        <f>IFERROR(__xludf.DUMMYFUNCTION("""COMPUTED_VALUE"""),45627.6625)</f>
        <v>45627.6625</v>
      </c>
      <c r="C1385" s="4" t="str">
        <f>IFERROR(__xludf.DUMMYFUNCTION("""COMPUTED_VALUE""")," Estimate ")</f>
        <v> Estimate </v>
      </c>
      <c r="E1385" s="86"/>
    </row>
    <row r="1386">
      <c r="A1386" s="4"/>
      <c r="B1386" s="85">
        <f>IFERROR(__xludf.DUMMYFUNCTION("""COMPUTED_VALUE"""),45629.77083333333)</f>
        <v>45629.77083</v>
      </c>
      <c r="C1386" s="4" t="str">
        <f>IFERROR(__xludf.DUMMYFUNCTION("""COMPUTED_VALUE""")," Estimate ")</f>
        <v> Estimate </v>
      </c>
      <c r="E1386" s="86"/>
    </row>
    <row r="1387">
      <c r="A1387" s="4"/>
      <c r="B1387" s="85">
        <f>IFERROR(__xludf.DUMMYFUNCTION("""COMPUTED_VALUE"""),45632.67708333333)</f>
        <v>45632.67708</v>
      </c>
      <c r="C1387" s="4" t="str">
        <f>IFERROR(__xludf.DUMMYFUNCTION("""COMPUTED_VALUE""")," Estimate ")</f>
        <v> Estimate </v>
      </c>
      <c r="E1387" s="86"/>
    </row>
    <row r="1388">
      <c r="A1388" s="4"/>
      <c r="B1388" s="85">
        <f>IFERROR(__xludf.DUMMYFUNCTION("""COMPUTED_VALUE"""),45632.68611111111)</f>
        <v>45632.68611</v>
      </c>
      <c r="C1388" s="4" t="str">
        <f>IFERROR(__xludf.DUMMYFUNCTION("""COMPUTED_VALUE""")," Estimate ")</f>
        <v> Estimate </v>
      </c>
      <c r="E1388" s="86"/>
    </row>
    <row r="1389">
      <c r="A1389" s="4"/>
      <c r="B1389" s="85">
        <f>IFERROR(__xludf.DUMMYFUNCTION("""COMPUTED_VALUE"""),45632.69027777778)</f>
        <v>45632.69028</v>
      </c>
      <c r="C1389" s="4" t="str">
        <f>IFERROR(__xludf.DUMMYFUNCTION("""COMPUTED_VALUE""")," Estimate ")</f>
        <v> Estimate </v>
      </c>
      <c r="E1389" s="86"/>
    </row>
    <row r="1390">
      <c r="A1390" s="4"/>
      <c r="B1390" s="85">
        <f>IFERROR(__xludf.DUMMYFUNCTION("""COMPUTED_VALUE"""),45632.69236111111)</f>
        <v>45632.69236</v>
      </c>
      <c r="C1390" s="4" t="str">
        <f>IFERROR(__xludf.DUMMYFUNCTION("""COMPUTED_VALUE""")," Estimate ")</f>
        <v> Estimate </v>
      </c>
      <c r="E1390" s="86"/>
    </row>
    <row r="1391">
      <c r="A1391" s="4"/>
      <c r="B1391" s="85">
        <f>IFERROR(__xludf.DUMMYFUNCTION("""COMPUTED_VALUE"""),45632.69652777778)</f>
        <v>45632.69653</v>
      </c>
      <c r="C1391" s="4" t="str">
        <f>IFERROR(__xludf.DUMMYFUNCTION("""COMPUTED_VALUE""")," Estimate ")</f>
        <v> Estimate </v>
      </c>
      <c r="E1391" s="86"/>
    </row>
    <row r="1392">
      <c r="A1392" s="4"/>
      <c r="B1392" s="85">
        <f>IFERROR(__xludf.DUMMYFUNCTION("""COMPUTED_VALUE"""),45637.80138888889)</f>
        <v>45637.80139</v>
      </c>
      <c r="C1392" s="4" t="str">
        <f>IFERROR(__xludf.DUMMYFUNCTION("""COMPUTED_VALUE""")," Estimate ")</f>
        <v> Estimate </v>
      </c>
      <c r="E1392" s="86"/>
    </row>
    <row r="1393">
      <c r="A1393" s="4"/>
      <c r="B1393" s="85">
        <f>IFERROR(__xludf.DUMMYFUNCTION("""COMPUTED_VALUE"""),45638.65972222222)</f>
        <v>45638.65972</v>
      </c>
      <c r="C1393" s="4" t="str">
        <f>IFERROR(__xludf.DUMMYFUNCTION("""COMPUTED_VALUE""")," Estimate ")</f>
        <v> Estimate </v>
      </c>
      <c r="E1393" s="86"/>
    </row>
    <row r="1394">
      <c r="A1394" s="4"/>
      <c r="B1394" s="85">
        <f>IFERROR(__xludf.DUMMYFUNCTION("""COMPUTED_VALUE"""),45638.66180555556)</f>
        <v>45638.66181</v>
      </c>
      <c r="C1394" s="4" t="str">
        <f>IFERROR(__xludf.DUMMYFUNCTION("""COMPUTED_VALUE""")," Estimate ")</f>
        <v> Estimate </v>
      </c>
      <c r="E1394" s="86"/>
    </row>
    <row r="1395">
      <c r="A1395" s="4"/>
      <c r="B1395" s="85">
        <f>IFERROR(__xludf.DUMMYFUNCTION("""COMPUTED_VALUE"""),45638.663194444445)</f>
        <v>45638.66319</v>
      </c>
      <c r="C1395" s="4" t="str">
        <f>IFERROR(__xludf.DUMMYFUNCTION("""COMPUTED_VALUE""")," Estimate ")</f>
        <v> Estimate </v>
      </c>
      <c r="E1395" s="86"/>
    </row>
    <row r="1396">
      <c r="A1396" s="4"/>
      <c r="B1396" s="85">
        <f>IFERROR(__xludf.DUMMYFUNCTION("""COMPUTED_VALUE"""),45658.709027777775)</f>
        <v>45658.70903</v>
      </c>
      <c r="C1396" s="4" t="str">
        <f>IFERROR(__xludf.DUMMYFUNCTION("""COMPUTED_VALUE""")," Estimate ")</f>
        <v> Estimate </v>
      </c>
      <c r="E1396" s="86"/>
    </row>
    <row r="1397">
      <c r="A1397" s="4"/>
      <c r="B1397" s="85">
        <f>IFERROR(__xludf.DUMMYFUNCTION("""COMPUTED_VALUE"""),45658.71041666667)</f>
        <v>45658.71042</v>
      </c>
      <c r="C1397" s="4" t="str">
        <f>IFERROR(__xludf.DUMMYFUNCTION("""COMPUTED_VALUE""")," Estimate ")</f>
        <v> Estimate </v>
      </c>
      <c r="E1397" s="86"/>
    </row>
    <row r="1398">
      <c r="A1398" s="4"/>
      <c r="B1398" s="85">
        <f>IFERROR(__xludf.DUMMYFUNCTION("""COMPUTED_VALUE"""),45707.59861111111)</f>
        <v>45707.59861</v>
      </c>
      <c r="C1398" s="4" t="str">
        <f>IFERROR(__xludf.DUMMYFUNCTION("""COMPUTED_VALUE""")," Estimate ")</f>
        <v> Estimate </v>
      </c>
      <c r="E1398" s="86"/>
    </row>
    <row r="1399">
      <c r="A1399" s="4"/>
      <c r="B1399" s="85">
        <f>IFERROR(__xludf.DUMMYFUNCTION("""COMPUTED_VALUE"""),45714.775)</f>
        <v>45714.775</v>
      </c>
      <c r="C1399" s="4" t="str">
        <f>IFERROR(__xludf.DUMMYFUNCTION("""COMPUTED_VALUE""")," Estimate ")</f>
        <v> Estimate </v>
      </c>
      <c r="E1399" s="86"/>
    </row>
    <row r="1400">
      <c r="A1400" s="4"/>
      <c r="B1400" s="85">
        <f>IFERROR(__xludf.DUMMYFUNCTION("""COMPUTED_VALUE"""),45714.77569444444)</f>
        <v>45714.77569</v>
      </c>
      <c r="C1400" s="4" t="str">
        <f>IFERROR(__xludf.DUMMYFUNCTION("""COMPUTED_VALUE""")," Estimate ")</f>
        <v> Estimate </v>
      </c>
      <c r="E1400" s="86"/>
    </row>
    <row r="1401">
      <c r="A1401" s="4"/>
      <c r="B1401" s="85">
        <f>IFERROR(__xludf.DUMMYFUNCTION("""COMPUTED_VALUE"""),45714.77777777778)</f>
        <v>45714.77778</v>
      </c>
      <c r="C1401" s="4" t="str">
        <f>IFERROR(__xludf.DUMMYFUNCTION("""COMPUTED_VALUE""")," Estimate ")</f>
        <v> Estimate </v>
      </c>
      <c r="E1401" s="86"/>
    </row>
    <row r="1402">
      <c r="A1402" s="4"/>
      <c r="B1402" s="85">
        <f>IFERROR(__xludf.DUMMYFUNCTION("""COMPUTED_VALUE"""),45714.77986111111)</f>
        <v>45714.77986</v>
      </c>
      <c r="C1402" s="4" t="str">
        <f>IFERROR(__xludf.DUMMYFUNCTION("""COMPUTED_VALUE""")," Estimate ")</f>
        <v> Estimate </v>
      </c>
      <c r="E1402" s="86"/>
    </row>
    <row r="1403">
      <c r="A1403" s="4"/>
      <c r="B1403" s="85">
        <f>IFERROR(__xludf.DUMMYFUNCTION("""COMPUTED_VALUE"""),45714.78333333333)</f>
        <v>45714.78333</v>
      </c>
      <c r="C1403" s="4" t="str">
        <f>IFERROR(__xludf.DUMMYFUNCTION("""COMPUTED_VALUE""")," Estimate ")</f>
        <v> Estimate </v>
      </c>
      <c r="E1403" s="86"/>
    </row>
    <row r="1404">
      <c r="A1404" s="4"/>
      <c r="B1404" s="85">
        <f>IFERROR(__xludf.DUMMYFUNCTION("""COMPUTED_VALUE"""),45717.67152777778)</f>
        <v>45717.67153</v>
      </c>
      <c r="C1404" s="4" t="str">
        <f>IFERROR(__xludf.DUMMYFUNCTION("""COMPUTED_VALUE""")," Estimate ")</f>
        <v> Estimate </v>
      </c>
      <c r="E1404" s="86"/>
    </row>
    <row r="1405">
      <c r="A1405" s="4"/>
      <c r="B1405" s="85">
        <f>IFERROR(__xludf.DUMMYFUNCTION("""COMPUTED_VALUE"""),45717.67638888889)</f>
        <v>45717.67639</v>
      </c>
      <c r="C1405" s="4" t="str">
        <f>IFERROR(__xludf.DUMMYFUNCTION("""COMPUTED_VALUE""")," Estimate ")</f>
        <v> Estimate </v>
      </c>
      <c r="E1405" s="86"/>
    </row>
    <row r="1406">
      <c r="A1406" s="4"/>
      <c r="B1406" s="85">
        <f>IFERROR(__xludf.DUMMYFUNCTION("""COMPUTED_VALUE"""),45723.70416666666)</f>
        <v>45723.70417</v>
      </c>
      <c r="C1406" s="4" t="str">
        <f>IFERROR(__xludf.DUMMYFUNCTION("""COMPUTED_VALUE""")," Estimate ")</f>
        <v> Estimate </v>
      </c>
      <c r="E1406" s="86"/>
    </row>
    <row r="1407">
      <c r="A1407" s="4"/>
      <c r="B1407" s="85">
        <f>IFERROR(__xludf.DUMMYFUNCTION("""COMPUTED_VALUE"""),45725.697222222225)</f>
        <v>45725.69722</v>
      </c>
      <c r="C1407" s="4" t="str">
        <f>IFERROR(__xludf.DUMMYFUNCTION("""COMPUTED_VALUE""")," Estimate ")</f>
        <v> Estimate </v>
      </c>
      <c r="E1407" s="86"/>
    </row>
    <row r="1408">
      <c r="A1408" s="4"/>
      <c r="B1408" s="85">
        <f>IFERROR(__xludf.DUMMYFUNCTION("""COMPUTED_VALUE"""),45725.70486111111)</f>
        <v>45725.70486</v>
      </c>
      <c r="C1408" s="4" t="str">
        <f>IFERROR(__xludf.DUMMYFUNCTION("""COMPUTED_VALUE""")," Estimate ")</f>
        <v> Estimate </v>
      </c>
      <c r="E1408" s="86"/>
    </row>
    <row r="1409">
      <c r="A1409" s="4"/>
      <c r="B1409" s="85">
        <f>IFERROR(__xludf.DUMMYFUNCTION("""COMPUTED_VALUE"""),45729.73125)</f>
        <v>45729.73125</v>
      </c>
      <c r="C1409" s="4" t="str">
        <f>IFERROR(__xludf.DUMMYFUNCTION("""COMPUTED_VALUE""")," Estimate ")</f>
        <v> Estimate </v>
      </c>
      <c r="E1409" s="86"/>
    </row>
    <row r="1410">
      <c r="A1410" s="4"/>
      <c r="B1410" s="85">
        <f>IFERROR(__xludf.DUMMYFUNCTION("""COMPUTED_VALUE"""),45729.742361111115)</f>
        <v>45729.74236</v>
      </c>
      <c r="C1410" s="4" t="str">
        <f>IFERROR(__xludf.DUMMYFUNCTION("""COMPUTED_VALUE""")," Estimate ")</f>
        <v> Estimate </v>
      </c>
      <c r="E1410" s="86"/>
    </row>
    <row r="1411">
      <c r="A1411" s="4"/>
      <c r="B1411" s="85">
        <f>IFERROR(__xludf.DUMMYFUNCTION("""COMPUTED_VALUE"""),45731.535416666666)</f>
        <v>45731.53542</v>
      </c>
      <c r="C1411" s="4" t="str">
        <f>IFERROR(__xludf.DUMMYFUNCTION("""COMPUTED_VALUE""")," Estimate ")</f>
        <v> Estimate </v>
      </c>
      <c r="E1411" s="86"/>
    </row>
    <row r="1412">
      <c r="A1412" s="4"/>
      <c r="B1412" s="85">
        <f>IFERROR(__xludf.DUMMYFUNCTION("""COMPUTED_VALUE"""),45739.506944444445)</f>
        <v>45739.50694</v>
      </c>
      <c r="C1412" s="4" t="str">
        <f>IFERROR(__xludf.DUMMYFUNCTION("""COMPUTED_VALUE""")," Estimate ")</f>
        <v> Estimate </v>
      </c>
      <c r="E1412" s="86"/>
    </row>
    <row r="1413">
      <c r="A1413" s="4"/>
      <c r="B1413" s="85">
        <f>IFERROR(__xludf.DUMMYFUNCTION("""COMPUTED_VALUE"""),45739.63680555555)</f>
        <v>45739.63681</v>
      </c>
      <c r="C1413" s="4" t="str">
        <f>IFERROR(__xludf.DUMMYFUNCTION("""COMPUTED_VALUE""")," Estimate ")</f>
        <v> Estimate </v>
      </c>
      <c r="E1413" s="86"/>
    </row>
    <row r="1414">
      <c r="A1414" s="4"/>
      <c r="B1414" s="85">
        <f>IFERROR(__xludf.DUMMYFUNCTION("""COMPUTED_VALUE"""),45744.60902777778)</f>
        <v>45744.60903</v>
      </c>
      <c r="C1414" s="4" t="str">
        <f>IFERROR(__xludf.DUMMYFUNCTION("""COMPUTED_VALUE""")," Estimate ")</f>
        <v> Estimate </v>
      </c>
      <c r="E1414" s="86"/>
    </row>
    <row r="1415">
      <c r="A1415" s="4"/>
      <c r="B1415" s="85">
        <f>IFERROR(__xludf.DUMMYFUNCTION("""COMPUTED_VALUE"""),45744.62291666667)</f>
        <v>45744.62292</v>
      </c>
      <c r="C1415" s="4" t="str">
        <f>IFERROR(__xludf.DUMMYFUNCTION("""COMPUTED_VALUE""")," Estimate ")</f>
        <v> Estimate </v>
      </c>
      <c r="E1415" s="86"/>
    </row>
    <row r="1416">
      <c r="A1416" s="4"/>
      <c r="B1416" s="85">
        <f>IFERROR(__xludf.DUMMYFUNCTION("""COMPUTED_VALUE"""),45744.62708333333)</f>
        <v>45744.62708</v>
      </c>
      <c r="C1416" s="4" t="str">
        <f>IFERROR(__xludf.DUMMYFUNCTION("""COMPUTED_VALUE""")," Estimate ")</f>
        <v> Estimate </v>
      </c>
      <c r="E1416" s="86"/>
    </row>
    <row r="1417">
      <c r="A1417" s="4"/>
      <c r="B1417" s="85">
        <f>IFERROR(__xludf.DUMMYFUNCTION("""COMPUTED_VALUE"""),45748.8)</f>
        <v>45748.8</v>
      </c>
      <c r="C1417" s="4" t="str">
        <f>IFERROR(__xludf.DUMMYFUNCTION("""COMPUTED_VALUE""")," Estimate ")</f>
        <v> Estimate </v>
      </c>
      <c r="E1417" s="86"/>
    </row>
    <row r="1418">
      <c r="A1418" s="4"/>
      <c r="B1418" s="85">
        <f>IFERROR(__xludf.DUMMYFUNCTION("""COMPUTED_VALUE"""),45749.78611111111)</f>
        <v>45749.78611</v>
      </c>
      <c r="C1418" s="4" t="str">
        <f>IFERROR(__xludf.DUMMYFUNCTION("""COMPUTED_VALUE""")," Estimate ")</f>
        <v> Estimate </v>
      </c>
      <c r="E1418" s="86"/>
    </row>
    <row r="1419">
      <c r="A1419" s="4"/>
      <c r="B1419" s="85">
        <f>IFERROR(__xludf.DUMMYFUNCTION("""COMPUTED_VALUE"""),45758.56805555556)</f>
        <v>45758.56806</v>
      </c>
      <c r="C1419" s="4" t="str">
        <f>IFERROR(__xludf.DUMMYFUNCTION("""COMPUTED_VALUE""")," Estimate ")</f>
        <v> Estimate </v>
      </c>
      <c r="E1419" s="86"/>
    </row>
    <row r="1420">
      <c r="A1420" s="4"/>
      <c r="B1420" s="85">
        <f>IFERROR(__xludf.DUMMYFUNCTION("""COMPUTED_VALUE"""),45758.67013888889)</f>
        <v>45758.67014</v>
      </c>
      <c r="C1420" s="4" t="str">
        <f>IFERROR(__xludf.DUMMYFUNCTION("""COMPUTED_VALUE""")," Estimate ")</f>
        <v> Estimate </v>
      </c>
      <c r="E1420" s="86"/>
    </row>
    <row r="1421">
      <c r="A1421" s="4"/>
      <c r="B1421" s="85">
        <f>IFERROR(__xludf.DUMMYFUNCTION("""COMPUTED_VALUE"""),45758.67291666666)</f>
        <v>45758.67292</v>
      </c>
      <c r="C1421" s="4" t="str">
        <f>IFERROR(__xludf.DUMMYFUNCTION("""COMPUTED_VALUE""")," Estimate ")</f>
        <v> Estimate </v>
      </c>
      <c r="E1421" s="86"/>
    </row>
    <row r="1422">
      <c r="A1422" s="4"/>
      <c r="B1422" s="85">
        <f>IFERROR(__xludf.DUMMYFUNCTION("""COMPUTED_VALUE"""),45758.67569444445)</f>
        <v>45758.67569</v>
      </c>
      <c r="C1422" s="4" t="str">
        <f>IFERROR(__xludf.DUMMYFUNCTION("""COMPUTED_VALUE""")," Estimate ")</f>
        <v> Estimate </v>
      </c>
      <c r="E1422" s="86"/>
    </row>
    <row r="1423">
      <c r="A1423" s="4"/>
      <c r="B1423" s="85">
        <f>IFERROR(__xludf.DUMMYFUNCTION("""COMPUTED_VALUE"""),45758.67916666667)</f>
        <v>45758.67917</v>
      </c>
      <c r="C1423" s="4" t="str">
        <f>IFERROR(__xludf.DUMMYFUNCTION("""COMPUTED_VALUE""")," Estimate ")</f>
        <v> Estimate </v>
      </c>
      <c r="E1423" s="86"/>
    </row>
    <row r="1424">
      <c r="A1424" s="4"/>
      <c r="B1424" s="85">
        <f>IFERROR(__xludf.DUMMYFUNCTION("""COMPUTED_VALUE"""),45758.680555555555)</f>
        <v>45758.68056</v>
      </c>
      <c r="C1424" s="4" t="str">
        <f>IFERROR(__xludf.DUMMYFUNCTION("""COMPUTED_VALUE""")," Estimate ")</f>
        <v> Estimate </v>
      </c>
      <c r="E1424" s="86"/>
    </row>
    <row r="1425">
      <c r="A1425" s="4"/>
      <c r="B1425" s="85">
        <f>IFERROR(__xludf.DUMMYFUNCTION("""COMPUTED_VALUE"""),45760.771527777775)</f>
        <v>45760.77153</v>
      </c>
      <c r="C1425" s="4" t="str">
        <f>IFERROR(__xludf.DUMMYFUNCTION("""COMPUTED_VALUE""")," Estimate ")</f>
        <v> Estimate </v>
      </c>
      <c r="E1425" s="86"/>
    </row>
    <row r="1426">
      <c r="A1426" s="4"/>
      <c r="B1426" s="85">
        <f>IFERROR(__xludf.DUMMYFUNCTION("""COMPUTED_VALUE"""),45760.77638888889)</f>
        <v>45760.77639</v>
      </c>
      <c r="C1426" s="4" t="str">
        <f>IFERROR(__xludf.DUMMYFUNCTION("""COMPUTED_VALUE""")," Estimate ")</f>
        <v> Estimate </v>
      </c>
      <c r="E1426" s="86"/>
    </row>
    <row r="1427">
      <c r="A1427" s="4"/>
      <c r="B1427" s="85">
        <f>IFERROR(__xludf.DUMMYFUNCTION("""COMPUTED_VALUE"""),45763.74444444444)</f>
        <v>45763.74444</v>
      </c>
      <c r="C1427" s="4" t="str">
        <f>IFERROR(__xludf.DUMMYFUNCTION("""COMPUTED_VALUE""")," Estimate ")</f>
        <v> Estimate </v>
      </c>
      <c r="E1427" s="86"/>
    </row>
    <row r="1428">
      <c r="A1428" s="4"/>
      <c r="B1428" s="85">
        <f>IFERROR(__xludf.DUMMYFUNCTION("""COMPUTED_VALUE"""),45777.660416666666)</f>
        <v>45777.66042</v>
      </c>
      <c r="C1428" s="4" t="str">
        <f>IFERROR(__xludf.DUMMYFUNCTION("""COMPUTED_VALUE""")," Estimate ")</f>
        <v> Estimate </v>
      </c>
      <c r="E1428" s="86"/>
    </row>
    <row r="1429">
      <c r="A1429" s="4"/>
      <c r="B1429" s="85">
        <f>IFERROR(__xludf.DUMMYFUNCTION("""COMPUTED_VALUE"""),45777.66180555556)</f>
        <v>45777.66181</v>
      </c>
      <c r="C1429" s="4" t="str">
        <f>IFERROR(__xludf.DUMMYFUNCTION("""COMPUTED_VALUE""")," Estimate ")</f>
        <v> Estimate </v>
      </c>
      <c r="E1429" s="86"/>
    </row>
    <row r="1430">
      <c r="A1430" s="4"/>
      <c r="B1430" s="85">
        <f>IFERROR(__xludf.DUMMYFUNCTION("""COMPUTED_VALUE"""),45779.62777777778)</f>
        <v>45779.62778</v>
      </c>
      <c r="C1430" s="4" t="str">
        <f>IFERROR(__xludf.DUMMYFUNCTION("""COMPUTED_VALUE""")," Estimate ")</f>
        <v> Estimate </v>
      </c>
      <c r="E1430" s="86"/>
    </row>
    <row r="1431">
      <c r="A1431" s="4"/>
      <c r="B1431" s="85">
        <f>IFERROR(__xludf.DUMMYFUNCTION("""COMPUTED_VALUE"""),45779.631944444445)</f>
        <v>45779.63194</v>
      </c>
      <c r="C1431" s="4" t="str">
        <f>IFERROR(__xludf.DUMMYFUNCTION("""COMPUTED_VALUE""")," Estimate ")</f>
        <v> Estimate </v>
      </c>
      <c r="E1431" s="86"/>
    </row>
    <row r="1432">
      <c r="A1432" s="4"/>
      <c r="B1432" s="85">
        <f>IFERROR(__xludf.DUMMYFUNCTION("""COMPUTED_VALUE"""),45793.59375)</f>
        <v>45793.59375</v>
      </c>
      <c r="C1432" s="4" t="str">
        <f>IFERROR(__xludf.DUMMYFUNCTION("""COMPUTED_VALUE""")," Estimate ")</f>
        <v> Estimate </v>
      </c>
      <c r="E1432" s="86"/>
    </row>
    <row r="1433">
      <c r="A1433" s="4"/>
      <c r="B1433" s="85">
        <f>IFERROR(__xludf.DUMMYFUNCTION("""COMPUTED_VALUE"""),45794.62222222222)</f>
        <v>45794.62222</v>
      </c>
      <c r="C1433" s="4" t="str">
        <f>IFERROR(__xludf.DUMMYFUNCTION("""COMPUTED_VALUE""")," Estimate ")</f>
        <v> Estimate </v>
      </c>
      <c r="E1433" s="86"/>
    </row>
    <row r="1434">
      <c r="A1434" s="4"/>
      <c r="B1434" s="85">
        <f>IFERROR(__xludf.DUMMYFUNCTION("""COMPUTED_VALUE"""),45794.64236111111)</f>
        <v>45794.64236</v>
      </c>
      <c r="C1434" s="4" t="str">
        <f>IFERROR(__xludf.DUMMYFUNCTION("""COMPUTED_VALUE""")," Estimate ")</f>
        <v> Estimate </v>
      </c>
      <c r="E1434" s="86"/>
    </row>
    <row r="1435">
      <c r="A1435" s="4"/>
      <c r="B1435" s="85">
        <f>IFERROR(__xludf.DUMMYFUNCTION("""COMPUTED_VALUE"""),45794.69930555555)</f>
        <v>45794.69931</v>
      </c>
      <c r="C1435" s="4" t="str">
        <f>IFERROR(__xludf.DUMMYFUNCTION("""COMPUTED_VALUE""")," Estimate ")</f>
        <v> Estimate </v>
      </c>
      <c r="E1435" s="86"/>
    </row>
    <row r="1436">
      <c r="A1436" s="4"/>
      <c r="B1436" s="85">
        <f>IFERROR(__xludf.DUMMYFUNCTION("""COMPUTED_VALUE"""),45799.69861111111)</f>
        <v>45799.69861</v>
      </c>
      <c r="C1436" s="4" t="str">
        <f>IFERROR(__xludf.DUMMYFUNCTION("""COMPUTED_VALUE""")," Estimate ")</f>
        <v> Estimate </v>
      </c>
      <c r="E1436" s="86"/>
    </row>
    <row r="1437">
      <c r="A1437" s="4"/>
      <c r="B1437" s="85">
        <f>IFERROR(__xludf.DUMMYFUNCTION("""COMPUTED_VALUE"""),45799.70694444445)</f>
        <v>45799.70694</v>
      </c>
      <c r="C1437" s="4" t="str">
        <f>IFERROR(__xludf.DUMMYFUNCTION("""COMPUTED_VALUE""")," Estimate ")</f>
        <v> Estimate </v>
      </c>
      <c r="E1437" s="86"/>
    </row>
    <row r="1438">
      <c r="A1438" s="4"/>
      <c r="B1438" s="85">
        <f>IFERROR(__xludf.DUMMYFUNCTION("""COMPUTED_VALUE"""),45801.65069444444)</f>
        <v>45801.65069</v>
      </c>
      <c r="C1438" s="4" t="str">
        <f>IFERROR(__xludf.DUMMYFUNCTION("""COMPUTED_VALUE""")," Estimate ")</f>
        <v> Estimate </v>
      </c>
      <c r="E1438" s="86"/>
    </row>
    <row r="1439">
      <c r="A1439" s="4"/>
      <c r="B1439" s="85">
        <f>IFERROR(__xludf.DUMMYFUNCTION("""COMPUTED_VALUE"""),45809.475694444445)</f>
        <v>45809.47569</v>
      </c>
      <c r="C1439" s="4" t="str">
        <f>IFERROR(__xludf.DUMMYFUNCTION("""COMPUTED_VALUE""")," Estimate ")</f>
        <v> Estimate </v>
      </c>
      <c r="E1439" s="86"/>
    </row>
    <row r="1440">
      <c r="A1440" s="4"/>
      <c r="B1440" s="85">
        <f>IFERROR(__xludf.DUMMYFUNCTION("""COMPUTED_VALUE"""),45813.57361111111)</f>
        <v>45813.57361</v>
      </c>
      <c r="C1440" s="4" t="str">
        <f>IFERROR(__xludf.DUMMYFUNCTION("""COMPUTED_VALUE""")," Estimate ")</f>
        <v> Estimate </v>
      </c>
      <c r="E1440" s="86"/>
    </row>
    <row r="1441">
      <c r="A1441" s="4"/>
      <c r="B1441" s="85">
        <f>IFERROR(__xludf.DUMMYFUNCTION("""COMPUTED_VALUE"""),45834.62569444445)</f>
        <v>45834.62569</v>
      </c>
      <c r="C1441" s="4" t="str">
        <f>IFERROR(__xludf.DUMMYFUNCTION("""COMPUTED_VALUE""")," Estimate ")</f>
        <v> Estimate </v>
      </c>
      <c r="E1441" s="86"/>
    </row>
    <row r="1442">
      <c r="A1442" s="4"/>
      <c r="B1442" s="85">
        <f>IFERROR(__xludf.DUMMYFUNCTION("""COMPUTED_VALUE"""),45834.63611111111)</f>
        <v>45834.63611</v>
      </c>
      <c r="C1442" s="4" t="str">
        <f>IFERROR(__xludf.DUMMYFUNCTION("""COMPUTED_VALUE""")," Estimate ")</f>
        <v> Estimate </v>
      </c>
      <c r="E1442" s="86"/>
    </row>
    <row r="1443">
      <c r="A1443" s="4"/>
      <c r="B1443" s="85">
        <f>IFERROR(__xludf.DUMMYFUNCTION("""COMPUTED_VALUE"""),45834.63680555555)</f>
        <v>45834.63681</v>
      </c>
      <c r="C1443" s="4" t="str">
        <f>IFERROR(__xludf.DUMMYFUNCTION("""COMPUTED_VALUE""")," Estimate ")</f>
        <v> Estimate </v>
      </c>
      <c r="E1443" s="86"/>
    </row>
    <row r="1444">
      <c r="A1444" s="4"/>
      <c r="B1444" s="85">
        <f>IFERROR(__xludf.DUMMYFUNCTION("""COMPUTED_VALUE"""),45834.63958333334)</f>
        <v>45834.63958</v>
      </c>
      <c r="C1444" s="4" t="str">
        <f>IFERROR(__xludf.DUMMYFUNCTION("""COMPUTED_VALUE""")," Estimate ")</f>
        <v> Estimate </v>
      </c>
      <c r="E1444" s="86"/>
    </row>
    <row r="1445">
      <c r="A1445" s="4"/>
      <c r="B1445" s="85">
        <f>IFERROR(__xludf.DUMMYFUNCTION("""COMPUTED_VALUE"""),45841.80208333333)</f>
        <v>45841.80208</v>
      </c>
      <c r="C1445" s="4" t="str">
        <f>IFERROR(__xludf.DUMMYFUNCTION("""COMPUTED_VALUE""")," Estimate ")</f>
        <v> Estimate </v>
      </c>
      <c r="E1445" s="86"/>
    </row>
    <row r="1446">
      <c r="A1446" s="4"/>
      <c r="B1446" s="85">
        <f>IFERROR(__xludf.DUMMYFUNCTION("""COMPUTED_VALUE"""),45843.47152777778)</f>
        <v>45843.47153</v>
      </c>
      <c r="C1446" s="4" t="str">
        <f>IFERROR(__xludf.DUMMYFUNCTION("""COMPUTED_VALUE""")," Estimate ")</f>
        <v> Estimate </v>
      </c>
      <c r="E1446" s="86"/>
    </row>
    <row r="1447">
      <c r="A1447" s="4"/>
      <c r="B1447" s="85">
        <f>IFERROR(__xludf.DUMMYFUNCTION("""COMPUTED_VALUE"""),45843.472916666666)</f>
        <v>45843.47292</v>
      </c>
      <c r="C1447" s="4" t="str">
        <f>IFERROR(__xludf.DUMMYFUNCTION("""COMPUTED_VALUE""")," Estimate ")</f>
        <v> Estimate </v>
      </c>
      <c r="E1447" s="86"/>
    </row>
    <row r="1448">
      <c r="A1448" s="4"/>
      <c r="B1448" s="85">
        <f>IFERROR(__xludf.DUMMYFUNCTION("""COMPUTED_VALUE"""),45851.53472222222)</f>
        <v>45851.53472</v>
      </c>
      <c r="C1448" s="4" t="str">
        <f>IFERROR(__xludf.DUMMYFUNCTION("""COMPUTED_VALUE""")," Estimate ")</f>
        <v> Estimate </v>
      </c>
      <c r="E1448" s="86"/>
    </row>
    <row r="1449">
      <c r="A1449" s="4"/>
      <c r="B1449" s="85">
        <f>IFERROR(__xludf.DUMMYFUNCTION("""COMPUTED_VALUE"""),45851.62708333333)</f>
        <v>45851.62708</v>
      </c>
      <c r="C1449" s="4" t="str">
        <f>IFERROR(__xludf.DUMMYFUNCTION("""COMPUTED_VALUE""")," Estimate ")</f>
        <v> Estimate </v>
      </c>
      <c r="E1449" s="86"/>
    </row>
    <row r="1450">
      <c r="A1450" s="4"/>
      <c r="B1450" s="85">
        <f>IFERROR(__xludf.DUMMYFUNCTION("""COMPUTED_VALUE"""),45851.629166666666)</f>
        <v>45851.62917</v>
      </c>
      <c r="C1450" s="4" t="str">
        <f>IFERROR(__xludf.DUMMYFUNCTION("""COMPUTED_VALUE""")," Estimate ")</f>
        <v> Estimate </v>
      </c>
      <c r="E1450" s="86"/>
    </row>
    <row r="1451">
      <c r="A1451" s="4"/>
      <c r="B1451" s="85">
        <f>IFERROR(__xludf.DUMMYFUNCTION("""COMPUTED_VALUE"""),45864.743055555555)</f>
        <v>45864.74306</v>
      </c>
      <c r="C1451" s="4" t="str">
        <f>IFERROR(__xludf.DUMMYFUNCTION("""COMPUTED_VALUE""")," Estimate ")</f>
        <v> Estimate </v>
      </c>
      <c r="E1451" s="86"/>
    </row>
    <row r="1452">
      <c r="A1452" s="4"/>
      <c r="B1452" s="85">
        <f>IFERROR(__xludf.DUMMYFUNCTION("""COMPUTED_VALUE"""),45864.74861111111)</f>
        <v>45864.74861</v>
      </c>
      <c r="C1452" s="4" t="str">
        <f>IFERROR(__xludf.DUMMYFUNCTION("""COMPUTED_VALUE""")," Estimate ")</f>
        <v> Estimate </v>
      </c>
      <c r="E1452" s="86"/>
    </row>
    <row r="1453">
      <c r="A1453" s="4"/>
      <c r="B1453" s="85">
        <f>IFERROR(__xludf.DUMMYFUNCTION("""COMPUTED_VALUE"""),45869.726388888885)</f>
        <v>45869.72639</v>
      </c>
      <c r="C1453" s="4" t="str">
        <f>IFERROR(__xludf.DUMMYFUNCTION("""COMPUTED_VALUE""")," Estimate ")</f>
        <v> Estimate </v>
      </c>
      <c r="E1453" s="86"/>
    </row>
    <row r="1454">
      <c r="A1454" s="4"/>
      <c r="B1454" s="85">
        <f>IFERROR(__xludf.DUMMYFUNCTION("""COMPUTED_VALUE"""),45869.728472222225)</f>
        <v>45869.72847</v>
      </c>
      <c r="C1454" s="4" t="str">
        <f>IFERROR(__xludf.DUMMYFUNCTION("""COMPUTED_VALUE""")," Estimate ")</f>
        <v> Estimate </v>
      </c>
      <c r="E1454" s="86"/>
    </row>
    <row r="1455">
      <c r="A1455" s="4"/>
      <c r="B1455" s="85">
        <f>IFERROR(__xludf.DUMMYFUNCTION("""COMPUTED_VALUE"""),45877.69930555555)</f>
        <v>45877.69931</v>
      </c>
      <c r="C1455" s="4" t="str">
        <f>IFERROR(__xludf.DUMMYFUNCTION("""COMPUTED_VALUE""")," Estimate ")</f>
        <v> Estimate </v>
      </c>
      <c r="E1455" s="86"/>
    </row>
    <row r="1456">
      <c r="A1456" s="4"/>
      <c r="B1456" s="85">
        <f>IFERROR(__xludf.DUMMYFUNCTION("""COMPUTED_VALUE"""),45877.70416666666)</f>
        <v>45877.70417</v>
      </c>
      <c r="C1456" s="4" t="str">
        <f>IFERROR(__xludf.DUMMYFUNCTION("""COMPUTED_VALUE""")," Estimate ")</f>
        <v> Estimate </v>
      </c>
      <c r="E1456" s="86"/>
    </row>
    <row r="1457">
      <c r="A1457" s="4"/>
      <c r="B1457" s="85">
        <f>IFERROR(__xludf.DUMMYFUNCTION("""COMPUTED_VALUE"""),45877.775)</f>
        <v>45877.775</v>
      </c>
      <c r="C1457" s="4" t="str">
        <f>IFERROR(__xludf.DUMMYFUNCTION("""COMPUTED_VALUE""")," Estimate ")</f>
        <v> Estimate </v>
      </c>
      <c r="E1457" s="86"/>
    </row>
    <row r="1458">
      <c r="A1458" s="4"/>
      <c r="B1458" s="85">
        <f>IFERROR(__xludf.DUMMYFUNCTION("""COMPUTED_VALUE"""),45877.78472222222)</f>
        <v>45877.78472</v>
      </c>
      <c r="C1458" s="4" t="str">
        <f>IFERROR(__xludf.DUMMYFUNCTION("""COMPUTED_VALUE""")," Estimate ")</f>
        <v> Estimate </v>
      </c>
      <c r="E1458" s="86"/>
    </row>
    <row r="1459">
      <c r="A1459" s="4"/>
      <c r="B1459" s="85">
        <f>IFERROR(__xludf.DUMMYFUNCTION("""COMPUTED_VALUE"""),45877.785416666666)</f>
        <v>45877.78542</v>
      </c>
      <c r="C1459" s="4" t="str">
        <f>IFERROR(__xludf.DUMMYFUNCTION("""COMPUTED_VALUE""")," Estimate ")</f>
        <v> Estimate </v>
      </c>
      <c r="E1459" s="86"/>
    </row>
    <row r="1460">
      <c r="A1460" s="4"/>
      <c r="B1460" s="85">
        <f>IFERROR(__xludf.DUMMYFUNCTION("""COMPUTED_VALUE"""),45877.78680555556)</f>
        <v>45877.78681</v>
      </c>
      <c r="C1460" s="4" t="str">
        <f>IFERROR(__xludf.DUMMYFUNCTION("""COMPUTED_VALUE""")," Estimate ")</f>
        <v> Estimate </v>
      </c>
      <c r="E1460" s="86"/>
    </row>
    <row r="1461">
      <c r="A1461" s="4"/>
      <c r="B1461" s="85">
        <f>IFERROR(__xludf.DUMMYFUNCTION("""COMPUTED_VALUE"""),45877.78958333333)</f>
        <v>45877.78958</v>
      </c>
      <c r="C1461" s="4" t="str">
        <f>IFERROR(__xludf.DUMMYFUNCTION("""COMPUTED_VALUE""")," Estimate ")</f>
        <v> Estimate </v>
      </c>
      <c r="E1461" s="86"/>
    </row>
    <row r="1462">
      <c r="A1462" s="4"/>
      <c r="B1462" s="85">
        <f>IFERROR(__xludf.DUMMYFUNCTION("""COMPUTED_VALUE"""),45877.79027777778)</f>
        <v>45877.79028</v>
      </c>
      <c r="C1462" s="4" t="str">
        <f>IFERROR(__xludf.DUMMYFUNCTION("""COMPUTED_VALUE""")," Estimate ")</f>
        <v> Estimate </v>
      </c>
      <c r="E1462" s="86"/>
    </row>
    <row r="1463">
      <c r="A1463" s="4"/>
      <c r="B1463" s="85">
        <f>IFERROR(__xludf.DUMMYFUNCTION("""COMPUTED_VALUE"""),45888.620833333334)</f>
        <v>45888.62083</v>
      </c>
      <c r="C1463" s="4" t="str">
        <f>IFERROR(__xludf.DUMMYFUNCTION("""COMPUTED_VALUE""")," Estimate ")</f>
        <v> Estimate </v>
      </c>
      <c r="E1463" s="86"/>
    </row>
    <row r="1464">
      <c r="A1464" s="4"/>
      <c r="B1464" s="85">
        <f>IFERROR(__xludf.DUMMYFUNCTION("""COMPUTED_VALUE"""),45893.79722222222)</f>
        <v>45893.79722</v>
      </c>
      <c r="C1464" s="4" t="str">
        <f>IFERROR(__xludf.DUMMYFUNCTION("""COMPUTED_VALUE""")," Estimate ")</f>
        <v> Estimate </v>
      </c>
      <c r="E1464" s="86"/>
    </row>
    <row r="1465">
      <c r="A1465" s="4"/>
      <c r="B1465" s="85">
        <f>IFERROR(__xludf.DUMMYFUNCTION("""COMPUTED_VALUE"""),45896.73402777778)</f>
        <v>45896.73403</v>
      </c>
      <c r="C1465" s="4" t="str">
        <f>IFERROR(__xludf.DUMMYFUNCTION("""COMPUTED_VALUE""")," Estimate ")</f>
        <v> Estimate </v>
      </c>
      <c r="E1465" s="86"/>
    </row>
    <row r="1466">
      <c r="A1466" s="4"/>
      <c r="B1466" s="85">
        <f>IFERROR(__xludf.DUMMYFUNCTION("""COMPUTED_VALUE"""),45911.461111111115)</f>
        <v>45911.46111</v>
      </c>
      <c r="C1466" s="4" t="str">
        <f>IFERROR(__xludf.DUMMYFUNCTION("""COMPUTED_VALUE""")," Estimate ")</f>
        <v> Estimate </v>
      </c>
      <c r="E1466" s="86"/>
    </row>
    <row r="1467">
      <c r="A1467" s="4"/>
      <c r="B1467" s="85">
        <f>IFERROR(__xludf.DUMMYFUNCTION("""COMPUTED_VALUE"""),45923.64027777778)</f>
        <v>45923.64028</v>
      </c>
      <c r="C1467" s="4" t="str">
        <f>IFERROR(__xludf.DUMMYFUNCTION("""COMPUTED_VALUE""")," Estimate ")</f>
        <v> Estimate </v>
      </c>
      <c r="E1467" s="86"/>
    </row>
    <row r="1468">
      <c r="A1468" s="4"/>
      <c r="B1468" s="85">
        <f>IFERROR(__xludf.DUMMYFUNCTION("""COMPUTED_VALUE"""),45923.64236111111)</f>
        <v>45923.64236</v>
      </c>
      <c r="C1468" s="4" t="str">
        <f>IFERROR(__xludf.DUMMYFUNCTION("""COMPUTED_VALUE""")," Estimate ")</f>
        <v> Estimate </v>
      </c>
      <c r="E1468" s="86"/>
    </row>
    <row r="1469">
      <c r="A1469" s="4"/>
      <c r="B1469" s="85">
        <f>IFERROR(__xludf.DUMMYFUNCTION("""COMPUTED_VALUE"""),45923.65277777778)</f>
        <v>45923.65278</v>
      </c>
      <c r="C1469" s="4" t="str">
        <f>IFERROR(__xludf.DUMMYFUNCTION("""COMPUTED_VALUE""")," Estimate ")</f>
        <v> Estimate </v>
      </c>
      <c r="E1469" s="86"/>
    </row>
    <row r="1470">
      <c r="A1470" s="4"/>
      <c r="B1470" s="85">
        <f>IFERROR(__xludf.DUMMYFUNCTION("""COMPUTED_VALUE"""),45924.45833333333)</f>
        <v>45924.45833</v>
      </c>
      <c r="C1470" s="4" t="str">
        <f>IFERROR(__xludf.DUMMYFUNCTION("""COMPUTED_VALUE""")," Estimate ")</f>
        <v> Estimate </v>
      </c>
      <c r="E1470" s="86"/>
    </row>
    <row r="1471">
      <c r="A1471" s="4"/>
      <c r="B1471" s="85">
        <f>IFERROR(__xludf.DUMMYFUNCTION("""COMPUTED_VALUE"""),45926.444444444445)</f>
        <v>45926.44444</v>
      </c>
      <c r="C1471" s="4" t="str">
        <f>IFERROR(__xludf.DUMMYFUNCTION("""COMPUTED_VALUE""")," Estimate ")</f>
        <v> Estimate </v>
      </c>
      <c r="E1471" s="86"/>
    </row>
    <row r="1472">
      <c r="A1472" s="4"/>
      <c r="B1472" s="85">
        <f>IFERROR(__xludf.DUMMYFUNCTION("""COMPUTED_VALUE"""),45926.44861111111)</f>
        <v>45926.44861</v>
      </c>
      <c r="C1472" s="4" t="str">
        <f>IFERROR(__xludf.DUMMYFUNCTION("""COMPUTED_VALUE""")," Estimate ")</f>
        <v> Estimate </v>
      </c>
      <c r="E1472" s="86"/>
    </row>
    <row r="1473">
      <c r="A1473" s="4"/>
      <c r="B1473" s="85">
        <f>IFERROR(__xludf.DUMMYFUNCTION("""COMPUTED_VALUE"""),45926.44930555555)</f>
        <v>45926.44931</v>
      </c>
      <c r="C1473" s="4" t="str">
        <f>IFERROR(__xludf.DUMMYFUNCTION("""COMPUTED_VALUE""")," Estimate ")</f>
        <v> Estimate </v>
      </c>
      <c r="E1473" s="86"/>
    </row>
    <row r="1474">
      <c r="A1474" s="4"/>
      <c r="B1474" s="85">
        <f>IFERROR(__xludf.DUMMYFUNCTION("""COMPUTED_VALUE"""),45931.44375)</f>
        <v>45931.44375</v>
      </c>
      <c r="C1474" s="4" t="str">
        <f>IFERROR(__xludf.DUMMYFUNCTION("""COMPUTED_VALUE""")," Estimate ")</f>
        <v> Estimate </v>
      </c>
      <c r="E1474" s="86"/>
    </row>
    <row r="1475">
      <c r="A1475" s="4"/>
      <c r="B1475" s="85">
        <f>IFERROR(__xludf.DUMMYFUNCTION("""COMPUTED_VALUE"""),45933.45138888889)</f>
        <v>45933.45139</v>
      </c>
      <c r="C1475" s="4" t="str">
        <f>IFERROR(__xludf.DUMMYFUNCTION("""COMPUTED_VALUE""")," Estimate ")</f>
        <v> Estimate </v>
      </c>
      <c r="E1475" s="86"/>
    </row>
    <row r="1476">
      <c r="A1476" s="4"/>
      <c r="B1476" s="85">
        <f>IFERROR(__xludf.DUMMYFUNCTION("""COMPUTED_VALUE"""),45937.64166666666)</f>
        <v>45937.64167</v>
      </c>
      <c r="C1476" s="4" t="str">
        <f>IFERROR(__xludf.DUMMYFUNCTION("""COMPUTED_VALUE""")," Estimate ")</f>
        <v> Estimate </v>
      </c>
      <c r="E1476" s="86"/>
    </row>
    <row r="1477">
      <c r="A1477" s="4"/>
      <c r="B1477" s="85">
        <f>IFERROR(__xludf.DUMMYFUNCTION("""COMPUTED_VALUE"""),45938.461805555555)</f>
        <v>45938.46181</v>
      </c>
      <c r="C1477" s="4" t="str">
        <f>IFERROR(__xludf.DUMMYFUNCTION("""COMPUTED_VALUE""")," Estimate ")</f>
        <v> Estimate </v>
      </c>
      <c r="E1477" s="86"/>
    </row>
    <row r="1478">
      <c r="A1478" s="4"/>
      <c r="B1478" s="85">
        <f>IFERROR(__xludf.DUMMYFUNCTION("""COMPUTED_VALUE"""),45938.694444444445)</f>
        <v>45938.69444</v>
      </c>
      <c r="C1478" s="4" t="str">
        <f>IFERROR(__xludf.DUMMYFUNCTION("""COMPUTED_VALUE""")," Estimate ")</f>
        <v> Estimate </v>
      </c>
      <c r="E1478" s="86"/>
    </row>
    <row r="1479">
      <c r="A1479" s="4"/>
      <c r="B1479" s="85">
        <f>IFERROR(__xludf.DUMMYFUNCTION("""COMPUTED_VALUE"""),45938.697222222225)</f>
        <v>45938.69722</v>
      </c>
      <c r="C1479" s="4" t="str">
        <f>IFERROR(__xludf.DUMMYFUNCTION("""COMPUTED_VALUE""")," Estimate ")</f>
        <v> Estimate </v>
      </c>
      <c r="E1479" s="86"/>
    </row>
    <row r="1480">
      <c r="A1480" s="4"/>
      <c r="B1480" s="85">
        <f>IFERROR(__xludf.DUMMYFUNCTION("""COMPUTED_VALUE"""),45938.70208333334)</f>
        <v>45938.70208</v>
      </c>
      <c r="C1480" s="4" t="str">
        <f>IFERROR(__xludf.DUMMYFUNCTION("""COMPUTED_VALUE""")," Estimate ")</f>
        <v> Estimate </v>
      </c>
      <c r="E1480" s="86"/>
    </row>
    <row r="1481">
      <c r="A1481" s="4"/>
      <c r="B1481" s="85">
        <f>IFERROR(__xludf.DUMMYFUNCTION("""COMPUTED_VALUE"""),45939.65902777778)</f>
        <v>45939.65903</v>
      </c>
      <c r="C1481" s="4" t="str">
        <f>IFERROR(__xludf.DUMMYFUNCTION("""COMPUTED_VALUE""")," Estimate ")</f>
        <v> Estimate </v>
      </c>
      <c r="E1481" s="86"/>
    </row>
    <row r="1482">
      <c r="A1482" s="4"/>
      <c r="B1482" s="85">
        <f>IFERROR(__xludf.DUMMYFUNCTION("""COMPUTED_VALUE"""),45939.71597222222)</f>
        <v>45939.71597</v>
      </c>
      <c r="C1482" s="4" t="str">
        <f>IFERROR(__xludf.DUMMYFUNCTION("""COMPUTED_VALUE""")," Estimate ")</f>
        <v> Estimate </v>
      </c>
      <c r="E1482" s="86"/>
    </row>
    <row r="1483">
      <c r="A1483" s="4"/>
      <c r="B1483" s="85">
        <f>IFERROR(__xludf.DUMMYFUNCTION("""COMPUTED_VALUE"""),45942.61944444444)</f>
        <v>45942.61944</v>
      </c>
      <c r="C1483" s="4" t="str">
        <f>IFERROR(__xludf.DUMMYFUNCTION("""COMPUTED_VALUE""")," Estimate ")</f>
        <v> Estimate </v>
      </c>
      <c r="E1483" s="86"/>
    </row>
    <row r="1484">
      <c r="A1484" s="4"/>
      <c r="B1484" s="85">
        <f>IFERROR(__xludf.DUMMYFUNCTION("""COMPUTED_VALUE"""),45942.620833333334)</f>
        <v>45942.62083</v>
      </c>
      <c r="C1484" s="4" t="str">
        <f>IFERROR(__xludf.DUMMYFUNCTION("""COMPUTED_VALUE""")," Estimate ")</f>
        <v> Estimate </v>
      </c>
      <c r="E1484" s="86"/>
    </row>
    <row r="1485">
      <c r="A1485" s="4"/>
      <c r="B1485" s="85">
        <f>IFERROR(__xludf.DUMMYFUNCTION("""COMPUTED_VALUE"""),45942.62291666667)</f>
        <v>45942.62292</v>
      </c>
      <c r="C1485" s="4" t="str">
        <f>IFERROR(__xludf.DUMMYFUNCTION("""COMPUTED_VALUE""")," Estimate ")</f>
        <v> Estimate </v>
      </c>
      <c r="E1485" s="86"/>
    </row>
    <row r="1486">
      <c r="A1486" s="4"/>
      <c r="B1486" s="85">
        <f>IFERROR(__xludf.DUMMYFUNCTION("""COMPUTED_VALUE"""),45942.62708333333)</f>
        <v>45942.62708</v>
      </c>
      <c r="C1486" s="4" t="str">
        <f>IFERROR(__xludf.DUMMYFUNCTION("""COMPUTED_VALUE""")," Estimate ")</f>
        <v> Estimate </v>
      </c>
      <c r="E1486" s="86"/>
    </row>
    <row r="1487">
      <c r="A1487" s="4"/>
      <c r="B1487" s="85">
        <f>IFERROR(__xludf.DUMMYFUNCTION("""COMPUTED_VALUE"""),45945.504166666666)</f>
        <v>45945.50417</v>
      </c>
      <c r="C1487" s="4" t="str">
        <f>IFERROR(__xludf.DUMMYFUNCTION("""COMPUTED_VALUE""")," Estimate ")</f>
        <v> Estimate </v>
      </c>
      <c r="E1487" s="86"/>
    </row>
    <row r="1488">
      <c r="A1488" s="4"/>
      <c r="B1488" s="85">
        <f>IFERROR(__xludf.DUMMYFUNCTION("""COMPUTED_VALUE"""),45945.50486111111)</f>
        <v>45945.50486</v>
      </c>
      <c r="C1488" s="4" t="str">
        <f>IFERROR(__xludf.DUMMYFUNCTION("""COMPUTED_VALUE""")," Estimate ")</f>
        <v> Estimate </v>
      </c>
      <c r="E1488" s="86"/>
    </row>
    <row r="1489">
      <c r="A1489" s="4"/>
      <c r="B1489" s="85">
        <f>IFERROR(__xludf.DUMMYFUNCTION("""COMPUTED_VALUE"""),45945.50555555556)</f>
        <v>45945.50556</v>
      </c>
      <c r="C1489" s="4" t="str">
        <f>IFERROR(__xludf.DUMMYFUNCTION("""COMPUTED_VALUE""")," Estimate ")</f>
        <v> Estimate </v>
      </c>
      <c r="E1489" s="86"/>
    </row>
    <row r="1490">
      <c r="A1490" s="4"/>
      <c r="B1490" s="85">
        <f>IFERROR(__xludf.DUMMYFUNCTION("""COMPUTED_VALUE"""),45945.506944444445)</f>
        <v>45945.50694</v>
      </c>
      <c r="C1490" s="4" t="str">
        <f>IFERROR(__xludf.DUMMYFUNCTION("""COMPUTED_VALUE""")," Estimate ")</f>
        <v> Estimate </v>
      </c>
      <c r="E1490" s="86"/>
    </row>
    <row r="1491">
      <c r="A1491" s="4"/>
      <c r="B1491" s="85">
        <f>IFERROR(__xludf.DUMMYFUNCTION("""COMPUTED_VALUE"""),45945.50833333333)</f>
        <v>45945.50833</v>
      </c>
      <c r="C1491" s="4" t="str">
        <f>IFERROR(__xludf.DUMMYFUNCTION("""COMPUTED_VALUE""")," Estimate ")</f>
        <v> Estimate </v>
      </c>
      <c r="E1491" s="86"/>
    </row>
    <row r="1492">
      <c r="A1492" s="4"/>
      <c r="B1492" s="85">
        <f>IFERROR(__xludf.DUMMYFUNCTION("""COMPUTED_VALUE"""),45945.50902777778)</f>
        <v>45945.50903</v>
      </c>
      <c r="C1492" s="4" t="str">
        <f>IFERROR(__xludf.DUMMYFUNCTION("""COMPUTED_VALUE""")," Estimate ")</f>
        <v> Estimate </v>
      </c>
      <c r="E1492" s="86"/>
    </row>
    <row r="1493">
      <c r="A1493" s="4"/>
      <c r="B1493" s="85">
        <f>IFERROR(__xludf.DUMMYFUNCTION("""COMPUTED_VALUE"""),45945.51111111111)</f>
        <v>45945.51111</v>
      </c>
      <c r="C1493" s="4" t="str">
        <f>IFERROR(__xludf.DUMMYFUNCTION("""COMPUTED_VALUE""")," Estimate ")</f>
        <v> Estimate </v>
      </c>
      <c r="E1493" s="86"/>
    </row>
    <row r="1494">
      <c r="A1494" s="4"/>
      <c r="B1494" s="85">
        <f>IFERROR(__xludf.DUMMYFUNCTION("""COMPUTED_VALUE"""),45945.70416666666)</f>
        <v>45945.70417</v>
      </c>
      <c r="C1494" s="4" t="str">
        <f>IFERROR(__xludf.DUMMYFUNCTION("""COMPUTED_VALUE""")," Estimate ")</f>
        <v> Estimate </v>
      </c>
      <c r="E1494" s="86"/>
    </row>
    <row r="1495">
      <c r="A1495" s="4"/>
      <c r="B1495" s="85">
        <f>IFERROR(__xludf.DUMMYFUNCTION("""COMPUTED_VALUE"""),45955.617361111115)</f>
        <v>45955.61736</v>
      </c>
      <c r="C1495" s="4" t="str">
        <f>IFERROR(__xludf.DUMMYFUNCTION("""COMPUTED_VALUE""")," Estimate ")</f>
        <v> Estimate </v>
      </c>
      <c r="E1495" s="86"/>
    </row>
    <row r="1496">
      <c r="A1496" s="4"/>
      <c r="B1496" s="85">
        <f>IFERROR(__xludf.DUMMYFUNCTION("""COMPUTED_VALUE"""),45955.64166666666)</f>
        <v>45955.64167</v>
      </c>
      <c r="C1496" s="4" t="str">
        <f>IFERROR(__xludf.DUMMYFUNCTION("""COMPUTED_VALUE""")," Estimate ")</f>
        <v> Estimate </v>
      </c>
      <c r="E1496" s="86"/>
    </row>
    <row r="1497">
      <c r="A1497" s="4"/>
      <c r="B1497" s="85">
        <f>IFERROR(__xludf.DUMMYFUNCTION("""COMPUTED_VALUE"""),45955.65902777778)</f>
        <v>45955.65903</v>
      </c>
      <c r="C1497" s="4" t="str">
        <f>IFERROR(__xludf.DUMMYFUNCTION("""COMPUTED_VALUE""")," Estimate ")</f>
        <v> Estimate </v>
      </c>
      <c r="E1497" s="86"/>
    </row>
    <row r="1498">
      <c r="A1498" s="4"/>
      <c r="B1498" s="85">
        <f>IFERROR(__xludf.DUMMYFUNCTION("""COMPUTED_VALUE"""),45972.481944444444)</f>
        <v>45972.48194</v>
      </c>
      <c r="C1498" s="4" t="str">
        <f>IFERROR(__xludf.DUMMYFUNCTION("""COMPUTED_VALUE""")," Estimate ")</f>
        <v> Estimate </v>
      </c>
      <c r="E1498" s="86"/>
    </row>
    <row r="1499">
      <c r="A1499" s="4"/>
      <c r="B1499" s="85">
        <f>IFERROR(__xludf.DUMMYFUNCTION("""COMPUTED_VALUE"""),45972.48611111111)</f>
        <v>45972.48611</v>
      </c>
      <c r="C1499" s="4" t="str">
        <f>IFERROR(__xludf.DUMMYFUNCTION("""COMPUTED_VALUE""")," Estimate ")</f>
        <v> Estimate </v>
      </c>
      <c r="E1499" s="86"/>
    </row>
    <row r="1500">
      <c r="A1500" s="4"/>
      <c r="B1500" s="85">
        <f>IFERROR(__xludf.DUMMYFUNCTION("""COMPUTED_VALUE"""),45972.48958333333)</f>
        <v>45972.48958</v>
      </c>
      <c r="C1500" s="4" t="str">
        <f>IFERROR(__xludf.DUMMYFUNCTION("""COMPUTED_VALUE""")," Estimate ")</f>
        <v> Estimate </v>
      </c>
      <c r="E1500" s="86"/>
    </row>
    <row r="1501">
      <c r="A1501" s="4"/>
      <c r="B1501" s="85">
        <f>IFERROR(__xludf.DUMMYFUNCTION("""COMPUTED_VALUE"""),45972.49166666667)</f>
        <v>45972.49167</v>
      </c>
      <c r="C1501" s="4" t="str">
        <f>IFERROR(__xludf.DUMMYFUNCTION("""COMPUTED_VALUE""")," Estimate ")</f>
        <v> Estimate </v>
      </c>
      <c r="E1501" s="86"/>
    </row>
    <row r="1502">
      <c r="A1502" s="4"/>
      <c r="B1502" s="85">
        <f>IFERROR(__xludf.DUMMYFUNCTION("""COMPUTED_VALUE"""),45972.660416666666)</f>
        <v>45972.66042</v>
      </c>
      <c r="C1502" s="4" t="str">
        <f>IFERROR(__xludf.DUMMYFUNCTION("""COMPUTED_VALUE""")," Estimate ")</f>
        <v> Estimate </v>
      </c>
      <c r="E1502" s="86"/>
    </row>
    <row r="1503">
      <c r="A1503" s="4"/>
      <c r="B1503" s="85">
        <f>IFERROR(__xludf.DUMMYFUNCTION("""COMPUTED_VALUE"""),45972.66527777778)</f>
        <v>45972.66528</v>
      </c>
      <c r="C1503" s="4" t="str">
        <f>IFERROR(__xludf.DUMMYFUNCTION("""COMPUTED_VALUE""")," Estimate ")</f>
        <v> Estimate </v>
      </c>
      <c r="E1503" s="86"/>
    </row>
    <row r="1504">
      <c r="A1504" s="4"/>
      <c r="B1504" s="85">
        <f>IFERROR(__xludf.DUMMYFUNCTION("""COMPUTED_VALUE"""),45972.665972222225)</f>
        <v>45972.66597</v>
      </c>
      <c r="C1504" s="4" t="str">
        <f>IFERROR(__xludf.DUMMYFUNCTION("""COMPUTED_VALUE""")," Estimate ")</f>
        <v> Estimate </v>
      </c>
      <c r="E1504" s="86"/>
    </row>
    <row r="1505">
      <c r="A1505" s="4"/>
      <c r="B1505" s="85">
        <f>IFERROR(__xludf.DUMMYFUNCTION("""COMPUTED_VALUE"""),45972.66736111111)</f>
        <v>45972.66736</v>
      </c>
      <c r="C1505" s="4" t="str">
        <f>IFERROR(__xludf.DUMMYFUNCTION("""COMPUTED_VALUE""")," Estimate ")</f>
        <v> Estimate </v>
      </c>
      <c r="E1505" s="86"/>
    </row>
    <row r="1506">
      <c r="A1506" s="4"/>
      <c r="B1506" s="85">
        <f>IFERROR(__xludf.DUMMYFUNCTION("""COMPUTED_VALUE"""),45972.66875)</f>
        <v>45972.66875</v>
      </c>
      <c r="C1506" s="4" t="str">
        <f>IFERROR(__xludf.DUMMYFUNCTION("""COMPUTED_VALUE""")," Estimate ")</f>
        <v> Estimate </v>
      </c>
      <c r="E1506" s="86"/>
    </row>
    <row r="1507">
      <c r="A1507" s="4"/>
      <c r="B1507" s="85">
        <f>IFERROR(__xludf.DUMMYFUNCTION("""COMPUTED_VALUE"""),45974.523611111115)</f>
        <v>45974.52361</v>
      </c>
      <c r="C1507" s="4" t="str">
        <f>IFERROR(__xludf.DUMMYFUNCTION("""COMPUTED_VALUE""")," Estimate ")</f>
        <v> Estimate </v>
      </c>
      <c r="E1507" s="86"/>
    </row>
    <row r="1508">
      <c r="A1508" s="4"/>
      <c r="B1508" s="85">
        <f>IFERROR(__xludf.DUMMYFUNCTION("""COMPUTED_VALUE"""),45974.55416666667)</f>
        <v>45974.55417</v>
      </c>
      <c r="C1508" s="4" t="str">
        <f>IFERROR(__xludf.DUMMYFUNCTION("""COMPUTED_VALUE""")," Estimate ")</f>
        <v> Estimate </v>
      </c>
      <c r="E1508" s="86"/>
    </row>
    <row r="1509">
      <c r="A1509" s="4"/>
      <c r="B1509" s="85">
        <f>IFERROR(__xludf.DUMMYFUNCTION("""COMPUTED_VALUE"""),45974.575694444444)</f>
        <v>45974.57569</v>
      </c>
      <c r="C1509" s="4" t="str">
        <f>IFERROR(__xludf.DUMMYFUNCTION("""COMPUTED_VALUE""")," Estimate ")</f>
        <v> Estimate </v>
      </c>
      <c r="E1509" s="86"/>
    </row>
    <row r="1510">
      <c r="A1510" s="4"/>
      <c r="B1510" s="85">
        <f>IFERROR(__xludf.DUMMYFUNCTION("""COMPUTED_VALUE"""),45974.57708333334)</f>
        <v>45974.57708</v>
      </c>
      <c r="C1510" s="4" t="str">
        <f>IFERROR(__xludf.DUMMYFUNCTION("""COMPUTED_VALUE""")," Estimate ")</f>
        <v> Estimate </v>
      </c>
      <c r="E1510" s="86"/>
    </row>
    <row r="1511">
      <c r="A1511" s="4"/>
      <c r="B1511" s="85">
        <f>IFERROR(__xludf.DUMMYFUNCTION("""COMPUTED_VALUE"""),45974.57847222222)</f>
        <v>45974.57847</v>
      </c>
      <c r="C1511" s="4" t="str">
        <f>IFERROR(__xludf.DUMMYFUNCTION("""COMPUTED_VALUE""")," Estimate ")</f>
        <v> Estimate </v>
      </c>
      <c r="E1511" s="86"/>
    </row>
    <row r="1512">
      <c r="A1512" s="4"/>
      <c r="B1512" s="85">
        <f>IFERROR(__xludf.DUMMYFUNCTION("""COMPUTED_VALUE"""),45974.57916666666)</f>
        <v>45974.57917</v>
      </c>
      <c r="C1512" s="4" t="str">
        <f>IFERROR(__xludf.DUMMYFUNCTION("""COMPUTED_VALUE""")," Estimate ")</f>
        <v> Estimate </v>
      </c>
      <c r="E1512" s="86"/>
    </row>
    <row r="1513">
      <c r="A1513" s="4"/>
      <c r="B1513" s="85">
        <f>IFERROR(__xludf.DUMMYFUNCTION("""COMPUTED_VALUE"""),45980.61666666667)</f>
        <v>45980.61667</v>
      </c>
      <c r="C1513" s="4" t="str">
        <f>IFERROR(__xludf.DUMMYFUNCTION("""COMPUTED_VALUE""")," Estimate ")</f>
        <v> Estimate </v>
      </c>
      <c r="E1513" s="86"/>
    </row>
    <row r="1514">
      <c r="A1514" s="4"/>
      <c r="B1514" s="85">
        <f>IFERROR(__xludf.DUMMYFUNCTION("""COMPUTED_VALUE"""),45980.61944444444)</f>
        <v>45980.61944</v>
      </c>
      <c r="C1514" s="4" t="str">
        <f>IFERROR(__xludf.DUMMYFUNCTION("""COMPUTED_VALUE""")," Estimate ")</f>
        <v> Estimate </v>
      </c>
      <c r="E1514" s="86"/>
    </row>
    <row r="1515">
      <c r="A1515" s="4"/>
      <c r="B1515" s="85">
        <f>IFERROR(__xludf.DUMMYFUNCTION("""COMPUTED_VALUE"""),45991.554861111115)</f>
        <v>45991.55486</v>
      </c>
      <c r="C1515" s="4" t="str">
        <f>IFERROR(__xludf.DUMMYFUNCTION("""COMPUTED_VALUE""")," Estimate ")</f>
        <v> Estimate </v>
      </c>
      <c r="E1515" s="86"/>
    </row>
    <row r="1516">
      <c r="A1516" s="4"/>
      <c r="B1516" s="85">
        <f>IFERROR(__xludf.DUMMYFUNCTION("""COMPUTED_VALUE"""),45991.55625)</f>
        <v>45991.55625</v>
      </c>
      <c r="C1516" s="4" t="str">
        <f>IFERROR(__xludf.DUMMYFUNCTION("""COMPUTED_VALUE""")," Estimate ")</f>
        <v> Estimate </v>
      </c>
      <c r="E1516" s="86"/>
    </row>
    <row r="1517">
      <c r="A1517" s="4"/>
      <c r="B1517" s="85">
        <f>IFERROR(__xludf.DUMMYFUNCTION("""COMPUTED_VALUE"""),46052.78125)</f>
        <v>46052.78125</v>
      </c>
      <c r="C1517" s="4" t="str">
        <f>IFERROR(__xludf.DUMMYFUNCTION("""COMPUTED_VALUE""")," Estimate ")</f>
        <v> Estimate </v>
      </c>
      <c r="E1517" s="86"/>
    </row>
    <row r="1518">
      <c r="A1518" s="4"/>
      <c r="B1518" s="85">
        <f>IFERROR(__xludf.DUMMYFUNCTION("""COMPUTED_VALUE"""),46052.79791666666)</f>
        <v>46052.79792</v>
      </c>
      <c r="C1518" s="4" t="str">
        <f>IFERROR(__xludf.DUMMYFUNCTION("""COMPUTED_VALUE""")," Estimate ")</f>
        <v> Estimate </v>
      </c>
      <c r="E1518" s="86"/>
    </row>
    <row r="1519">
      <c r="A1519" s="4"/>
      <c r="B1519" s="85">
        <f>IFERROR(__xludf.DUMMYFUNCTION("""COMPUTED_VALUE"""),46053.660416666666)</f>
        <v>46053.66042</v>
      </c>
      <c r="C1519" s="4" t="str">
        <f>IFERROR(__xludf.DUMMYFUNCTION("""COMPUTED_VALUE""")," Estimate ")</f>
        <v> Estimate </v>
      </c>
      <c r="E1519" s="86"/>
    </row>
    <row r="1520">
      <c r="A1520" s="4"/>
      <c r="B1520" s="85">
        <f>IFERROR(__xludf.DUMMYFUNCTION("""COMPUTED_VALUE"""),46053.66180555556)</f>
        <v>46053.66181</v>
      </c>
      <c r="C1520" s="4" t="str">
        <f>IFERROR(__xludf.DUMMYFUNCTION("""COMPUTED_VALUE""")," Estimate ")</f>
        <v> Estimate </v>
      </c>
      <c r="E1520" s="86"/>
    </row>
    <row r="1521">
      <c r="A1521" s="4"/>
      <c r="B1521" s="85">
        <f>IFERROR(__xludf.DUMMYFUNCTION("""COMPUTED_VALUE"""),46053.69930555555)</f>
        <v>46053.69931</v>
      </c>
      <c r="C1521" s="4" t="str">
        <f>IFERROR(__xludf.DUMMYFUNCTION("""COMPUTED_VALUE""")," Estimate ")</f>
        <v> Estimate </v>
      </c>
      <c r="E1521" s="86"/>
    </row>
    <row r="1522">
      <c r="A1522" s="4"/>
      <c r="B1522" s="85">
        <f>IFERROR(__xludf.DUMMYFUNCTION("""COMPUTED_VALUE"""),46053.7)</f>
        <v>46053.7</v>
      </c>
      <c r="C1522" s="4" t="str">
        <f>IFERROR(__xludf.DUMMYFUNCTION("""COMPUTED_VALUE""")," Estimate ")</f>
        <v> Estimate </v>
      </c>
      <c r="E1522" s="86"/>
    </row>
    <row r="1523">
      <c r="A1523" s="4"/>
      <c r="B1523" s="85">
        <f>IFERROR(__xludf.DUMMYFUNCTION("""COMPUTED_VALUE"""),46053.774305555555)</f>
        <v>46053.77431</v>
      </c>
      <c r="C1523" s="4" t="str">
        <f>IFERROR(__xludf.DUMMYFUNCTION("""COMPUTED_VALUE""")," Estimate ")</f>
        <v> Estimate </v>
      </c>
      <c r="E1523" s="86"/>
    </row>
    <row r="1524">
      <c r="A1524" s="4"/>
      <c r="B1524" s="85">
        <f>IFERROR(__xludf.DUMMYFUNCTION("""COMPUTED_VALUE"""),46053.77569444444)</f>
        <v>46053.77569</v>
      </c>
      <c r="C1524" s="4" t="str">
        <f>IFERROR(__xludf.DUMMYFUNCTION("""COMPUTED_VALUE""")," Estimate ")</f>
        <v> Estimate </v>
      </c>
      <c r="E1524" s="86"/>
    </row>
    <row r="1525">
      <c r="A1525" s="4"/>
      <c r="B1525" s="85">
        <f>IFERROR(__xludf.DUMMYFUNCTION("""COMPUTED_VALUE"""),46053.785416666666)</f>
        <v>46053.78542</v>
      </c>
      <c r="C1525" s="4" t="str">
        <f>IFERROR(__xludf.DUMMYFUNCTION("""COMPUTED_VALUE""")," Estimate ")</f>
        <v> Estimate </v>
      </c>
      <c r="E1525" s="86"/>
    </row>
    <row r="1526">
      <c r="A1526" s="4"/>
      <c r="B1526" s="85">
        <f>IFERROR(__xludf.DUMMYFUNCTION("""COMPUTED_VALUE"""),46056.78402777778)</f>
        <v>46056.78403</v>
      </c>
      <c r="C1526" s="4" t="str">
        <f>IFERROR(__xludf.DUMMYFUNCTION("""COMPUTED_VALUE""")," Estimate ")</f>
        <v> Estimate </v>
      </c>
      <c r="E1526" s="86"/>
    </row>
    <row r="1527">
      <c r="A1527" s="4"/>
      <c r="B1527" s="85">
        <f>IFERROR(__xludf.DUMMYFUNCTION("""COMPUTED_VALUE"""),46056.785416666666)</f>
        <v>46056.78542</v>
      </c>
      <c r="C1527" s="4" t="str">
        <f>IFERROR(__xludf.DUMMYFUNCTION("""COMPUTED_VALUE""")," Estimate ")</f>
        <v> Estimate </v>
      </c>
      <c r="E1527" s="86"/>
    </row>
    <row r="1528">
      <c r="A1528" s="4"/>
      <c r="B1528" s="85">
        <f>IFERROR(__xludf.DUMMYFUNCTION("""COMPUTED_VALUE"""),46056.78958333333)</f>
        <v>46056.78958</v>
      </c>
      <c r="C1528" s="4" t="str">
        <f>IFERROR(__xludf.DUMMYFUNCTION("""COMPUTED_VALUE""")," Estimate ")</f>
        <v> Estimate </v>
      </c>
      <c r="E1528" s="86"/>
    </row>
    <row r="1529">
      <c r="A1529" s="4"/>
      <c r="B1529" s="85">
        <f>IFERROR(__xludf.DUMMYFUNCTION("""COMPUTED_VALUE"""),46056.794444444444)</f>
        <v>46056.79444</v>
      </c>
      <c r="C1529" s="4" t="str">
        <f>IFERROR(__xludf.DUMMYFUNCTION("""COMPUTED_VALUE""")," Estimate ")</f>
        <v> Estimate </v>
      </c>
      <c r="E1529" s="86"/>
    </row>
    <row r="1530">
      <c r="A1530" s="4"/>
      <c r="B1530" s="85">
        <f>IFERROR(__xludf.DUMMYFUNCTION("""COMPUTED_VALUE"""),46057.67013888889)</f>
        <v>46057.67014</v>
      </c>
      <c r="C1530" s="4" t="str">
        <f>IFERROR(__xludf.DUMMYFUNCTION("""COMPUTED_VALUE""")," Estimate ")</f>
        <v> Estimate </v>
      </c>
      <c r="E1530" s="86"/>
    </row>
    <row r="1531">
      <c r="A1531" s="4"/>
      <c r="B1531" s="85">
        <f>IFERROR(__xludf.DUMMYFUNCTION("""COMPUTED_VALUE"""),46057.691666666666)</f>
        <v>46057.69167</v>
      </c>
      <c r="C1531" s="4" t="str">
        <f>IFERROR(__xludf.DUMMYFUNCTION("""COMPUTED_VALUE""")," Estimate ")</f>
        <v> Estimate </v>
      </c>
      <c r="E1531" s="86"/>
    </row>
    <row r="1532">
      <c r="A1532" s="4"/>
      <c r="B1532" s="85">
        <f>IFERROR(__xludf.DUMMYFUNCTION("""COMPUTED_VALUE"""),46057.694444444445)</f>
        <v>46057.69444</v>
      </c>
      <c r="C1532" s="4" t="str">
        <f>IFERROR(__xludf.DUMMYFUNCTION("""COMPUTED_VALUE""")," Estimate ")</f>
        <v> Estimate </v>
      </c>
      <c r="E1532" s="86"/>
    </row>
    <row r="1533">
      <c r="A1533" s="4"/>
      <c r="B1533" s="85">
        <f>IFERROR(__xludf.DUMMYFUNCTION("""COMPUTED_VALUE"""),46058.64444444445)</f>
        <v>46058.64444</v>
      </c>
      <c r="C1533" s="4" t="str">
        <f>IFERROR(__xludf.DUMMYFUNCTION("""COMPUTED_VALUE""")," Estimate ")</f>
        <v> Estimate </v>
      </c>
      <c r="E1533" s="86"/>
    </row>
    <row r="1534">
      <c r="A1534" s="4"/>
      <c r="B1534" s="85">
        <f>IFERROR(__xludf.DUMMYFUNCTION("""COMPUTED_VALUE"""),46064.69027777778)</f>
        <v>46064.69028</v>
      </c>
      <c r="C1534" s="4" t="str">
        <f>IFERROR(__xludf.DUMMYFUNCTION("""COMPUTED_VALUE""")," Estimate ")</f>
        <v> Estimate </v>
      </c>
      <c r="E1534" s="86"/>
    </row>
    <row r="1535">
      <c r="A1535" s="4"/>
      <c r="B1535" s="85">
        <f>IFERROR(__xludf.DUMMYFUNCTION("""COMPUTED_VALUE"""),46065.638194444444)</f>
        <v>46065.63819</v>
      </c>
      <c r="C1535" s="4" t="str">
        <f>IFERROR(__xludf.DUMMYFUNCTION("""COMPUTED_VALUE""")," Estimate ")</f>
        <v> Estimate </v>
      </c>
      <c r="E1535" s="86"/>
    </row>
    <row r="1536">
      <c r="A1536" s="4"/>
      <c r="B1536" s="85">
        <f>IFERROR(__xludf.DUMMYFUNCTION("""COMPUTED_VALUE"""),46065.68194444444)</f>
        <v>46065.68194</v>
      </c>
      <c r="C1536" s="4" t="str">
        <f>IFERROR(__xludf.DUMMYFUNCTION("""COMPUTED_VALUE""")," Estimate ")</f>
        <v> Estimate </v>
      </c>
      <c r="E1536" s="86"/>
    </row>
    <row r="1537">
      <c r="A1537" s="4"/>
      <c r="B1537" s="85">
        <f>IFERROR(__xludf.DUMMYFUNCTION("""COMPUTED_VALUE"""),46065.68263888889)</f>
        <v>46065.68264</v>
      </c>
      <c r="C1537" s="4" t="str">
        <f>IFERROR(__xludf.DUMMYFUNCTION("""COMPUTED_VALUE""")," Estimate ")</f>
        <v> Estimate </v>
      </c>
      <c r="E1537" s="86"/>
    </row>
    <row r="1538">
      <c r="A1538" s="4"/>
      <c r="B1538" s="85">
        <f>IFERROR(__xludf.DUMMYFUNCTION("""COMPUTED_VALUE"""),46065.73055555555)</f>
        <v>46065.73056</v>
      </c>
      <c r="C1538" s="4" t="str">
        <f>IFERROR(__xludf.DUMMYFUNCTION("""COMPUTED_VALUE""")," Estimate ")</f>
        <v> Estimate </v>
      </c>
      <c r="E1538" s="86"/>
    </row>
    <row r="1539">
      <c r="A1539" s="4"/>
      <c r="B1539" s="85">
        <f>IFERROR(__xludf.DUMMYFUNCTION("""COMPUTED_VALUE"""),46065.7375)</f>
        <v>46065.7375</v>
      </c>
      <c r="C1539" s="4" t="str">
        <f>IFERROR(__xludf.DUMMYFUNCTION("""COMPUTED_VALUE""")," Estimate ")</f>
        <v> Estimate </v>
      </c>
      <c r="E1539" s="86"/>
    </row>
    <row r="1540">
      <c r="A1540" s="4"/>
      <c r="B1540" s="85">
        <f>IFERROR(__xludf.DUMMYFUNCTION("""COMPUTED_VALUE"""),46065.74097222222)</f>
        <v>46065.74097</v>
      </c>
      <c r="C1540" s="4" t="str">
        <f>IFERROR(__xludf.DUMMYFUNCTION("""COMPUTED_VALUE""")," Estimate ")</f>
        <v> Estimate </v>
      </c>
      <c r="E1540" s="86"/>
    </row>
    <row r="1541">
      <c r="A1541" s="4"/>
      <c r="B1541" s="85">
        <f>IFERROR(__xludf.DUMMYFUNCTION("""COMPUTED_VALUE"""),46067.55625)</f>
        <v>46067.55625</v>
      </c>
      <c r="C1541" s="4" t="str">
        <f>IFERROR(__xludf.DUMMYFUNCTION("""COMPUTED_VALUE""")," Estimate ")</f>
        <v> Estimate </v>
      </c>
      <c r="E1541" s="86"/>
    </row>
    <row r="1542">
      <c r="A1542" s="4"/>
      <c r="B1542" s="85">
        <f>IFERROR(__xludf.DUMMYFUNCTION("""COMPUTED_VALUE"""),46068.67291666666)</f>
        <v>46068.67292</v>
      </c>
      <c r="C1542" s="4" t="str">
        <f>IFERROR(__xludf.DUMMYFUNCTION("""COMPUTED_VALUE""")," Estimate ")</f>
        <v> Estimate </v>
      </c>
      <c r="E1542" s="86"/>
    </row>
    <row r="1543">
      <c r="A1543" s="4"/>
      <c r="B1543" s="85">
        <f>IFERROR(__xludf.DUMMYFUNCTION("""COMPUTED_VALUE"""),46073.62986111111)</f>
        <v>46073.62986</v>
      </c>
      <c r="C1543" s="4" t="str">
        <f>IFERROR(__xludf.DUMMYFUNCTION("""COMPUTED_VALUE""")," Estimate ")</f>
        <v> Estimate </v>
      </c>
      <c r="E1543" s="86"/>
    </row>
    <row r="1544">
      <c r="A1544" s="4"/>
      <c r="B1544" s="85">
        <f>IFERROR(__xludf.DUMMYFUNCTION("""COMPUTED_VALUE"""),46073.631944444445)</f>
        <v>46073.63194</v>
      </c>
      <c r="C1544" s="4" t="str">
        <f>IFERROR(__xludf.DUMMYFUNCTION("""COMPUTED_VALUE""")," Estimate ")</f>
        <v> Estimate </v>
      </c>
      <c r="E1544" s="86"/>
    </row>
    <row r="1545">
      <c r="A1545" s="4"/>
      <c r="B1545" s="85">
        <f>IFERROR(__xludf.DUMMYFUNCTION("""COMPUTED_VALUE"""),46073.63541666667)</f>
        <v>46073.63542</v>
      </c>
      <c r="C1545" s="4" t="str">
        <f>IFERROR(__xludf.DUMMYFUNCTION("""COMPUTED_VALUE""")," Estimate ")</f>
        <v> Estimate </v>
      </c>
      <c r="E1545" s="86"/>
    </row>
    <row r="1546">
      <c r="A1546" s="4"/>
      <c r="B1546" s="85">
        <f>IFERROR(__xludf.DUMMYFUNCTION("""COMPUTED_VALUE"""),46073.65069444444)</f>
        <v>46073.65069</v>
      </c>
      <c r="C1546" s="4" t="str">
        <f>IFERROR(__xludf.DUMMYFUNCTION("""COMPUTED_VALUE""")," Estimate ")</f>
        <v> Estimate </v>
      </c>
      <c r="E1546" s="86"/>
    </row>
    <row r="1547">
      <c r="A1547" s="4"/>
      <c r="B1547" s="85">
        <f>IFERROR(__xludf.DUMMYFUNCTION("""COMPUTED_VALUE"""),46073.68958333333)</f>
        <v>46073.68958</v>
      </c>
      <c r="C1547" s="4" t="str">
        <f>IFERROR(__xludf.DUMMYFUNCTION("""COMPUTED_VALUE""")," Estimate ")</f>
        <v> Estimate </v>
      </c>
      <c r="E1547" s="86"/>
    </row>
    <row r="1548">
      <c r="A1548" s="4"/>
      <c r="B1548" s="85">
        <f>IFERROR(__xludf.DUMMYFUNCTION("""COMPUTED_VALUE"""),46073.69027777778)</f>
        <v>46073.69028</v>
      </c>
      <c r="C1548" s="4" t="str">
        <f>IFERROR(__xludf.DUMMYFUNCTION("""COMPUTED_VALUE""")," Estimate ")</f>
        <v> Estimate </v>
      </c>
      <c r="E1548" s="86"/>
    </row>
    <row r="1549">
      <c r="A1549" s="4"/>
      <c r="B1549" s="85">
        <f>IFERROR(__xludf.DUMMYFUNCTION("""COMPUTED_VALUE"""),46073.691666666666)</f>
        <v>46073.69167</v>
      </c>
      <c r="C1549" s="4" t="str">
        <f>IFERROR(__xludf.DUMMYFUNCTION("""COMPUTED_VALUE""")," Estimate ")</f>
        <v> Estimate </v>
      </c>
      <c r="E1549" s="86"/>
    </row>
    <row r="1550">
      <c r="A1550" s="4"/>
      <c r="B1550" s="85">
        <f>IFERROR(__xludf.DUMMYFUNCTION("""COMPUTED_VALUE"""),46073.69375)</f>
        <v>46073.69375</v>
      </c>
      <c r="C1550" s="4" t="str">
        <f>IFERROR(__xludf.DUMMYFUNCTION("""COMPUTED_VALUE""")," Estimate ")</f>
        <v> Estimate </v>
      </c>
      <c r="E1550" s="86"/>
    </row>
    <row r="1551">
      <c r="A1551" s="4"/>
      <c r="B1551" s="85">
        <f>IFERROR(__xludf.DUMMYFUNCTION("""COMPUTED_VALUE"""),46073.69652777778)</f>
        <v>46073.69653</v>
      </c>
      <c r="C1551" s="4" t="str">
        <f>IFERROR(__xludf.DUMMYFUNCTION("""COMPUTED_VALUE""")," Estimate ")</f>
        <v> Estimate </v>
      </c>
      <c r="E1551" s="86"/>
    </row>
    <row r="1552">
      <c r="A1552" s="4"/>
      <c r="B1552" s="85">
        <f>IFERROR(__xludf.DUMMYFUNCTION("""COMPUTED_VALUE"""),46073.697222222225)</f>
        <v>46073.69722</v>
      </c>
      <c r="C1552" s="4" t="str">
        <f>IFERROR(__xludf.DUMMYFUNCTION("""COMPUTED_VALUE""")," Estimate ")</f>
        <v> Estimate </v>
      </c>
      <c r="E1552" s="86"/>
    </row>
    <row r="1553">
      <c r="A1553" s="4"/>
      <c r="B1553" s="85">
        <f>IFERROR(__xludf.DUMMYFUNCTION("""COMPUTED_VALUE"""),46073.69791666667)</f>
        <v>46073.69792</v>
      </c>
      <c r="C1553" s="4" t="str">
        <f>IFERROR(__xludf.DUMMYFUNCTION("""COMPUTED_VALUE""")," Estimate ")</f>
        <v> Estimate </v>
      </c>
      <c r="E1553" s="86"/>
    </row>
    <row r="1554">
      <c r="A1554" s="4"/>
      <c r="B1554" s="85">
        <f>IFERROR(__xludf.DUMMYFUNCTION("""COMPUTED_VALUE"""),46073.69930555555)</f>
        <v>46073.69931</v>
      </c>
      <c r="C1554" s="4" t="str">
        <f>IFERROR(__xludf.DUMMYFUNCTION("""COMPUTED_VALUE""")," Estimate ")</f>
        <v> Estimate </v>
      </c>
      <c r="E1554" s="86"/>
    </row>
    <row r="1555">
      <c r="A1555" s="4"/>
      <c r="B1555" s="85">
        <f>IFERROR(__xludf.DUMMYFUNCTION("""COMPUTED_VALUE"""),46073.725694444445)</f>
        <v>46073.72569</v>
      </c>
      <c r="C1555" s="4" t="str">
        <f>IFERROR(__xludf.DUMMYFUNCTION("""COMPUTED_VALUE""")," Estimate ")</f>
        <v> Estimate </v>
      </c>
      <c r="E1555" s="86"/>
    </row>
    <row r="1556">
      <c r="A1556" s="4"/>
      <c r="B1556" s="85">
        <f>IFERROR(__xludf.DUMMYFUNCTION("""COMPUTED_VALUE"""),46074.62708333333)</f>
        <v>46074.62708</v>
      </c>
      <c r="C1556" s="4" t="str">
        <f>IFERROR(__xludf.DUMMYFUNCTION("""COMPUTED_VALUE""")," Estimate ")</f>
        <v> Estimate </v>
      </c>
      <c r="E1556" s="86"/>
    </row>
    <row r="1557">
      <c r="A1557" s="4"/>
      <c r="B1557" s="85">
        <f>IFERROR(__xludf.DUMMYFUNCTION("""COMPUTED_VALUE"""),46075.575694444444)</f>
        <v>46075.57569</v>
      </c>
      <c r="C1557" s="4" t="str">
        <f>IFERROR(__xludf.DUMMYFUNCTION("""COMPUTED_VALUE""")," Estimate ")</f>
        <v> Estimate </v>
      </c>
      <c r="E1557" s="86"/>
    </row>
    <row r="1558">
      <c r="A1558" s="4"/>
      <c r="B1558" s="85">
        <f>IFERROR(__xludf.DUMMYFUNCTION("""COMPUTED_VALUE"""),46075.57638888889)</f>
        <v>46075.57639</v>
      </c>
      <c r="C1558" s="4" t="str">
        <f>IFERROR(__xludf.DUMMYFUNCTION("""COMPUTED_VALUE""")," Estimate ")</f>
        <v> Estimate </v>
      </c>
      <c r="E1558" s="86"/>
    </row>
    <row r="1559">
      <c r="A1559" s="4"/>
      <c r="B1559" s="85">
        <f>IFERROR(__xludf.DUMMYFUNCTION("""COMPUTED_VALUE"""),46075.57777777778)</f>
        <v>46075.57778</v>
      </c>
      <c r="C1559" s="4" t="str">
        <f>IFERROR(__xludf.DUMMYFUNCTION("""COMPUTED_VALUE""")," Estimate ")</f>
        <v> Estimate </v>
      </c>
      <c r="E1559" s="86"/>
    </row>
    <row r="1560">
      <c r="A1560" s="4"/>
      <c r="B1560" s="85">
        <f>IFERROR(__xludf.DUMMYFUNCTION("""COMPUTED_VALUE"""),46075.773611111115)</f>
        <v>46075.77361</v>
      </c>
      <c r="C1560" s="4" t="str">
        <f>IFERROR(__xludf.DUMMYFUNCTION("""COMPUTED_VALUE""")," Estimate ")</f>
        <v> Estimate </v>
      </c>
      <c r="E1560" s="86"/>
    </row>
    <row r="1561">
      <c r="A1561" s="4"/>
      <c r="B1561" s="85">
        <f>IFERROR(__xludf.DUMMYFUNCTION("""COMPUTED_VALUE"""),46075.775)</f>
        <v>46075.775</v>
      </c>
      <c r="C1561" s="4" t="str">
        <f>IFERROR(__xludf.DUMMYFUNCTION("""COMPUTED_VALUE""")," Estimate ")</f>
        <v> Estimate </v>
      </c>
      <c r="E1561" s="86"/>
    </row>
    <row r="1562">
      <c r="A1562" s="4"/>
      <c r="B1562" s="85">
        <f>IFERROR(__xludf.DUMMYFUNCTION("""COMPUTED_VALUE"""),46075.77569444444)</f>
        <v>46075.77569</v>
      </c>
      <c r="C1562" s="4" t="str">
        <f>IFERROR(__xludf.DUMMYFUNCTION("""COMPUTED_VALUE""")," Estimate ")</f>
        <v> Estimate </v>
      </c>
      <c r="E1562" s="86"/>
    </row>
    <row r="1563">
      <c r="A1563" s="4"/>
      <c r="B1563" s="85">
        <f>IFERROR(__xludf.DUMMYFUNCTION("""COMPUTED_VALUE"""),46075.777083333334)</f>
        <v>46075.77708</v>
      </c>
      <c r="C1563" s="4" t="str">
        <f>IFERROR(__xludf.DUMMYFUNCTION("""COMPUTED_VALUE""")," Estimate ")</f>
        <v> Estimate </v>
      </c>
      <c r="E1563" s="86"/>
    </row>
    <row r="1564">
      <c r="A1564" s="4"/>
      <c r="B1564" s="85">
        <f>IFERROR(__xludf.DUMMYFUNCTION("""COMPUTED_VALUE"""),46075.77777777778)</f>
        <v>46075.77778</v>
      </c>
      <c r="C1564" s="4" t="str">
        <f>IFERROR(__xludf.DUMMYFUNCTION("""COMPUTED_VALUE""")," Estimate ")</f>
        <v> Estimate </v>
      </c>
      <c r="E1564" s="86"/>
    </row>
    <row r="1565">
      <c r="A1565" s="4"/>
      <c r="B1565" s="85">
        <f>IFERROR(__xludf.DUMMYFUNCTION("""COMPUTED_VALUE"""),46077.75555555556)</f>
        <v>46077.75556</v>
      </c>
      <c r="C1565" s="4" t="str">
        <f>IFERROR(__xludf.DUMMYFUNCTION("""COMPUTED_VALUE""")," Estimate ")</f>
        <v> Estimate </v>
      </c>
      <c r="E1565" s="86"/>
    </row>
    <row r="1566">
      <c r="A1566" s="4"/>
      <c r="B1566" s="85">
        <f>IFERROR(__xludf.DUMMYFUNCTION("""COMPUTED_VALUE"""),46077.756944444445)</f>
        <v>46077.75694</v>
      </c>
      <c r="C1566" s="4" t="str">
        <f>IFERROR(__xludf.DUMMYFUNCTION("""COMPUTED_VALUE""")," Estimate ")</f>
        <v> Estimate </v>
      </c>
      <c r="E1566" s="86"/>
    </row>
    <row r="1567">
      <c r="A1567" s="4"/>
      <c r="B1567" s="85">
        <f>IFERROR(__xludf.DUMMYFUNCTION("""COMPUTED_VALUE"""),46079.67708333333)</f>
        <v>46079.67708</v>
      </c>
      <c r="C1567" s="4" t="str">
        <f>IFERROR(__xludf.DUMMYFUNCTION("""COMPUTED_VALUE""")," Estimate ")</f>
        <v> Estimate </v>
      </c>
      <c r="E1567" s="86"/>
    </row>
    <row r="1568">
      <c r="A1568" s="4"/>
      <c r="B1568" s="85">
        <f>IFERROR(__xludf.DUMMYFUNCTION("""COMPUTED_VALUE"""),46079.677777777775)</f>
        <v>46079.67778</v>
      </c>
      <c r="C1568" s="4" t="str">
        <f>IFERROR(__xludf.DUMMYFUNCTION("""COMPUTED_VALUE""")," Estimate ")</f>
        <v> Estimate </v>
      </c>
      <c r="E1568" s="86"/>
    </row>
    <row r="1569">
      <c r="A1569" s="4"/>
      <c r="B1569" s="85">
        <f>IFERROR(__xludf.DUMMYFUNCTION("""COMPUTED_VALUE"""),46079.67847222222)</f>
        <v>46079.67847</v>
      </c>
      <c r="C1569" s="4" t="str">
        <f>IFERROR(__xludf.DUMMYFUNCTION("""COMPUTED_VALUE""")," Estimate ")</f>
        <v> Estimate </v>
      </c>
      <c r="E1569" s="86"/>
    </row>
    <row r="1570">
      <c r="A1570" s="4"/>
      <c r="B1570" s="85">
        <f>IFERROR(__xludf.DUMMYFUNCTION("""COMPUTED_VALUE"""),46079.700694444444)</f>
        <v>46079.70069</v>
      </c>
      <c r="C1570" s="4" t="str">
        <f>IFERROR(__xludf.DUMMYFUNCTION("""COMPUTED_VALUE""")," Estimate ")</f>
        <v> Estimate </v>
      </c>
      <c r="E1570" s="86"/>
    </row>
    <row r="1571">
      <c r="A1571" s="4"/>
      <c r="B1571" s="85">
        <f>IFERROR(__xludf.DUMMYFUNCTION("""COMPUTED_VALUE"""),46079.70208333334)</f>
        <v>46079.70208</v>
      </c>
      <c r="C1571" s="4" t="str">
        <f>IFERROR(__xludf.DUMMYFUNCTION("""COMPUTED_VALUE""")," Estimate ")</f>
        <v> Estimate </v>
      </c>
      <c r="E1571" s="86"/>
    </row>
    <row r="1572">
      <c r="A1572" s="4"/>
      <c r="B1572" s="85">
        <f>IFERROR(__xludf.DUMMYFUNCTION("""COMPUTED_VALUE"""),46079.70277777778)</f>
        <v>46079.70278</v>
      </c>
      <c r="C1572" s="4" t="str">
        <f>IFERROR(__xludf.DUMMYFUNCTION("""COMPUTED_VALUE""")," Estimate ")</f>
        <v> Estimate </v>
      </c>
      <c r="E1572" s="86"/>
    </row>
    <row r="1573">
      <c r="A1573" s="4"/>
      <c r="B1573" s="85">
        <f>IFERROR(__xludf.DUMMYFUNCTION("""COMPUTED_VALUE"""),46079.70416666666)</f>
        <v>46079.70417</v>
      </c>
      <c r="C1573" s="4" t="str">
        <f>IFERROR(__xludf.DUMMYFUNCTION("""COMPUTED_VALUE""")," Estimate ")</f>
        <v> Estimate </v>
      </c>
      <c r="E1573" s="86"/>
    </row>
    <row r="1574">
      <c r="A1574" s="4"/>
      <c r="B1574" s="85">
        <f>IFERROR(__xludf.DUMMYFUNCTION("""COMPUTED_VALUE"""),46079.7125)</f>
        <v>46079.7125</v>
      </c>
      <c r="C1574" s="4" t="str">
        <f>IFERROR(__xludf.DUMMYFUNCTION("""COMPUTED_VALUE""")," Estimate ")</f>
        <v> Estimate </v>
      </c>
      <c r="E1574" s="86"/>
    </row>
    <row r="1575">
      <c r="A1575" s="4"/>
      <c r="B1575" s="85">
        <f>IFERROR(__xludf.DUMMYFUNCTION("""COMPUTED_VALUE"""),46082.60625)</f>
        <v>46082.60625</v>
      </c>
      <c r="C1575" s="4" t="str">
        <f>IFERROR(__xludf.DUMMYFUNCTION("""COMPUTED_VALUE""")," Estimate ")</f>
        <v> Estimate </v>
      </c>
      <c r="E1575" s="86"/>
    </row>
    <row r="1576">
      <c r="A1576" s="4"/>
      <c r="B1576" s="85">
        <f>IFERROR(__xludf.DUMMYFUNCTION("""COMPUTED_VALUE"""),46082.60763888889)</f>
        <v>46082.60764</v>
      </c>
      <c r="C1576" s="4" t="str">
        <f>IFERROR(__xludf.DUMMYFUNCTION("""COMPUTED_VALUE""")," Estimate ")</f>
        <v> Estimate </v>
      </c>
      <c r="E1576" s="86"/>
    </row>
    <row r="1577">
      <c r="A1577" s="4"/>
      <c r="B1577" s="85">
        <f>IFERROR(__xludf.DUMMYFUNCTION("""COMPUTED_VALUE"""),46082.611805555556)</f>
        <v>46082.61181</v>
      </c>
      <c r="C1577" s="4" t="str">
        <f>IFERROR(__xludf.DUMMYFUNCTION("""COMPUTED_VALUE""")," Estimate ")</f>
        <v> Estimate </v>
      </c>
      <c r="E1577" s="86"/>
    </row>
    <row r="1578">
      <c r="A1578" s="4"/>
      <c r="B1578" s="85">
        <f>IFERROR(__xludf.DUMMYFUNCTION("""COMPUTED_VALUE"""),46082.61319444445)</f>
        <v>46082.61319</v>
      </c>
      <c r="C1578" s="4" t="str">
        <f>IFERROR(__xludf.DUMMYFUNCTION("""COMPUTED_VALUE""")," Estimate ")</f>
        <v> Estimate </v>
      </c>
      <c r="E1578" s="86"/>
    </row>
    <row r="1579">
      <c r="A1579" s="4"/>
      <c r="B1579" s="85">
        <f>IFERROR(__xludf.DUMMYFUNCTION("""COMPUTED_VALUE"""),46082.64444444445)</f>
        <v>46082.64444</v>
      </c>
      <c r="C1579" s="4" t="str">
        <f>IFERROR(__xludf.DUMMYFUNCTION("""COMPUTED_VALUE""")," Estimate ")</f>
        <v> Estimate </v>
      </c>
      <c r="E1579" s="86"/>
    </row>
    <row r="1580">
      <c r="A1580" s="4"/>
      <c r="B1580" s="85">
        <f>IFERROR(__xludf.DUMMYFUNCTION("""COMPUTED_VALUE"""),46082.711805555555)</f>
        <v>46082.71181</v>
      </c>
      <c r="C1580" s="4" t="str">
        <f>IFERROR(__xludf.DUMMYFUNCTION("""COMPUTED_VALUE""")," Estimate ")</f>
        <v> Estimate </v>
      </c>
      <c r="E1580" s="86"/>
    </row>
    <row r="1581">
      <c r="A1581" s="4"/>
      <c r="B1581" s="85">
        <f>IFERROR(__xludf.DUMMYFUNCTION("""COMPUTED_VALUE"""),46082.71319444444)</f>
        <v>46082.71319</v>
      </c>
      <c r="C1581" s="4" t="str">
        <f>IFERROR(__xludf.DUMMYFUNCTION("""COMPUTED_VALUE""")," Estimate ")</f>
        <v> Estimate </v>
      </c>
      <c r="E1581" s="86"/>
    </row>
    <row r="1582">
      <c r="A1582" s="4"/>
      <c r="B1582" s="85">
        <f>IFERROR(__xludf.DUMMYFUNCTION("""COMPUTED_VALUE"""),46082.71527777778)</f>
        <v>46082.71528</v>
      </c>
      <c r="C1582" s="4" t="str">
        <f>IFERROR(__xludf.DUMMYFUNCTION("""COMPUTED_VALUE""")," Estimate ")</f>
        <v> Estimate </v>
      </c>
      <c r="E1582" s="86"/>
    </row>
    <row r="1583">
      <c r="A1583" s="4"/>
      <c r="B1583" s="85">
        <f>IFERROR(__xludf.DUMMYFUNCTION("""COMPUTED_VALUE"""),46103.660416666666)</f>
        <v>46103.66042</v>
      </c>
      <c r="C1583" s="4" t="str">
        <f>IFERROR(__xludf.DUMMYFUNCTION("""COMPUTED_VALUE""")," Estimate ")</f>
        <v> Estimate </v>
      </c>
      <c r="E1583" s="86"/>
    </row>
    <row r="1584">
      <c r="A1584" s="4"/>
      <c r="B1584" s="85">
        <f>IFERROR(__xludf.DUMMYFUNCTION("""COMPUTED_VALUE"""),46103.66180555556)</f>
        <v>46103.66181</v>
      </c>
      <c r="C1584" s="4" t="str">
        <f>IFERROR(__xludf.DUMMYFUNCTION("""COMPUTED_VALUE""")," Estimate ")</f>
        <v> Estimate </v>
      </c>
      <c r="E1584" s="86"/>
    </row>
    <row r="1585">
      <c r="A1585" s="4"/>
      <c r="B1585" s="85">
        <f>IFERROR(__xludf.DUMMYFUNCTION("""COMPUTED_VALUE"""),46103.663194444445)</f>
        <v>46103.66319</v>
      </c>
      <c r="C1585" s="4" t="str">
        <f>IFERROR(__xludf.DUMMYFUNCTION("""COMPUTED_VALUE""")," Estimate ")</f>
        <v> Estimate </v>
      </c>
      <c r="E1585" s="86"/>
    </row>
    <row r="1586">
      <c r="A1586" s="4"/>
      <c r="B1586" s="85">
        <f>IFERROR(__xludf.DUMMYFUNCTION("""COMPUTED_VALUE"""),46103.66527777778)</f>
        <v>46103.66528</v>
      </c>
      <c r="C1586" s="4" t="str">
        <f>IFERROR(__xludf.DUMMYFUNCTION("""COMPUTED_VALUE""")," Estimate ")</f>
        <v> Estimate </v>
      </c>
      <c r="E1586" s="86"/>
    </row>
    <row r="1587">
      <c r="A1587" s="4"/>
      <c r="B1587" s="85">
        <f>IFERROR(__xludf.DUMMYFUNCTION("""COMPUTED_VALUE"""),46103.665972222225)</f>
        <v>46103.66597</v>
      </c>
      <c r="C1587" s="4" t="str">
        <f>IFERROR(__xludf.DUMMYFUNCTION("""COMPUTED_VALUE""")," Estimate ")</f>
        <v> Estimate </v>
      </c>
      <c r="E1587" s="86"/>
    </row>
    <row r="1588">
      <c r="A1588" s="4"/>
      <c r="B1588" s="85">
        <f>IFERROR(__xludf.DUMMYFUNCTION("""COMPUTED_VALUE"""),46103.669444444444)</f>
        <v>46103.66944</v>
      </c>
      <c r="C1588" s="4" t="str">
        <f>IFERROR(__xludf.DUMMYFUNCTION("""COMPUTED_VALUE""")," Estimate ")</f>
        <v> Estimate </v>
      </c>
      <c r="E1588" s="86"/>
    </row>
    <row r="1589">
      <c r="A1589" s="4"/>
      <c r="B1589" s="85">
        <f>IFERROR(__xludf.DUMMYFUNCTION("""COMPUTED_VALUE"""),46103.67013888889)</f>
        <v>46103.67014</v>
      </c>
      <c r="C1589" s="4" t="str">
        <f>IFERROR(__xludf.DUMMYFUNCTION("""COMPUTED_VALUE""")," Estimate ")</f>
        <v> Estimate </v>
      </c>
      <c r="E1589" s="86"/>
    </row>
    <row r="1590">
      <c r="A1590" s="4"/>
      <c r="B1590" s="85">
        <f>IFERROR(__xludf.DUMMYFUNCTION("""COMPUTED_VALUE"""),46103.67152777778)</f>
        <v>46103.67153</v>
      </c>
      <c r="C1590" s="4" t="str">
        <f>IFERROR(__xludf.DUMMYFUNCTION("""COMPUTED_VALUE""")," Estimate ")</f>
        <v> Estimate </v>
      </c>
      <c r="E1590" s="86"/>
    </row>
    <row r="1591">
      <c r="A1591" s="4"/>
      <c r="B1591" s="85">
        <f>IFERROR(__xludf.DUMMYFUNCTION("""COMPUTED_VALUE"""),46103.67222222222)</f>
        <v>46103.67222</v>
      </c>
      <c r="C1591" s="4" t="str">
        <f>IFERROR(__xludf.DUMMYFUNCTION("""COMPUTED_VALUE""")," Estimate ")</f>
        <v> Estimate </v>
      </c>
      <c r="E1591" s="86"/>
    </row>
    <row r="1592">
      <c r="A1592" s="4"/>
      <c r="B1592" s="85">
        <f>IFERROR(__xludf.DUMMYFUNCTION("""COMPUTED_VALUE"""),46103.67361111111)</f>
        <v>46103.67361</v>
      </c>
      <c r="C1592" s="4" t="str">
        <f>IFERROR(__xludf.DUMMYFUNCTION("""COMPUTED_VALUE""")," Estimate ")</f>
        <v> Estimate </v>
      </c>
      <c r="E1592" s="86"/>
    </row>
    <row r="1593">
      <c r="A1593" s="4"/>
      <c r="B1593" s="85">
        <f>IFERROR(__xludf.DUMMYFUNCTION("""COMPUTED_VALUE"""),46103.6875)</f>
        <v>46103.6875</v>
      </c>
      <c r="C1593" s="4" t="str">
        <f>IFERROR(__xludf.DUMMYFUNCTION("""COMPUTED_VALUE""")," Estimate ")</f>
        <v> Estimate </v>
      </c>
      <c r="E1593" s="86"/>
    </row>
    <row r="1594">
      <c r="A1594" s="4"/>
      <c r="B1594" s="85">
        <f>IFERROR(__xludf.DUMMYFUNCTION("""COMPUTED_VALUE"""),46103.68888888889)</f>
        <v>46103.68889</v>
      </c>
      <c r="C1594" s="4" t="str">
        <f>IFERROR(__xludf.DUMMYFUNCTION("""COMPUTED_VALUE""")," Estimate ")</f>
        <v> Estimate </v>
      </c>
      <c r="E1594" s="86"/>
    </row>
    <row r="1595">
      <c r="A1595" s="4"/>
      <c r="B1595" s="85">
        <f>IFERROR(__xludf.DUMMYFUNCTION("""COMPUTED_VALUE"""),46103.69097222222)</f>
        <v>46103.69097</v>
      </c>
      <c r="C1595" s="4" t="str">
        <f>IFERROR(__xludf.DUMMYFUNCTION("""COMPUTED_VALUE""")," Estimate ")</f>
        <v> Estimate </v>
      </c>
      <c r="E1595" s="86"/>
    </row>
    <row r="1596">
      <c r="A1596" s="4"/>
      <c r="B1596" s="85">
        <f>IFERROR(__xludf.DUMMYFUNCTION("""COMPUTED_VALUE"""),46103.69236111111)</f>
        <v>46103.69236</v>
      </c>
      <c r="C1596" s="4" t="str">
        <f>IFERROR(__xludf.DUMMYFUNCTION("""COMPUTED_VALUE""")," Estimate ")</f>
        <v> Estimate </v>
      </c>
      <c r="E1596" s="86"/>
    </row>
    <row r="1597">
      <c r="A1597" s="4"/>
      <c r="B1597" s="85">
        <f>IFERROR(__xludf.DUMMYFUNCTION("""COMPUTED_VALUE"""),46103.695138888885)</f>
        <v>46103.69514</v>
      </c>
      <c r="C1597" s="4" t="str">
        <f>IFERROR(__xludf.DUMMYFUNCTION("""COMPUTED_VALUE""")," Estimate ")</f>
        <v> Estimate </v>
      </c>
      <c r="E1597" s="86"/>
    </row>
    <row r="1598">
      <c r="A1598" s="4"/>
      <c r="B1598" s="85">
        <f>IFERROR(__xludf.DUMMYFUNCTION("""COMPUTED_VALUE"""),46106.54791666666)</f>
        <v>46106.54792</v>
      </c>
      <c r="C1598" s="4" t="str">
        <f>IFERROR(__xludf.DUMMYFUNCTION("""COMPUTED_VALUE""")," Estimate ")</f>
        <v> Estimate </v>
      </c>
      <c r="E1598" s="86"/>
    </row>
    <row r="1599">
      <c r="A1599" s="4"/>
      <c r="B1599" s="85">
        <f>IFERROR(__xludf.DUMMYFUNCTION("""COMPUTED_VALUE"""),46106.549305555556)</f>
        <v>46106.54931</v>
      </c>
      <c r="C1599" s="4" t="str">
        <f>IFERROR(__xludf.DUMMYFUNCTION("""COMPUTED_VALUE""")," Estimate ")</f>
        <v> Estimate </v>
      </c>
      <c r="E1599" s="86"/>
    </row>
    <row r="1600">
      <c r="A1600" s="4"/>
      <c r="B1600" s="85">
        <f>IFERROR(__xludf.DUMMYFUNCTION("""COMPUTED_VALUE"""),46106.55069444445)</f>
        <v>46106.55069</v>
      </c>
      <c r="C1600" s="4" t="str">
        <f>IFERROR(__xludf.DUMMYFUNCTION("""COMPUTED_VALUE""")," Estimate ")</f>
        <v> Estimate </v>
      </c>
      <c r="E1600" s="86"/>
    </row>
    <row r="1601">
      <c r="A1601" s="4"/>
      <c r="B1601" s="85">
        <f>IFERROR(__xludf.DUMMYFUNCTION("""COMPUTED_VALUE"""),46106.55138888889)</f>
        <v>46106.55139</v>
      </c>
      <c r="C1601" s="4" t="str">
        <f>IFERROR(__xludf.DUMMYFUNCTION("""COMPUTED_VALUE""")," Estimate ")</f>
        <v> Estimate </v>
      </c>
      <c r="E1601" s="86"/>
    </row>
    <row r="1602">
      <c r="A1602" s="4"/>
      <c r="B1602" s="85">
        <f>IFERROR(__xludf.DUMMYFUNCTION("""COMPUTED_VALUE"""),46108.67708333333)</f>
        <v>46108.67708</v>
      </c>
      <c r="C1602" s="4" t="str">
        <f>IFERROR(__xludf.DUMMYFUNCTION("""COMPUTED_VALUE""")," Estimate ")</f>
        <v> Estimate </v>
      </c>
      <c r="E1602" s="86"/>
    </row>
    <row r="1603">
      <c r="A1603" s="4"/>
      <c r="B1603" s="85">
        <f>IFERROR(__xludf.DUMMYFUNCTION("""COMPUTED_VALUE"""),46108.679861111115)</f>
        <v>46108.67986</v>
      </c>
      <c r="C1603" s="4" t="str">
        <f>IFERROR(__xludf.DUMMYFUNCTION("""COMPUTED_VALUE""")," Estimate ")</f>
        <v> Estimate </v>
      </c>
      <c r="E1603" s="86"/>
    </row>
    <row r="1604">
      <c r="A1604" s="4"/>
      <c r="B1604" s="85">
        <f>IFERROR(__xludf.DUMMYFUNCTION("""COMPUTED_VALUE"""),46108.68194444444)</f>
        <v>46108.68194</v>
      </c>
      <c r="C1604" s="4" t="str">
        <f>IFERROR(__xludf.DUMMYFUNCTION("""COMPUTED_VALUE""")," Estimate ")</f>
        <v> Estimate </v>
      </c>
      <c r="E1604" s="86"/>
    </row>
    <row r="1605">
      <c r="A1605" s="4"/>
      <c r="B1605" s="85">
        <f>IFERROR(__xludf.DUMMYFUNCTION("""COMPUTED_VALUE"""),46108.68263888889)</f>
        <v>46108.68264</v>
      </c>
      <c r="C1605" s="4" t="str">
        <f>IFERROR(__xludf.DUMMYFUNCTION("""COMPUTED_VALUE""")," Estimate ")</f>
        <v> Estimate </v>
      </c>
      <c r="E1605" s="86"/>
    </row>
    <row r="1606">
      <c r="A1606" s="4"/>
      <c r="B1606" s="85">
        <f>IFERROR(__xludf.DUMMYFUNCTION("""COMPUTED_VALUE"""),46108.6875)</f>
        <v>46108.6875</v>
      </c>
      <c r="C1606" s="4" t="str">
        <f>IFERROR(__xludf.DUMMYFUNCTION("""COMPUTED_VALUE""")," Estimate ")</f>
        <v> Estimate </v>
      </c>
      <c r="E1606" s="86"/>
    </row>
    <row r="1607">
      <c r="A1607" s="4"/>
      <c r="B1607" s="85">
        <f>IFERROR(__xludf.DUMMYFUNCTION("""COMPUTED_VALUE"""),46108.68888888889)</f>
        <v>46108.68889</v>
      </c>
      <c r="C1607" s="4" t="str">
        <f>IFERROR(__xludf.DUMMYFUNCTION("""COMPUTED_VALUE""")," Estimate ")</f>
        <v> Estimate </v>
      </c>
      <c r="E1607" s="86"/>
    </row>
    <row r="1608">
      <c r="A1608" s="4"/>
      <c r="B1608" s="85">
        <f>IFERROR(__xludf.DUMMYFUNCTION("""COMPUTED_VALUE"""),46108.69861111111)</f>
        <v>46108.69861</v>
      </c>
      <c r="C1608" s="4" t="str">
        <f>IFERROR(__xludf.DUMMYFUNCTION("""COMPUTED_VALUE""")," Estimate ")</f>
        <v> Estimate </v>
      </c>
      <c r="E1608" s="86"/>
    </row>
    <row r="1609">
      <c r="A1609" s="4"/>
      <c r="B1609" s="85">
        <f>IFERROR(__xludf.DUMMYFUNCTION("""COMPUTED_VALUE"""),46108.69930555555)</f>
        <v>46108.69931</v>
      </c>
      <c r="C1609" s="4" t="str">
        <f>IFERROR(__xludf.DUMMYFUNCTION("""COMPUTED_VALUE""")," Estimate ")</f>
        <v> Estimate </v>
      </c>
      <c r="E1609" s="86"/>
    </row>
    <row r="1610">
      <c r="A1610" s="4"/>
      <c r="B1610" s="85">
        <f>IFERROR(__xludf.DUMMYFUNCTION("""COMPUTED_VALUE"""),46108.70208333334)</f>
        <v>46108.70208</v>
      </c>
      <c r="C1610" s="4" t="str">
        <f>IFERROR(__xludf.DUMMYFUNCTION("""COMPUTED_VALUE""")," Estimate ")</f>
        <v> Estimate </v>
      </c>
      <c r="E1610" s="86"/>
    </row>
    <row r="1611">
      <c r="A1611" s="4"/>
      <c r="B1611" s="85">
        <f>IFERROR(__xludf.DUMMYFUNCTION("""COMPUTED_VALUE"""),46108.70416666666)</f>
        <v>46108.70417</v>
      </c>
      <c r="C1611" s="4" t="str">
        <f>IFERROR(__xludf.DUMMYFUNCTION("""COMPUTED_VALUE""")," Estimate ")</f>
        <v> Estimate </v>
      </c>
      <c r="E1611" s="86"/>
    </row>
    <row r="1612">
      <c r="A1612" s="4"/>
      <c r="B1612" s="85">
        <f>IFERROR(__xludf.DUMMYFUNCTION("""COMPUTED_VALUE"""),46108.70486111111)</f>
        <v>46108.70486</v>
      </c>
      <c r="C1612" s="4" t="str">
        <f>IFERROR(__xludf.DUMMYFUNCTION("""COMPUTED_VALUE""")," Estimate ")</f>
        <v> Estimate </v>
      </c>
      <c r="E1612" s="86"/>
    </row>
    <row r="1613">
      <c r="A1613" s="4"/>
      <c r="B1613" s="85">
        <f>IFERROR(__xludf.DUMMYFUNCTION("""COMPUTED_VALUE"""),46108.705555555556)</f>
        <v>46108.70556</v>
      </c>
      <c r="C1613" s="4" t="str">
        <f>IFERROR(__xludf.DUMMYFUNCTION("""COMPUTED_VALUE""")," Estimate ")</f>
        <v> Estimate </v>
      </c>
      <c r="E1613" s="86"/>
    </row>
    <row r="1614">
      <c r="A1614" s="4"/>
      <c r="B1614" s="85">
        <f>IFERROR(__xludf.DUMMYFUNCTION("""COMPUTED_VALUE"""),46108.70625)</f>
        <v>46108.70625</v>
      </c>
      <c r="C1614" s="4" t="str">
        <f>IFERROR(__xludf.DUMMYFUNCTION("""COMPUTED_VALUE""")," Estimate ")</f>
        <v> Estimate </v>
      </c>
      <c r="E1614" s="86"/>
    </row>
    <row r="1615">
      <c r="A1615" s="4"/>
      <c r="B1615" s="85">
        <f>IFERROR(__xludf.DUMMYFUNCTION("""COMPUTED_VALUE"""),46109.518055555556)</f>
        <v>46109.51806</v>
      </c>
      <c r="C1615" s="4" t="str">
        <f>IFERROR(__xludf.DUMMYFUNCTION("""COMPUTED_VALUE""")," Estimate ")</f>
        <v> Estimate </v>
      </c>
      <c r="E1615" s="86"/>
    </row>
    <row r="1616">
      <c r="A1616" s="4"/>
      <c r="B1616" s="85">
        <f>IFERROR(__xludf.DUMMYFUNCTION("""COMPUTED_VALUE"""),46109.51944444445)</f>
        <v>46109.51944</v>
      </c>
      <c r="C1616" s="4" t="str">
        <f>IFERROR(__xludf.DUMMYFUNCTION("""COMPUTED_VALUE""")," Estimate ")</f>
        <v> Estimate </v>
      </c>
      <c r="E1616" s="86"/>
    </row>
    <row r="1617">
      <c r="A1617" s="4"/>
      <c r="B1617" s="85">
        <f>IFERROR(__xludf.DUMMYFUNCTION("""COMPUTED_VALUE"""),46109.52013888889)</f>
        <v>46109.52014</v>
      </c>
      <c r="C1617" s="4" t="str">
        <f>IFERROR(__xludf.DUMMYFUNCTION("""COMPUTED_VALUE""")," Estimate ")</f>
        <v> Estimate </v>
      </c>
      <c r="E1617" s="86"/>
    </row>
    <row r="1618">
      <c r="A1618" s="4"/>
      <c r="B1618" s="85">
        <f>IFERROR(__xludf.DUMMYFUNCTION("""COMPUTED_VALUE"""),46109.521527777775)</f>
        <v>46109.52153</v>
      </c>
      <c r="C1618" s="4" t="str">
        <f>IFERROR(__xludf.DUMMYFUNCTION("""COMPUTED_VALUE""")," Estimate ")</f>
        <v> Estimate </v>
      </c>
      <c r="E1618" s="86"/>
    </row>
    <row r="1619">
      <c r="A1619" s="4"/>
      <c r="B1619" s="85">
        <f>IFERROR(__xludf.DUMMYFUNCTION("""COMPUTED_VALUE"""),46109.52222222222)</f>
        <v>46109.52222</v>
      </c>
      <c r="C1619" s="4" t="str">
        <f>IFERROR(__xludf.DUMMYFUNCTION("""COMPUTED_VALUE""")," Estimate ")</f>
        <v> Estimate </v>
      </c>
      <c r="E1619" s="86"/>
    </row>
    <row r="1620">
      <c r="A1620" s="4"/>
      <c r="B1620" s="85">
        <f>IFERROR(__xludf.DUMMYFUNCTION("""COMPUTED_VALUE"""),46109.523611111115)</f>
        <v>46109.52361</v>
      </c>
      <c r="C1620" s="4" t="str">
        <f>IFERROR(__xludf.DUMMYFUNCTION("""COMPUTED_VALUE""")," Estimate ")</f>
        <v> Estimate </v>
      </c>
      <c r="E1620" s="86"/>
    </row>
    <row r="1621">
      <c r="A1621" s="4"/>
      <c r="B1621" s="85">
        <f>IFERROR(__xludf.DUMMYFUNCTION("""COMPUTED_VALUE"""),46109.524305555555)</f>
        <v>46109.52431</v>
      </c>
      <c r="C1621" s="4" t="str">
        <f>IFERROR(__xludf.DUMMYFUNCTION("""COMPUTED_VALUE""")," Estimate ")</f>
        <v> Estimate </v>
      </c>
      <c r="E1621" s="86"/>
    </row>
    <row r="1622">
      <c r="A1622" s="4"/>
      <c r="B1622" s="85">
        <f>IFERROR(__xludf.DUMMYFUNCTION("""COMPUTED_VALUE"""),46109.52777777778)</f>
        <v>46109.52778</v>
      </c>
      <c r="C1622" s="4" t="str">
        <f>IFERROR(__xludf.DUMMYFUNCTION("""COMPUTED_VALUE""")," Estimate ")</f>
        <v> Estimate </v>
      </c>
      <c r="E1622" s="86"/>
    </row>
    <row r="1623">
      <c r="A1623" s="4"/>
      <c r="B1623" s="85">
        <f>IFERROR(__xludf.DUMMYFUNCTION("""COMPUTED_VALUE"""),46109.52847222222)</f>
        <v>46109.52847</v>
      </c>
      <c r="C1623" s="4" t="str">
        <f>IFERROR(__xludf.DUMMYFUNCTION("""COMPUTED_VALUE""")," Estimate ")</f>
        <v> Estimate </v>
      </c>
      <c r="E1623" s="86"/>
    </row>
    <row r="1624">
      <c r="A1624" s="4"/>
      <c r="B1624" s="85">
        <f>IFERROR(__xludf.DUMMYFUNCTION("""COMPUTED_VALUE"""),46109.52916666667)</f>
        <v>46109.52917</v>
      </c>
      <c r="C1624" s="4" t="str">
        <f>IFERROR(__xludf.DUMMYFUNCTION("""COMPUTED_VALUE""")," Estimate ")</f>
        <v> Estimate </v>
      </c>
      <c r="E1624" s="86"/>
    </row>
    <row r="1625">
      <c r="A1625" s="4"/>
      <c r="B1625" s="85">
        <f>IFERROR(__xludf.DUMMYFUNCTION("""COMPUTED_VALUE"""),46109.52986111111)</f>
        <v>46109.52986</v>
      </c>
      <c r="C1625" s="4" t="str">
        <f>IFERROR(__xludf.DUMMYFUNCTION("""COMPUTED_VALUE""")," Estimate ")</f>
        <v> Estimate </v>
      </c>
      <c r="E1625" s="86"/>
    </row>
    <row r="1626">
      <c r="A1626" s="4"/>
      <c r="B1626" s="85">
        <f>IFERROR(__xludf.DUMMYFUNCTION("""COMPUTED_VALUE"""),46109.53055555555)</f>
        <v>46109.53056</v>
      </c>
      <c r="C1626" s="4" t="str">
        <f>IFERROR(__xludf.DUMMYFUNCTION("""COMPUTED_VALUE""")," Estimate ")</f>
        <v> Estimate </v>
      </c>
      <c r="E1626" s="86"/>
    </row>
    <row r="1627">
      <c r="A1627" s="4"/>
      <c r="B1627" s="85">
        <f>IFERROR(__xludf.DUMMYFUNCTION("""COMPUTED_VALUE"""),46110.53680555556)</f>
        <v>46110.53681</v>
      </c>
      <c r="C1627" s="4" t="str">
        <f>IFERROR(__xludf.DUMMYFUNCTION("""COMPUTED_VALUE""")," Estimate ")</f>
        <v> Estimate </v>
      </c>
      <c r="E1627" s="86"/>
    </row>
    <row r="1628">
      <c r="A1628" s="4"/>
      <c r="B1628" s="85">
        <f>IFERROR(__xludf.DUMMYFUNCTION("""COMPUTED_VALUE"""),46110.5375)</f>
        <v>46110.5375</v>
      </c>
      <c r="C1628" s="4" t="str">
        <f>IFERROR(__xludf.DUMMYFUNCTION("""COMPUTED_VALUE""")," Estimate ")</f>
        <v> Estimate </v>
      </c>
      <c r="E1628" s="86"/>
    </row>
    <row r="1629">
      <c r="A1629" s="4"/>
      <c r="B1629" s="85">
        <f>IFERROR(__xludf.DUMMYFUNCTION("""COMPUTED_VALUE"""),46110.538194444445)</f>
        <v>46110.53819</v>
      </c>
      <c r="C1629" s="4" t="str">
        <f>IFERROR(__xludf.DUMMYFUNCTION("""COMPUTED_VALUE""")," Estimate ")</f>
        <v> Estimate </v>
      </c>
      <c r="E1629" s="86"/>
    </row>
    <row r="1630">
      <c r="A1630" s="4"/>
      <c r="B1630" s="85">
        <f>IFERROR(__xludf.DUMMYFUNCTION("""COMPUTED_VALUE"""),46110.7)</f>
        <v>46110.7</v>
      </c>
      <c r="C1630" s="4" t="str">
        <f>IFERROR(__xludf.DUMMYFUNCTION("""COMPUTED_VALUE""")," Estimate ")</f>
        <v> Estimate </v>
      </c>
      <c r="E1630" s="86"/>
    </row>
    <row r="1631">
      <c r="A1631" s="4"/>
      <c r="B1631" s="85">
        <f>IFERROR(__xludf.DUMMYFUNCTION("""COMPUTED_VALUE"""),46110.70972222222)</f>
        <v>46110.70972</v>
      </c>
      <c r="C1631" s="4" t="str">
        <f>IFERROR(__xludf.DUMMYFUNCTION("""COMPUTED_VALUE""")," Estimate ")</f>
        <v> Estimate </v>
      </c>
      <c r="E1631" s="86"/>
    </row>
    <row r="1632">
      <c r="A1632" s="4"/>
      <c r="B1632" s="85">
        <f>IFERROR(__xludf.DUMMYFUNCTION("""COMPUTED_VALUE"""),46110.71041666667)</f>
        <v>46110.71042</v>
      </c>
      <c r="C1632" s="4" t="str">
        <f>IFERROR(__xludf.DUMMYFUNCTION("""COMPUTED_VALUE""")," Estimate ")</f>
        <v> Estimate </v>
      </c>
      <c r="E1632" s="86"/>
    </row>
    <row r="1633">
      <c r="A1633" s="4"/>
      <c r="B1633" s="85">
        <f>IFERROR(__xludf.DUMMYFUNCTION("""COMPUTED_VALUE"""),46110.72986111111)</f>
        <v>46110.72986</v>
      </c>
      <c r="C1633" s="4" t="str">
        <f>IFERROR(__xludf.DUMMYFUNCTION("""COMPUTED_VALUE""")," Estimate ")</f>
        <v> Estimate </v>
      </c>
      <c r="E1633" s="86"/>
    </row>
    <row r="1634">
      <c r="A1634" s="4"/>
      <c r="B1634" s="85">
        <f>IFERROR(__xludf.DUMMYFUNCTION("""COMPUTED_VALUE"""),46110.75347222222)</f>
        <v>46110.75347</v>
      </c>
      <c r="C1634" s="4" t="str">
        <f>IFERROR(__xludf.DUMMYFUNCTION("""COMPUTED_VALUE""")," Estimate ")</f>
        <v> Estimate </v>
      </c>
      <c r="E1634" s="86"/>
    </row>
    <row r="1635">
      <c r="A1635" s="4"/>
      <c r="B1635" s="85">
        <f>IFERROR(__xludf.DUMMYFUNCTION("""COMPUTED_VALUE"""),46110.754166666666)</f>
        <v>46110.75417</v>
      </c>
      <c r="C1635" s="4" t="str">
        <f>IFERROR(__xludf.DUMMYFUNCTION("""COMPUTED_VALUE""")," Estimate ")</f>
        <v> Estimate </v>
      </c>
      <c r="E1635" s="86"/>
    </row>
    <row r="1636">
      <c r="A1636" s="4"/>
      <c r="B1636" s="85">
        <f>IFERROR(__xludf.DUMMYFUNCTION("""COMPUTED_VALUE"""),46110.75486111111)</f>
        <v>46110.75486</v>
      </c>
      <c r="C1636" s="4" t="str">
        <f>IFERROR(__xludf.DUMMYFUNCTION("""COMPUTED_VALUE""")," Estimate ")</f>
        <v> Estimate </v>
      </c>
      <c r="E1636" s="86"/>
    </row>
    <row r="1637">
      <c r="A1637" s="4"/>
      <c r="B1637" s="85">
        <f>IFERROR(__xludf.DUMMYFUNCTION("""COMPUTED_VALUE"""),46110.75555555556)</f>
        <v>46110.75556</v>
      </c>
      <c r="C1637" s="4" t="str">
        <f>IFERROR(__xludf.DUMMYFUNCTION("""COMPUTED_VALUE""")," Estimate ")</f>
        <v> Estimate </v>
      </c>
      <c r="E1637" s="86"/>
    </row>
    <row r="1638">
      <c r="A1638" s="4"/>
      <c r="B1638" s="85">
        <f>IFERROR(__xludf.DUMMYFUNCTION("""COMPUTED_VALUE"""),46114.64722222222)</f>
        <v>46114.64722</v>
      </c>
      <c r="C1638" s="4" t="str">
        <f>IFERROR(__xludf.DUMMYFUNCTION("""COMPUTED_VALUE""")," Estimate ")</f>
        <v> Estimate </v>
      </c>
      <c r="E1638" s="86"/>
    </row>
    <row r="1639">
      <c r="A1639" s="4"/>
      <c r="B1639" s="85">
        <f>IFERROR(__xludf.DUMMYFUNCTION("""COMPUTED_VALUE"""),46115.64375)</f>
        <v>46115.64375</v>
      </c>
      <c r="C1639" s="4" t="str">
        <f>IFERROR(__xludf.DUMMYFUNCTION("""COMPUTED_VALUE""")," Estimate ")</f>
        <v> Estimate </v>
      </c>
      <c r="E1639" s="86"/>
    </row>
    <row r="1640">
      <c r="A1640" s="4"/>
      <c r="B1640" s="85">
        <f>IFERROR(__xludf.DUMMYFUNCTION("""COMPUTED_VALUE"""),46115.64444444445)</f>
        <v>46115.64444</v>
      </c>
      <c r="C1640" s="4" t="str">
        <f>IFERROR(__xludf.DUMMYFUNCTION("""COMPUTED_VALUE""")," Estimate ")</f>
        <v> Estimate </v>
      </c>
      <c r="E1640" s="86"/>
    </row>
    <row r="1641">
      <c r="A1641" s="4"/>
      <c r="B1641" s="85">
        <f>IFERROR(__xludf.DUMMYFUNCTION("""COMPUTED_VALUE"""),46116.80902777778)</f>
        <v>46116.80903</v>
      </c>
      <c r="C1641" s="4" t="str">
        <f>IFERROR(__xludf.DUMMYFUNCTION("""COMPUTED_VALUE""")," Estimate ")</f>
        <v> Estimate </v>
      </c>
      <c r="E1641" s="86"/>
    </row>
    <row r="1642">
      <c r="A1642" s="4"/>
      <c r="B1642" s="85">
        <f>IFERROR(__xludf.DUMMYFUNCTION("""COMPUTED_VALUE"""),46117.51666666666)</f>
        <v>46117.51667</v>
      </c>
      <c r="C1642" s="4" t="str">
        <f>IFERROR(__xludf.DUMMYFUNCTION("""COMPUTED_VALUE""")," Estimate ")</f>
        <v> Estimate </v>
      </c>
      <c r="E1642" s="86"/>
    </row>
    <row r="1643">
      <c r="A1643" s="4"/>
      <c r="B1643" s="85">
        <f>IFERROR(__xludf.DUMMYFUNCTION("""COMPUTED_VALUE"""),46117.51736111111)</f>
        <v>46117.51736</v>
      </c>
      <c r="C1643" s="4" t="str">
        <f>IFERROR(__xludf.DUMMYFUNCTION("""COMPUTED_VALUE""")," Estimate ")</f>
        <v> Estimate </v>
      </c>
      <c r="E1643" s="86"/>
    </row>
    <row r="1644">
      <c r="A1644" s="4"/>
      <c r="B1644" s="85">
        <f>IFERROR(__xludf.DUMMYFUNCTION("""COMPUTED_VALUE"""),46117.51875)</f>
        <v>46117.51875</v>
      </c>
      <c r="C1644" s="4" t="str">
        <f>IFERROR(__xludf.DUMMYFUNCTION("""COMPUTED_VALUE""")," Estimate ")</f>
        <v> Estimate </v>
      </c>
      <c r="E1644" s="86"/>
    </row>
    <row r="1645">
      <c r="A1645" s="4"/>
      <c r="B1645" s="85">
        <f>IFERROR(__xludf.DUMMYFUNCTION("""COMPUTED_VALUE"""),46117.51944444445)</f>
        <v>46117.51944</v>
      </c>
      <c r="C1645" s="4" t="str">
        <f>IFERROR(__xludf.DUMMYFUNCTION("""COMPUTED_VALUE""")," Estimate ")</f>
        <v> Estimate </v>
      </c>
      <c r="E1645" s="86"/>
    </row>
    <row r="1646">
      <c r="A1646" s="4"/>
      <c r="B1646" s="85">
        <f>IFERROR(__xludf.DUMMYFUNCTION("""COMPUTED_VALUE"""),46117.52013888889)</f>
        <v>46117.52014</v>
      </c>
      <c r="C1646" s="4" t="str">
        <f>IFERROR(__xludf.DUMMYFUNCTION("""COMPUTED_VALUE""")," Estimate ")</f>
        <v> Estimate </v>
      </c>
      <c r="E1646" s="86"/>
    </row>
    <row r="1647">
      <c r="A1647" s="4"/>
      <c r="B1647" s="85">
        <f>IFERROR(__xludf.DUMMYFUNCTION("""COMPUTED_VALUE"""),46117.521527777775)</f>
        <v>46117.52153</v>
      </c>
      <c r="C1647" s="4" t="str">
        <f>IFERROR(__xludf.DUMMYFUNCTION("""COMPUTED_VALUE""")," Estimate ")</f>
        <v> Estimate </v>
      </c>
      <c r="E1647" s="86"/>
    </row>
    <row r="1648">
      <c r="A1648" s="4"/>
      <c r="B1648" s="85">
        <f>IFERROR(__xludf.DUMMYFUNCTION("""COMPUTED_VALUE"""),46117.52291666667)</f>
        <v>46117.52292</v>
      </c>
      <c r="C1648" s="4" t="str">
        <f>IFERROR(__xludf.DUMMYFUNCTION("""COMPUTED_VALUE""")," Estimate ")</f>
        <v> Estimate </v>
      </c>
      <c r="E1648" s="86"/>
    </row>
    <row r="1649">
      <c r="A1649" s="4"/>
      <c r="B1649" s="85">
        <f>IFERROR(__xludf.DUMMYFUNCTION("""COMPUTED_VALUE"""),46117.52638888889)</f>
        <v>46117.52639</v>
      </c>
      <c r="C1649" s="4" t="str">
        <f>IFERROR(__xludf.DUMMYFUNCTION("""COMPUTED_VALUE""")," Estimate ")</f>
        <v> Estimate </v>
      </c>
      <c r="E1649" s="86"/>
    </row>
    <row r="1650">
      <c r="A1650" s="4"/>
      <c r="B1650" s="85">
        <f>IFERROR(__xludf.DUMMYFUNCTION("""COMPUTED_VALUE"""),46117.52777777778)</f>
        <v>46117.52778</v>
      </c>
      <c r="C1650" s="4" t="str">
        <f>IFERROR(__xludf.DUMMYFUNCTION("""COMPUTED_VALUE""")," Estimate ")</f>
        <v> Estimate </v>
      </c>
      <c r="E1650" s="86"/>
    </row>
    <row r="1651">
      <c r="A1651" s="4"/>
      <c r="B1651" s="85">
        <f>IFERROR(__xludf.DUMMYFUNCTION("""COMPUTED_VALUE"""),46117.52847222222)</f>
        <v>46117.52847</v>
      </c>
      <c r="C1651" s="4" t="str">
        <f>IFERROR(__xludf.DUMMYFUNCTION("""COMPUTED_VALUE""")," Estimate ")</f>
        <v> Estimate </v>
      </c>
      <c r="E1651" s="86"/>
    </row>
    <row r="1652">
      <c r="A1652" s="4"/>
      <c r="B1652" s="85">
        <f>IFERROR(__xludf.DUMMYFUNCTION("""COMPUTED_VALUE"""),46117.52916666667)</f>
        <v>46117.52917</v>
      </c>
      <c r="C1652" s="4" t="str">
        <f>IFERROR(__xludf.DUMMYFUNCTION("""COMPUTED_VALUE""")," Estimate ")</f>
        <v> Estimate </v>
      </c>
      <c r="E1652" s="86"/>
    </row>
    <row r="1653">
      <c r="A1653" s="4"/>
      <c r="B1653" s="85">
        <f>IFERROR(__xludf.DUMMYFUNCTION("""COMPUTED_VALUE"""),46117.52986111111)</f>
        <v>46117.52986</v>
      </c>
      <c r="C1653" s="4" t="str">
        <f>IFERROR(__xludf.DUMMYFUNCTION("""COMPUTED_VALUE""")," Estimate ")</f>
        <v> Estimate </v>
      </c>
      <c r="E1653" s="86"/>
    </row>
    <row r="1654">
      <c r="A1654" s="4"/>
      <c r="B1654" s="85">
        <f>IFERROR(__xludf.DUMMYFUNCTION("""COMPUTED_VALUE"""),46117.53055555555)</f>
        <v>46117.53056</v>
      </c>
      <c r="C1654" s="4" t="str">
        <f>IFERROR(__xludf.DUMMYFUNCTION("""COMPUTED_VALUE""")," Estimate ")</f>
        <v> Estimate </v>
      </c>
      <c r="E1654" s="86"/>
    </row>
    <row r="1655">
      <c r="A1655" s="4"/>
      <c r="B1655" s="85">
        <f>IFERROR(__xludf.DUMMYFUNCTION("""COMPUTED_VALUE"""),46117.53194444445)</f>
        <v>46117.53194</v>
      </c>
      <c r="C1655" s="4" t="str">
        <f>IFERROR(__xludf.DUMMYFUNCTION("""COMPUTED_VALUE""")," Estimate ")</f>
        <v> Estimate </v>
      </c>
      <c r="E1655" s="86"/>
    </row>
    <row r="1656">
      <c r="A1656" s="4"/>
      <c r="B1656" s="85">
        <f>IFERROR(__xludf.DUMMYFUNCTION("""COMPUTED_VALUE"""),46117.53194444445)</f>
        <v>46117.53194</v>
      </c>
      <c r="C1656" s="4" t="str">
        <f>IFERROR(__xludf.DUMMYFUNCTION("""COMPUTED_VALUE""")," Estimate ")</f>
        <v> Estimate </v>
      </c>
      <c r="E1656" s="86"/>
    </row>
    <row r="1657">
      <c r="A1657" s="4"/>
      <c r="B1657" s="85">
        <f>IFERROR(__xludf.DUMMYFUNCTION("""COMPUTED_VALUE"""),46119.552777777775)</f>
        <v>46119.55278</v>
      </c>
      <c r="C1657" s="4" t="str">
        <f>IFERROR(__xludf.DUMMYFUNCTION("""COMPUTED_VALUE""")," Estimate ")</f>
        <v> Estimate </v>
      </c>
      <c r="E1657" s="86"/>
    </row>
    <row r="1658">
      <c r="A1658" s="4"/>
      <c r="B1658" s="85">
        <f>IFERROR(__xludf.DUMMYFUNCTION("""COMPUTED_VALUE"""),46119.56805555556)</f>
        <v>46119.56806</v>
      </c>
      <c r="C1658" s="4" t="str">
        <f>IFERROR(__xludf.DUMMYFUNCTION("""COMPUTED_VALUE""")," Estimate ")</f>
        <v> Estimate </v>
      </c>
      <c r="E1658" s="86"/>
    </row>
    <row r="1659">
      <c r="A1659" s="4"/>
      <c r="B1659" s="85">
        <f>IFERROR(__xludf.DUMMYFUNCTION("""COMPUTED_VALUE"""),46119.763194444444)</f>
        <v>46119.76319</v>
      </c>
      <c r="C1659" s="4" t="str">
        <f>IFERROR(__xludf.DUMMYFUNCTION("""COMPUTED_VALUE""")," Estimate ")</f>
        <v> Estimate </v>
      </c>
      <c r="E1659" s="86"/>
    </row>
    <row r="1660">
      <c r="A1660" s="4"/>
      <c r="B1660" s="85">
        <f>IFERROR(__xludf.DUMMYFUNCTION("""COMPUTED_VALUE"""),46120.65694444445)</f>
        <v>46120.65694</v>
      </c>
      <c r="C1660" s="4" t="str">
        <f>IFERROR(__xludf.DUMMYFUNCTION("""COMPUTED_VALUE""")," Estimate ")</f>
        <v> Estimate </v>
      </c>
      <c r="E1660" s="86"/>
    </row>
    <row r="1661">
      <c r="A1661" s="4"/>
      <c r="B1661" s="85">
        <f>IFERROR(__xludf.DUMMYFUNCTION("""COMPUTED_VALUE"""),46121.49722222222)</f>
        <v>46121.49722</v>
      </c>
      <c r="C1661" s="4" t="str">
        <f>IFERROR(__xludf.DUMMYFUNCTION("""COMPUTED_VALUE""")," Estimate ")</f>
        <v> Estimate </v>
      </c>
      <c r="E1661" s="86"/>
    </row>
    <row r="1662">
      <c r="A1662" s="4"/>
      <c r="B1662" s="85">
        <f>IFERROR(__xludf.DUMMYFUNCTION("""COMPUTED_VALUE"""),46121.49861111111)</f>
        <v>46121.49861</v>
      </c>
      <c r="C1662" s="4" t="str">
        <f>IFERROR(__xludf.DUMMYFUNCTION("""COMPUTED_VALUE""")," Estimate ")</f>
        <v> Estimate </v>
      </c>
      <c r="E1662" s="86"/>
    </row>
    <row r="1663">
      <c r="A1663" s="4"/>
      <c r="B1663" s="85">
        <f>IFERROR(__xludf.DUMMYFUNCTION("""COMPUTED_VALUE"""),46121.50138888889)</f>
        <v>46121.50139</v>
      </c>
      <c r="C1663" s="4" t="str">
        <f>IFERROR(__xludf.DUMMYFUNCTION("""COMPUTED_VALUE""")," Estimate ")</f>
        <v> Estimate </v>
      </c>
      <c r="E1663" s="86"/>
    </row>
    <row r="1664">
      <c r="A1664" s="4"/>
      <c r="B1664" s="85">
        <f>IFERROR(__xludf.DUMMYFUNCTION("""COMPUTED_VALUE"""),46121.50902777778)</f>
        <v>46121.50903</v>
      </c>
      <c r="C1664" s="4" t="str">
        <f>IFERROR(__xludf.DUMMYFUNCTION("""COMPUTED_VALUE""")," Estimate ")</f>
        <v> Estimate </v>
      </c>
      <c r="E1664" s="86"/>
    </row>
    <row r="1665">
      <c r="A1665" s="4"/>
      <c r="B1665" s="85">
        <f>IFERROR(__xludf.DUMMYFUNCTION("""COMPUTED_VALUE"""),46121.509722222225)</f>
        <v>46121.50972</v>
      </c>
      <c r="C1665" s="4" t="str">
        <f>IFERROR(__xludf.DUMMYFUNCTION("""COMPUTED_VALUE""")," Estimate ")</f>
        <v> Estimate </v>
      </c>
      <c r="E1665" s="86"/>
    </row>
    <row r="1666">
      <c r="A1666" s="4"/>
      <c r="B1666" s="85">
        <f>IFERROR(__xludf.DUMMYFUNCTION("""COMPUTED_VALUE"""),46121.51111111111)</f>
        <v>46121.51111</v>
      </c>
      <c r="C1666" s="4" t="str">
        <f>IFERROR(__xludf.DUMMYFUNCTION("""COMPUTED_VALUE""")," Estimate ")</f>
        <v> Estimate </v>
      </c>
      <c r="E1666" s="86"/>
    </row>
    <row r="1667">
      <c r="A1667" s="4"/>
      <c r="B1667" s="85">
        <f>IFERROR(__xludf.DUMMYFUNCTION("""COMPUTED_VALUE"""),46121.51180555555)</f>
        <v>46121.51181</v>
      </c>
      <c r="C1667" s="4" t="str">
        <f>IFERROR(__xludf.DUMMYFUNCTION("""COMPUTED_VALUE""")," Estimate ")</f>
        <v> Estimate </v>
      </c>
      <c r="E1667" s="86"/>
    </row>
    <row r="1668">
      <c r="A1668" s="4"/>
      <c r="B1668" s="85">
        <f>IFERROR(__xludf.DUMMYFUNCTION("""COMPUTED_VALUE"""),46121.5125)</f>
        <v>46121.5125</v>
      </c>
      <c r="C1668" s="4" t="str">
        <f>IFERROR(__xludf.DUMMYFUNCTION("""COMPUTED_VALUE""")," Estimate ")</f>
        <v> Estimate </v>
      </c>
      <c r="E1668" s="86"/>
    </row>
    <row r="1669">
      <c r="A1669" s="4"/>
      <c r="B1669" s="85">
        <f>IFERROR(__xludf.DUMMYFUNCTION("""COMPUTED_VALUE"""),46121.51388888889)</f>
        <v>46121.51389</v>
      </c>
      <c r="C1669" s="4" t="str">
        <f>IFERROR(__xludf.DUMMYFUNCTION("""COMPUTED_VALUE""")," Estimate ")</f>
        <v> Estimate </v>
      </c>
      <c r="E1669" s="86"/>
    </row>
    <row r="1670">
      <c r="A1670" s="4"/>
      <c r="B1670" s="85">
        <f>IFERROR(__xludf.DUMMYFUNCTION("""COMPUTED_VALUE"""),46121.51527777778)</f>
        <v>46121.51528</v>
      </c>
      <c r="C1670" s="4" t="str">
        <f>IFERROR(__xludf.DUMMYFUNCTION("""COMPUTED_VALUE""")," Estimate ")</f>
        <v> Estimate </v>
      </c>
      <c r="E1670" s="86"/>
    </row>
    <row r="1671">
      <c r="A1671" s="4"/>
      <c r="B1671" s="85">
        <f>IFERROR(__xludf.DUMMYFUNCTION("""COMPUTED_VALUE"""),46121.51597222222)</f>
        <v>46121.51597</v>
      </c>
      <c r="C1671" s="4" t="str">
        <f>IFERROR(__xludf.DUMMYFUNCTION("""COMPUTED_VALUE""")," Estimate ")</f>
        <v> Estimate </v>
      </c>
      <c r="E1671" s="86"/>
    </row>
    <row r="1672">
      <c r="A1672" s="4"/>
      <c r="B1672" s="85">
        <f>IFERROR(__xludf.DUMMYFUNCTION("""COMPUTED_VALUE"""),46121.518055555556)</f>
        <v>46121.51806</v>
      </c>
      <c r="C1672" s="4" t="str">
        <f>IFERROR(__xludf.DUMMYFUNCTION("""COMPUTED_VALUE""")," Estimate ")</f>
        <v> Estimate </v>
      </c>
      <c r="E1672" s="86"/>
    </row>
    <row r="1673">
      <c r="A1673" s="4"/>
      <c r="B1673" s="85">
        <f>IFERROR(__xludf.DUMMYFUNCTION("""COMPUTED_VALUE"""),46121.52222222222)</f>
        <v>46121.52222</v>
      </c>
      <c r="C1673" s="4" t="str">
        <f>IFERROR(__xludf.DUMMYFUNCTION("""COMPUTED_VALUE""")," Estimate ")</f>
        <v> Estimate </v>
      </c>
      <c r="E1673" s="86"/>
    </row>
    <row r="1674">
      <c r="A1674" s="4"/>
      <c r="B1674" s="85">
        <f>IFERROR(__xludf.DUMMYFUNCTION("""COMPUTED_VALUE"""),46121.52986111111)</f>
        <v>46121.52986</v>
      </c>
      <c r="C1674" s="4" t="str">
        <f>IFERROR(__xludf.DUMMYFUNCTION("""COMPUTED_VALUE""")," Estimate ")</f>
        <v> Estimate </v>
      </c>
      <c r="E1674" s="86"/>
    </row>
    <row r="1675">
      <c r="A1675" s="4"/>
      <c r="B1675" s="85">
        <f>IFERROR(__xludf.DUMMYFUNCTION("""COMPUTED_VALUE"""),46121.558333333334)</f>
        <v>46121.55833</v>
      </c>
      <c r="C1675" s="4" t="str">
        <f>IFERROR(__xludf.DUMMYFUNCTION("""COMPUTED_VALUE""")," Estimate ")</f>
        <v> Estimate </v>
      </c>
      <c r="E1675" s="86"/>
    </row>
    <row r="1676">
      <c r="A1676" s="4"/>
      <c r="B1676" s="85">
        <f>IFERROR(__xludf.DUMMYFUNCTION("""COMPUTED_VALUE"""),46121.55972222222)</f>
        <v>46121.55972</v>
      </c>
      <c r="C1676" s="4" t="str">
        <f>IFERROR(__xludf.DUMMYFUNCTION("""COMPUTED_VALUE""")," Estimate ")</f>
        <v> Estimate </v>
      </c>
      <c r="E1676" s="86"/>
    </row>
    <row r="1677">
      <c r="A1677" s="4"/>
      <c r="B1677" s="85">
        <f>IFERROR(__xludf.DUMMYFUNCTION("""COMPUTED_VALUE"""),46123.570138888885)</f>
        <v>46123.57014</v>
      </c>
      <c r="C1677" s="4" t="str">
        <f>IFERROR(__xludf.DUMMYFUNCTION("""COMPUTED_VALUE""")," Estimate ")</f>
        <v> Estimate </v>
      </c>
      <c r="E1677" s="86"/>
    </row>
    <row r="1678">
      <c r="A1678" s="4"/>
      <c r="B1678" s="85">
        <f>IFERROR(__xludf.DUMMYFUNCTION("""COMPUTED_VALUE"""),46123.57361111111)</f>
        <v>46123.57361</v>
      </c>
      <c r="C1678" s="4" t="str">
        <f>IFERROR(__xludf.DUMMYFUNCTION("""COMPUTED_VALUE""")," Estimate ")</f>
        <v> Estimate </v>
      </c>
      <c r="E1678" s="86"/>
    </row>
    <row r="1679">
      <c r="A1679" s="4"/>
      <c r="B1679" s="85">
        <f>IFERROR(__xludf.DUMMYFUNCTION("""COMPUTED_VALUE"""),46123.57430555555)</f>
        <v>46123.57431</v>
      </c>
      <c r="C1679" s="4" t="str">
        <f>IFERROR(__xludf.DUMMYFUNCTION("""COMPUTED_VALUE""")," Estimate ")</f>
        <v> Estimate </v>
      </c>
      <c r="E1679" s="86"/>
    </row>
    <row r="1680">
      <c r="A1680" s="4"/>
      <c r="B1680" s="85">
        <f>IFERROR(__xludf.DUMMYFUNCTION("""COMPUTED_VALUE"""),46123.575694444444)</f>
        <v>46123.57569</v>
      </c>
      <c r="C1680" s="4" t="str">
        <f>IFERROR(__xludf.DUMMYFUNCTION("""COMPUTED_VALUE""")," Estimate ")</f>
        <v> Estimate </v>
      </c>
      <c r="E1680" s="86"/>
    </row>
    <row r="1681">
      <c r="A1681" s="4"/>
      <c r="B1681" s="85">
        <f>IFERROR(__xludf.DUMMYFUNCTION("""COMPUTED_VALUE"""),46123.57638888889)</f>
        <v>46123.57639</v>
      </c>
      <c r="C1681" s="4" t="str">
        <f>IFERROR(__xludf.DUMMYFUNCTION("""COMPUTED_VALUE""")," Estimate ")</f>
        <v> Estimate </v>
      </c>
      <c r="E1681" s="86"/>
    </row>
    <row r="1682">
      <c r="A1682" s="4"/>
      <c r="B1682" s="85">
        <f>IFERROR(__xludf.DUMMYFUNCTION("""COMPUTED_VALUE"""),46123.57708333334)</f>
        <v>46123.57708</v>
      </c>
      <c r="C1682" s="4" t="str">
        <f>IFERROR(__xludf.DUMMYFUNCTION("""COMPUTED_VALUE""")," Estimate ")</f>
        <v> Estimate </v>
      </c>
      <c r="E1682" s="86"/>
    </row>
    <row r="1683">
      <c r="A1683" s="4"/>
      <c r="B1683" s="85">
        <f>IFERROR(__xludf.DUMMYFUNCTION("""COMPUTED_VALUE"""),46123.57777777778)</f>
        <v>46123.57778</v>
      </c>
      <c r="C1683" s="4" t="str">
        <f>IFERROR(__xludf.DUMMYFUNCTION("""COMPUTED_VALUE""")," Estimate ")</f>
        <v> Estimate </v>
      </c>
      <c r="E1683" s="86"/>
    </row>
    <row r="1684">
      <c r="A1684" s="4"/>
      <c r="B1684" s="85">
        <f>IFERROR(__xludf.DUMMYFUNCTION("""COMPUTED_VALUE"""),46123.63888888889)</f>
        <v>46123.63889</v>
      </c>
      <c r="C1684" s="4" t="str">
        <f>IFERROR(__xludf.DUMMYFUNCTION("""COMPUTED_VALUE""")," Estimate ")</f>
        <v> Estimate </v>
      </c>
      <c r="E1684" s="86"/>
    </row>
    <row r="1685">
      <c r="A1685" s="4"/>
      <c r="B1685" s="85">
        <f>IFERROR(__xludf.DUMMYFUNCTION("""COMPUTED_VALUE"""),46124.73819444445)</f>
        <v>46124.73819</v>
      </c>
      <c r="C1685" s="4" t="str">
        <f>IFERROR(__xludf.DUMMYFUNCTION("""COMPUTED_VALUE""")," Estimate ")</f>
        <v> Estimate </v>
      </c>
      <c r="E1685" s="86"/>
    </row>
    <row r="1686">
      <c r="A1686" s="4"/>
      <c r="B1686" s="85">
        <f>IFERROR(__xludf.DUMMYFUNCTION("""COMPUTED_VALUE"""),46124.81180555555)</f>
        <v>46124.81181</v>
      </c>
      <c r="C1686" s="4" t="str">
        <f>IFERROR(__xludf.DUMMYFUNCTION("""COMPUTED_VALUE""")," Estimate ")</f>
        <v> Estimate </v>
      </c>
      <c r="E1686" s="86"/>
    </row>
    <row r="1687">
      <c r="A1687" s="4"/>
      <c r="B1687" s="85">
        <f>IFERROR(__xludf.DUMMYFUNCTION("""COMPUTED_VALUE"""),46124.8125)</f>
        <v>46124.8125</v>
      </c>
      <c r="C1687" s="4" t="str">
        <f>IFERROR(__xludf.DUMMYFUNCTION("""COMPUTED_VALUE""")," Estimate ")</f>
        <v> Estimate </v>
      </c>
      <c r="E1687" s="86"/>
    </row>
    <row r="1688">
      <c r="A1688" s="4"/>
      <c r="B1688" s="85">
        <f>IFERROR(__xludf.DUMMYFUNCTION("""COMPUTED_VALUE"""),46124.81388888889)</f>
        <v>46124.81389</v>
      </c>
      <c r="C1688" s="4" t="str">
        <f>IFERROR(__xludf.DUMMYFUNCTION("""COMPUTED_VALUE""")," Estimate ")</f>
        <v> Estimate </v>
      </c>
      <c r="E1688" s="86"/>
    </row>
    <row r="1689">
      <c r="A1689" s="4"/>
      <c r="B1689" s="85">
        <f>IFERROR(__xludf.DUMMYFUNCTION("""COMPUTED_VALUE"""),46127.649305555555)</f>
        <v>46127.64931</v>
      </c>
      <c r="C1689" s="4" t="str">
        <f>IFERROR(__xludf.DUMMYFUNCTION("""COMPUTED_VALUE""")," Estimate ")</f>
        <v> Estimate </v>
      </c>
      <c r="E1689" s="86"/>
    </row>
    <row r="1690">
      <c r="A1690" s="4"/>
      <c r="B1690" s="85">
        <f>IFERROR(__xludf.DUMMYFUNCTION("""COMPUTED_VALUE"""),46127.65)</f>
        <v>46127.65</v>
      </c>
      <c r="C1690" s="4" t="str">
        <f>IFERROR(__xludf.DUMMYFUNCTION("""COMPUTED_VALUE""")," Estimate ")</f>
        <v> Estimate </v>
      </c>
      <c r="E1690" s="86"/>
    </row>
    <row r="1691">
      <c r="A1691" s="4"/>
      <c r="B1691" s="85">
        <f>IFERROR(__xludf.DUMMYFUNCTION("""COMPUTED_VALUE"""),46127.65138888889)</f>
        <v>46127.65139</v>
      </c>
      <c r="C1691" s="4" t="str">
        <f>IFERROR(__xludf.DUMMYFUNCTION("""COMPUTED_VALUE""")," Estimate ")</f>
        <v> Estimate </v>
      </c>
      <c r="E1691" s="86"/>
    </row>
    <row r="1692">
      <c r="A1692" s="4"/>
      <c r="B1692" s="85">
        <f>IFERROR(__xludf.DUMMYFUNCTION("""COMPUTED_VALUE"""),46127.74166666667)</f>
        <v>46127.74167</v>
      </c>
      <c r="C1692" s="4" t="str">
        <f>IFERROR(__xludf.DUMMYFUNCTION("""COMPUTED_VALUE""")," Estimate ")</f>
        <v> Estimate </v>
      </c>
      <c r="E1692" s="86"/>
    </row>
    <row r="1693">
      <c r="A1693" s="4"/>
      <c r="B1693" s="85">
        <f>IFERROR(__xludf.DUMMYFUNCTION("""COMPUTED_VALUE"""),46127.75208333333)</f>
        <v>46127.75208</v>
      </c>
      <c r="C1693" s="4" t="str">
        <f>IFERROR(__xludf.DUMMYFUNCTION("""COMPUTED_VALUE""")," Estimate ")</f>
        <v> Estimate </v>
      </c>
      <c r="E1693" s="86"/>
    </row>
    <row r="1694">
      <c r="A1694" s="4"/>
      <c r="B1694" s="85">
        <f>IFERROR(__xludf.DUMMYFUNCTION("""COMPUTED_VALUE"""),46127.78194444445)</f>
        <v>46127.78194</v>
      </c>
      <c r="C1694" s="4" t="str">
        <f>IFERROR(__xludf.DUMMYFUNCTION("""COMPUTED_VALUE""")," Estimate ")</f>
        <v> Estimate </v>
      </c>
      <c r="E1694" s="86"/>
    </row>
    <row r="1695">
      <c r="A1695" s="4"/>
      <c r="B1695" s="85">
        <f>IFERROR(__xludf.DUMMYFUNCTION("""COMPUTED_VALUE"""),46129.79652777778)</f>
        <v>46129.79653</v>
      </c>
      <c r="C1695" s="4" t="str">
        <f>IFERROR(__xludf.DUMMYFUNCTION("""COMPUTED_VALUE""")," Estimate ")</f>
        <v> Estimate </v>
      </c>
      <c r="E1695" s="86"/>
    </row>
    <row r="1696">
      <c r="A1696" s="4"/>
      <c r="B1696" s="85">
        <f>IFERROR(__xludf.DUMMYFUNCTION("""COMPUTED_VALUE"""),46129.79861111111)</f>
        <v>46129.79861</v>
      </c>
      <c r="C1696" s="4" t="str">
        <f>IFERROR(__xludf.DUMMYFUNCTION("""COMPUTED_VALUE""")," Estimate ")</f>
        <v> Estimate </v>
      </c>
      <c r="E1696" s="86"/>
    </row>
    <row r="1697">
      <c r="A1697" s="4"/>
      <c r="B1697" s="85">
        <f>IFERROR(__xludf.DUMMYFUNCTION("""COMPUTED_VALUE"""),46129.80347222222)</f>
        <v>46129.80347</v>
      </c>
      <c r="C1697" s="4" t="str">
        <f>IFERROR(__xludf.DUMMYFUNCTION("""COMPUTED_VALUE""")," Estimate ")</f>
        <v> Estimate </v>
      </c>
      <c r="E1697" s="86"/>
    </row>
    <row r="1698">
      <c r="A1698" s="4"/>
      <c r="B1698" s="85">
        <f>IFERROR(__xludf.DUMMYFUNCTION("""COMPUTED_VALUE"""),46129.805555555555)</f>
        <v>46129.80556</v>
      </c>
      <c r="C1698" s="4" t="str">
        <f>IFERROR(__xludf.DUMMYFUNCTION("""COMPUTED_VALUE""")," Estimate ")</f>
        <v> Estimate </v>
      </c>
      <c r="E1698" s="86"/>
    </row>
    <row r="1699">
      <c r="A1699" s="4"/>
      <c r="B1699" s="85">
        <f>IFERROR(__xludf.DUMMYFUNCTION("""COMPUTED_VALUE"""),46129.81041666667)</f>
        <v>46129.81042</v>
      </c>
      <c r="C1699" s="4" t="str">
        <f>IFERROR(__xludf.DUMMYFUNCTION("""COMPUTED_VALUE""")," Estimate ")</f>
        <v> Estimate </v>
      </c>
      <c r="E1699" s="86"/>
    </row>
    <row r="1700">
      <c r="A1700" s="4"/>
      <c r="B1700" s="85">
        <f>IFERROR(__xludf.DUMMYFUNCTION("""COMPUTED_VALUE"""),44918.75)</f>
        <v>44918.75</v>
      </c>
      <c r="C1700" s="4" t="str">
        <f>IFERROR(__xludf.DUMMYFUNCTION("""COMPUTED_VALUE""")," Contact for any order update")</f>
        <v> Contact for any order update</v>
      </c>
      <c r="E1700" s="86"/>
    </row>
    <row r="1701">
      <c r="A1701" s="4"/>
      <c r="B1701" s="85">
        <f>IFERROR(__xludf.DUMMYFUNCTION("""COMPUTED_VALUE"""),44745.75)</f>
        <v>44745.75</v>
      </c>
      <c r="C1701" s="4" t="str">
        <f>IFERROR(__xludf.DUMMYFUNCTION("""COMPUTED_VALUE""")," Contact for any order update")</f>
        <v> Contact for any order update</v>
      </c>
      <c r="E1701" s="86"/>
    </row>
    <row r="1702">
      <c r="A1702" s="4"/>
      <c r="B1702" s="85">
        <f>IFERROR(__xludf.DUMMYFUNCTION("""COMPUTED_VALUE"""),44778.75)</f>
        <v>44778.75</v>
      </c>
      <c r="C1702" s="4" t="str">
        <f>IFERROR(__xludf.DUMMYFUNCTION("""COMPUTED_VALUE""")," Contact for any order update")</f>
        <v> Contact for any order update</v>
      </c>
      <c r="E1702" s="86"/>
    </row>
    <row r="1703">
      <c r="A1703" s="4"/>
      <c r="B1703" s="85">
        <f>IFERROR(__xludf.DUMMYFUNCTION("""COMPUTED_VALUE"""),44778.75)</f>
        <v>44778.75</v>
      </c>
      <c r="C1703" s="4" t="str">
        <f>IFERROR(__xludf.DUMMYFUNCTION("""COMPUTED_VALUE""")," Contact for any order update")</f>
        <v> Contact for any order update</v>
      </c>
      <c r="E1703" s="86"/>
    </row>
    <row r="1704">
      <c r="A1704" s="4"/>
      <c r="B1704" s="85">
        <f>IFERROR(__xludf.DUMMYFUNCTION("""COMPUTED_VALUE"""),44761.75)</f>
        <v>44761.75</v>
      </c>
      <c r="C1704" s="4" t="str">
        <f>IFERROR(__xludf.DUMMYFUNCTION("""COMPUTED_VALUE""")," Contact for any order update")</f>
        <v> Contact for any order update</v>
      </c>
      <c r="E1704" s="86"/>
    </row>
    <row r="1705">
      <c r="A1705" s="4"/>
      <c r="B1705" s="85">
        <f>IFERROR(__xludf.DUMMYFUNCTION("""COMPUTED_VALUE"""),44747.75)</f>
        <v>44747.75</v>
      </c>
      <c r="C1705" s="4" t="str">
        <f>IFERROR(__xludf.DUMMYFUNCTION("""COMPUTED_VALUE""")," Contact for any order update")</f>
        <v> Contact for any order update</v>
      </c>
      <c r="E1705" s="86"/>
    </row>
    <row r="1706">
      <c r="A1706" s="4"/>
      <c r="B1706" s="85">
        <f>IFERROR(__xludf.DUMMYFUNCTION("""COMPUTED_VALUE"""),44773.75)</f>
        <v>44773.75</v>
      </c>
      <c r="C1706" s="4" t="str">
        <f>IFERROR(__xludf.DUMMYFUNCTION("""COMPUTED_VALUE""")," Contact for any order update")</f>
        <v> Contact for any order update</v>
      </c>
      <c r="E1706" s="86"/>
    </row>
    <row r="1707">
      <c r="A1707" s="4"/>
      <c r="B1707" s="85">
        <f>IFERROR(__xludf.DUMMYFUNCTION("""COMPUTED_VALUE"""),44767.75)</f>
        <v>44767.75</v>
      </c>
      <c r="C1707" s="4" t="str">
        <f>IFERROR(__xludf.DUMMYFUNCTION("""COMPUTED_VALUE""")," Contact for any order update")</f>
        <v> Contact for any order update</v>
      </c>
      <c r="E1707" s="86"/>
    </row>
    <row r="1708">
      <c r="A1708" s="4"/>
      <c r="B1708" s="85">
        <f>IFERROR(__xludf.DUMMYFUNCTION("""COMPUTED_VALUE"""),44745.75)</f>
        <v>44745.75</v>
      </c>
      <c r="C1708" s="4" t="str">
        <f>IFERROR(__xludf.DUMMYFUNCTION("""COMPUTED_VALUE""")," Contact for any order update")</f>
        <v> Contact for any order update</v>
      </c>
      <c r="E1708" s="86"/>
    </row>
    <row r="1709">
      <c r="A1709" s="4"/>
      <c r="B1709" s="85">
        <f>IFERROR(__xludf.DUMMYFUNCTION("""COMPUTED_VALUE"""),44747.75)</f>
        <v>44747.75</v>
      </c>
      <c r="C1709" s="4" t="str">
        <f>IFERROR(__xludf.DUMMYFUNCTION("""COMPUTED_VALUE""")," Contact for any order update")</f>
        <v> Contact for any order update</v>
      </c>
      <c r="E1709" s="86"/>
    </row>
    <row r="1710">
      <c r="A1710" s="4"/>
      <c r="B1710" s="85">
        <f>IFERROR(__xludf.DUMMYFUNCTION("""COMPUTED_VALUE"""),44761.75)</f>
        <v>44761.75</v>
      </c>
      <c r="C1710" s="4" t="str">
        <f>IFERROR(__xludf.DUMMYFUNCTION("""COMPUTED_VALUE""")," Contact for any order update")</f>
        <v> Contact for any order update</v>
      </c>
      <c r="E1710" s="86"/>
    </row>
    <row r="1711">
      <c r="A1711" s="4"/>
      <c r="B1711" s="85">
        <f>IFERROR(__xludf.DUMMYFUNCTION("""COMPUTED_VALUE"""),44754.75)</f>
        <v>44754.75</v>
      </c>
      <c r="C1711" s="4" t="str">
        <f>IFERROR(__xludf.DUMMYFUNCTION("""COMPUTED_VALUE""")," Contact for any order update")</f>
        <v> Contact for any order update</v>
      </c>
      <c r="E1711" s="86"/>
    </row>
    <row r="1712">
      <c r="A1712" s="4"/>
      <c r="B1712" s="85">
        <f>IFERROR(__xludf.DUMMYFUNCTION("""COMPUTED_VALUE"""),44757.75)</f>
        <v>44757.75</v>
      </c>
      <c r="C1712" s="4" t="str">
        <f>IFERROR(__xludf.DUMMYFUNCTION("""COMPUTED_VALUE""")," Contact for any order update")</f>
        <v> Contact for any order update</v>
      </c>
      <c r="E1712" s="86"/>
    </row>
    <row r="1713">
      <c r="A1713" s="4"/>
      <c r="B1713" s="85">
        <f>IFERROR(__xludf.DUMMYFUNCTION("""COMPUTED_VALUE"""),44757.75)</f>
        <v>44757.75</v>
      </c>
      <c r="C1713" s="4" t="str">
        <f>IFERROR(__xludf.DUMMYFUNCTION("""COMPUTED_VALUE""")," Contact for any order update")</f>
        <v> Contact for any order update</v>
      </c>
      <c r="E1713" s="86"/>
    </row>
    <row r="1714">
      <c r="A1714" s="4"/>
      <c r="B1714" s="85">
        <f>IFERROR(__xludf.DUMMYFUNCTION("""COMPUTED_VALUE"""),44776.75)</f>
        <v>44776.75</v>
      </c>
      <c r="C1714" s="4" t="str">
        <f>IFERROR(__xludf.DUMMYFUNCTION("""COMPUTED_VALUE""")," Contact for any order update")</f>
        <v> Contact for any order update</v>
      </c>
      <c r="E1714" s="86"/>
    </row>
    <row r="1715">
      <c r="A1715" s="4"/>
      <c r="B1715" s="85">
        <f>IFERROR(__xludf.DUMMYFUNCTION("""COMPUTED_VALUE"""),44773.75)</f>
        <v>44773.75</v>
      </c>
      <c r="C1715" s="4" t="str">
        <f>IFERROR(__xludf.DUMMYFUNCTION("""COMPUTED_VALUE""")," Contact for any order update")</f>
        <v> Contact for any order update</v>
      </c>
      <c r="E1715" s="86"/>
    </row>
    <row r="1716">
      <c r="A1716" s="4"/>
      <c r="B1716" s="85">
        <f>IFERROR(__xludf.DUMMYFUNCTION("""COMPUTED_VALUE"""),44778.75)</f>
        <v>44778.75</v>
      </c>
      <c r="C1716" s="4" t="str">
        <f>IFERROR(__xludf.DUMMYFUNCTION("""COMPUTED_VALUE""")," Contact for any order update")</f>
        <v> Contact for any order update</v>
      </c>
      <c r="E1716" s="86"/>
    </row>
    <row r="1717">
      <c r="A1717" s="4"/>
      <c r="B1717" s="85">
        <f>IFERROR(__xludf.DUMMYFUNCTION("""COMPUTED_VALUE"""),44777.75)</f>
        <v>44777.75</v>
      </c>
      <c r="C1717" s="4" t="str">
        <f>IFERROR(__xludf.DUMMYFUNCTION("""COMPUTED_VALUE""")," Contact for any order update")</f>
        <v> Contact for any order update</v>
      </c>
      <c r="E1717" s="86"/>
    </row>
    <row r="1718">
      <c r="A1718" s="4"/>
      <c r="B1718" s="85">
        <f>IFERROR(__xludf.DUMMYFUNCTION("""COMPUTED_VALUE"""),44792.75)</f>
        <v>44792.75</v>
      </c>
      <c r="C1718" s="4" t="str">
        <f>IFERROR(__xludf.DUMMYFUNCTION("""COMPUTED_VALUE""")," Contact for any order update")</f>
        <v> Contact for any order update</v>
      </c>
      <c r="E1718" s="86"/>
    </row>
    <row r="1719">
      <c r="A1719" s="4"/>
      <c r="B1719" s="85">
        <f>IFERROR(__xludf.DUMMYFUNCTION("""COMPUTED_VALUE"""),44800.75)</f>
        <v>44800.75</v>
      </c>
      <c r="C1719" s="4" t="str">
        <f>IFERROR(__xludf.DUMMYFUNCTION("""COMPUTED_VALUE""")," Contact for any order update")</f>
        <v> Contact for any order update</v>
      </c>
      <c r="E1719" s="86"/>
    </row>
    <row r="1720">
      <c r="A1720" s="4"/>
      <c r="B1720" s="85">
        <f>IFERROR(__xludf.DUMMYFUNCTION("""COMPUTED_VALUE"""),44802.75)</f>
        <v>44802.75</v>
      </c>
      <c r="C1720" s="4" t="str">
        <f>IFERROR(__xludf.DUMMYFUNCTION("""COMPUTED_VALUE""")," Contact for any order update")</f>
        <v> Contact for any order update</v>
      </c>
      <c r="E1720" s="86"/>
    </row>
    <row r="1721">
      <c r="A1721" s="4"/>
      <c r="B1721" s="85">
        <f>IFERROR(__xludf.DUMMYFUNCTION("""COMPUTED_VALUE"""),44809.75)</f>
        <v>44809.75</v>
      </c>
      <c r="C1721" s="4" t="str">
        <f>IFERROR(__xludf.DUMMYFUNCTION("""COMPUTED_VALUE""")," Contact for any order update")</f>
        <v> Contact for any order update</v>
      </c>
      <c r="E1721" s="86"/>
    </row>
    <row r="1722">
      <c r="A1722" s="4"/>
      <c r="B1722" s="85">
        <f>IFERROR(__xludf.DUMMYFUNCTION("""COMPUTED_VALUE"""),44809.75)</f>
        <v>44809.75</v>
      </c>
      <c r="C1722" s="4" t="str">
        <f>IFERROR(__xludf.DUMMYFUNCTION("""COMPUTED_VALUE""")," Contact for any order update")</f>
        <v> Contact for any order update</v>
      </c>
      <c r="E1722" s="86"/>
    </row>
    <row r="1723">
      <c r="A1723" s="4"/>
      <c r="B1723" s="85">
        <f>IFERROR(__xludf.DUMMYFUNCTION("""COMPUTED_VALUE"""),44815.75)</f>
        <v>44815.75</v>
      </c>
      <c r="C1723" s="4" t="str">
        <f>IFERROR(__xludf.DUMMYFUNCTION("""COMPUTED_VALUE""")," Contact for any order update")</f>
        <v> Contact for any order update</v>
      </c>
      <c r="E1723" s="86"/>
    </row>
    <row r="1724">
      <c r="A1724" s="4"/>
      <c r="B1724" s="85">
        <f>IFERROR(__xludf.DUMMYFUNCTION("""COMPUTED_VALUE"""),44822.75)</f>
        <v>44822.75</v>
      </c>
      <c r="C1724" s="4" t="str">
        <f>IFERROR(__xludf.DUMMYFUNCTION("""COMPUTED_VALUE""")," Contact for any order update")</f>
        <v> Contact for any order update</v>
      </c>
      <c r="E1724" s="86"/>
    </row>
    <row r="1725">
      <c r="A1725" s="4"/>
      <c r="B1725" s="85">
        <f>IFERROR(__xludf.DUMMYFUNCTION("""COMPUTED_VALUE"""),44823.75)</f>
        <v>44823.75</v>
      </c>
      <c r="C1725" s="4" t="str">
        <f>IFERROR(__xludf.DUMMYFUNCTION("""COMPUTED_VALUE""")," Contact for any order update")</f>
        <v> Contact for any order update</v>
      </c>
      <c r="E1725" s="86"/>
    </row>
    <row r="1726">
      <c r="A1726" s="4"/>
      <c r="B1726" s="85">
        <f>IFERROR(__xludf.DUMMYFUNCTION("""COMPUTED_VALUE"""),44923.75)</f>
        <v>44923.75</v>
      </c>
      <c r="C1726" s="4" t="str">
        <f>IFERROR(__xludf.DUMMYFUNCTION("""COMPUTED_VALUE""")," Contact for any order update")</f>
        <v> Contact for any order update</v>
      </c>
      <c r="E1726" s="86"/>
    </row>
    <row r="1727">
      <c r="A1727" s="4"/>
      <c r="B1727" s="85">
        <f>IFERROR(__xludf.DUMMYFUNCTION("""COMPUTED_VALUE"""),44919.75)</f>
        <v>44919.75</v>
      </c>
      <c r="C1727" s="4" t="str">
        <f>IFERROR(__xludf.DUMMYFUNCTION("""COMPUTED_VALUE""")," Contact for any order update")</f>
        <v> Contact for any order update</v>
      </c>
      <c r="E1727" s="86"/>
    </row>
    <row r="1728">
      <c r="A1728" s="4"/>
      <c r="B1728" s="85">
        <f>IFERROR(__xludf.DUMMYFUNCTION("""COMPUTED_VALUE"""),44901.75)</f>
        <v>44901.75</v>
      </c>
      <c r="C1728" s="4" t="str">
        <f>IFERROR(__xludf.DUMMYFUNCTION("""COMPUTED_VALUE""")," Contact for any order update")</f>
        <v> Contact for any order update</v>
      </c>
      <c r="E1728" s="86"/>
    </row>
    <row r="1729">
      <c r="A1729" s="4"/>
      <c r="B1729" s="85">
        <f>IFERROR(__xludf.DUMMYFUNCTION("""COMPUTED_VALUE"""),44877.75)</f>
        <v>44877.75</v>
      </c>
      <c r="C1729" s="4" t="str">
        <f>IFERROR(__xludf.DUMMYFUNCTION("""COMPUTED_VALUE""")," Contact for any order update")</f>
        <v> Contact for any order update</v>
      </c>
      <c r="E1729" s="86"/>
    </row>
    <row r="1730">
      <c r="A1730" s="4"/>
      <c r="B1730" s="85">
        <f>IFERROR(__xludf.DUMMYFUNCTION("""COMPUTED_VALUE"""),44917.75)</f>
        <v>44917.75</v>
      </c>
      <c r="C1730" s="4" t="str">
        <f>IFERROR(__xludf.DUMMYFUNCTION("""COMPUTED_VALUE""")," Contact for any order update")</f>
        <v> Contact for any order update</v>
      </c>
      <c r="E1730" s="86"/>
    </row>
    <row r="1731">
      <c r="A1731" s="4"/>
      <c r="B1731" s="85">
        <f>IFERROR(__xludf.DUMMYFUNCTION("""COMPUTED_VALUE"""),44917.75)</f>
        <v>44917.75</v>
      </c>
      <c r="C1731" s="4" t="str">
        <f>IFERROR(__xludf.DUMMYFUNCTION("""COMPUTED_VALUE""")," Contact for any order update")</f>
        <v> Contact for any order update</v>
      </c>
      <c r="E1731" s="86"/>
    </row>
    <row r="1732">
      <c r="A1732" s="4"/>
      <c r="B1732" s="85">
        <f>IFERROR(__xludf.DUMMYFUNCTION("""COMPUTED_VALUE"""),44917.75)</f>
        <v>44917.75</v>
      </c>
      <c r="C1732" s="4" t="str">
        <f>IFERROR(__xludf.DUMMYFUNCTION("""COMPUTED_VALUE""")," Contact for any order update")</f>
        <v> Contact for any order update</v>
      </c>
      <c r="E1732" s="86"/>
    </row>
    <row r="1733">
      <c r="A1733" s="4"/>
      <c r="B1733" s="85">
        <f>IFERROR(__xludf.DUMMYFUNCTION("""COMPUTED_VALUE"""),44917.75)</f>
        <v>44917.75</v>
      </c>
      <c r="C1733" s="4" t="str">
        <f>IFERROR(__xludf.DUMMYFUNCTION("""COMPUTED_VALUE""")," Contact for any order update")</f>
        <v> Contact for any order update</v>
      </c>
      <c r="E1733" s="86"/>
    </row>
    <row r="1734">
      <c r="A1734" s="4"/>
      <c r="B1734" s="85">
        <f>IFERROR(__xludf.DUMMYFUNCTION("""COMPUTED_VALUE"""),44917.75)</f>
        <v>44917.75</v>
      </c>
      <c r="C1734" s="4" t="str">
        <f>IFERROR(__xludf.DUMMYFUNCTION("""COMPUTED_VALUE""")," Contact for any order update")</f>
        <v> Contact for any order update</v>
      </c>
      <c r="E1734" s="86"/>
    </row>
    <row r="1735">
      <c r="A1735" s="4"/>
      <c r="B1735" s="85">
        <f>IFERROR(__xludf.DUMMYFUNCTION("""COMPUTED_VALUE"""),44917.75)</f>
        <v>44917.75</v>
      </c>
      <c r="C1735" s="4" t="str">
        <f>IFERROR(__xludf.DUMMYFUNCTION("""COMPUTED_VALUE""")," Contact for any order update")</f>
        <v> Contact for any order update</v>
      </c>
      <c r="E1735" s="86"/>
    </row>
    <row r="1736">
      <c r="A1736" s="4"/>
      <c r="B1736" s="85">
        <f>IFERROR(__xludf.DUMMYFUNCTION("""COMPUTED_VALUE"""),44904.75)</f>
        <v>44904.75</v>
      </c>
      <c r="C1736" s="4" t="str">
        <f>IFERROR(__xludf.DUMMYFUNCTION("""COMPUTED_VALUE""")," Contact for any order update")</f>
        <v> Contact for any order update</v>
      </c>
      <c r="E1736" s="86"/>
    </row>
    <row r="1737">
      <c r="A1737" s="4"/>
      <c r="B1737" s="85">
        <f>IFERROR(__xludf.DUMMYFUNCTION("""COMPUTED_VALUE"""),44922.75)</f>
        <v>44922.75</v>
      </c>
      <c r="C1737" s="4" t="str">
        <f>IFERROR(__xludf.DUMMYFUNCTION("""COMPUTED_VALUE""")," Contact for any order update")</f>
        <v> Contact for any order update</v>
      </c>
      <c r="E1737" s="86"/>
    </row>
    <row r="1738">
      <c r="A1738" s="4"/>
      <c r="B1738" s="85">
        <f>IFERROR(__xludf.DUMMYFUNCTION("""COMPUTED_VALUE"""),44904.75)</f>
        <v>44904.75</v>
      </c>
      <c r="C1738" s="4" t="str">
        <f>IFERROR(__xludf.DUMMYFUNCTION("""COMPUTED_VALUE""")," Contact for any order update")</f>
        <v> Contact for any order update</v>
      </c>
      <c r="E1738" s="86"/>
    </row>
    <row r="1739">
      <c r="A1739" s="4"/>
      <c r="B1739" s="85">
        <f>IFERROR(__xludf.DUMMYFUNCTION("""COMPUTED_VALUE"""),44906.75)</f>
        <v>44906.75</v>
      </c>
      <c r="C1739" s="4" t="str">
        <f>IFERROR(__xludf.DUMMYFUNCTION("""COMPUTED_VALUE""")," Contact for any order update")</f>
        <v> Contact for any order update</v>
      </c>
      <c r="E1739" s="86"/>
    </row>
    <row r="1740">
      <c r="A1740" s="4"/>
      <c r="B1740" s="85">
        <f>IFERROR(__xludf.DUMMYFUNCTION("""COMPUTED_VALUE"""),44922.75)</f>
        <v>44922.75</v>
      </c>
      <c r="C1740" s="4" t="str">
        <f>IFERROR(__xludf.DUMMYFUNCTION("""COMPUTED_VALUE""")," Contact for any order update")</f>
        <v> Contact for any order update</v>
      </c>
      <c r="E1740" s="86"/>
    </row>
    <row r="1741">
      <c r="A1741" s="4"/>
      <c r="B1741" s="85">
        <f>IFERROR(__xludf.DUMMYFUNCTION("""COMPUTED_VALUE"""),44919.75)</f>
        <v>44919.75</v>
      </c>
      <c r="C1741" s="4" t="str">
        <f>IFERROR(__xludf.DUMMYFUNCTION("""COMPUTED_VALUE""")," Contact for any order update")</f>
        <v> Contact for any order update</v>
      </c>
      <c r="E1741" s="86"/>
    </row>
    <row r="1742">
      <c r="A1742" s="4"/>
      <c r="B1742" s="85">
        <f>IFERROR(__xludf.DUMMYFUNCTION("""COMPUTED_VALUE"""),44919.75)</f>
        <v>44919.75</v>
      </c>
      <c r="C1742" s="4" t="str">
        <f>IFERROR(__xludf.DUMMYFUNCTION("""COMPUTED_VALUE""")," Contact for any order update")</f>
        <v> Contact for any order update</v>
      </c>
      <c r="E1742" s="86"/>
    </row>
    <row r="1743">
      <c r="A1743" s="4"/>
      <c r="B1743" s="85">
        <f>IFERROR(__xludf.DUMMYFUNCTION("""COMPUTED_VALUE"""),44929.75)</f>
        <v>44929.75</v>
      </c>
      <c r="C1743" s="4" t="str">
        <f>IFERROR(__xludf.DUMMYFUNCTION("""COMPUTED_VALUE""")," Contact for any order update")</f>
        <v> Contact for any order update</v>
      </c>
      <c r="E1743" s="86"/>
    </row>
    <row r="1744">
      <c r="A1744" s="4"/>
      <c r="B1744" s="85">
        <f>IFERROR(__xludf.DUMMYFUNCTION("""COMPUTED_VALUE"""),44925.75)</f>
        <v>44925.75</v>
      </c>
      <c r="C1744" s="4" t="str">
        <f>IFERROR(__xludf.DUMMYFUNCTION("""COMPUTED_VALUE""")," Contact for any order update")</f>
        <v> Contact for any order update</v>
      </c>
      <c r="E1744" s="86"/>
    </row>
    <row r="1745">
      <c r="A1745" s="4"/>
      <c r="B1745" s="85">
        <f>IFERROR(__xludf.DUMMYFUNCTION("""COMPUTED_VALUE"""),44926.75)</f>
        <v>44926.75</v>
      </c>
      <c r="C1745" s="4" t="str">
        <f>IFERROR(__xludf.DUMMYFUNCTION("""COMPUTED_VALUE""")," Contact for any order update")</f>
        <v> Contact for any order update</v>
      </c>
      <c r="E1745" s="86"/>
    </row>
    <row r="1746">
      <c r="A1746" s="4"/>
      <c r="B1746" s="85">
        <f>IFERROR(__xludf.DUMMYFUNCTION("""COMPUTED_VALUE"""),44926.75)</f>
        <v>44926.75</v>
      </c>
      <c r="C1746" s="4" t="str">
        <f>IFERROR(__xludf.DUMMYFUNCTION("""COMPUTED_VALUE""")," Contact for any order update")</f>
        <v> Contact for any order update</v>
      </c>
      <c r="E1746" s="86"/>
    </row>
    <row r="1747">
      <c r="A1747" s="4"/>
      <c r="B1747" s="85">
        <f>IFERROR(__xludf.DUMMYFUNCTION("""COMPUTED_VALUE"""),44920.75)</f>
        <v>44920.75</v>
      </c>
      <c r="C1747" s="4" t="str">
        <f>IFERROR(__xludf.DUMMYFUNCTION("""COMPUTED_VALUE""")," Contact for any order update")</f>
        <v> Contact for any order update</v>
      </c>
      <c r="E1747" s="86"/>
    </row>
    <row r="1748">
      <c r="A1748" s="4"/>
      <c r="B1748" s="85">
        <f>IFERROR(__xludf.DUMMYFUNCTION("""COMPUTED_VALUE"""),44729.71654454861)</f>
        <v>44729.71654</v>
      </c>
      <c r="C1748" s="4" t="str">
        <f>IFERROR(__xludf.DUMMYFUNCTION("""COMPUTED_VALUE""")," Price Negotiation")</f>
        <v> Price Negotiation</v>
      </c>
      <c r="E1748" s="86"/>
    </row>
    <row r="1749">
      <c r="A1749" s="4"/>
      <c r="B1749" s="85">
        <f>IFERROR(__xludf.DUMMYFUNCTION("""COMPUTED_VALUE"""),44734.66557454861)</f>
        <v>44734.66557</v>
      </c>
      <c r="C1749" s="4" t="str">
        <f>IFERROR(__xludf.DUMMYFUNCTION("""COMPUTED_VALUE""")," Price Negotiation")</f>
        <v> Price Negotiation</v>
      </c>
      <c r="E1749" s="86"/>
    </row>
    <row r="1750">
      <c r="A1750" s="4"/>
      <c r="B1750" s="85">
        <f>IFERROR(__xludf.DUMMYFUNCTION("""COMPUTED_VALUE"""),44885.50692849537)</f>
        <v>44885.50693</v>
      </c>
      <c r="C1750" s="4" t="str">
        <f>IFERROR(__xludf.DUMMYFUNCTION("""COMPUTED_VALUE""")," Price Negotiation")</f>
        <v> Price Negotiation</v>
      </c>
      <c r="E1750" s="86"/>
    </row>
    <row r="1751">
      <c r="A1751" s="4"/>
      <c r="B1751" s="85">
        <f>IFERROR(__xludf.DUMMYFUNCTION("""COMPUTED_VALUE"""),44917.738491550925)</f>
        <v>44917.73849</v>
      </c>
      <c r="C1751" s="4" t="str">
        <f>IFERROR(__xludf.DUMMYFUNCTION("""COMPUTED_VALUE""")," Price Negotiation")</f>
        <v> Price Negotiation</v>
      </c>
      <c r="E1751" s="86"/>
    </row>
    <row r="1752">
      <c r="A1752" s="4"/>
      <c r="B1752" s="85">
        <f>IFERROR(__xludf.DUMMYFUNCTION("""COMPUTED_VALUE"""),44917.732701712965)</f>
        <v>44917.7327</v>
      </c>
      <c r="C1752" s="4" t="str">
        <f>IFERROR(__xludf.DUMMYFUNCTION("""COMPUTED_VALUE""")," Price Negotiation")</f>
        <v> Price Negotiation</v>
      </c>
      <c r="E1752" s="86"/>
    </row>
    <row r="1753">
      <c r="A1753" s="4"/>
      <c r="B1753" s="85">
        <f>IFERROR(__xludf.DUMMYFUNCTION("""COMPUTED_VALUE"""),44917.73519168981)</f>
        <v>44917.73519</v>
      </c>
      <c r="C1753" s="4" t="str">
        <f>IFERROR(__xludf.DUMMYFUNCTION("""COMPUTED_VALUE""")," Price Negotiation")</f>
        <v> Price Negotiation</v>
      </c>
      <c r="E1753" s="86"/>
    </row>
    <row r="1754">
      <c r="A1754" s="4"/>
      <c r="B1754" s="85">
        <f>IFERROR(__xludf.DUMMYFUNCTION("""COMPUTED_VALUE"""),44917.732701712965)</f>
        <v>44917.7327</v>
      </c>
      <c r="C1754" s="4" t="str">
        <f>IFERROR(__xludf.DUMMYFUNCTION("""COMPUTED_VALUE""")," Price Negotiation")</f>
        <v> Price Negotiation</v>
      </c>
      <c r="E1754" s="86"/>
    </row>
    <row r="1755">
      <c r="A1755" s="4"/>
      <c r="B1755" s="85">
        <f>IFERROR(__xludf.DUMMYFUNCTION("""COMPUTED_VALUE"""),44917.732701712965)</f>
        <v>44917.7327</v>
      </c>
      <c r="C1755" s="4" t="str">
        <f>IFERROR(__xludf.DUMMYFUNCTION("""COMPUTED_VALUE""")," Price Negotiation")</f>
        <v> Price Negotiation</v>
      </c>
      <c r="E1755" s="86"/>
    </row>
    <row r="1756">
      <c r="A1756" s="4"/>
      <c r="B1756" s="85">
        <f>IFERROR(__xludf.DUMMYFUNCTION("""COMPUTED_VALUE"""),44735.66557454861)</f>
        <v>44735.66557</v>
      </c>
      <c r="C1756" s="4" t="str">
        <f>IFERROR(__xludf.DUMMYFUNCTION("""COMPUTED_VALUE""")," Closure Finale")</f>
        <v> Closure Finale</v>
      </c>
      <c r="E1756" s="86"/>
    </row>
    <row r="1757">
      <c r="A1757" s="4"/>
      <c r="B1757" s="85">
        <f>IFERROR(__xludf.DUMMYFUNCTION("""COMPUTED_VALUE"""),44778.49166666667)</f>
        <v>44778.49167</v>
      </c>
      <c r="C1757" s="4" t="str">
        <f>IFERROR(__xludf.DUMMYFUNCTION("""COMPUTED_VALUE""")," Closure Finale")</f>
        <v> Closure Finale</v>
      </c>
      <c r="E1757" s="86"/>
    </row>
    <row r="1758">
      <c r="A1758" s="4"/>
      <c r="B1758" s="85">
        <f>IFERROR(__xludf.DUMMYFUNCTION("""COMPUTED_VALUE"""),44816.51069863426)</f>
        <v>44816.5107</v>
      </c>
      <c r="C1758" s="4" t="str">
        <f>IFERROR(__xludf.DUMMYFUNCTION("""COMPUTED_VALUE""")," Closure Finale")</f>
        <v> Closure Finale</v>
      </c>
      <c r="E1758" s="86"/>
    </row>
    <row r="1759">
      <c r="A1759" s="4"/>
      <c r="B1759" s="85">
        <f>IFERROR(__xludf.DUMMYFUNCTION("""COMPUTED_VALUE"""),44843.567636423606)</f>
        <v>44843.56764</v>
      </c>
      <c r="C1759" s="4" t="str">
        <f>IFERROR(__xludf.DUMMYFUNCTION("""COMPUTED_VALUE""")," Closure Finale")</f>
        <v> Closure Finale</v>
      </c>
      <c r="E1759" s="86"/>
    </row>
    <row r="1760">
      <c r="A1760" s="4"/>
      <c r="B1760" s="85">
        <f>IFERROR(__xludf.DUMMYFUNCTION("""COMPUTED_VALUE"""),44918.738491550925)</f>
        <v>44918.73849</v>
      </c>
      <c r="C1760" s="4" t="str">
        <f>IFERROR(__xludf.DUMMYFUNCTION("""COMPUTED_VALUE""")," Closure Finale")</f>
        <v> Closure Finale</v>
      </c>
      <c r="E1760" s="86"/>
    </row>
    <row r="1761">
      <c r="A1761" s="4"/>
      <c r="B1761" s="85">
        <f>IFERROR(__xludf.DUMMYFUNCTION("""COMPUTED_VALUE"""),44918.732701712965)</f>
        <v>44918.7327</v>
      </c>
      <c r="C1761" s="4" t="str">
        <f>IFERROR(__xludf.DUMMYFUNCTION("""COMPUTED_VALUE""")," Closure Finale")</f>
        <v> Closure Finale</v>
      </c>
      <c r="E1761" s="86"/>
    </row>
    <row r="1762">
      <c r="A1762" s="4"/>
      <c r="B1762" s="85">
        <f>IFERROR(__xludf.DUMMYFUNCTION("""COMPUTED_VALUE"""),44918.73519168981)</f>
        <v>44918.73519</v>
      </c>
      <c r="C1762" s="4" t="str">
        <f>IFERROR(__xludf.DUMMYFUNCTION("""COMPUTED_VALUE""")," Closure Finale")</f>
        <v> Closure Finale</v>
      </c>
      <c r="E1762" s="86"/>
    </row>
    <row r="1763">
      <c r="A1763" s="4"/>
      <c r="B1763" s="85">
        <f>IFERROR(__xludf.DUMMYFUNCTION("""COMPUTED_VALUE"""),44918.732701712965)</f>
        <v>44918.7327</v>
      </c>
      <c r="C1763" s="4" t="str">
        <f>IFERROR(__xludf.DUMMYFUNCTION("""COMPUTED_VALUE""")," Closure Finale")</f>
        <v> Closure Finale</v>
      </c>
      <c r="E1763" s="86"/>
    </row>
    <row r="1764">
      <c r="A1764" s="4"/>
      <c r="B1764" s="85">
        <f>IFERROR(__xludf.DUMMYFUNCTION("""COMPUTED_VALUE"""),44918.732701712965)</f>
        <v>44918.7327</v>
      </c>
      <c r="C1764" s="4" t="str">
        <f>IFERROR(__xludf.DUMMYFUNCTION("""COMPUTED_VALUE""")," Closure Finale")</f>
        <v> Closure Finale</v>
      </c>
      <c r="E1764" s="86"/>
    </row>
    <row r="1765">
      <c r="B1765" s="85"/>
      <c r="E1765" s="86"/>
    </row>
    <row r="1766">
      <c r="B1766" s="85"/>
      <c r="E1766" s="86"/>
    </row>
    <row r="1767">
      <c r="B1767" s="85"/>
      <c r="E1767" s="86"/>
    </row>
    <row r="1768">
      <c r="B1768" s="85"/>
      <c r="E1768" s="86"/>
    </row>
    <row r="1769">
      <c r="B1769" s="85"/>
      <c r="E1769" s="86"/>
    </row>
    <row r="1770">
      <c r="B1770" s="85"/>
      <c r="E1770" s="86"/>
    </row>
    <row r="1771">
      <c r="B1771" s="85"/>
      <c r="E1771" s="86"/>
    </row>
    <row r="1772">
      <c r="B1772" s="85"/>
      <c r="E1772" s="86"/>
    </row>
    <row r="1773">
      <c r="B1773" s="85"/>
      <c r="E1773" s="86"/>
    </row>
    <row r="1774">
      <c r="B1774" s="85"/>
      <c r="E1774" s="86"/>
    </row>
    <row r="1775">
      <c r="B1775" s="85"/>
      <c r="E1775" s="86"/>
    </row>
    <row r="1776">
      <c r="B1776" s="85"/>
      <c r="E1776" s="86"/>
    </row>
    <row r="1777">
      <c r="B1777" s="85"/>
      <c r="E1777" s="86"/>
    </row>
    <row r="1778">
      <c r="B1778" s="85"/>
      <c r="E1778" s="86"/>
    </row>
    <row r="1779">
      <c r="B1779" s="85"/>
      <c r="E1779" s="86"/>
    </row>
    <row r="1780">
      <c r="B1780" s="85"/>
      <c r="E1780" s="86"/>
    </row>
    <row r="1781">
      <c r="B1781" s="85"/>
      <c r="E1781" s="86"/>
    </row>
    <row r="1782">
      <c r="B1782" s="85"/>
      <c r="E1782" s="86"/>
    </row>
    <row r="1783">
      <c r="B1783" s="85"/>
      <c r="E1783" s="86"/>
    </row>
    <row r="1784">
      <c r="B1784" s="85"/>
      <c r="E1784" s="86"/>
    </row>
    <row r="1785">
      <c r="B1785" s="85"/>
      <c r="E1785" s="86"/>
    </row>
    <row r="1786">
      <c r="B1786" s="85"/>
      <c r="E1786" s="86"/>
    </row>
    <row r="1787">
      <c r="B1787" s="85"/>
      <c r="E1787" s="86"/>
    </row>
    <row r="1788">
      <c r="B1788" s="85"/>
      <c r="E1788" s="86"/>
    </row>
    <row r="1789">
      <c r="B1789" s="85"/>
      <c r="E1789" s="86"/>
    </row>
    <row r="1790">
      <c r="B1790" s="85"/>
      <c r="E1790" s="86"/>
    </row>
    <row r="1791">
      <c r="B1791" s="85"/>
      <c r="E1791" s="86"/>
    </row>
    <row r="1792">
      <c r="B1792" s="85"/>
      <c r="E1792" s="86"/>
    </row>
    <row r="1793">
      <c r="B1793" s="85"/>
      <c r="E1793" s="86"/>
    </row>
    <row r="1794">
      <c r="B1794" s="85"/>
      <c r="E1794" s="86"/>
    </row>
    <row r="1795">
      <c r="B1795" s="85"/>
      <c r="E1795" s="86"/>
    </row>
    <row r="1796">
      <c r="B1796" s="85"/>
      <c r="E1796" s="86"/>
    </row>
    <row r="1797">
      <c r="B1797" s="85"/>
      <c r="E1797" s="86"/>
    </row>
    <row r="1798">
      <c r="B1798" s="85"/>
      <c r="E1798" s="86"/>
    </row>
    <row r="1799">
      <c r="B1799" s="85"/>
      <c r="E1799" s="86"/>
    </row>
    <row r="1800">
      <c r="B1800" s="85"/>
      <c r="E1800" s="86"/>
    </row>
    <row r="1801">
      <c r="B1801" s="85"/>
      <c r="E1801" s="86"/>
    </row>
    <row r="1802">
      <c r="B1802" s="85"/>
      <c r="E1802" s="86"/>
    </row>
    <row r="1803">
      <c r="B1803" s="85"/>
      <c r="E1803" s="86"/>
    </row>
    <row r="1804">
      <c r="B1804" s="85"/>
      <c r="E1804" s="86"/>
    </row>
    <row r="1805">
      <c r="B1805" s="85"/>
      <c r="E1805" s="86"/>
    </row>
    <row r="1806">
      <c r="B1806" s="85"/>
      <c r="E1806" s="86"/>
    </row>
    <row r="1807">
      <c r="B1807" s="85"/>
      <c r="E1807" s="86"/>
    </row>
    <row r="1808">
      <c r="B1808" s="85"/>
      <c r="E1808" s="86"/>
    </row>
    <row r="1809">
      <c r="B1809" s="85"/>
      <c r="E1809" s="86"/>
    </row>
    <row r="1810">
      <c r="B1810" s="85"/>
      <c r="E1810" s="86"/>
    </row>
    <row r="1811">
      <c r="B1811" s="85"/>
      <c r="E1811" s="86"/>
    </row>
    <row r="1812">
      <c r="B1812" s="85"/>
      <c r="E1812" s="86"/>
    </row>
    <row r="1813">
      <c r="B1813" s="85"/>
      <c r="E1813" s="86"/>
    </row>
    <row r="1814">
      <c r="B1814" s="85"/>
      <c r="E1814" s="86"/>
    </row>
    <row r="1815">
      <c r="B1815" s="85"/>
      <c r="E1815" s="86"/>
    </row>
    <row r="1816">
      <c r="B1816" s="85"/>
      <c r="E1816" s="86"/>
    </row>
    <row r="1817">
      <c r="B1817" s="85"/>
      <c r="E1817" s="86"/>
    </row>
    <row r="1818">
      <c r="B1818" s="85"/>
      <c r="E1818" s="86"/>
    </row>
    <row r="1819">
      <c r="B1819" s="85"/>
      <c r="E1819" s="86"/>
    </row>
    <row r="1820">
      <c r="B1820" s="85"/>
      <c r="E1820" s="86"/>
    </row>
    <row r="1821">
      <c r="B1821" s="85"/>
      <c r="E1821" s="86"/>
    </row>
    <row r="1822">
      <c r="B1822" s="85"/>
      <c r="E1822" s="86"/>
    </row>
    <row r="1823">
      <c r="B1823" s="85"/>
      <c r="E1823" s="86"/>
    </row>
    <row r="1824">
      <c r="B1824" s="85"/>
      <c r="E1824" s="86"/>
    </row>
    <row r="1825">
      <c r="B1825" s="85"/>
      <c r="E1825" s="86"/>
    </row>
    <row r="1826">
      <c r="B1826" s="85"/>
      <c r="E1826" s="86"/>
    </row>
    <row r="1827">
      <c r="B1827" s="85"/>
      <c r="E1827" s="86"/>
    </row>
    <row r="1828">
      <c r="B1828" s="85"/>
      <c r="E1828" s="86"/>
    </row>
    <row r="1829">
      <c r="B1829" s="85"/>
      <c r="E1829" s="86"/>
    </row>
    <row r="1830">
      <c r="B1830" s="85"/>
      <c r="E1830" s="86"/>
    </row>
    <row r="1831">
      <c r="B1831" s="85"/>
      <c r="E1831" s="86"/>
    </row>
    <row r="1832">
      <c r="B1832" s="85"/>
      <c r="E1832" s="86"/>
    </row>
    <row r="1833">
      <c r="B1833" s="85"/>
      <c r="E1833" s="86"/>
    </row>
    <row r="1834">
      <c r="B1834" s="85"/>
      <c r="E1834" s="86"/>
    </row>
    <row r="1835">
      <c r="B1835" s="85"/>
      <c r="E1835" s="86"/>
    </row>
    <row r="1836">
      <c r="B1836" s="85"/>
      <c r="E1836" s="86"/>
    </row>
    <row r="1837">
      <c r="B1837" s="85"/>
      <c r="E1837" s="86"/>
    </row>
    <row r="1838">
      <c r="B1838" s="85"/>
      <c r="E1838" s="86"/>
    </row>
    <row r="1839">
      <c r="B1839" s="85"/>
      <c r="E1839" s="86"/>
    </row>
    <row r="1840">
      <c r="B1840" s="85"/>
      <c r="E1840" s="86"/>
    </row>
    <row r="1841">
      <c r="B1841" s="85"/>
      <c r="E1841" s="86"/>
    </row>
    <row r="1842">
      <c r="B1842" s="85"/>
      <c r="E1842" s="86"/>
    </row>
    <row r="1843">
      <c r="B1843" s="85"/>
      <c r="E1843" s="86"/>
    </row>
    <row r="1844">
      <c r="B1844" s="85"/>
      <c r="E1844" s="86"/>
    </row>
    <row r="1845">
      <c r="B1845" s="85"/>
      <c r="E1845" s="86"/>
    </row>
    <row r="1846">
      <c r="B1846" s="85"/>
      <c r="E1846" s="86"/>
    </row>
    <row r="1847">
      <c r="B1847" s="85"/>
      <c r="E1847" s="86"/>
    </row>
    <row r="1848">
      <c r="B1848" s="85"/>
      <c r="E1848" s="86"/>
    </row>
    <row r="1849">
      <c r="B1849" s="85"/>
      <c r="E1849" s="86"/>
    </row>
    <row r="1850">
      <c r="B1850" s="85"/>
      <c r="E1850" s="86"/>
    </row>
    <row r="1851">
      <c r="B1851" s="85"/>
      <c r="E1851" s="86"/>
    </row>
    <row r="1852">
      <c r="B1852" s="85"/>
      <c r="E1852" s="86"/>
    </row>
    <row r="1853">
      <c r="B1853" s="85"/>
      <c r="E1853" s="86"/>
    </row>
    <row r="1854">
      <c r="B1854" s="85"/>
      <c r="E1854" s="86"/>
    </row>
    <row r="1855">
      <c r="B1855" s="85"/>
      <c r="E1855" s="86"/>
    </row>
    <row r="1856">
      <c r="B1856" s="85"/>
      <c r="E1856" s="86"/>
    </row>
    <row r="1857">
      <c r="B1857" s="85"/>
      <c r="E1857" s="86"/>
    </row>
    <row r="1858">
      <c r="B1858" s="85"/>
      <c r="E1858" s="86"/>
    </row>
    <row r="1859">
      <c r="B1859" s="85"/>
      <c r="E1859" s="86"/>
    </row>
    <row r="1860">
      <c r="B1860" s="85"/>
      <c r="E1860" s="86"/>
    </row>
    <row r="1861">
      <c r="B1861" s="85"/>
      <c r="E1861" s="86"/>
    </row>
    <row r="1862">
      <c r="B1862" s="85"/>
      <c r="E1862" s="86"/>
    </row>
    <row r="1863">
      <c r="B1863" s="85"/>
      <c r="E1863" s="86"/>
    </row>
    <row r="1864">
      <c r="B1864" s="85"/>
      <c r="E1864" s="86"/>
    </row>
    <row r="1865">
      <c r="B1865" s="85"/>
      <c r="E1865" s="86"/>
    </row>
    <row r="1866">
      <c r="B1866" s="85"/>
      <c r="E1866" s="86"/>
    </row>
    <row r="1867">
      <c r="B1867" s="85"/>
      <c r="E1867" s="86"/>
    </row>
    <row r="1868">
      <c r="B1868" s="85"/>
      <c r="E1868" s="86"/>
    </row>
    <row r="1869">
      <c r="B1869" s="85"/>
      <c r="E1869" s="86"/>
    </row>
    <row r="1870">
      <c r="B1870" s="85"/>
      <c r="E1870" s="86"/>
    </row>
    <row r="1871">
      <c r="B1871" s="85"/>
      <c r="E1871" s="86"/>
    </row>
    <row r="1872">
      <c r="B1872" s="85"/>
      <c r="E1872" s="86"/>
    </row>
    <row r="1873">
      <c r="B1873" s="85"/>
      <c r="E1873" s="86"/>
    </row>
    <row r="1874">
      <c r="B1874" s="85"/>
      <c r="E1874" s="86"/>
    </row>
    <row r="1875">
      <c r="B1875" s="85"/>
      <c r="E1875" s="86"/>
    </row>
    <row r="1876">
      <c r="B1876" s="85"/>
      <c r="E1876" s="86"/>
    </row>
    <row r="1877">
      <c r="B1877" s="85"/>
      <c r="E1877" s="86"/>
    </row>
    <row r="1878">
      <c r="B1878" s="85"/>
      <c r="E1878" s="86"/>
    </row>
    <row r="1879">
      <c r="B1879" s="85"/>
      <c r="E1879" s="86"/>
    </row>
    <row r="1880">
      <c r="B1880" s="85"/>
      <c r="E1880" s="86"/>
    </row>
    <row r="1881">
      <c r="B1881" s="85"/>
      <c r="E1881" s="86"/>
    </row>
    <row r="1882">
      <c r="B1882" s="85"/>
      <c r="E1882" s="86"/>
    </row>
    <row r="1883">
      <c r="B1883" s="85"/>
      <c r="E1883" s="86"/>
    </row>
    <row r="1884">
      <c r="B1884" s="85"/>
      <c r="E1884" s="86"/>
    </row>
    <row r="1885">
      <c r="B1885" s="85"/>
      <c r="E1885" s="86"/>
    </row>
    <row r="1886">
      <c r="B1886" s="85"/>
      <c r="E1886" s="86"/>
    </row>
    <row r="1887">
      <c r="B1887" s="85"/>
      <c r="E1887" s="86"/>
    </row>
    <row r="1888">
      <c r="B1888" s="85"/>
      <c r="E1888" s="86"/>
    </row>
    <row r="1889">
      <c r="B1889" s="85"/>
      <c r="E1889" s="86"/>
    </row>
    <row r="1890">
      <c r="B1890" s="85"/>
      <c r="E1890" s="86"/>
    </row>
    <row r="1891">
      <c r="B1891" s="85"/>
      <c r="E1891" s="86"/>
    </row>
    <row r="1892">
      <c r="B1892" s="85"/>
      <c r="E1892" s="86"/>
    </row>
    <row r="1893">
      <c r="B1893" s="85"/>
      <c r="E1893" s="86"/>
    </row>
    <row r="1894">
      <c r="B1894" s="85"/>
      <c r="E1894" s="86"/>
    </row>
    <row r="1895">
      <c r="B1895" s="85"/>
      <c r="E1895" s="86"/>
    </row>
    <row r="1896">
      <c r="B1896" s="85"/>
      <c r="E1896" s="86"/>
    </row>
    <row r="1897">
      <c r="B1897" s="85"/>
      <c r="E1897" s="86"/>
    </row>
    <row r="1898">
      <c r="B1898" s="85"/>
      <c r="E1898" s="86"/>
    </row>
    <row r="1899">
      <c r="B1899" s="85"/>
      <c r="E1899" s="86"/>
    </row>
    <row r="1900">
      <c r="B1900" s="85"/>
      <c r="E1900" s="86"/>
    </row>
    <row r="1901">
      <c r="B1901" s="85"/>
      <c r="E1901" s="86"/>
    </row>
    <row r="1902">
      <c r="B1902" s="85"/>
      <c r="E1902" s="86"/>
    </row>
    <row r="1903">
      <c r="B1903" s="85"/>
      <c r="E1903" s="86"/>
    </row>
    <row r="1904">
      <c r="B1904" s="85"/>
      <c r="E1904" s="86"/>
    </row>
    <row r="1905">
      <c r="B1905" s="85"/>
      <c r="E1905" s="86"/>
    </row>
    <row r="1906">
      <c r="B1906" s="85"/>
      <c r="E1906" s="86"/>
    </row>
    <row r="1907">
      <c r="B1907" s="85"/>
      <c r="E1907" s="86"/>
    </row>
    <row r="1908">
      <c r="B1908" s="85"/>
      <c r="E1908" s="86"/>
    </row>
    <row r="1909">
      <c r="B1909" s="85"/>
      <c r="E1909" s="86"/>
    </row>
    <row r="1910">
      <c r="B1910" s="85"/>
      <c r="E1910" s="86"/>
    </row>
    <row r="1911">
      <c r="B1911" s="85"/>
      <c r="E1911" s="86"/>
    </row>
    <row r="1912">
      <c r="B1912" s="85"/>
      <c r="E1912" s="86"/>
    </row>
    <row r="1913">
      <c r="B1913" s="85"/>
      <c r="E1913" s="86"/>
    </row>
    <row r="1914">
      <c r="B1914" s="85"/>
      <c r="E1914" s="86"/>
    </row>
    <row r="1915">
      <c r="B1915" s="85"/>
      <c r="E1915" s="86"/>
    </row>
    <row r="1916">
      <c r="B1916" s="85"/>
      <c r="E1916" s="86"/>
    </row>
    <row r="1917">
      <c r="B1917" s="85"/>
      <c r="E1917" s="86"/>
    </row>
    <row r="1918">
      <c r="B1918" s="85"/>
      <c r="E1918" s="86"/>
    </row>
    <row r="1919">
      <c r="B1919" s="85"/>
      <c r="E1919" s="86"/>
    </row>
    <row r="1920">
      <c r="B1920" s="85"/>
      <c r="E1920" s="86"/>
    </row>
    <row r="1921">
      <c r="B1921" s="85"/>
      <c r="E1921" s="86"/>
    </row>
    <row r="1922">
      <c r="B1922" s="85"/>
      <c r="E1922" s="86"/>
    </row>
    <row r="1923">
      <c r="B1923" s="85"/>
      <c r="E1923" s="86"/>
    </row>
    <row r="1924">
      <c r="B1924" s="85"/>
      <c r="E1924" s="86"/>
    </row>
    <row r="1925">
      <c r="B1925" s="85"/>
      <c r="E1925" s="86"/>
    </row>
    <row r="1926">
      <c r="B1926" s="85"/>
      <c r="E1926" s="86"/>
    </row>
    <row r="1927">
      <c r="B1927" s="85"/>
      <c r="E1927" s="86"/>
    </row>
    <row r="1928">
      <c r="B1928" s="85"/>
      <c r="E1928" s="86"/>
    </row>
    <row r="1929">
      <c r="B1929" s="85"/>
      <c r="E1929" s="86"/>
    </row>
    <row r="1930">
      <c r="B1930" s="85"/>
      <c r="E1930" s="86"/>
    </row>
    <row r="1931">
      <c r="B1931" s="85"/>
      <c r="E1931" s="86"/>
    </row>
    <row r="1932">
      <c r="B1932" s="85"/>
      <c r="E1932" s="86"/>
    </row>
    <row r="1933">
      <c r="B1933" s="85"/>
      <c r="E1933" s="86"/>
    </row>
    <row r="1934">
      <c r="B1934" s="85"/>
      <c r="E1934" s="86"/>
    </row>
    <row r="1935">
      <c r="B1935" s="85"/>
      <c r="E1935" s="86"/>
    </row>
    <row r="1936">
      <c r="B1936" s="85"/>
      <c r="E1936" s="86"/>
    </row>
    <row r="1937">
      <c r="B1937" s="85"/>
      <c r="E1937" s="86"/>
    </row>
    <row r="1938">
      <c r="B1938" s="85"/>
      <c r="E1938" s="86"/>
    </row>
    <row r="1939">
      <c r="B1939" s="85"/>
      <c r="E1939" s="86"/>
    </row>
    <row r="1940">
      <c r="B1940" s="85"/>
      <c r="E1940" s="86"/>
    </row>
    <row r="1941">
      <c r="B1941" s="85"/>
      <c r="E1941" s="86"/>
    </row>
    <row r="1942">
      <c r="B1942" s="85"/>
      <c r="E1942" s="86"/>
    </row>
    <row r="1943">
      <c r="B1943" s="85"/>
      <c r="E1943" s="86"/>
    </row>
    <row r="1944">
      <c r="B1944" s="85"/>
      <c r="E1944" s="86"/>
    </row>
    <row r="1945">
      <c r="B1945" s="85"/>
      <c r="E1945" s="86"/>
    </row>
    <row r="1946">
      <c r="B1946" s="85"/>
      <c r="E1946" s="86"/>
    </row>
    <row r="1947">
      <c r="B1947" s="85"/>
      <c r="E1947" s="86"/>
    </row>
    <row r="1948">
      <c r="B1948" s="85"/>
      <c r="E1948" s="86"/>
    </row>
    <row r="1949">
      <c r="B1949" s="85"/>
      <c r="E1949" s="86"/>
    </row>
    <row r="1950">
      <c r="B1950" s="85"/>
      <c r="E1950" s="86"/>
    </row>
    <row r="1951">
      <c r="B1951" s="85"/>
      <c r="E1951" s="86"/>
    </row>
    <row r="1952">
      <c r="B1952" s="85"/>
      <c r="E1952" s="86"/>
    </row>
    <row r="1953">
      <c r="B1953" s="85"/>
      <c r="E1953" s="86"/>
    </row>
    <row r="1954">
      <c r="B1954" s="85"/>
      <c r="E1954" s="86"/>
    </row>
    <row r="1955">
      <c r="B1955" s="85"/>
      <c r="E1955" s="86"/>
    </row>
    <row r="1956">
      <c r="B1956" s="85"/>
      <c r="E1956" s="86"/>
    </row>
    <row r="1957">
      <c r="B1957" s="85"/>
      <c r="E1957" s="86"/>
    </row>
    <row r="1958">
      <c r="B1958" s="85"/>
      <c r="E1958" s="86"/>
    </row>
    <row r="1959">
      <c r="B1959" s="85"/>
      <c r="E1959" s="86"/>
    </row>
    <row r="1960">
      <c r="B1960" s="85"/>
      <c r="E1960" s="86"/>
    </row>
    <row r="1961">
      <c r="B1961" s="85"/>
      <c r="E1961" s="86"/>
    </row>
    <row r="1962">
      <c r="B1962" s="85"/>
      <c r="E1962" s="86"/>
    </row>
    <row r="1963">
      <c r="B1963" s="85"/>
      <c r="E1963" s="86"/>
    </row>
    <row r="1964">
      <c r="B1964" s="85"/>
      <c r="E1964" s="86"/>
    </row>
    <row r="1965">
      <c r="B1965" s="85"/>
      <c r="E1965" s="86"/>
    </row>
    <row r="1966">
      <c r="B1966" s="85"/>
      <c r="E1966" s="86"/>
    </row>
    <row r="1967">
      <c r="B1967" s="85"/>
      <c r="E1967" s="86"/>
    </row>
    <row r="1968">
      <c r="B1968" s="85"/>
      <c r="E1968" s="86"/>
    </row>
    <row r="1969">
      <c r="B1969" s="85"/>
      <c r="E1969" s="86"/>
    </row>
    <row r="1970">
      <c r="B1970" s="85"/>
      <c r="E1970" s="86"/>
    </row>
    <row r="1971">
      <c r="B1971" s="85"/>
      <c r="E1971" s="86"/>
    </row>
    <row r="1972">
      <c r="B1972" s="85"/>
      <c r="E1972" s="86"/>
    </row>
    <row r="1973">
      <c r="B1973" s="85"/>
      <c r="E1973" s="86"/>
    </row>
    <row r="1974">
      <c r="B1974" s="85"/>
      <c r="E1974" s="86"/>
    </row>
    <row r="1975">
      <c r="B1975" s="85"/>
      <c r="E1975" s="86"/>
    </row>
    <row r="1976">
      <c r="B1976" s="85"/>
      <c r="E1976" s="86"/>
    </row>
    <row r="1977">
      <c r="B1977" s="85"/>
      <c r="E1977" s="86"/>
    </row>
    <row r="1978">
      <c r="B1978" s="85"/>
      <c r="E1978" s="86"/>
    </row>
    <row r="1979">
      <c r="B1979" s="85"/>
      <c r="E1979" s="86"/>
    </row>
    <row r="1980">
      <c r="B1980" s="85"/>
      <c r="E1980" s="86"/>
    </row>
    <row r="1981">
      <c r="B1981" s="85"/>
      <c r="E1981" s="86"/>
    </row>
    <row r="1982">
      <c r="B1982" s="85"/>
      <c r="E1982" s="86"/>
    </row>
    <row r="1983">
      <c r="B1983" s="85"/>
      <c r="E1983" s="86"/>
    </row>
    <row r="1984">
      <c r="B1984" s="85"/>
      <c r="E1984" s="86"/>
    </row>
    <row r="1985">
      <c r="B1985" s="85"/>
      <c r="E1985" s="86"/>
    </row>
    <row r="1986">
      <c r="B1986" s="85"/>
      <c r="E1986" s="86"/>
    </row>
    <row r="1987">
      <c r="B1987" s="85"/>
      <c r="E1987" s="86"/>
    </row>
    <row r="1988">
      <c r="B1988" s="85"/>
      <c r="E1988" s="86"/>
    </row>
    <row r="1989">
      <c r="B1989" s="85"/>
      <c r="E1989" s="86"/>
    </row>
    <row r="1990">
      <c r="B1990" s="85"/>
      <c r="E1990" s="86"/>
    </row>
    <row r="1991">
      <c r="B1991" s="85"/>
      <c r="E1991" s="86"/>
    </row>
    <row r="1992">
      <c r="B1992" s="85"/>
      <c r="E1992" s="86"/>
    </row>
    <row r="1993">
      <c r="B1993" s="85"/>
      <c r="E1993" s="86"/>
    </row>
    <row r="1994">
      <c r="B1994" s="85"/>
      <c r="E1994" s="86"/>
    </row>
    <row r="1995">
      <c r="B1995" s="85"/>
      <c r="E1995" s="86"/>
    </row>
    <row r="1996">
      <c r="B1996" s="85"/>
      <c r="E1996" s="86"/>
    </row>
    <row r="1997">
      <c r="B1997" s="85"/>
      <c r="E1997" s="86"/>
    </row>
    <row r="1998">
      <c r="B1998" s="85"/>
      <c r="E1998" s="86"/>
    </row>
    <row r="1999">
      <c r="B1999" s="85"/>
      <c r="E1999" s="86"/>
    </row>
    <row r="2000">
      <c r="B2000" s="85"/>
      <c r="E2000" s="86"/>
    </row>
    <row r="2001">
      <c r="B2001" s="85"/>
      <c r="E2001" s="86"/>
    </row>
    <row r="2002">
      <c r="B2002" s="85"/>
      <c r="E2002" s="86"/>
    </row>
    <row r="2003">
      <c r="B2003" s="85"/>
      <c r="E2003" s="86"/>
    </row>
    <row r="2004">
      <c r="B2004" s="85"/>
      <c r="E2004" s="8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87" t="s">
        <v>13</v>
      </c>
      <c r="B1" s="88" t="s">
        <v>2763</v>
      </c>
      <c r="C1" s="88" t="s">
        <v>5</v>
      </c>
      <c r="D1" s="89" t="s">
        <v>6</v>
      </c>
      <c r="E1" s="89" t="s">
        <v>10</v>
      </c>
      <c r="F1" s="90" t="s">
        <v>2705</v>
      </c>
      <c r="G1" s="91" t="s">
        <v>2760</v>
      </c>
      <c r="H1" s="92" t="s">
        <v>2707</v>
      </c>
      <c r="I1" s="92" t="s">
        <v>2708</v>
      </c>
      <c r="J1" s="92" t="s">
        <v>2705</v>
      </c>
      <c r="K1" s="92" t="s">
        <v>2706</v>
      </c>
      <c r="L1" s="92" t="s">
        <v>2707</v>
      </c>
      <c r="M1" s="92" t="s">
        <v>2708</v>
      </c>
      <c r="N1" s="92" t="s">
        <v>2705</v>
      </c>
      <c r="O1" s="92" t="s">
        <v>2706</v>
      </c>
      <c r="P1" s="92" t="s">
        <v>2707</v>
      </c>
      <c r="Q1" s="92" t="s">
        <v>2708</v>
      </c>
      <c r="R1" s="91" t="s">
        <v>2709</v>
      </c>
      <c r="S1" s="91" t="s">
        <v>2710</v>
      </c>
      <c r="T1" s="92" t="s">
        <v>2705</v>
      </c>
      <c r="U1" s="92" t="s">
        <v>2706</v>
      </c>
      <c r="V1" s="92" t="s">
        <v>2707</v>
      </c>
      <c r="W1" s="92" t="s">
        <v>2708</v>
      </c>
      <c r="X1" s="93" t="s">
        <v>2711</v>
      </c>
      <c r="Y1" s="93" t="s">
        <v>2712</v>
      </c>
      <c r="Z1" s="93" t="s">
        <v>2709</v>
      </c>
      <c r="AA1" s="91">
        <v>1.0</v>
      </c>
      <c r="AB1" s="91">
        <v>2.0</v>
      </c>
      <c r="AC1" s="91">
        <v>3.0</v>
      </c>
      <c r="AD1" s="91">
        <v>4.0</v>
      </c>
      <c r="AE1" s="91">
        <v>5.0</v>
      </c>
      <c r="AF1" s="93" t="s">
        <v>2709</v>
      </c>
      <c r="AG1" s="92" t="s">
        <v>2705</v>
      </c>
      <c r="AH1" s="92" t="s">
        <v>2705</v>
      </c>
      <c r="AI1" s="92" t="s">
        <v>2706</v>
      </c>
      <c r="AJ1" s="92" t="s">
        <v>2707</v>
      </c>
      <c r="AK1" s="92" t="s">
        <v>2708</v>
      </c>
      <c r="AL1" s="91" t="s">
        <v>2709</v>
      </c>
      <c r="AM1" s="92" t="s">
        <v>2705</v>
      </c>
      <c r="AN1" s="92" t="s">
        <v>2706</v>
      </c>
      <c r="AO1" s="92" t="s">
        <v>2707</v>
      </c>
      <c r="AP1" s="92" t="s">
        <v>2708</v>
      </c>
      <c r="AQ1" s="91" t="s">
        <v>2709</v>
      </c>
      <c r="AR1" s="92" t="s">
        <v>2705</v>
      </c>
      <c r="AS1" s="92" t="s">
        <v>2706</v>
      </c>
      <c r="AT1" s="92" t="s">
        <v>2707</v>
      </c>
      <c r="AU1" s="92" t="s">
        <v>2708</v>
      </c>
      <c r="AV1" s="93" t="s">
        <v>2709</v>
      </c>
    </row>
    <row r="2">
      <c r="A2" s="94" t="str">
        <f>IFERROR(__xludf.DUMMYFUNCTION("QUERY( {iferror(QUERY({FMS!$B$7:$E1000,FMS!G7:H1000,FMS!J7:J1000},""select Col1,Col2,Col3,Col4,Col5,Col7 ,'""&amp;FMS!G2&amp;""' , '""&amp;FMS!G3&amp;""' where Col5 is not null and Col6 is null label '""&amp;FMS!G2&amp;""' '' , '""&amp;FMS!G3&amp;""' '' ""),{"""","""","""","""","""","""&amp;""","""",""""});iferror(QUERY({FMS!$B$7:$E1000,FMS!K7:L1000,FMS!Q7:Q1000},""select Col1,Col2,Col3,Col4,Col5,Col7 ,'""&amp;FMS!K2&amp;""' , '""&amp;FMS!K3&amp;""' where Col5 is not null and Col6 is null label '""&amp;FMS!K2&amp;""' '' , '""&amp;FMS!K3&amp;""' '' ""),{"""","""","""","""","&amp;""""","""","""",""""});iferror(QUERY({FMS!$B$7:$E1000,FMS!R7:S1000,FMS!U7:U1000},""select Col1,Col2,Col3,Col4,Col5,Col7 ,'""&amp;FMS!R2&amp;""' , '""&amp;FMS!R3&amp;""' where Col5 is not null and Col6 is null label '""&amp;FMS!R2&amp;""' '' , '""&amp;FMS!R3&amp;""' '' ""),{"""","""","""""&amp;","""","""","""","""",""""});iferror(QUERY({FMS!$B$7:$E1000,FMS!V7:W1000,FMS!AA7:AA1000},""select Col1,Col2,Col3,Col4,Col5,Col7 ,'""&amp;FMS!V2&amp;""' , '""&amp;FMS!V3&amp;""' where Col5 is not null and Col6 is null label '""&amp;FMS!V2&amp;""' '' , '""&amp;FMS!V3&amp;""' '' ""),{"""","&amp;""""","""","""","""","""","""",""""});iferror(QUERY({FMS!$B$7:$E1000,FMS!AB7:AC1000,FMS!AE7:AE1000},""select Col1,Col2,Col3,Col4,Col5,Col7 ,'""&amp;FMS!AB2&amp;""' , '""&amp;FMS!AB3&amp;""' where Col5 is not null and Col6 is null label '""&amp;FMS!AB2&amp;""' '' , '""&amp;FMS!AB3&amp;""'"&amp;" '' ""),{"""","""","""","""","""","""","""",""""});iferror(QUERY({FMS!$B$7:$E1000,FMS!AB7:AC1000,FMS!AE7:AE1000},""select Col1,Col2,Col3,Col4,Col5,Col7 ,'""&amp;FMS!AB2&amp;""' , '""&amp;FMS!AB3&amp;""' where Col5 is not null and Col6 is null label '""&amp;FMS!AB2&amp;""' '' , '"&amp;"""&amp;FMS!AB3&amp;""' '' ""),{"""","""","""","""","""","""","""",""""});iferror(QUERY({FMS!$B$7:$E1000,FMS!AF7:AH1000},""select Col1,Col2,Col3,Col4,Col5,Col7 ,'""&amp;FMS!AF2&amp;""' , '""&amp;FMS!AF3&amp;""' where Col5 is not null and Col6 is null label '""&amp;FMS!AF2&amp;""' '' , '"&amp;"""&amp;FMS!AF3&amp;""' '' ""),{"""","""","""","""","""","""","""",""""});iferror(QUERY({FMS!$B$7:$E1000,FMS!AI7:AK1000},""select Col1,Col2,Col3,Col4,Col5,Col7 ,'""&amp;FMS!AI2&amp;""' , '""&amp;FMS!AI3&amp;""' where Col5 is not null and Col6 is null label '""&amp;FMS!AI2&amp;""' '' , '"&amp;"""&amp;FMS!AI3&amp;""' '' ""),{"""","""","""","""","""","""","""",""""});iferror(QUERY({FMS!$B$7:$E1000,FMS!AL7:AN1000},""select Col1,Col2,Col3,Col4,Col5,Col7 ,'""&amp;FMS!AL2&amp;""' , '""&amp;FMS!AL3&amp;""' where Col5 is not null and Col6 is null label '""&amp;FMS!AL2&amp;""' '' , '"&amp;"""&amp;FMS!AL3&amp;""' '' ""),{"""","""","""","""","""","""","""",""""});iferror(QUERY({FMS!$B$7:$E1000,FMS!AO7:AP1000,FMS!AS7:AS1000},""select Col1,Col2,Col3,Col4,Col5,Col7 ,'""&amp;FMS!AO2&amp;""' , '""&amp;FMS!AO3&amp;""' where Col5 is not null and Col6 is null label '""&amp;FMS!"&amp;"AO2&amp;""' '' , '""&amp;FMS!AO3&amp;""' '' ""),{"""","""","""","""","""","""","""",""""});iferror(QUERY({FMS!$B$7:$E1000,FMS!AT7:AV1000},""select Col1,Col2,Col3,Col4,Col5,Col7 ,'""&amp;FMS!AT2&amp;""' , '""&amp;FMS!AT3&amp;""' where Col5 is not null and Col6 is null label '""&amp;FMS!A"&amp;"T2&amp;""' '' , '""&amp;FMS!AT3&amp;""' '' ""),{"""","""","""","""","""","""","""",""""});iferror(QUERY({FMS!$B$7:$E1000,FMS!AW7:AY1000},""select Col1,Col2,Col3,Col4,Col5,Col7 ,'""&amp;FMS!AW2&amp;""' , '""&amp;FMS!AW3&amp;""' where Col5 is not null and Col6 is null label '""&amp;FMS!AW"&amp;"2&amp;""' '' , '""&amp;FMS!AW3&amp;""' '' ""),{"""","""","""","""","""","""","""",""""});iferror(QUERY({FMS!$B$7:$E1000,FMS!BK7:BL1000,FMS!BP7:BP1000},""select Col1,Col2,Col3,Col4,Col5,Col7 ,'""&amp;FMS!BK2&amp;""' , '""&amp;FMS!BK3&amp;""' where Col5 is not null and Col6 is null la"&amp;"bel '""&amp;FMS!BK2&amp;""' '' , '""&amp;FMS!BK3&amp;""' '' ""),{"""","""","""","""","""","""","""",""""});iferror(QUERY({FMS!$B$7:$E1000,FMS!BQ7:BR1000,FMS!CB7:CB1000},""select Col1,Col2,Col3,Col4,Col5,Col7 ,'""&amp;FMS!BQ2&amp;""' , '""&amp;FMS!BQ3&amp;""' where Col5 is not null and C"&amp;"ol6 is null label '""&amp;FMS!BQ2&amp;""' '' , '""&amp;FMS!BQ3&amp;""' '' ""),{"""","""","""","""","""","""","""",""""});iferror(QUERY({FMS!$B$7:$E1000,FMS!CC7:CE1000},""select Col1,Col2,Col3,Col4,Col5,Col7 ,'""&amp;FMS!CC2&amp;""' , '""&amp;FMS!CC3&amp;""' where Col5 is not null and Co"&amp;"l6 is null label '""&amp;FMS!CC2&amp;""' '' , '""&amp;FMS!CC3&amp;""' '' ""),{"""","""","""","""","""","""","""",""""});iferror(QUERY({FMS!$B$7:$E1000,FMS!CF7:CG1000,FMS!CK7:CK1000},""select Col1,Col2,Col3,Col4,Col5,Col7 ,'""&amp;FMS!CF2&amp;""' , '""&amp;FMS!CF3&amp;""' where Col5 is n"&amp;"ot null and Col6 is null label '""&amp;FMS!CF2&amp;""' '' , '""&amp;FMS!CF3&amp;""' '' ""),{"""","""","""","""","""","""","""",""""});iferror(QUERY({FMS!$B$7:$E1000,FMS!CL7:CN1000},""select Col1,Col2,Col3,Col4,Col5,Col7 ,'""&amp;FMS!CL2&amp;""' , '""&amp;FMS!CL3&amp;""' where Col5 is no"&amp;"t null and Col6 is null label '""&amp;FMS!CL2&amp;""' '' , '""&amp;FMS!CL3&amp;""' '' ""),{"""","""","""","""","""","""","""",""""});iferror(QUERY({FMS!$B$7:$E1000,FMS!CO7:CQ1000},""select Col1,Col2,Col3,Col4,Col5,Col7 ,'""&amp;FMS!CO2&amp;""' , '""&amp;FMS!CO3&amp;""' where Col5 is not"&amp;" null and Col6 is null label '""&amp;FMS!CO2&amp;""' '' , '""&amp;FMS!CO3&amp;""' '' ""),{"""","""","""","""","""","""","""",""""})},""select * where Col7 is not null "",0)"),"")</f>
        <v/>
      </c>
      <c r="B2" s="95"/>
      <c r="C2" s="4"/>
      <c r="D2" s="4"/>
      <c r="E2" s="96">
        <f>IFERROR(__xludf.DUMMYFUNCTION("""COMPUTED_VALUE"""),2.0)</f>
        <v>2</v>
      </c>
      <c r="F2" s="85"/>
      <c r="G2" s="4" t="str">
        <f>IFERROR(__xludf.DUMMYFUNCTION("""COMPUTED_VALUE"""),"Follow up")</f>
        <v>Follow up</v>
      </c>
      <c r="H2" s="4" t="str">
        <f>IFERROR(__xludf.DUMMYFUNCTION("""COMPUTED_VALUE"""),"Kajal")</f>
        <v>Kajal</v>
      </c>
    </row>
    <row r="3">
      <c r="A3" s="4"/>
      <c r="B3" s="95"/>
      <c r="C3" s="4"/>
      <c r="D3" s="4"/>
      <c r="E3" s="96">
        <f>IFERROR(__xludf.DUMMYFUNCTION("""COMPUTED_VALUE"""),1.0)</f>
        <v>1</v>
      </c>
      <c r="F3" s="85"/>
      <c r="G3" s="4" t="str">
        <f>IFERROR(__xludf.DUMMYFUNCTION("""COMPUTED_VALUE"""),"Follow up")</f>
        <v>Follow up</v>
      </c>
      <c r="H3" s="4" t="str">
        <f>IFERROR(__xludf.DUMMYFUNCTION("""COMPUTED_VALUE"""),"Kajal")</f>
        <v>Kajal</v>
      </c>
    </row>
    <row r="4">
      <c r="A4" s="4"/>
      <c r="B4" s="95"/>
      <c r="C4" s="4"/>
      <c r="D4" s="4"/>
      <c r="E4" s="96">
        <f>IFERROR(__xludf.DUMMYFUNCTION("""COMPUTED_VALUE"""),1.0)</f>
        <v>1</v>
      </c>
      <c r="F4" s="85"/>
      <c r="G4" s="4" t="str">
        <f>IFERROR(__xludf.DUMMYFUNCTION("""COMPUTED_VALUE"""),"Follow up")</f>
        <v>Follow up</v>
      </c>
      <c r="H4" s="4" t="str">
        <f>IFERROR(__xludf.DUMMYFUNCTION("""COMPUTED_VALUE"""),"Kajal")</f>
        <v>Kajal</v>
      </c>
    </row>
    <row r="5">
      <c r="A5" s="4"/>
      <c r="B5" s="95"/>
      <c r="C5" s="4"/>
      <c r="D5" s="4"/>
      <c r="E5" s="96">
        <f>IFERROR(__xludf.DUMMYFUNCTION("""COMPUTED_VALUE"""),1.0)</f>
        <v>1</v>
      </c>
      <c r="F5" s="85"/>
      <c r="G5" s="4" t="str">
        <f>IFERROR(__xludf.DUMMYFUNCTION("""COMPUTED_VALUE"""),"Follow up")</f>
        <v>Follow up</v>
      </c>
      <c r="H5" s="4" t="str">
        <f>IFERROR(__xludf.DUMMYFUNCTION("""COMPUTED_VALUE"""),"Kajal")</f>
        <v>Kajal</v>
      </c>
    </row>
    <row r="6">
      <c r="A6" s="4"/>
      <c r="B6" s="95"/>
      <c r="C6" s="4"/>
      <c r="D6" s="4"/>
      <c r="E6" s="96">
        <f>IFERROR(__xludf.DUMMYFUNCTION("""COMPUTED_VALUE"""),1.0)</f>
        <v>1</v>
      </c>
      <c r="F6" s="85"/>
      <c r="G6" s="4" t="str">
        <f>IFERROR(__xludf.DUMMYFUNCTION("""COMPUTED_VALUE"""),"Follow up")</f>
        <v>Follow up</v>
      </c>
      <c r="H6" s="4" t="str">
        <f>IFERROR(__xludf.DUMMYFUNCTION("""COMPUTED_VALUE"""),"Kajal")</f>
        <v>Kajal</v>
      </c>
    </row>
    <row r="7">
      <c r="A7" s="4"/>
      <c r="B7" s="95"/>
      <c r="C7" s="4"/>
      <c r="D7" s="4"/>
      <c r="E7" s="96">
        <f>IFERROR(__xludf.DUMMYFUNCTION("""COMPUTED_VALUE"""),1.0)</f>
        <v>1</v>
      </c>
      <c r="F7" s="85"/>
      <c r="G7" s="4" t="str">
        <f>IFERROR(__xludf.DUMMYFUNCTION("""COMPUTED_VALUE"""),"Follow up")</f>
        <v>Follow up</v>
      </c>
      <c r="H7" s="4" t="str">
        <f>IFERROR(__xludf.DUMMYFUNCTION("""COMPUTED_VALUE"""),"Kajal")</f>
        <v>Kajal</v>
      </c>
    </row>
    <row r="8">
      <c r="A8" s="4"/>
      <c r="B8" s="95"/>
      <c r="C8" s="4"/>
      <c r="D8" s="4"/>
      <c r="E8" s="96">
        <f>IFERROR(__xludf.DUMMYFUNCTION("""COMPUTED_VALUE"""),1.0)</f>
        <v>1</v>
      </c>
      <c r="F8" s="85"/>
      <c r="G8" s="4" t="str">
        <f>IFERROR(__xludf.DUMMYFUNCTION("""COMPUTED_VALUE"""),"Follow up")</f>
        <v>Follow up</v>
      </c>
      <c r="H8" s="4" t="str">
        <f>IFERROR(__xludf.DUMMYFUNCTION("""COMPUTED_VALUE"""),"Kajal")</f>
        <v>Kajal</v>
      </c>
    </row>
    <row r="9">
      <c r="A9" s="4"/>
      <c r="B9" s="95"/>
      <c r="C9" s="4"/>
      <c r="D9" s="4"/>
      <c r="E9" s="96">
        <f>IFERROR(__xludf.DUMMYFUNCTION("""COMPUTED_VALUE"""),1.0)</f>
        <v>1</v>
      </c>
      <c r="F9" s="85"/>
      <c r="G9" s="4" t="str">
        <f>IFERROR(__xludf.DUMMYFUNCTION("""COMPUTED_VALUE"""),"Follow up")</f>
        <v>Follow up</v>
      </c>
      <c r="H9" s="4" t="str">
        <f>IFERROR(__xludf.DUMMYFUNCTION("""COMPUTED_VALUE"""),"Kajal")</f>
        <v>Kajal</v>
      </c>
    </row>
    <row r="10">
      <c r="A10" s="4"/>
      <c r="B10" s="95"/>
      <c r="C10" s="4"/>
      <c r="D10" s="4"/>
      <c r="E10" s="96">
        <f>IFERROR(__xludf.DUMMYFUNCTION("""COMPUTED_VALUE"""),1.0)</f>
        <v>1</v>
      </c>
      <c r="F10" s="85"/>
      <c r="G10" s="4" t="str">
        <f>IFERROR(__xludf.DUMMYFUNCTION("""COMPUTED_VALUE"""),"Follow up")</f>
        <v>Follow up</v>
      </c>
      <c r="H10" s="4" t="str">
        <f>IFERROR(__xludf.DUMMYFUNCTION("""COMPUTED_VALUE"""),"Kajal")</f>
        <v>Kajal</v>
      </c>
    </row>
    <row r="11">
      <c r="A11" s="4"/>
      <c r="B11" s="95"/>
      <c r="C11" s="4"/>
      <c r="D11" s="4"/>
      <c r="E11" s="96">
        <f>IFERROR(__xludf.DUMMYFUNCTION("""COMPUTED_VALUE"""),15.0)</f>
        <v>15</v>
      </c>
      <c r="F11" s="85"/>
      <c r="G11" s="4" t="str">
        <f>IFERROR(__xludf.DUMMYFUNCTION("""COMPUTED_VALUE"""),"Follow up")</f>
        <v>Follow up</v>
      </c>
      <c r="H11" s="4" t="str">
        <f>IFERROR(__xludf.DUMMYFUNCTION("""COMPUTED_VALUE"""),"Kajal")</f>
        <v>Kajal</v>
      </c>
    </row>
    <row r="12">
      <c r="A12" s="4"/>
      <c r="B12" s="95"/>
      <c r="C12" s="4"/>
      <c r="D12" s="4"/>
      <c r="E12" s="96">
        <f>IFERROR(__xludf.DUMMYFUNCTION("""COMPUTED_VALUE"""),1.0)</f>
        <v>1</v>
      </c>
      <c r="F12" s="85"/>
      <c r="G12" s="4" t="str">
        <f>IFERROR(__xludf.DUMMYFUNCTION("""COMPUTED_VALUE"""),"Follow up")</f>
        <v>Follow up</v>
      </c>
      <c r="H12" s="4" t="str">
        <f>IFERROR(__xludf.DUMMYFUNCTION("""COMPUTED_VALUE"""),"Kajal")</f>
        <v>Kajal</v>
      </c>
    </row>
    <row r="13">
      <c r="A13" s="4"/>
      <c r="B13" s="95"/>
      <c r="C13" s="4"/>
      <c r="D13" s="4"/>
      <c r="E13" s="96">
        <f>IFERROR(__xludf.DUMMYFUNCTION("""COMPUTED_VALUE"""),1.0)</f>
        <v>1</v>
      </c>
      <c r="F13" s="85"/>
      <c r="G13" s="4" t="str">
        <f>IFERROR(__xludf.DUMMYFUNCTION("""COMPUTED_VALUE"""),"Follow up")</f>
        <v>Follow up</v>
      </c>
      <c r="H13" s="4" t="str">
        <f>IFERROR(__xludf.DUMMYFUNCTION("""COMPUTED_VALUE"""),"Kajal")</f>
        <v>Kajal</v>
      </c>
    </row>
    <row r="14">
      <c r="A14" s="4"/>
      <c r="B14" s="95"/>
      <c r="C14" s="4"/>
      <c r="D14" s="4"/>
      <c r="E14" s="96">
        <f>IFERROR(__xludf.DUMMYFUNCTION("""COMPUTED_VALUE"""),1.0)</f>
        <v>1</v>
      </c>
      <c r="F14" s="85"/>
      <c r="G14" s="4" t="str">
        <f>IFERROR(__xludf.DUMMYFUNCTION("""COMPUTED_VALUE"""),"Follow up")</f>
        <v>Follow up</v>
      </c>
      <c r="H14" s="4" t="str">
        <f>IFERROR(__xludf.DUMMYFUNCTION("""COMPUTED_VALUE"""),"Kajal")</f>
        <v>Kajal</v>
      </c>
    </row>
    <row r="15">
      <c r="A15" s="4"/>
      <c r="B15" s="95"/>
      <c r="C15" s="4"/>
      <c r="D15" s="4"/>
      <c r="E15" s="96">
        <f>IFERROR(__xludf.DUMMYFUNCTION("""COMPUTED_VALUE"""),1.0)</f>
        <v>1</v>
      </c>
      <c r="F15" s="85"/>
      <c r="G15" s="4" t="str">
        <f>IFERROR(__xludf.DUMMYFUNCTION("""COMPUTED_VALUE"""),"Follow up")</f>
        <v>Follow up</v>
      </c>
      <c r="H15" s="4" t="str">
        <f>IFERROR(__xludf.DUMMYFUNCTION("""COMPUTED_VALUE"""),"Kajal")</f>
        <v>Kajal</v>
      </c>
    </row>
    <row r="16">
      <c r="A16" s="4"/>
      <c r="B16" s="95"/>
      <c r="C16" s="4"/>
      <c r="D16" s="4"/>
      <c r="E16" s="96">
        <f>IFERROR(__xludf.DUMMYFUNCTION("""COMPUTED_VALUE"""),1.0)</f>
        <v>1</v>
      </c>
      <c r="F16" s="85"/>
      <c r="G16" s="4" t="str">
        <f>IFERROR(__xludf.DUMMYFUNCTION("""COMPUTED_VALUE"""),"Follow up")</f>
        <v>Follow up</v>
      </c>
      <c r="H16" s="4" t="str">
        <f>IFERROR(__xludf.DUMMYFUNCTION("""COMPUTED_VALUE"""),"Kajal")</f>
        <v>Kajal</v>
      </c>
    </row>
    <row r="17">
      <c r="A17" s="4"/>
      <c r="B17" s="95"/>
      <c r="C17" s="4"/>
      <c r="D17" s="4"/>
      <c r="E17" s="96">
        <f>IFERROR(__xludf.DUMMYFUNCTION("""COMPUTED_VALUE"""),1.0)</f>
        <v>1</v>
      </c>
      <c r="F17" s="85"/>
      <c r="G17" s="4" t="str">
        <f>IFERROR(__xludf.DUMMYFUNCTION("""COMPUTED_VALUE"""),"Follow up")</f>
        <v>Follow up</v>
      </c>
      <c r="H17" s="4" t="str">
        <f>IFERROR(__xludf.DUMMYFUNCTION("""COMPUTED_VALUE"""),"Kajal")</f>
        <v>Kajal</v>
      </c>
    </row>
    <row r="18">
      <c r="A18" s="4"/>
      <c r="B18" s="95"/>
      <c r="C18" s="4"/>
      <c r="D18" s="4"/>
      <c r="E18" s="96">
        <f>IFERROR(__xludf.DUMMYFUNCTION("""COMPUTED_VALUE"""),1.0)</f>
        <v>1</v>
      </c>
      <c r="F18" s="85"/>
      <c r="G18" s="4" t="str">
        <f>IFERROR(__xludf.DUMMYFUNCTION("""COMPUTED_VALUE"""),"Follow up")</f>
        <v>Follow up</v>
      </c>
      <c r="H18" s="4" t="str">
        <f>IFERROR(__xludf.DUMMYFUNCTION("""COMPUTED_VALUE"""),"Kajal")</f>
        <v>Kajal</v>
      </c>
    </row>
    <row r="19">
      <c r="A19" s="4"/>
      <c r="B19" s="95"/>
      <c r="C19" s="4"/>
      <c r="D19" s="4"/>
      <c r="E19" s="96">
        <f>IFERROR(__xludf.DUMMYFUNCTION("""COMPUTED_VALUE"""),1.0)</f>
        <v>1</v>
      </c>
      <c r="F19" s="85"/>
      <c r="G19" s="4" t="str">
        <f>IFERROR(__xludf.DUMMYFUNCTION("""COMPUTED_VALUE"""),"Follow up")</f>
        <v>Follow up</v>
      </c>
      <c r="H19" s="4" t="str">
        <f>IFERROR(__xludf.DUMMYFUNCTION("""COMPUTED_VALUE"""),"Kajal")</f>
        <v>Kajal</v>
      </c>
    </row>
    <row r="20">
      <c r="A20" s="4"/>
      <c r="B20" s="95"/>
      <c r="C20" s="4"/>
      <c r="D20" s="4"/>
      <c r="E20" s="96">
        <f>IFERROR(__xludf.DUMMYFUNCTION("""COMPUTED_VALUE"""),1.0)</f>
        <v>1</v>
      </c>
      <c r="F20" s="85"/>
      <c r="G20" s="4" t="str">
        <f>IFERROR(__xludf.DUMMYFUNCTION("""COMPUTED_VALUE"""),"Follow up")</f>
        <v>Follow up</v>
      </c>
      <c r="H20" s="4" t="str">
        <f>IFERROR(__xludf.DUMMYFUNCTION("""COMPUTED_VALUE"""),"Kajal")</f>
        <v>Kajal</v>
      </c>
    </row>
    <row r="21">
      <c r="A21" s="4"/>
      <c r="B21" s="95"/>
      <c r="C21" s="4"/>
      <c r="D21" s="4"/>
      <c r="E21" s="96">
        <f>IFERROR(__xludf.DUMMYFUNCTION("""COMPUTED_VALUE"""),1.0)</f>
        <v>1</v>
      </c>
      <c r="F21" s="85"/>
      <c r="G21" s="4" t="str">
        <f>IFERROR(__xludf.DUMMYFUNCTION("""COMPUTED_VALUE"""),"Follow up")</f>
        <v>Follow up</v>
      </c>
      <c r="H21" s="4" t="str">
        <f>IFERROR(__xludf.DUMMYFUNCTION("""COMPUTED_VALUE"""),"Kajal")</f>
        <v>Kajal</v>
      </c>
    </row>
    <row r="22">
      <c r="A22" s="4"/>
      <c r="B22" s="95"/>
      <c r="C22" s="4"/>
      <c r="D22" s="4"/>
      <c r="E22" s="96">
        <f>IFERROR(__xludf.DUMMYFUNCTION("""COMPUTED_VALUE"""),1.0)</f>
        <v>1</v>
      </c>
      <c r="F22" s="85"/>
      <c r="G22" s="4" t="str">
        <f>IFERROR(__xludf.DUMMYFUNCTION("""COMPUTED_VALUE"""),"Follow up")</f>
        <v>Follow up</v>
      </c>
      <c r="H22" s="4" t="str">
        <f>IFERROR(__xludf.DUMMYFUNCTION("""COMPUTED_VALUE"""),"Kajal")</f>
        <v>Kajal</v>
      </c>
    </row>
    <row r="23">
      <c r="A23" s="4"/>
      <c r="B23" s="95"/>
      <c r="C23" s="4"/>
      <c r="D23" s="4"/>
      <c r="E23" s="96">
        <f>IFERROR(__xludf.DUMMYFUNCTION("""COMPUTED_VALUE"""),1.0)</f>
        <v>1</v>
      </c>
      <c r="F23" s="85"/>
      <c r="G23" s="4" t="str">
        <f>IFERROR(__xludf.DUMMYFUNCTION("""COMPUTED_VALUE"""),"Follow up")</f>
        <v>Follow up</v>
      </c>
      <c r="H23" s="4" t="str">
        <f>IFERROR(__xludf.DUMMYFUNCTION("""COMPUTED_VALUE"""),"Kajal")</f>
        <v>Kajal</v>
      </c>
    </row>
    <row r="24">
      <c r="A24" s="4"/>
      <c r="B24" s="95"/>
      <c r="C24" s="4"/>
      <c r="D24" s="4"/>
      <c r="E24" s="96">
        <f>IFERROR(__xludf.DUMMYFUNCTION("""COMPUTED_VALUE"""),1.0)</f>
        <v>1</v>
      </c>
      <c r="F24" s="85"/>
      <c r="G24" s="4" t="str">
        <f>IFERROR(__xludf.DUMMYFUNCTION("""COMPUTED_VALUE"""),"Follow up")</f>
        <v>Follow up</v>
      </c>
      <c r="H24" s="4" t="str">
        <f>IFERROR(__xludf.DUMMYFUNCTION("""COMPUTED_VALUE"""),"Kajal")</f>
        <v>Kajal</v>
      </c>
    </row>
    <row r="25">
      <c r="A25" s="4"/>
      <c r="B25" s="95"/>
      <c r="C25" s="4"/>
      <c r="D25" s="4"/>
      <c r="E25" s="96">
        <f>IFERROR(__xludf.DUMMYFUNCTION("""COMPUTED_VALUE"""),1.0)</f>
        <v>1</v>
      </c>
      <c r="F25" s="85"/>
      <c r="G25" s="4" t="str">
        <f>IFERROR(__xludf.DUMMYFUNCTION("""COMPUTED_VALUE"""),"Follow up")</f>
        <v>Follow up</v>
      </c>
      <c r="H25" s="4" t="str">
        <f>IFERROR(__xludf.DUMMYFUNCTION("""COMPUTED_VALUE"""),"Kajal")</f>
        <v>Kajal</v>
      </c>
    </row>
    <row r="26">
      <c r="A26" s="4"/>
      <c r="B26" s="95"/>
      <c r="C26" s="4"/>
      <c r="D26" s="4"/>
      <c r="E26" s="96">
        <f>IFERROR(__xludf.DUMMYFUNCTION("""COMPUTED_VALUE"""),1.0)</f>
        <v>1</v>
      </c>
      <c r="F26" s="85"/>
      <c r="G26" s="4" t="str">
        <f>IFERROR(__xludf.DUMMYFUNCTION("""COMPUTED_VALUE"""),"Follow up")</f>
        <v>Follow up</v>
      </c>
      <c r="H26" s="4" t="str">
        <f>IFERROR(__xludf.DUMMYFUNCTION("""COMPUTED_VALUE"""),"Kajal")</f>
        <v>Kajal</v>
      </c>
    </row>
    <row r="27">
      <c r="A27" s="4"/>
      <c r="B27" s="95"/>
      <c r="C27" s="4"/>
      <c r="D27" s="4"/>
      <c r="E27" s="96">
        <f>IFERROR(__xludf.DUMMYFUNCTION("""COMPUTED_VALUE"""),1.0)</f>
        <v>1</v>
      </c>
      <c r="F27" s="85"/>
      <c r="G27" s="4" t="str">
        <f>IFERROR(__xludf.DUMMYFUNCTION("""COMPUTED_VALUE"""),"Follow up")</f>
        <v>Follow up</v>
      </c>
      <c r="H27" s="4" t="str">
        <f>IFERROR(__xludf.DUMMYFUNCTION("""COMPUTED_VALUE"""),"Kajal")</f>
        <v>Kajal</v>
      </c>
    </row>
    <row r="28">
      <c r="A28" s="4"/>
      <c r="B28" s="95"/>
      <c r="C28" s="4"/>
      <c r="D28" s="4"/>
      <c r="E28" s="96">
        <f>IFERROR(__xludf.DUMMYFUNCTION("""COMPUTED_VALUE"""),1.0)</f>
        <v>1</v>
      </c>
      <c r="F28" s="85"/>
      <c r="G28" s="4" t="str">
        <f>IFERROR(__xludf.DUMMYFUNCTION("""COMPUTED_VALUE"""),"Follow up")</f>
        <v>Follow up</v>
      </c>
      <c r="H28" s="4" t="str">
        <f>IFERROR(__xludf.DUMMYFUNCTION("""COMPUTED_VALUE"""),"Kajal")</f>
        <v>Kajal</v>
      </c>
    </row>
    <row r="29">
      <c r="A29" s="4"/>
      <c r="B29" s="95"/>
      <c r="C29" s="4"/>
      <c r="D29" s="4"/>
      <c r="E29" s="96">
        <f>IFERROR(__xludf.DUMMYFUNCTION("""COMPUTED_VALUE"""),1.0)</f>
        <v>1</v>
      </c>
      <c r="F29" s="85"/>
      <c r="G29" s="4" t="str">
        <f>IFERROR(__xludf.DUMMYFUNCTION("""COMPUTED_VALUE"""),"Follow up")</f>
        <v>Follow up</v>
      </c>
      <c r="H29" s="4" t="str">
        <f>IFERROR(__xludf.DUMMYFUNCTION("""COMPUTED_VALUE"""),"Kajal")</f>
        <v>Kajal</v>
      </c>
    </row>
    <row r="30">
      <c r="A30" s="4"/>
      <c r="B30" s="95"/>
      <c r="C30" s="4"/>
      <c r="D30" s="4"/>
      <c r="E30" s="96">
        <f>IFERROR(__xludf.DUMMYFUNCTION("""COMPUTED_VALUE"""),1.0)</f>
        <v>1</v>
      </c>
      <c r="F30" s="85"/>
      <c r="G30" s="4" t="str">
        <f>IFERROR(__xludf.DUMMYFUNCTION("""COMPUTED_VALUE"""),"Follow up")</f>
        <v>Follow up</v>
      </c>
      <c r="H30" s="4" t="str">
        <f>IFERROR(__xludf.DUMMYFUNCTION("""COMPUTED_VALUE"""),"Kajal")</f>
        <v>Kajal</v>
      </c>
    </row>
    <row r="31">
      <c r="A31" s="4"/>
      <c r="B31" s="95"/>
      <c r="C31" s="4"/>
      <c r="D31" s="4"/>
      <c r="E31" s="96">
        <f>IFERROR(__xludf.DUMMYFUNCTION("""COMPUTED_VALUE"""),1.0)</f>
        <v>1</v>
      </c>
      <c r="F31" s="85"/>
      <c r="G31" s="4" t="str">
        <f>IFERROR(__xludf.DUMMYFUNCTION("""COMPUTED_VALUE"""),"Follow up")</f>
        <v>Follow up</v>
      </c>
      <c r="H31" s="4" t="str">
        <f>IFERROR(__xludf.DUMMYFUNCTION("""COMPUTED_VALUE"""),"Kajal")</f>
        <v>Kajal</v>
      </c>
    </row>
    <row r="32">
      <c r="A32" s="4"/>
      <c r="B32" s="95"/>
      <c r="C32" s="4"/>
      <c r="D32" s="4"/>
      <c r="E32" s="96">
        <f>IFERROR(__xludf.DUMMYFUNCTION("""COMPUTED_VALUE"""),1.0)</f>
        <v>1</v>
      </c>
      <c r="F32" s="85"/>
      <c r="G32" s="4" t="str">
        <f>IFERROR(__xludf.DUMMYFUNCTION("""COMPUTED_VALUE"""),"Follow up")</f>
        <v>Follow up</v>
      </c>
      <c r="H32" s="4" t="str">
        <f>IFERROR(__xludf.DUMMYFUNCTION("""COMPUTED_VALUE"""),"Kajal")</f>
        <v>Kajal</v>
      </c>
    </row>
    <row r="33">
      <c r="A33" s="4"/>
      <c r="B33" s="95"/>
      <c r="C33" s="4"/>
      <c r="D33" s="4"/>
      <c r="E33" s="96">
        <f>IFERROR(__xludf.DUMMYFUNCTION("""COMPUTED_VALUE"""),1.0)</f>
        <v>1</v>
      </c>
      <c r="F33" s="85"/>
      <c r="G33" s="4" t="str">
        <f>IFERROR(__xludf.DUMMYFUNCTION("""COMPUTED_VALUE"""),"Follow up")</f>
        <v>Follow up</v>
      </c>
      <c r="H33" s="4" t="str">
        <f>IFERROR(__xludf.DUMMYFUNCTION("""COMPUTED_VALUE"""),"Kajal")</f>
        <v>Kajal</v>
      </c>
    </row>
    <row r="34">
      <c r="A34" s="4"/>
      <c r="B34" s="95"/>
      <c r="C34" s="4"/>
      <c r="D34" s="4"/>
      <c r="E34" s="96">
        <f>IFERROR(__xludf.DUMMYFUNCTION("""COMPUTED_VALUE"""),1.0)</f>
        <v>1</v>
      </c>
      <c r="F34" s="85"/>
      <c r="G34" s="4" t="str">
        <f>IFERROR(__xludf.DUMMYFUNCTION("""COMPUTED_VALUE"""),"Follow up")</f>
        <v>Follow up</v>
      </c>
      <c r="H34" s="4" t="str">
        <f>IFERROR(__xludf.DUMMYFUNCTION("""COMPUTED_VALUE"""),"Kajal")</f>
        <v>Kajal</v>
      </c>
    </row>
    <row r="35">
      <c r="A35" s="4"/>
      <c r="B35" s="95"/>
      <c r="C35" s="4"/>
      <c r="D35" s="4"/>
      <c r="E35" s="96">
        <f>IFERROR(__xludf.DUMMYFUNCTION("""COMPUTED_VALUE"""),1.0)</f>
        <v>1</v>
      </c>
      <c r="F35" s="85"/>
      <c r="G35" s="4" t="str">
        <f>IFERROR(__xludf.DUMMYFUNCTION("""COMPUTED_VALUE"""),"Follow up")</f>
        <v>Follow up</v>
      </c>
      <c r="H35" s="4" t="str">
        <f>IFERROR(__xludf.DUMMYFUNCTION("""COMPUTED_VALUE"""),"Kajal")</f>
        <v>Kajal</v>
      </c>
    </row>
    <row r="36">
      <c r="A36" s="4"/>
      <c r="B36" s="95"/>
      <c r="C36" s="4"/>
      <c r="D36" s="4"/>
      <c r="E36" s="96">
        <f>IFERROR(__xludf.DUMMYFUNCTION("""COMPUTED_VALUE"""),1.0)</f>
        <v>1</v>
      </c>
      <c r="F36" s="85"/>
      <c r="G36" s="4" t="str">
        <f>IFERROR(__xludf.DUMMYFUNCTION("""COMPUTED_VALUE"""),"Follow up")</f>
        <v>Follow up</v>
      </c>
      <c r="H36" s="4" t="str">
        <f>IFERROR(__xludf.DUMMYFUNCTION("""COMPUTED_VALUE"""),"Kajal")</f>
        <v>Kajal</v>
      </c>
    </row>
    <row r="37">
      <c r="A37" s="4"/>
      <c r="B37" s="95"/>
      <c r="C37" s="4"/>
      <c r="D37" s="4"/>
      <c r="E37" s="96">
        <f>IFERROR(__xludf.DUMMYFUNCTION("""COMPUTED_VALUE"""),2.0)</f>
        <v>2</v>
      </c>
      <c r="F37" s="85"/>
      <c r="G37" s="4" t="str">
        <f>IFERROR(__xludf.DUMMYFUNCTION("""COMPUTED_VALUE"""),"Follow up")</f>
        <v>Follow up</v>
      </c>
      <c r="H37" s="4" t="str">
        <f>IFERROR(__xludf.DUMMYFUNCTION("""COMPUTED_VALUE"""),"Kajal")</f>
        <v>Kajal</v>
      </c>
    </row>
    <row r="38">
      <c r="A38" s="4"/>
      <c r="B38" s="95"/>
      <c r="C38" s="4"/>
      <c r="D38" s="4"/>
      <c r="E38" s="96">
        <f>IFERROR(__xludf.DUMMYFUNCTION("""COMPUTED_VALUE"""),1.0)</f>
        <v>1</v>
      </c>
      <c r="F38" s="85"/>
      <c r="G38" s="4" t="str">
        <f>IFERROR(__xludf.DUMMYFUNCTION("""COMPUTED_VALUE"""),"Follow up")</f>
        <v>Follow up</v>
      </c>
      <c r="H38" s="4" t="str">
        <f>IFERROR(__xludf.DUMMYFUNCTION("""COMPUTED_VALUE"""),"Kajal")</f>
        <v>Kajal</v>
      </c>
    </row>
    <row r="39">
      <c r="A39" s="4"/>
      <c r="B39" s="95"/>
      <c r="C39" s="4"/>
      <c r="D39" s="4"/>
      <c r="E39" s="96">
        <f>IFERROR(__xludf.DUMMYFUNCTION("""COMPUTED_VALUE"""),1.0)</f>
        <v>1</v>
      </c>
      <c r="F39" s="85"/>
      <c r="G39" s="4" t="str">
        <f>IFERROR(__xludf.DUMMYFUNCTION("""COMPUTED_VALUE"""),"Follow up")</f>
        <v>Follow up</v>
      </c>
      <c r="H39" s="4" t="str">
        <f>IFERROR(__xludf.DUMMYFUNCTION("""COMPUTED_VALUE"""),"Kajal")</f>
        <v>Kajal</v>
      </c>
    </row>
    <row r="40">
      <c r="A40" s="4"/>
      <c r="B40" s="95"/>
      <c r="C40" s="4"/>
      <c r="D40" s="4"/>
      <c r="E40" s="96">
        <f>IFERROR(__xludf.DUMMYFUNCTION("""COMPUTED_VALUE"""),1.0)</f>
        <v>1</v>
      </c>
      <c r="F40" s="85"/>
      <c r="G40" s="4" t="str">
        <f>IFERROR(__xludf.DUMMYFUNCTION("""COMPUTED_VALUE"""),"Follow up")</f>
        <v>Follow up</v>
      </c>
      <c r="H40" s="4" t="str">
        <f>IFERROR(__xludf.DUMMYFUNCTION("""COMPUTED_VALUE"""),"Kajal")</f>
        <v>Kajal</v>
      </c>
    </row>
    <row r="41">
      <c r="A41" s="4"/>
      <c r="B41" s="95"/>
      <c r="C41" s="4"/>
      <c r="D41" s="4"/>
      <c r="E41" s="96">
        <f>IFERROR(__xludf.DUMMYFUNCTION("""COMPUTED_VALUE"""),1.0)</f>
        <v>1</v>
      </c>
      <c r="F41" s="85"/>
      <c r="G41" s="4" t="str">
        <f>IFERROR(__xludf.DUMMYFUNCTION("""COMPUTED_VALUE"""),"Follow up")</f>
        <v>Follow up</v>
      </c>
      <c r="H41" s="4" t="str">
        <f>IFERROR(__xludf.DUMMYFUNCTION("""COMPUTED_VALUE"""),"Kajal")</f>
        <v>Kajal</v>
      </c>
    </row>
    <row r="42">
      <c r="A42" s="4"/>
      <c r="B42" s="95"/>
      <c r="C42" s="4"/>
      <c r="D42" s="4"/>
      <c r="E42" s="96">
        <f>IFERROR(__xludf.DUMMYFUNCTION("""COMPUTED_VALUE"""),1.0)</f>
        <v>1</v>
      </c>
      <c r="F42" s="85"/>
      <c r="G42" s="4" t="str">
        <f>IFERROR(__xludf.DUMMYFUNCTION("""COMPUTED_VALUE"""),"Follow up")</f>
        <v>Follow up</v>
      </c>
      <c r="H42" s="4" t="str">
        <f>IFERROR(__xludf.DUMMYFUNCTION("""COMPUTED_VALUE"""),"Kajal")</f>
        <v>Kajal</v>
      </c>
    </row>
    <row r="43">
      <c r="A43" s="4"/>
      <c r="B43" s="95"/>
      <c r="C43" s="4"/>
      <c r="D43" s="4"/>
      <c r="E43" s="96">
        <f>IFERROR(__xludf.DUMMYFUNCTION("""COMPUTED_VALUE"""),1.0)</f>
        <v>1</v>
      </c>
      <c r="F43" s="85"/>
      <c r="G43" s="4" t="str">
        <f>IFERROR(__xludf.DUMMYFUNCTION("""COMPUTED_VALUE"""),"Follow up")</f>
        <v>Follow up</v>
      </c>
      <c r="H43" s="4" t="str">
        <f>IFERROR(__xludf.DUMMYFUNCTION("""COMPUTED_VALUE"""),"Kajal")</f>
        <v>Kajal</v>
      </c>
    </row>
    <row r="44">
      <c r="A44" s="4"/>
      <c r="B44" s="95"/>
      <c r="C44" s="4"/>
      <c r="D44" s="4"/>
      <c r="E44" s="96">
        <f>IFERROR(__xludf.DUMMYFUNCTION("""COMPUTED_VALUE"""),1.0)</f>
        <v>1</v>
      </c>
      <c r="F44" s="85"/>
      <c r="G44" s="4" t="str">
        <f>IFERROR(__xludf.DUMMYFUNCTION("""COMPUTED_VALUE"""),"Follow up")</f>
        <v>Follow up</v>
      </c>
      <c r="H44" s="4" t="str">
        <f>IFERROR(__xludf.DUMMYFUNCTION("""COMPUTED_VALUE"""),"Kajal")</f>
        <v>Kajal</v>
      </c>
    </row>
    <row r="45">
      <c r="A45" s="4"/>
      <c r="B45" s="95"/>
      <c r="C45" s="4"/>
      <c r="D45" s="4"/>
      <c r="E45" s="96">
        <f>IFERROR(__xludf.DUMMYFUNCTION("""COMPUTED_VALUE"""),1.0)</f>
        <v>1</v>
      </c>
      <c r="F45" s="85"/>
      <c r="G45" s="4" t="str">
        <f>IFERROR(__xludf.DUMMYFUNCTION("""COMPUTED_VALUE"""),"Follow up")</f>
        <v>Follow up</v>
      </c>
      <c r="H45" s="4" t="str">
        <f>IFERROR(__xludf.DUMMYFUNCTION("""COMPUTED_VALUE"""),"Kajal")</f>
        <v>Kajal</v>
      </c>
    </row>
    <row r="46">
      <c r="A46" s="4"/>
      <c r="B46" s="95"/>
      <c r="C46" s="4"/>
      <c r="D46" s="4"/>
      <c r="E46" s="96">
        <f>IFERROR(__xludf.DUMMYFUNCTION("""COMPUTED_VALUE"""),15.0)</f>
        <v>15</v>
      </c>
      <c r="F46" s="85"/>
      <c r="G46" s="4" t="str">
        <f>IFERROR(__xludf.DUMMYFUNCTION("""COMPUTED_VALUE"""),"Follow up")</f>
        <v>Follow up</v>
      </c>
      <c r="H46" s="4" t="str">
        <f>IFERROR(__xludf.DUMMYFUNCTION("""COMPUTED_VALUE"""),"Kajal")</f>
        <v>Kajal</v>
      </c>
    </row>
    <row r="47">
      <c r="A47" s="4"/>
      <c r="B47" s="95"/>
      <c r="C47" s="4"/>
      <c r="D47" s="4"/>
      <c r="E47" s="96">
        <f>IFERROR(__xludf.DUMMYFUNCTION("""COMPUTED_VALUE"""),1.0)</f>
        <v>1</v>
      </c>
      <c r="F47" s="85"/>
      <c r="G47" s="4" t="str">
        <f>IFERROR(__xludf.DUMMYFUNCTION("""COMPUTED_VALUE"""),"Follow up")</f>
        <v>Follow up</v>
      </c>
      <c r="H47" s="4" t="str">
        <f>IFERROR(__xludf.DUMMYFUNCTION("""COMPUTED_VALUE"""),"Kajal")</f>
        <v>Kajal</v>
      </c>
    </row>
    <row r="48">
      <c r="A48" s="4"/>
      <c r="B48" s="95"/>
      <c r="C48" s="4"/>
      <c r="D48" s="4"/>
      <c r="E48" s="96">
        <f>IFERROR(__xludf.DUMMYFUNCTION("""COMPUTED_VALUE"""),1.0)</f>
        <v>1</v>
      </c>
      <c r="F48" s="85"/>
      <c r="G48" s="4" t="str">
        <f>IFERROR(__xludf.DUMMYFUNCTION("""COMPUTED_VALUE"""),"Follow up")</f>
        <v>Follow up</v>
      </c>
      <c r="H48" s="4" t="str">
        <f>IFERROR(__xludf.DUMMYFUNCTION("""COMPUTED_VALUE"""),"Kajal")</f>
        <v>Kajal</v>
      </c>
    </row>
    <row r="49">
      <c r="A49" s="4"/>
      <c r="B49" s="95"/>
      <c r="C49" s="4"/>
      <c r="D49" s="4"/>
      <c r="E49" s="96">
        <f>IFERROR(__xludf.DUMMYFUNCTION("""COMPUTED_VALUE"""),1.0)</f>
        <v>1</v>
      </c>
      <c r="F49" s="85"/>
      <c r="G49" s="4" t="str">
        <f>IFERROR(__xludf.DUMMYFUNCTION("""COMPUTED_VALUE"""),"Follow up")</f>
        <v>Follow up</v>
      </c>
      <c r="H49" s="4" t="str">
        <f>IFERROR(__xludf.DUMMYFUNCTION("""COMPUTED_VALUE"""),"Kajal")</f>
        <v>Kajal</v>
      </c>
    </row>
    <row r="50">
      <c r="A50" s="4"/>
      <c r="B50" s="95"/>
      <c r="C50" s="4"/>
      <c r="D50" s="4"/>
      <c r="E50" s="96">
        <f>IFERROR(__xludf.DUMMYFUNCTION("""COMPUTED_VALUE"""),1.0)</f>
        <v>1</v>
      </c>
      <c r="F50" s="85"/>
      <c r="G50" s="4" t="str">
        <f>IFERROR(__xludf.DUMMYFUNCTION("""COMPUTED_VALUE"""),"Follow up")</f>
        <v>Follow up</v>
      </c>
      <c r="H50" s="4" t="str">
        <f>IFERROR(__xludf.DUMMYFUNCTION("""COMPUTED_VALUE"""),"Kajal")</f>
        <v>Kajal</v>
      </c>
    </row>
    <row r="51">
      <c r="A51" s="4"/>
      <c r="B51" s="95"/>
      <c r="C51" s="4"/>
      <c r="D51" s="4"/>
      <c r="E51" s="96">
        <f>IFERROR(__xludf.DUMMYFUNCTION("""COMPUTED_VALUE"""),1.0)</f>
        <v>1</v>
      </c>
      <c r="F51" s="85"/>
      <c r="G51" s="4" t="str">
        <f>IFERROR(__xludf.DUMMYFUNCTION("""COMPUTED_VALUE"""),"Follow up")</f>
        <v>Follow up</v>
      </c>
      <c r="H51" s="4" t="str">
        <f>IFERROR(__xludf.DUMMYFUNCTION("""COMPUTED_VALUE"""),"Kajal")</f>
        <v>Kajal</v>
      </c>
    </row>
    <row r="52">
      <c r="A52" s="4"/>
      <c r="B52" s="95"/>
      <c r="C52" s="4"/>
      <c r="D52" s="4"/>
      <c r="E52" s="96">
        <f>IFERROR(__xludf.DUMMYFUNCTION("""COMPUTED_VALUE"""),1.0)</f>
        <v>1</v>
      </c>
      <c r="F52" s="85"/>
      <c r="G52" s="4" t="str">
        <f>IFERROR(__xludf.DUMMYFUNCTION("""COMPUTED_VALUE"""),"Follow up")</f>
        <v>Follow up</v>
      </c>
      <c r="H52" s="4" t="str">
        <f>IFERROR(__xludf.DUMMYFUNCTION("""COMPUTED_VALUE"""),"Kajal")</f>
        <v>Kajal</v>
      </c>
    </row>
    <row r="53">
      <c r="A53" s="4"/>
      <c r="B53" s="95"/>
      <c r="C53" s="4"/>
      <c r="D53" s="4"/>
      <c r="E53" s="96">
        <f>IFERROR(__xludf.DUMMYFUNCTION("""COMPUTED_VALUE"""),1.0)</f>
        <v>1</v>
      </c>
      <c r="F53" s="85"/>
      <c r="G53" s="4" t="str">
        <f>IFERROR(__xludf.DUMMYFUNCTION("""COMPUTED_VALUE"""),"Follow up")</f>
        <v>Follow up</v>
      </c>
      <c r="H53" s="4" t="str">
        <f>IFERROR(__xludf.DUMMYFUNCTION("""COMPUTED_VALUE"""),"Kajal")</f>
        <v>Kajal</v>
      </c>
    </row>
    <row r="54">
      <c r="A54" s="4"/>
      <c r="B54" s="95"/>
      <c r="C54" s="4"/>
      <c r="D54" s="4"/>
      <c r="E54" s="96">
        <f>IFERROR(__xludf.DUMMYFUNCTION("""COMPUTED_VALUE"""),1.0)</f>
        <v>1</v>
      </c>
      <c r="F54" s="85"/>
      <c r="G54" s="4" t="str">
        <f>IFERROR(__xludf.DUMMYFUNCTION("""COMPUTED_VALUE"""),"Follow up")</f>
        <v>Follow up</v>
      </c>
      <c r="H54" s="4" t="str">
        <f>IFERROR(__xludf.DUMMYFUNCTION("""COMPUTED_VALUE"""),"Kajal")</f>
        <v>Kajal</v>
      </c>
    </row>
    <row r="55">
      <c r="A55" s="4"/>
      <c r="B55" s="95"/>
      <c r="C55" s="4"/>
      <c r="D55" s="4"/>
      <c r="E55" s="96">
        <f>IFERROR(__xludf.DUMMYFUNCTION("""COMPUTED_VALUE"""),1.0)</f>
        <v>1</v>
      </c>
      <c r="F55" s="85"/>
      <c r="G55" s="4" t="str">
        <f>IFERROR(__xludf.DUMMYFUNCTION("""COMPUTED_VALUE"""),"Follow up")</f>
        <v>Follow up</v>
      </c>
      <c r="H55" s="4" t="str">
        <f>IFERROR(__xludf.DUMMYFUNCTION("""COMPUTED_VALUE"""),"Kajal")</f>
        <v>Kajal</v>
      </c>
    </row>
    <row r="56">
      <c r="A56" s="4"/>
      <c r="B56" s="95"/>
      <c r="C56" s="4"/>
      <c r="D56" s="4"/>
      <c r="E56" s="96">
        <f>IFERROR(__xludf.DUMMYFUNCTION("""COMPUTED_VALUE"""),1.0)</f>
        <v>1</v>
      </c>
      <c r="F56" s="85"/>
      <c r="G56" s="4" t="str">
        <f>IFERROR(__xludf.DUMMYFUNCTION("""COMPUTED_VALUE"""),"Follow up")</f>
        <v>Follow up</v>
      </c>
      <c r="H56" s="4" t="str">
        <f>IFERROR(__xludf.DUMMYFUNCTION("""COMPUTED_VALUE"""),"Kajal")</f>
        <v>Kajal</v>
      </c>
    </row>
    <row r="57">
      <c r="A57" s="4"/>
      <c r="B57" s="95"/>
      <c r="C57" s="4"/>
      <c r="D57" s="4"/>
      <c r="E57" s="96">
        <f>IFERROR(__xludf.DUMMYFUNCTION("""COMPUTED_VALUE"""),1.0)</f>
        <v>1</v>
      </c>
      <c r="F57" s="85"/>
      <c r="G57" s="4" t="str">
        <f>IFERROR(__xludf.DUMMYFUNCTION("""COMPUTED_VALUE"""),"Follow up")</f>
        <v>Follow up</v>
      </c>
      <c r="H57" s="4" t="str">
        <f>IFERROR(__xludf.DUMMYFUNCTION("""COMPUTED_VALUE"""),"Kajal")</f>
        <v>Kajal</v>
      </c>
    </row>
    <row r="58">
      <c r="A58" s="4"/>
      <c r="B58" s="95"/>
      <c r="C58" s="4"/>
      <c r="D58" s="4"/>
      <c r="E58" s="96">
        <f>IFERROR(__xludf.DUMMYFUNCTION("""COMPUTED_VALUE"""),1.0)</f>
        <v>1</v>
      </c>
      <c r="F58" s="85"/>
      <c r="G58" s="4" t="str">
        <f>IFERROR(__xludf.DUMMYFUNCTION("""COMPUTED_VALUE"""),"Follow up")</f>
        <v>Follow up</v>
      </c>
      <c r="H58" s="4" t="str">
        <f>IFERROR(__xludf.DUMMYFUNCTION("""COMPUTED_VALUE"""),"Kajal")</f>
        <v>Kajal</v>
      </c>
    </row>
    <row r="59">
      <c r="A59" s="4"/>
      <c r="B59" s="95"/>
      <c r="C59" s="4"/>
      <c r="D59" s="4"/>
      <c r="E59" s="96">
        <f>IFERROR(__xludf.DUMMYFUNCTION("""COMPUTED_VALUE"""),1.0)</f>
        <v>1</v>
      </c>
      <c r="F59" s="85"/>
      <c r="G59" s="4" t="str">
        <f>IFERROR(__xludf.DUMMYFUNCTION("""COMPUTED_VALUE"""),"Follow up")</f>
        <v>Follow up</v>
      </c>
      <c r="H59" s="4" t="str">
        <f>IFERROR(__xludf.DUMMYFUNCTION("""COMPUTED_VALUE"""),"Kajal")</f>
        <v>Kajal</v>
      </c>
    </row>
    <row r="60">
      <c r="A60" s="4"/>
      <c r="B60" s="95"/>
      <c r="C60" s="4"/>
      <c r="D60" s="4"/>
      <c r="E60" s="96">
        <f>IFERROR(__xludf.DUMMYFUNCTION("""COMPUTED_VALUE"""),1.0)</f>
        <v>1</v>
      </c>
      <c r="F60" s="85"/>
      <c r="G60" s="4" t="str">
        <f>IFERROR(__xludf.DUMMYFUNCTION("""COMPUTED_VALUE"""),"Follow up")</f>
        <v>Follow up</v>
      </c>
      <c r="H60" s="4" t="str">
        <f>IFERROR(__xludf.DUMMYFUNCTION("""COMPUTED_VALUE"""),"Kajal")</f>
        <v>Kajal</v>
      </c>
    </row>
    <row r="61">
      <c r="A61" s="4"/>
      <c r="B61" s="95"/>
      <c r="C61" s="4"/>
      <c r="D61" s="4"/>
      <c r="E61" s="96">
        <f>IFERROR(__xludf.DUMMYFUNCTION("""COMPUTED_VALUE"""),1.0)</f>
        <v>1</v>
      </c>
      <c r="F61" s="85"/>
      <c r="G61" s="4" t="str">
        <f>IFERROR(__xludf.DUMMYFUNCTION("""COMPUTED_VALUE"""),"Follow up")</f>
        <v>Follow up</v>
      </c>
      <c r="H61" s="4" t="str">
        <f>IFERROR(__xludf.DUMMYFUNCTION("""COMPUTED_VALUE"""),"Kajal")</f>
        <v>Kajal</v>
      </c>
    </row>
    <row r="62">
      <c r="A62" s="4"/>
      <c r="B62" s="95"/>
      <c r="C62" s="4"/>
      <c r="D62" s="4"/>
      <c r="E62" s="96">
        <f>IFERROR(__xludf.DUMMYFUNCTION("""COMPUTED_VALUE"""),1.0)</f>
        <v>1</v>
      </c>
      <c r="F62" s="85"/>
      <c r="G62" s="4" t="str">
        <f>IFERROR(__xludf.DUMMYFUNCTION("""COMPUTED_VALUE"""),"Follow up")</f>
        <v>Follow up</v>
      </c>
      <c r="H62" s="4" t="str">
        <f>IFERROR(__xludf.DUMMYFUNCTION("""COMPUTED_VALUE"""),"Kajal")</f>
        <v>Kajal</v>
      </c>
    </row>
    <row r="63">
      <c r="A63" s="4"/>
      <c r="B63" s="95"/>
      <c r="C63" s="4"/>
      <c r="D63" s="4"/>
      <c r="E63" s="96">
        <f>IFERROR(__xludf.DUMMYFUNCTION("""COMPUTED_VALUE"""),1.0)</f>
        <v>1</v>
      </c>
      <c r="F63" s="85"/>
      <c r="G63" s="4" t="str">
        <f>IFERROR(__xludf.DUMMYFUNCTION("""COMPUTED_VALUE"""),"Follow up")</f>
        <v>Follow up</v>
      </c>
      <c r="H63" s="4" t="str">
        <f>IFERROR(__xludf.DUMMYFUNCTION("""COMPUTED_VALUE"""),"Kajal")</f>
        <v>Kajal</v>
      </c>
    </row>
    <row r="64">
      <c r="A64" s="4"/>
      <c r="B64" s="95"/>
      <c r="C64" s="4"/>
      <c r="D64" s="4"/>
      <c r="E64" s="96">
        <f>IFERROR(__xludf.DUMMYFUNCTION("""COMPUTED_VALUE"""),1.0)</f>
        <v>1</v>
      </c>
      <c r="F64" s="85"/>
      <c r="G64" s="4" t="str">
        <f>IFERROR(__xludf.DUMMYFUNCTION("""COMPUTED_VALUE"""),"Follow up")</f>
        <v>Follow up</v>
      </c>
      <c r="H64" s="4" t="str">
        <f>IFERROR(__xludf.DUMMYFUNCTION("""COMPUTED_VALUE"""),"Kajal")</f>
        <v>Kajal</v>
      </c>
    </row>
    <row r="65">
      <c r="A65" s="4"/>
      <c r="B65" s="95"/>
      <c r="C65" s="4"/>
      <c r="D65" s="4"/>
      <c r="E65" s="96">
        <f>IFERROR(__xludf.DUMMYFUNCTION("""COMPUTED_VALUE"""),1.0)</f>
        <v>1</v>
      </c>
      <c r="F65" s="85"/>
      <c r="G65" s="4" t="str">
        <f>IFERROR(__xludf.DUMMYFUNCTION("""COMPUTED_VALUE"""),"Follow up")</f>
        <v>Follow up</v>
      </c>
      <c r="H65" s="4" t="str">
        <f>IFERROR(__xludf.DUMMYFUNCTION("""COMPUTED_VALUE"""),"Kajal")</f>
        <v>Kajal</v>
      </c>
    </row>
    <row r="66">
      <c r="A66" s="4"/>
      <c r="B66" s="95"/>
      <c r="C66" s="4"/>
      <c r="D66" s="4"/>
      <c r="E66" s="96">
        <f>IFERROR(__xludf.DUMMYFUNCTION("""COMPUTED_VALUE"""),1.0)</f>
        <v>1</v>
      </c>
      <c r="F66" s="85"/>
      <c r="G66" s="4" t="str">
        <f>IFERROR(__xludf.DUMMYFUNCTION("""COMPUTED_VALUE"""),"Follow up")</f>
        <v>Follow up</v>
      </c>
      <c r="H66" s="4" t="str">
        <f>IFERROR(__xludf.DUMMYFUNCTION("""COMPUTED_VALUE"""),"Kajal")</f>
        <v>Kajal</v>
      </c>
    </row>
    <row r="67">
      <c r="A67" s="4"/>
      <c r="B67" s="95"/>
      <c r="C67" s="4"/>
      <c r="D67" s="4"/>
      <c r="E67" s="96">
        <f>IFERROR(__xludf.DUMMYFUNCTION("""COMPUTED_VALUE"""),1.0)</f>
        <v>1</v>
      </c>
      <c r="F67" s="85"/>
      <c r="G67" s="4" t="str">
        <f>IFERROR(__xludf.DUMMYFUNCTION("""COMPUTED_VALUE"""),"Follow up")</f>
        <v>Follow up</v>
      </c>
      <c r="H67" s="4" t="str">
        <f>IFERROR(__xludf.DUMMYFUNCTION("""COMPUTED_VALUE"""),"Kajal")</f>
        <v>Kajal</v>
      </c>
    </row>
    <row r="68">
      <c r="A68" s="4"/>
      <c r="B68" s="95"/>
      <c r="C68" s="4"/>
      <c r="D68" s="4"/>
      <c r="E68" s="96">
        <f>IFERROR(__xludf.DUMMYFUNCTION("""COMPUTED_VALUE"""),1.0)</f>
        <v>1</v>
      </c>
      <c r="F68" s="85"/>
      <c r="G68" s="4" t="str">
        <f>IFERROR(__xludf.DUMMYFUNCTION("""COMPUTED_VALUE"""),"Follow up")</f>
        <v>Follow up</v>
      </c>
      <c r="H68" s="4" t="str">
        <f>IFERROR(__xludf.DUMMYFUNCTION("""COMPUTED_VALUE"""),"Kajal")</f>
        <v>Kajal</v>
      </c>
    </row>
    <row r="69">
      <c r="A69" s="4"/>
      <c r="B69" s="95"/>
      <c r="C69" s="4"/>
      <c r="D69" s="4"/>
      <c r="E69" s="96">
        <f>IFERROR(__xludf.DUMMYFUNCTION("""COMPUTED_VALUE"""),1.0)</f>
        <v>1</v>
      </c>
      <c r="F69" s="85"/>
      <c r="G69" s="4" t="str">
        <f>IFERROR(__xludf.DUMMYFUNCTION("""COMPUTED_VALUE"""),"Follow up")</f>
        <v>Follow up</v>
      </c>
      <c r="H69" s="4" t="str">
        <f>IFERROR(__xludf.DUMMYFUNCTION("""COMPUTED_VALUE"""),"Kajal")</f>
        <v>Kajal</v>
      </c>
    </row>
    <row r="70">
      <c r="A70" s="4"/>
      <c r="B70" s="95"/>
      <c r="C70" s="4"/>
      <c r="D70" s="4"/>
      <c r="E70" s="96">
        <f>IFERROR(__xludf.DUMMYFUNCTION("""COMPUTED_VALUE"""),1.0)</f>
        <v>1</v>
      </c>
      <c r="F70" s="85"/>
      <c r="G70" s="4" t="str">
        <f>IFERROR(__xludf.DUMMYFUNCTION("""COMPUTED_VALUE"""),"Follow up")</f>
        <v>Follow up</v>
      </c>
      <c r="H70" s="4" t="str">
        <f>IFERROR(__xludf.DUMMYFUNCTION("""COMPUTED_VALUE"""),"Kajal")</f>
        <v>Kajal</v>
      </c>
    </row>
    <row r="71">
      <c r="A71" s="4"/>
      <c r="B71" s="95"/>
      <c r="C71" s="4"/>
      <c r="D71" s="4"/>
      <c r="E71" s="96">
        <f>IFERROR(__xludf.DUMMYFUNCTION("""COMPUTED_VALUE"""),1.0)</f>
        <v>1</v>
      </c>
      <c r="F71" s="85"/>
      <c r="G71" s="4" t="str">
        <f>IFERROR(__xludf.DUMMYFUNCTION("""COMPUTED_VALUE"""),"Follow up")</f>
        <v>Follow up</v>
      </c>
      <c r="H71" s="4" t="str">
        <f>IFERROR(__xludf.DUMMYFUNCTION("""COMPUTED_VALUE"""),"Kajal")</f>
        <v>Kajal</v>
      </c>
    </row>
    <row r="72">
      <c r="A72" s="4"/>
      <c r="B72" s="95"/>
      <c r="C72" s="4"/>
      <c r="D72" s="4"/>
      <c r="E72" s="96">
        <f>IFERROR(__xludf.DUMMYFUNCTION("""COMPUTED_VALUE"""),44918.75)</f>
        <v>44918.75</v>
      </c>
      <c r="F72" s="85"/>
      <c r="G72" s="4" t="str">
        <f>IFERROR(__xludf.DUMMYFUNCTION("""COMPUTED_VALUE"""),"Contact for any order update")</f>
        <v>Contact for any order update</v>
      </c>
      <c r="H72" s="4" t="str">
        <f>IFERROR(__xludf.DUMMYFUNCTION("""COMPUTED_VALUE"""),"Kajal")</f>
        <v>Kajal</v>
      </c>
    </row>
    <row r="73">
      <c r="A73" s="4"/>
      <c r="B73" s="95"/>
      <c r="C73" s="4"/>
      <c r="D73" s="4"/>
      <c r="E73" s="96">
        <f>IFERROR(__xludf.DUMMYFUNCTION("""COMPUTED_VALUE"""),44745.75)</f>
        <v>44745.75</v>
      </c>
      <c r="F73" s="85"/>
      <c r="G73" s="4" t="str">
        <f>IFERROR(__xludf.DUMMYFUNCTION("""COMPUTED_VALUE"""),"Contact for any order update")</f>
        <v>Contact for any order update</v>
      </c>
      <c r="H73" s="4" t="str">
        <f>IFERROR(__xludf.DUMMYFUNCTION("""COMPUTED_VALUE"""),"Kajal")</f>
        <v>Kajal</v>
      </c>
    </row>
    <row r="74">
      <c r="A74" s="4"/>
      <c r="B74" s="95"/>
      <c r="C74" s="4"/>
      <c r="D74" s="4"/>
      <c r="E74" s="96">
        <f>IFERROR(__xludf.DUMMYFUNCTION("""COMPUTED_VALUE"""),44778.75)</f>
        <v>44778.75</v>
      </c>
      <c r="F74" s="85"/>
      <c r="G74" s="4" t="str">
        <f>IFERROR(__xludf.DUMMYFUNCTION("""COMPUTED_VALUE"""),"Contact for any order update")</f>
        <v>Contact for any order update</v>
      </c>
      <c r="H74" s="4" t="str">
        <f>IFERROR(__xludf.DUMMYFUNCTION("""COMPUTED_VALUE"""),"Kajal")</f>
        <v>Kajal</v>
      </c>
    </row>
    <row r="75">
      <c r="A75" s="4"/>
      <c r="B75" s="95"/>
      <c r="C75" s="4"/>
      <c r="D75" s="4"/>
      <c r="E75" s="96">
        <f>IFERROR(__xludf.DUMMYFUNCTION("""COMPUTED_VALUE"""),44778.75)</f>
        <v>44778.75</v>
      </c>
      <c r="F75" s="85"/>
      <c r="G75" s="4" t="str">
        <f>IFERROR(__xludf.DUMMYFUNCTION("""COMPUTED_VALUE"""),"Contact for any order update")</f>
        <v>Contact for any order update</v>
      </c>
      <c r="H75" s="4" t="str">
        <f>IFERROR(__xludf.DUMMYFUNCTION("""COMPUTED_VALUE"""),"Kajal")</f>
        <v>Kajal</v>
      </c>
    </row>
    <row r="76">
      <c r="A76" s="4"/>
      <c r="B76" s="95"/>
      <c r="C76" s="4"/>
      <c r="D76" s="4"/>
      <c r="E76" s="96">
        <f>IFERROR(__xludf.DUMMYFUNCTION("""COMPUTED_VALUE"""),44761.75)</f>
        <v>44761.75</v>
      </c>
      <c r="F76" s="85"/>
      <c r="G76" s="4" t="str">
        <f>IFERROR(__xludf.DUMMYFUNCTION("""COMPUTED_VALUE"""),"Contact for any order update")</f>
        <v>Contact for any order update</v>
      </c>
      <c r="H76" s="4" t="str">
        <f>IFERROR(__xludf.DUMMYFUNCTION("""COMPUTED_VALUE"""),"Kajal")</f>
        <v>Kajal</v>
      </c>
    </row>
    <row r="77">
      <c r="A77" s="4"/>
      <c r="B77" s="95"/>
      <c r="C77" s="4"/>
      <c r="D77" s="4"/>
      <c r="E77" s="96">
        <f>IFERROR(__xludf.DUMMYFUNCTION("""COMPUTED_VALUE"""),44747.75)</f>
        <v>44747.75</v>
      </c>
      <c r="F77" s="85"/>
      <c r="G77" s="4" t="str">
        <f>IFERROR(__xludf.DUMMYFUNCTION("""COMPUTED_VALUE"""),"Contact for any order update")</f>
        <v>Contact for any order update</v>
      </c>
      <c r="H77" s="4" t="str">
        <f>IFERROR(__xludf.DUMMYFUNCTION("""COMPUTED_VALUE"""),"Kajal")</f>
        <v>Kajal</v>
      </c>
    </row>
    <row r="78">
      <c r="A78" s="4"/>
      <c r="B78" s="95"/>
      <c r="C78" s="4"/>
      <c r="D78" s="4"/>
      <c r="E78" s="96">
        <f>IFERROR(__xludf.DUMMYFUNCTION("""COMPUTED_VALUE"""),44773.75)</f>
        <v>44773.75</v>
      </c>
      <c r="F78" s="85"/>
      <c r="G78" s="4" t="str">
        <f>IFERROR(__xludf.DUMMYFUNCTION("""COMPUTED_VALUE"""),"Contact for any order update")</f>
        <v>Contact for any order update</v>
      </c>
      <c r="H78" s="4" t="str">
        <f>IFERROR(__xludf.DUMMYFUNCTION("""COMPUTED_VALUE"""),"Kajal")</f>
        <v>Kajal</v>
      </c>
    </row>
    <row r="79">
      <c r="A79" s="4"/>
      <c r="B79" s="95"/>
      <c r="C79" s="4"/>
      <c r="D79" s="4"/>
      <c r="E79" s="96">
        <f>IFERROR(__xludf.DUMMYFUNCTION("""COMPUTED_VALUE"""),44767.75)</f>
        <v>44767.75</v>
      </c>
      <c r="F79" s="85"/>
      <c r="G79" s="4" t="str">
        <f>IFERROR(__xludf.DUMMYFUNCTION("""COMPUTED_VALUE"""),"Contact for any order update")</f>
        <v>Contact for any order update</v>
      </c>
      <c r="H79" s="4" t="str">
        <f>IFERROR(__xludf.DUMMYFUNCTION("""COMPUTED_VALUE"""),"Kajal")</f>
        <v>Kajal</v>
      </c>
    </row>
    <row r="80">
      <c r="A80" s="4"/>
      <c r="B80" s="95"/>
      <c r="C80" s="4"/>
      <c r="D80" s="4"/>
      <c r="E80" s="96">
        <f>IFERROR(__xludf.DUMMYFUNCTION("""COMPUTED_VALUE"""),44745.75)</f>
        <v>44745.75</v>
      </c>
      <c r="F80" s="85"/>
      <c r="G80" s="4" t="str">
        <f>IFERROR(__xludf.DUMMYFUNCTION("""COMPUTED_VALUE"""),"Contact for any order update")</f>
        <v>Contact for any order update</v>
      </c>
      <c r="H80" s="4" t="str">
        <f>IFERROR(__xludf.DUMMYFUNCTION("""COMPUTED_VALUE"""),"Kajal")</f>
        <v>Kajal</v>
      </c>
    </row>
    <row r="81">
      <c r="A81" s="4"/>
      <c r="B81" s="95"/>
      <c r="C81" s="4"/>
      <c r="D81" s="4"/>
      <c r="E81" s="96">
        <f>IFERROR(__xludf.DUMMYFUNCTION("""COMPUTED_VALUE"""),44747.75)</f>
        <v>44747.75</v>
      </c>
      <c r="F81" s="85"/>
      <c r="G81" s="4" t="str">
        <f>IFERROR(__xludf.DUMMYFUNCTION("""COMPUTED_VALUE"""),"Contact for any order update")</f>
        <v>Contact for any order update</v>
      </c>
      <c r="H81" s="4" t="str">
        <f>IFERROR(__xludf.DUMMYFUNCTION("""COMPUTED_VALUE"""),"Kajal")</f>
        <v>Kajal</v>
      </c>
    </row>
    <row r="82">
      <c r="A82" s="4"/>
      <c r="B82" s="95"/>
      <c r="C82" s="4"/>
      <c r="D82" s="4"/>
      <c r="E82" s="96">
        <f>IFERROR(__xludf.DUMMYFUNCTION("""COMPUTED_VALUE"""),44761.75)</f>
        <v>44761.75</v>
      </c>
      <c r="F82" s="85"/>
      <c r="G82" s="4" t="str">
        <f>IFERROR(__xludf.DUMMYFUNCTION("""COMPUTED_VALUE"""),"Contact for any order update")</f>
        <v>Contact for any order update</v>
      </c>
      <c r="H82" s="4" t="str">
        <f>IFERROR(__xludf.DUMMYFUNCTION("""COMPUTED_VALUE"""),"Kajal")</f>
        <v>Kajal</v>
      </c>
    </row>
    <row r="83">
      <c r="A83" s="4"/>
      <c r="B83" s="95"/>
      <c r="C83" s="4"/>
      <c r="D83" s="4"/>
      <c r="E83" s="96">
        <f>IFERROR(__xludf.DUMMYFUNCTION("""COMPUTED_VALUE"""),44754.75)</f>
        <v>44754.75</v>
      </c>
      <c r="F83" s="85"/>
      <c r="G83" s="4" t="str">
        <f>IFERROR(__xludf.DUMMYFUNCTION("""COMPUTED_VALUE"""),"Contact for any order update")</f>
        <v>Contact for any order update</v>
      </c>
      <c r="H83" s="4" t="str">
        <f>IFERROR(__xludf.DUMMYFUNCTION("""COMPUTED_VALUE"""),"Kajal")</f>
        <v>Kajal</v>
      </c>
    </row>
    <row r="84">
      <c r="A84" s="4"/>
      <c r="B84" s="95"/>
      <c r="C84" s="4"/>
      <c r="D84" s="4"/>
      <c r="E84" s="96">
        <f>IFERROR(__xludf.DUMMYFUNCTION("""COMPUTED_VALUE"""),44757.75)</f>
        <v>44757.75</v>
      </c>
      <c r="F84" s="85"/>
      <c r="G84" s="4" t="str">
        <f>IFERROR(__xludf.DUMMYFUNCTION("""COMPUTED_VALUE"""),"Contact for any order update")</f>
        <v>Contact for any order update</v>
      </c>
      <c r="H84" s="4" t="str">
        <f>IFERROR(__xludf.DUMMYFUNCTION("""COMPUTED_VALUE"""),"Kajal")</f>
        <v>Kajal</v>
      </c>
    </row>
    <row r="85">
      <c r="A85" s="4"/>
      <c r="B85" s="95"/>
      <c r="C85" s="4"/>
      <c r="D85" s="4"/>
      <c r="E85" s="96">
        <f>IFERROR(__xludf.DUMMYFUNCTION("""COMPUTED_VALUE"""),44757.75)</f>
        <v>44757.75</v>
      </c>
      <c r="F85" s="85"/>
      <c r="G85" s="4" t="str">
        <f>IFERROR(__xludf.DUMMYFUNCTION("""COMPUTED_VALUE"""),"Contact for any order update")</f>
        <v>Contact for any order update</v>
      </c>
      <c r="H85" s="4" t="str">
        <f>IFERROR(__xludf.DUMMYFUNCTION("""COMPUTED_VALUE"""),"Kajal")</f>
        <v>Kajal</v>
      </c>
    </row>
    <row r="86">
      <c r="A86" s="4"/>
      <c r="B86" s="95"/>
      <c r="C86" s="4"/>
      <c r="D86" s="4"/>
      <c r="E86" s="96">
        <f>IFERROR(__xludf.DUMMYFUNCTION("""COMPUTED_VALUE"""),44776.75)</f>
        <v>44776.75</v>
      </c>
      <c r="F86" s="85"/>
      <c r="G86" s="4" t="str">
        <f>IFERROR(__xludf.DUMMYFUNCTION("""COMPUTED_VALUE"""),"Contact for any order update")</f>
        <v>Contact for any order update</v>
      </c>
      <c r="H86" s="4" t="str">
        <f>IFERROR(__xludf.DUMMYFUNCTION("""COMPUTED_VALUE"""),"Kajal")</f>
        <v>Kajal</v>
      </c>
    </row>
    <row r="87">
      <c r="A87" s="4"/>
      <c r="B87" s="95"/>
      <c r="C87" s="4"/>
      <c r="D87" s="4"/>
      <c r="E87" s="96">
        <f>IFERROR(__xludf.DUMMYFUNCTION("""COMPUTED_VALUE"""),44773.75)</f>
        <v>44773.75</v>
      </c>
      <c r="F87" s="85"/>
      <c r="G87" s="4" t="str">
        <f>IFERROR(__xludf.DUMMYFUNCTION("""COMPUTED_VALUE"""),"Contact for any order update")</f>
        <v>Contact for any order update</v>
      </c>
      <c r="H87" s="4" t="str">
        <f>IFERROR(__xludf.DUMMYFUNCTION("""COMPUTED_VALUE"""),"Kajal")</f>
        <v>Kajal</v>
      </c>
    </row>
    <row r="88">
      <c r="A88" s="4"/>
      <c r="B88" s="95"/>
      <c r="C88" s="4"/>
      <c r="D88" s="4"/>
      <c r="E88" s="96">
        <f>IFERROR(__xludf.DUMMYFUNCTION("""COMPUTED_VALUE"""),44778.75)</f>
        <v>44778.75</v>
      </c>
      <c r="F88" s="85"/>
      <c r="G88" s="4" t="str">
        <f>IFERROR(__xludf.DUMMYFUNCTION("""COMPUTED_VALUE"""),"Contact for any order update")</f>
        <v>Contact for any order update</v>
      </c>
      <c r="H88" s="4" t="str">
        <f>IFERROR(__xludf.DUMMYFUNCTION("""COMPUTED_VALUE"""),"Kajal")</f>
        <v>Kajal</v>
      </c>
    </row>
    <row r="89">
      <c r="A89" s="4"/>
      <c r="B89" s="95"/>
      <c r="C89" s="4"/>
      <c r="D89" s="4"/>
      <c r="E89" s="96">
        <f>IFERROR(__xludf.DUMMYFUNCTION("""COMPUTED_VALUE"""),44777.75)</f>
        <v>44777.75</v>
      </c>
      <c r="F89" s="85"/>
      <c r="G89" s="4" t="str">
        <f>IFERROR(__xludf.DUMMYFUNCTION("""COMPUTED_VALUE"""),"Contact for any order update")</f>
        <v>Contact for any order update</v>
      </c>
      <c r="H89" s="4" t="str">
        <f>IFERROR(__xludf.DUMMYFUNCTION("""COMPUTED_VALUE"""),"Kajal")</f>
        <v>Kajal</v>
      </c>
    </row>
    <row r="90">
      <c r="A90" s="4"/>
      <c r="B90" s="95"/>
      <c r="C90" s="4"/>
      <c r="D90" s="4"/>
      <c r="E90" s="96">
        <f>IFERROR(__xludf.DUMMYFUNCTION("""COMPUTED_VALUE"""),44792.75)</f>
        <v>44792.75</v>
      </c>
      <c r="F90" s="85"/>
      <c r="G90" s="4" t="str">
        <f>IFERROR(__xludf.DUMMYFUNCTION("""COMPUTED_VALUE"""),"Contact for any order update")</f>
        <v>Contact for any order update</v>
      </c>
      <c r="H90" s="4" t="str">
        <f>IFERROR(__xludf.DUMMYFUNCTION("""COMPUTED_VALUE"""),"Kajal")</f>
        <v>Kajal</v>
      </c>
    </row>
    <row r="91">
      <c r="A91" s="4"/>
      <c r="B91" s="95"/>
      <c r="C91" s="4"/>
      <c r="D91" s="4"/>
      <c r="E91" s="96">
        <f>IFERROR(__xludf.DUMMYFUNCTION("""COMPUTED_VALUE"""),44800.75)</f>
        <v>44800.75</v>
      </c>
      <c r="F91" s="85"/>
      <c r="G91" s="4" t="str">
        <f>IFERROR(__xludf.DUMMYFUNCTION("""COMPUTED_VALUE"""),"Contact for any order update")</f>
        <v>Contact for any order update</v>
      </c>
      <c r="H91" s="4" t="str">
        <f>IFERROR(__xludf.DUMMYFUNCTION("""COMPUTED_VALUE"""),"Kajal")</f>
        <v>Kajal</v>
      </c>
    </row>
    <row r="92">
      <c r="A92" s="4"/>
      <c r="B92" s="95"/>
      <c r="C92" s="4"/>
      <c r="D92" s="4"/>
      <c r="E92" s="96">
        <f>IFERROR(__xludf.DUMMYFUNCTION("""COMPUTED_VALUE"""),44802.75)</f>
        <v>44802.75</v>
      </c>
      <c r="F92" s="85"/>
      <c r="G92" s="4" t="str">
        <f>IFERROR(__xludf.DUMMYFUNCTION("""COMPUTED_VALUE"""),"Contact for any order update")</f>
        <v>Contact for any order update</v>
      </c>
      <c r="H92" s="4" t="str">
        <f>IFERROR(__xludf.DUMMYFUNCTION("""COMPUTED_VALUE"""),"Kajal")</f>
        <v>Kajal</v>
      </c>
    </row>
    <row r="93">
      <c r="A93" s="4"/>
      <c r="B93" s="95"/>
      <c r="C93" s="4"/>
      <c r="D93" s="4"/>
      <c r="E93" s="96">
        <f>IFERROR(__xludf.DUMMYFUNCTION("""COMPUTED_VALUE"""),44809.75)</f>
        <v>44809.75</v>
      </c>
      <c r="F93" s="85"/>
      <c r="G93" s="4" t="str">
        <f>IFERROR(__xludf.DUMMYFUNCTION("""COMPUTED_VALUE"""),"Contact for any order update")</f>
        <v>Contact for any order update</v>
      </c>
      <c r="H93" s="4" t="str">
        <f>IFERROR(__xludf.DUMMYFUNCTION("""COMPUTED_VALUE"""),"Kajal")</f>
        <v>Kajal</v>
      </c>
    </row>
    <row r="94">
      <c r="A94" s="4"/>
      <c r="B94" s="95"/>
      <c r="C94" s="4"/>
      <c r="D94" s="4"/>
      <c r="E94" s="96">
        <f>IFERROR(__xludf.DUMMYFUNCTION("""COMPUTED_VALUE"""),44809.75)</f>
        <v>44809.75</v>
      </c>
      <c r="F94" s="85"/>
      <c r="G94" s="4" t="str">
        <f>IFERROR(__xludf.DUMMYFUNCTION("""COMPUTED_VALUE"""),"Contact for any order update")</f>
        <v>Contact for any order update</v>
      </c>
      <c r="H94" s="4" t="str">
        <f>IFERROR(__xludf.DUMMYFUNCTION("""COMPUTED_VALUE"""),"Kajal")</f>
        <v>Kajal</v>
      </c>
    </row>
    <row r="95">
      <c r="A95" s="4"/>
      <c r="B95" s="95"/>
      <c r="C95" s="4"/>
      <c r="D95" s="4"/>
      <c r="E95" s="96">
        <f>IFERROR(__xludf.DUMMYFUNCTION("""COMPUTED_VALUE"""),44815.75)</f>
        <v>44815.75</v>
      </c>
      <c r="F95" s="85"/>
      <c r="G95" s="4" t="str">
        <f>IFERROR(__xludf.DUMMYFUNCTION("""COMPUTED_VALUE"""),"Contact for any order update")</f>
        <v>Contact for any order update</v>
      </c>
      <c r="H95" s="4" t="str">
        <f>IFERROR(__xludf.DUMMYFUNCTION("""COMPUTED_VALUE"""),"Kajal")</f>
        <v>Kajal</v>
      </c>
    </row>
    <row r="96">
      <c r="A96" s="4"/>
      <c r="B96" s="95"/>
      <c r="C96" s="4"/>
      <c r="D96" s="4"/>
      <c r="E96" s="96">
        <f>IFERROR(__xludf.DUMMYFUNCTION("""COMPUTED_VALUE"""),44822.75)</f>
        <v>44822.75</v>
      </c>
      <c r="F96" s="85"/>
      <c r="G96" s="4" t="str">
        <f>IFERROR(__xludf.DUMMYFUNCTION("""COMPUTED_VALUE"""),"Contact for any order update")</f>
        <v>Contact for any order update</v>
      </c>
      <c r="H96" s="4" t="str">
        <f>IFERROR(__xludf.DUMMYFUNCTION("""COMPUTED_VALUE"""),"Kajal")</f>
        <v>Kajal</v>
      </c>
    </row>
    <row r="97">
      <c r="A97" s="4"/>
      <c r="B97" s="95"/>
      <c r="C97" s="4"/>
      <c r="D97" s="4"/>
      <c r="E97" s="96">
        <f>IFERROR(__xludf.DUMMYFUNCTION("""COMPUTED_VALUE"""),44823.75)</f>
        <v>44823.75</v>
      </c>
      <c r="F97" s="85"/>
      <c r="G97" s="4" t="str">
        <f>IFERROR(__xludf.DUMMYFUNCTION("""COMPUTED_VALUE"""),"Contact for any order update")</f>
        <v>Contact for any order update</v>
      </c>
      <c r="H97" s="4" t="str">
        <f>IFERROR(__xludf.DUMMYFUNCTION("""COMPUTED_VALUE"""),"Kajal")</f>
        <v>Kajal</v>
      </c>
    </row>
    <row r="98">
      <c r="A98" s="4"/>
      <c r="B98" s="95"/>
      <c r="C98" s="4"/>
      <c r="D98" s="4"/>
      <c r="E98" s="96">
        <f>IFERROR(__xludf.DUMMYFUNCTION("""COMPUTED_VALUE"""),44923.75)</f>
        <v>44923.75</v>
      </c>
      <c r="F98" s="85"/>
      <c r="G98" s="4" t="str">
        <f>IFERROR(__xludf.DUMMYFUNCTION("""COMPUTED_VALUE"""),"Contact for any order update")</f>
        <v>Contact for any order update</v>
      </c>
      <c r="H98" s="4" t="str">
        <f>IFERROR(__xludf.DUMMYFUNCTION("""COMPUTED_VALUE"""),"Kajal")</f>
        <v>Kajal</v>
      </c>
    </row>
    <row r="99">
      <c r="A99" s="4"/>
      <c r="B99" s="95"/>
      <c r="C99" s="4"/>
      <c r="D99" s="4"/>
      <c r="E99" s="96">
        <f>IFERROR(__xludf.DUMMYFUNCTION("""COMPUTED_VALUE"""),44919.75)</f>
        <v>44919.75</v>
      </c>
      <c r="F99" s="85"/>
      <c r="G99" s="4" t="str">
        <f>IFERROR(__xludf.DUMMYFUNCTION("""COMPUTED_VALUE"""),"Contact for any order update")</f>
        <v>Contact for any order update</v>
      </c>
      <c r="H99" s="4" t="str">
        <f>IFERROR(__xludf.DUMMYFUNCTION("""COMPUTED_VALUE"""),"Kajal")</f>
        <v>Kajal</v>
      </c>
    </row>
    <row r="100">
      <c r="A100" s="4"/>
      <c r="B100" s="95"/>
      <c r="C100" s="4"/>
      <c r="D100" s="4"/>
      <c r="E100" s="96">
        <f>IFERROR(__xludf.DUMMYFUNCTION("""COMPUTED_VALUE"""),44901.75)</f>
        <v>44901.75</v>
      </c>
      <c r="F100" s="85"/>
      <c r="G100" s="4" t="str">
        <f>IFERROR(__xludf.DUMMYFUNCTION("""COMPUTED_VALUE"""),"Contact for any order update")</f>
        <v>Contact for any order update</v>
      </c>
      <c r="H100" s="4" t="str">
        <f>IFERROR(__xludf.DUMMYFUNCTION("""COMPUTED_VALUE"""),"Kajal")</f>
        <v>Kajal</v>
      </c>
    </row>
    <row r="101">
      <c r="A101" s="4"/>
      <c r="B101" s="95"/>
      <c r="C101" s="4"/>
      <c r="D101" s="4"/>
      <c r="E101" s="96">
        <f>IFERROR(__xludf.DUMMYFUNCTION("""COMPUTED_VALUE"""),44877.75)</f>
        <v>44877.75</v>
      </c>
      <c r="F101" s="85"/>
      <c r="G101" s="4" t="str">
        <f>IFERROR(__xludf.DUMMYFUNCTION("""COMPUTED_VALUE"""),"Contact for any order update")</f>
        <v>Contact for any order update</v>
      </c>
      <c r="H101" s="4" t="str">
        <f>IFERROR(__xludf.DUMMYFUNCTION("""COMPUTED_VALUE"""),"Kajal")</f>
        <v>Kajal</v>
      </c>
    </row>
    <row r="102">
      <c r="A102" s="4"/>
      <c r="B102" s="95"/>
      <c r="C102" s="4"/>
      <c r="D102" s="4"/>
      <c r="E102" s="96">
        <f>IFERROR(__xludf.DUMMYFUNCTION("""COMPUTED_VALUE"""),44917.75)</f>
        <v>44917.75</v>
      </c>
      <c r="F102" s="85"/>
      <c r="G102" s="4" t="str">
        <f>IFERROR(__xludf.DUMMYFUNCTION("""COMPUTED_VALUE"""),"Contact for any order update")</f>
        <v>Contact for any order update</v>
      </c>
      <c r="H102" s="4" t="str">
        <f>IFERROR(__xludf.DUMMYFUNCTION("""COMPUTED_VALUE"""),"Kajal")</f>
        <v>Kajal</v>
      </c>
    </row>
    <row r="103">
      <c r="A103" s="4"/>
      <c r="B103" s="95"/>
      <c r="C103" s="4"/>
      <c r="D103" s="4"/>
      <c r="E103" s="96">
        <f>IFERROR(__xludf.DUMMYFUNCTION("""COMPUTED_VALUE"""),44917.75)</f>
        <v>44917.75</v>
      </c>
      <c r="F103" s="85"/>
      <c r="G103" s="4" t="str">
        <f>IFERROR(__xludf.DUMMYFUNCTION("""COMPUTED_VALUE"""),"Contact for any order update")</f>
        <v>Contact for any order update</v>
      </c>
      <c r="H103" s="4" t="str">
        <f>IFERROR(__xludf.DUMMYFUNCTION("""COMPUTED_VALUE"""),"Kajal")</f>
        <v>Kajal</v>
      </c>
    </row>
    <row r="104">
      <c r="A104" s="4"/>
      <c r="B104" s="95"/>
      <c r="C104" s="4"/>
      <c r="D104" s="4"/>
      <c r="E104" s="96">
        <f>IFERROR(__xludf.DUMMYFUNCTION("""COMPUTED_VALUE"""),44917.75)</f>
        <v>44917.75</v>
      </c>
      <c r="F104" s="85"/>
      <c r="G104" s="4" t="str">
        <f>IFERROR(__xludf.DUMMYFUNCTION("""COMPUTED_VALUE"""),"Contact for any order update")</f>
        <v>Contact for any order update</v>
      </c>
      <c r="H104" s="4" t="str">
        <f>IFERROR(__xludf.DUMMYFUNCTION("""COMPUTED_VALUE"""),"Kajal")</f>
        <v>Kajal</v>
      </c>
    </row>
    <row r="105">
      <c r="A105" s="4"/>
      <c r="B105" s="95"/>
      <c r="C105" s="4"/>
      <c r="D105" s="4"/>
      <c r="E105" s="96">
        <f>IFERROR(__xludf.DUMMYFUNCTION("""COMPUTED_VALUE"""),44917.75)</f>
        <v>44917.75</v>
      </c>
      <c r="F105" s="85"/>
      <c r="G105" s="4" t="str">
        <f>IFERROR(__xludf.DUMMYFUNCTION("""COMPUTED_VALUE"""),"Contact for any order update")</f>
        <v>Contact for any order update</v>
      </c>
      <c r="H105" s="4" t="str">
        <f>IFERROR(__xludf.DUMMYFUNCTION("""COMPUTED_VALUE"""),"Kajal")</f>
        <v>Kajal</v>
      </c>
    </row>
    <row r="106">
      <c r="A106" s="4"/>
      <c r="B106" s="95"/>
      <c r="C106" s="4"/>
      <c r="D106" s="4"/>
      <c r="E106" s="96">
        <f>IFERROR(__xludf.DUMMYFUNCTION("""COMPUTED_VALUE"""),44917.75)</f>
        <v>44917.75</v>
      </c>
      <c r="F106" s="85"/>
      <c r="G106" s="4" t="str">
        <f>IFERROR(__xludf.DUMMYFUNCTION("""COMPUTED_VALUE"""),"Contact for any order update")</f>
        <v>Contact for any order update</v>
      </c>
      <c r="H106" s="4" t="str">
        <f>IFERROR(__xludf.DUMMYFUNCTION("""COMPUTED_VALUE"""),"Kajal")</f>
        <v>Kajal</v>
      </c>
    </row>
    <row r="107">
      <c r="A107" s="4"/>
      <c r="B107" s="95"/>
      <c r="C107" s="4"/>
      <c r="D107" s="4"/>
      <c r="E107" s="96">
        <f>IFERROR(__xludf.DUMMYFUNCTION("""COMPUTED_VALUE"""),44917.75)</f>
        <v>44917.75</v>
      </c>
      <c r="F107" s="85"/>
      <c r="G107" s="4" t="str">
        <f>IFERROR(__xludf.DUMMYFUNCTION("""COMPUTED_VALUE"""),"Contact for any order update")</f>
        <v>Contact for any order update</v>
      </c>
      <c r="H107" s="4" t="str">
        <f>IFERROR(__xludf.DUMMYFUNCTION("""COMPUTED_VALUE"""),"Kajal")</f>
        <v>Kajal</v>
      </c>
    </row>
    <row r="108">
      <c r="A108" s="4"/>
      <c r="B108" s="95"/>
      <c r="C108" s="4"/>
      <c r="D108" s="4"/>
      <c r="E108" s="96">
        <f>IFERROR(__xludf.DUMMYFUNCTION("""COMPUTED_VALUE"""),44904.75)</f>
        <v>44904.75</v>
      </c>
      <c r="F108" s="85"/>
      <c r="G108" s="4" t="str">
        <f>IFERROR(__xludf.DUMMYFUNCTION("""COMPUTED_VALUE"""),"Contact for any order update")</f>
        <v>Contact for any order update</v>
      </c>
      <c r="H108" s="4" t="str">
        <f>IFERROR(__xludf.DUMMYFUNCTION("""COMPUTED_VALUE"""),"Kajal")</f>
        <v>Kajal</v>
      </c>
    </row>
    <row r="109">
      <c r="A109" s="4"/>
      <c r="B109" s="95"/>
      <c r="C109" s="4"/>
      <c r="D109" s="4"/>
      <c r="E109" s="96">
        <f>IFERROR(__xludf.DUMMYFUNCTION("""COMPUTED_VALUE"""),44922.75)</f>
        <v>44922.75</v>
      </c>
      <c r="F109" s="85"/>
      <c r="G109" s="4" t="str">
        <f>IFERROR(__xludf.DUMMYFUNCTION("""COMPUTED_VALUE"""),"Contact for any order update")</f>
        <v>Contact for any order update</v>
      </c>
      <c r="H109" s="4" t="str">
        <f>IFERROR(__xludf.DUMMYFUNCTION("""COMPUTED_VALUE"""),"Kajal")</f>
        <v>Kajal</v>
      </c>
    </row>
    <row r="110">
      <c r="A110" s="4"/>
      <c r="B110" s="95"/>
      <c r="C110" s="4"/>
      <c r="D110" s="4"/>
      <c r="E110" s="96">
        <f>IFERROR(__xludf.DUMMYFUNCTION("""COMPUTED_VALUE"""),44904.75)</f>
        <v>44904.75</v>
      </c>
      <c r="F110" s="85"/>
      <c r="G110" s="4" t="str">
        <f>IFERROR(__xludf.DUMMYFUNCTION("""COMPUTED_VALUE"""),"Contact for any order update")</f>
        <v>Contact for any order update</v>
      </c>
      <c r="H110" s="4" t="str">
        <f>IFERROR(__xludf.DUMMYFUNCTION("""COMPUTED_VALUE"""),"Kajal")</f>
        <v>Kajal</v>
      </c>
    </row>
    <row r="111">
      <c r="A111" s="4"/>
      <c r="B111" s="95"/>
      <c r="C111" s="4"/>
      <c r="D111" s="4"/>
      <c r="E111" s="96">
        <f>IFERROR(__xludf.DUMMYFUNCTION("""COMPUTED_VALUE"""),44906.75)</f>
        <v>44906.75</v>
      </c>
      <c r="F111" s="85"/>
      <c r="G111" s="4" t="str">
        <f>IFERROR(__xludf.DUMMYFUNCTION("""COMPUTED_VALUE"""),"Contact for any order update")</f>
        <v>Contact for any order update</v>
      </c>
      <c r="H111" s="4" t="str">
        <f>IFERROR(__xludf.DUMMYFUNCTION("""COMPUTED_VALUE"""),"Kajal")</f>
        <v>Kajal</v>
      </c>
    </row>
    <row r="112">
      <c r="A112" s="4"/>
      <c r="B112" s="95"/>
      <c r="C112" s="4"/>
      <c r="D112" s="4"/>
      <c r="E112" s="96">
        <f>IFERROR(__xludf.DUMMYFUNCTION("""COMPUTED_VALUE"""),44922.75)</f>
        <v>44922.75</v>
      </c>
      <c r="F112" s="85"/>
      <c r="G112" s="4" t="str">
        <f>IFERROR(__xludf.DUMMYFUNCTION("""COMPUTED_VALUE"""),"Contact for any order update")</f>
        <v>Contact for any order update</v>
      </c>
      <c r="H112" s="4" t="str">
        <f>IFERROR(__xludf.DUMMYFUNCTION("""COMPUTED_VALUE"""),"Kajal")</f>
        <v>Kajal</v>
      </c>
    </row>
    <row r="113">
      <c r="A113" s="4"/>
      <c r="B113" s="95"/>
      <c r="C113" s="4"/>
      <c r="D113" s="4"/>
      <c r="E113" s="96">
        <f>IFERROR(__xludf.DUMMYFUNCTION("""COMPUTED_VALUE"""),44919.75)</f>
        <v>44919.75</v>
      </c>
      <c r="F113" s="85"/>
      <c r="G113" s="4" t="str">
        <f>IFERROR(__xludf.DUMMYFUNCTION("""COMPUTED_VALUE"""),"Contact for any order update")</f>
        <v>Contact for any order update</v>
      </c>
      <c r="H113" s="4" t="str">
        <f>IFERROR(__xludf.DUMMYFUNCTION("""COMPUTED_VALUE"""),"Kajal")</f>
        <v>Kajal</v>
      </c>
    </row>
    <row r="114">
      <c r="A114" s="4"/>
      <c r="B114" s="95"/>
      <c r="C114" s="4"/>
      <c r="D114" s="4"/>
      <c r="E114" s="96">
        <f>IFERROR(__xludf.DUMMYFUNCTION("""COMPUTED_VALUE"""),44919.75)</f>
        <v>44919.75</v>
      </c>
      <c r="F114" s="85"/>
      <c r="G114" s="4" t="str">
        <f>IFERROR(__xludf.DUMMYFUNCTION("""COMPUTED_VALUE"""),"Contact for any order update")</f>
        <v>Contact for any order update</v>
      </c>
      <c r="H114" s="4" t="str">
        <f>IFERROR(__xludf.DUMMYFUNCTION("""COMPUTED_VALUE"""),"Kajal")</f>
        <v>Kajal</v>
      </c>
    </row>
    <row r="115">
      <c r="A115" s="4"/>
      <c r="B115" s="95"/>
      <c r="C115" s="4"/>
      <c r="D115" s="4"/>
      <c r="E115" s="96">
        <f>IFERROR(__xludf.DUMMYFUNCTION("""COMPUTED_VALUE"""),44929.75)</f>
        <v>44929.75</v>
      </c>
      <c r="F115" s="85"/>
      <c r="G115" s="4" t="str">
        <f>IFERROR(__xludf.DUMMYFUNCTION("""COMPUTED_VALUE"""),"Contact for any order update")</f>
        <v>Contact for any order update</v>
      </c>
      <c r="H115" s="4" t="str">
        <f>IFERROR(__xludf.DUMMYFUNCTION("""COMPUTED_VALUE"""),"Kajal")</f>
        <v>Kajal</v>
      </c>
    </row>
    <row r="116">
      <c r="A116" s="4"/>
      <c r="B116" s="95"/>
      <c r="C116" s="4"/>
      <c r="D116" s="4"/>
      <c r="E116" s="96">
        <f>IFERROR(__xludf.DUMMYFUNCTION("""COMPUTED_VALUE"""),44925.75)</f>
        <v>44925.75</v>
      </c>
      <c r="F116" s="85"/>
      <c r="G116" s="4" t="str">
        <f>IFERROR(__xludf.DUMMYFUNCTION("""COMPUTED_VALUE"""),"Contact for any order update")</f>
        <v>Contact for any order update</v>
      </c>
      <c r="H116" s="4" t="str">
        <f>IFERROR(__xludf.DUMMYFUNCTION("""COMPUTED_VALUE"""),"Kajal")</f>
        <v>Kajal</v>
      </c>
    </row>
    <row r="117">
      <c r="A117" s="4"/>
      <c r="B117" s="95"/>
      <c r="C117" s="4"/>
      <c r="D117" s="4"/>
      <c r="E117" s="96">
        <f>IFERROR(__xludf.DUMMYFUNCTION("""COMPUTED_VALUE"""),44926.75)</f>
        <v>44926.75</v>
      </c>
      <c r="F117" s="85"/>
      <c r="G117" s="4" t="str">
        <f>IFERROR(__xludf.DUMMYFUNCTION("""COMPUTED_VALUE"""),"Contact for any order update")</f>
        <v>Contact for any order update</v>
      </c>
      <c r="H117" s="4" t="str">
        <f>IFERROR(__xludf.DUMMYFUNCTION("""COMPUTED_VALUE"""),"Kajal")</f>
        <v>Kajal</v>
      </c>
    </row>
    <row r="118">
      <c r="A118" s="4"/>
      <c r="B118" s="95"/>
      <c r="C118" s="4"/>
      <c r="D118" s="4"/>
      <c r="E118" s="96">
        <f>IFERROR(__xludf.DUMMYFUNCTION("""COMPUTED_VALUE"""),44926.75)</f>
        <v>44926.75</v>
      </c>
      <c r="F118" s="85"/>
      <c r="G118" s="4" t="str">
        <f>IFERROR(__xludf.DUMMYFUNCTION("""COMPUTED_VALUE"""),"Contact for any order update")</f>
        <v>Contact for any order update</v>
      </c>
      <c r="H118" s="4" t="str">
        <f>IFERROR(__xludf.DUMMYFUNCTION("""COMPUTED_VALUE"""),"Kajal")</f>
        <v>Kajal</v>
      </c>
    </row>
    <row r="119">
      <c r="A119" s="4"/>
      <c r="B119" s="95"/>
      <c r="C119" s="4"/>
      <c r="D119" s="4"/>
      <c r="E119" s="96">
        <f>IFERROR(__xludf.DUMMYFUNCTION("""COMPUTED_VALUE"""),44920.75)</f>
        <v>44920.75</v>
      </c>
      <c r="F119" s="85"/>
      <c r="G119" s="4" t="str">
        <f>IFERROR(__xludf.DUMMYFUNCTION("""COMPUTED_VALUE"""),"Contact for any order update")</f>
        <v>Contact for any order update</v>
      </c>
      <c r="H119" s="4" t="str">
        <f>IFERROR(__xludf.DUMMYFUNCTION("""COMPUTED_VALUE"""),"Kajal")</f>
        <v>Kajal</v>
      </c>
    </row>
    <row r="120">
      <c r="B120" s="95"/>
      <c r="E120" s="96"/>
      <c r="F120" s="85"/>
    </row>
    <row r="121">
      <c r="B121" s="95"/>
      <c r="E121" s="96"/>
      <c r="F121" s="85"/>
    </row>
    <row r="122">
      <c r="B122" s="95"/>
      <c r="E122" s="96"/>
      <c r="F122" s="85"/>
    </row>
    <row r="123">
      <c r="B123" s="95"/>
      <c r="E123" s="96"/>
      <c r="F123" s="85"/>
    </row>
    <row r="124">
      <c r="B124" s="95"/>
      <c r="E124" s="96"/>
      <c r="F124" s="85"/>
    </row>
    <row r="125">
      <c r="B125" s="95"/>
      <c r="E125" s="96"/>
      <c r="F125" s="85"/>
    </row>
    <row r="126">
      <c r="B126" s="95"/>
      <c r="E126" s="96"/>
      <c r="F126" s="85"/>
    </row>
    <row r="127">
      <c r="B127" s="95"/>
      <c r="E127" s="96"/>
      <c r="F127" s="85"/>
    </row>
    <row r="128">
      <c r="B128" s="95"/>
      <c r="E128" s="96"/>
      <c r="F128" s="85"/>
    </row>
    <row r="129">
      <c r="B129" s="95"/>
      <c r="E129" s="96"/>
      <c r="F129" s="85"/>
    </row>
    <row r="130">
      <c r="B130" s="95"/>
      <c r="E130" s="96"/>
      <c r="F130" s="85"/>
    </row>
    <row r="131">
      <c r="B131" s="95"/>
      <c r="E131" s="96"/>
      <c r="F131" s="85"/>
    </row>
    <row r="132">
      <c r="B132" s="95"/>
      <c r="E132" s="96"/>
      <c r="F132" s="85"/>
    </row>
    <row r="133">
      <c r="B133" s="95"/>
      <c r="E133" s="96"/>
      <c r="F133" s="85"/>
    </row>
    <row r="134">
      <c r="B134" s="95"/>
      <c r="E134" s="96"/>
      <c r="F134" s="85"/>
    </row>
    <row r="135">
      <c r="B135" s="95"/>
      <c r="E135" s="96"/>
      <c r="F135" s="85"/>
    </row>
    <row r="136">
      <c r="B136" s="95"/>
      <c r="E136" s="96"/>
      <c r="F136" s="85"/>
    </row>
    <row r="137">
      <c r="B137" s="95"/>
      <c r="E137" s="96"/>
      <c r="F137" s="85"/>
    </row>
    <row r="138">
      <c r="B138" s="95"/>
      <c r="E138" s="96"/>
      <c r="F138" s="85"/>
    </row>
    <row r="139">
      <c r="B139" s="95"/>
      <c r="E139" s="96"/>
      <c r="F139" s="85"/>
    </row>
    <row r="140">
      <c r="B140" s="95"/>
      <c r="E140" s="96"/>
      <c r="F140" s="85"/>
    </row>
    <row r="141">
      <c r="B141" s="95"/>
      <c r="E141" s="96"/>
      <c r="F141" s="85"/>
    </row>
    <row r="142">
      <c r="B142" s="95"/>
      <c r="E142" s="96"/>
      <c r="F142" s="85"/>
    </row>
    <row r="143">
      <c r="B143" s="95"/>
      <c r="E143" s="96"/>
      <c r="F143" s="85"/>
    </row>
    <row r="144">
      <c r="B144" s="95"/>
      <c r="E144" s="96"/>
      <c r="F144" s="85"/>
    </row>
    <row r="145">
      <c r="B145" s="95"/>
      <c r="E145" s="96"/>
      <c r="F145" s="85"/>
    </row>
    <row r="146">
      <c r="B146" s="95"/>
      <c r="E146" s="96"/>
      <c r="F146" s="85"/>
    </row>
    <row r="147">
      <c r="B147" s="95"/>
      <c r="E147" s="96"/>
      <c r="F147" s="85"/>
    </row>
    <row r="148">
      <c r="B148" s="95"/>
      <c r="E148" s="96"/>
      <c r="F148" s="85"/>
    </row>
    <row r="149">
      <c r="B149" s="95"/>
      <c r="E149" s="96"/>
      <c r="F149" s="85"/>
    </row>
    <row r="150">
      <c r="B150" s="95"/>
      <c r="E150" s="96"/>
      <c r="F150" s="85"/>
    </row>
    <row r="151">
      <c r="B151" s="95"/>
      <c r="E151" s="96"/>
      <c r="F151" s="85"/>
    </row>
    <row r="152">
      <c r="B152" s="95"/>
      <c r="E152" s="96"/>
      <c r="F152" s="85"/>
    </row>
    <row r="153">
      <c r="B153" s="95"/>
      <c r="E153" s="96"/>
      <c r="F153" s="85"/>
    </row>
    <row r="154">
      <c r="B154" s="95"/>
      <c r="E154" s="96"/>
      <c r="F154" s="85"/>
    </row>
    <row r="155">
      <c r="B155" s="95"/>
      <c r="E155" s="96"/>
      <c r="F155" s="85"/>
    </row>
    <row r="156">
      <c r="B156" s="95"/>
      <c r="E156" s="96"/>
      <c r="F156" s="85"/>
    </row>
    <row r="157">
      <c r="B157" s="95"/>
      <c r="E157" s="96"/>
      <c r="F157" s="85"/>
    </row>
    <row r="158">
      <c r="B158" s="95"/>
      <c r="E158" s="96"/>
      <c r="F158" s="85"/>
    </row>
    <row r="159">
      <c r="B159" s="95"/>
      <c r="E159" s="96"/>
      <c r="F159" s="85"/>
    </row>
    <row r="160">
      <c r="B160" s="95"/>
      <c r="E160" s="96"/>
      <c r="F160" s="85"/>
    </row>
    <row r="161">
      <c r="B161" s="95"/>
      <c r="E161" s="96"/>
      <c r="F161" s="85"/>
    </row>
    <row r="162">
      <c r="B162" s="95"/>
      <c r="E162" s="96"/>
      <c r="F162" s="85"/>
    </row>
    <row r="163">
      <c r="B163" s="95"/>
      <c r="E163" s="96"/>
      <c r="F163" s="85"/>
    </row>
    <row r="164">
      <c r="B164" s="95"/>
      <c r="E164" s="96"/>
      <c r="F164" s="85"/>
    </row>
    <row r="165">
      <c r="B165" s="95"/>
      <c r="E165" s="96"/>
      <c r="F165" s="85"/>
    </row>
    <row r="166">
      <c r="B166" s="95"/>
      <c r="E166" s="96"/>
      <c r="F166" s="85"/>
    </row>
    <row r="167">
      <c r="B167" s="95"/>
      <c r="E167" s="96"/>
      <c r="F167" s="85"/>
    </row>
    <row r="168">
      <c r="B168" s="95"/>
      <c r="E168" s="96"/>
      <c r="F168" s="85"/>
    </row>
    <row r="169">
      <c r="B169" s="95"/>
      <c r="E169" s="96"/>
      <c r="F169" s="85"/>
    </row>
    <row r="170">
      <c r="B170" s="95"/>
      <c r="E170" s="96"/>
      <c r="F170" s="85"/>
    </row>
    <row r="171">
      <c r="B171" s="95"/>
      <c r="E171" s="96"/>
      <c r="F171" s="85"/>
    </row>
    <row r="172">
      <c r="B172" s="95"/>
      <c r="E172" s="96"/>
      <c r="F172" s="85"/>
    </row>
    <row r="173">
      <c r="B173" s="95"/>
      <c r="E173" s="96"/>
      <c r="F173" s="85"/>
    </row>
    <row r="174">
      <c r="B174" s="95"/>
      <c r="E174" s="96"/>
      <c r="F174" s="85"/>
    </row>
    <row r="175">
      <c r="B175" s="95"/>
      <c r="E175" s="96"/>
      <c r="F175" s="85"/>
    </row>
    <row r="176">
      <c r="B176" s="95"/>
      <c r="E176" s="96"/>
      <c r="F176" s="85"/>
    </row>
    <row r="177">
      <c r="B177" s="95"/>
      <c r="E177" s="96"/>
      <c r="F177" s="85"/>
    </row>
    <row r="178">
      <c r="B178" s="95"/>
      <c r="E178" s="96"/>
      <c r="F178" s="85"/>
    </row>
    <row r="179">
      <c r="B179" s="95"/>
      <c r="E179" s="96"/>
      <c r="F179" s="85"/>
    </row>
    <row r="180">
      <c r="B180" s="95"/>
      <c r="E180" s="96"/>
      <c r="F180" s="85"/>
    </row>
    <row r="181">
      <c r="B181" s="95"/>
      <c r="E181" s="96"/>
      <c r="F181" s="85"/>
    </row>
    <row r="182">
      <c r="B182" s="95"/>
      <c r="E182" s="96"/>
      <c r="F182" s="85"/>
    </row>
    <row r="183">
      <c r="B183" s="95"/>
      <c r="E183" s="96"/>
      <c r="F183" s="85"/>
    </row>
    <row r="184">
      <c r="B184" s="95"/>
      <c r="E184" s="96"/>
      <c r="F184" s="85"/>
    </row>
    <row r="185">
      <c r="B185" s="95"/>
      <c r="E185" s="96"/>
      <c r="F185" s="85"/>
    </row>
    <row r="186">
      <c r="B186" s="95"/>
      <c r="E186" s="96"/>
      <c r="F186" s="85"/>
    </row>
    <row r="187">
      <c r="B187" s="95"/>
      <c r="E187" s="96"/>
      <c r="F187" s="85"/>
    </row>
    <row r="188">
      <c r="B188" s="95"/>
      <c r="E188" s="96"/>
      <c r="F188" s="85"/>
    </row>
    <row r="189">
      <c r="B189" s="95"/>
      <c r="E189" s="96"/>
      <c r="F189" s="85"/>
    </row>
    <row r="190">
      <c r="B190" s="95"/>
      <c r="E190" s="96"/>
      <c r="F190" s="85"/>
    </row>
    <row r="191">
      <c r="B191" s="95"/>
      <c r="E191" s="96"/>
      <c r="F191" s="85"/>
    </row>
    <row r="192">
      <c r="B192" s="95"/>
      <c r="E192" s="96"/>
      <c r="F192" s="85"/>
    </row>
    <row r="193">
      <c r="B193" s="95"/>
      <c r="E193" s="96"/>
      <c r="F193" s="85"/>
    </row>
    <row r="194">
      <c r="B194" s="95"/>
      <c r="E194" s="96"/>
      <c r="F194" s="85"/>
    </row>
    <row r="195">
      <c r="B195" s="95"/>
      <c r="E195" s="96"/>
      <c r="F195" s="85"/>
    </row>
    <row r="196">
      <c r="B196" s="95"/>
      <c r="E196" s="96"/>
      <c r="F196" s="85"/>
    </row>
    <row r="197">
      <c r="B197" s="95"/>
      <c r="E197" s="96"/>
      <c r="F197" s="85"/>
    </row>
    <row r="198">
      <c r="B198" s="95"/>
      <c r="E198" s="96"/>
      <c r="F198" s="85"/>
    </row>
    <row r="199">
      <c r="B199" s="95"/>
      <c r="E199" s="96"/>
      <c r="F199" s="85"/>
    </row>
    <row r="200">
      <c r="B200" s="95"/>
      <c r="E200" s="96"/>
      <c r="F200" s="85"/>
    </row>
    <row r="201">
      <c r="B201" s="95"/>
      <c r="E201" s="96"/>
      <c r="F201" s="85"/>
    </row>
    <row r="202">
      <c r="B202" s="95"/>
      <c r="E202" s="96"/>
      <c r="F202" s="85"/>
    </row>
    <row r="203">
      <c r="B203" s="95"/>
      <c r="E203" s="96"/>
      <c r="F203" s="85"/>
    </row>
    <row r="204">
      <c r="B204" s="95"/>
      <c r="E204" s="96"/>
      <c r="F204" s="85"/>
    </row>
    <row r="205">
      <c r="B205" s="95"/>
      <c r="E205" s="96"/>
      <c r="F205" s="85"/>
    </row>
    <row r="206">
      <c r="B206" s="95"/>
      <c r="E206" s="96"/>
      <c r="F206" s="85"/>
    </row>
    <row r="207">
      <c r="B207" s="95"/>
      <c r="E207" s="96"/>
      <c r="F207" s="85"/>
    </row>
    <row r="208">
      <c r="B208" s="95"/>
      <c r="E208" s="96"/>
      <c r="F208" s="85"/>
    </row>
    <row r="209">
      <c r="B209" s="95"/>
      <c r="E209" s="96"/>
      <c r="F209" s="85"/>
    </row>
    <row r="210">
      <c r="B210" s="95"/>
      <c r="E210" s="96"/>
      <c r="F210" s="85"/>
    </row>
    <row r="211">
      <c r="B211" s="95"/>
      <c r="E211" s="96"/>
      <c r="F211" s="85"/>
    </row>
    <row r="212">
      <c r="B212" s="95"/>
      <c r="E212" s="96"/>
      <c r="F212" s="85"/>
    </row>
    <row r="213">
      <c r="B213" s="95"/>
      <c r="E213" s="96"/>
      <c r="F213" s="85"/>
    </row>
    <row r="214">
      <c r="B214" s="95"/>
      <c r="E214" s="96"/>
      <c r="F214" s="85"/>
    </row>
    <row r="215">
      <c r="B215" s="95"/>
      <c r="E215" s="96"/>
      <c r="F215" s="85"/>
    </row>
    <row r="216">
      <c r="B216" s="95"/>
      <c r="E216" s="96"/>
      <c r="F216" s="85"/>
    </row>
    <row r="217">
      <c r="B217" s="95"/>
      <c r="E217" s="96"/>
      <c r="F217" s="85"/>
    </row>
    <row r="218">
      <c r="B218" s="95"/>
      <c r="E218" s="96"/>
      <c r="F218" s="85"/>
    </row>
    <row r="219">
      <c r="B219" s="95"/>
      <c r="E219" s="96"/>
      <c r="F219" s="85"/>
    </row>
    <row r="220">
      <c r="B220" s="95"/>
      <c r="E220" s="96"/>
      <c r="F220" s="85"/>
    </row>
    <row r="221">
      <c r="B221" s="95"/>
      <c r="E221" s="96"/>
      <c r="F221" s="85"/>
    </row>
    <row r="222">
      <c r="B222" s="95"/>
      <c r="E222" s="96"/>
      <c r="F222" s="85"/>
    </row>
    <row r="223">
      <c r="B223" s="95"/>
      <c r="E223" s="96"/>
      <c r="F223" s="85"/>
    </row>
    <row r="224">
      <c r="B224" s="95"/>
      <c r="E224" s="96"/>
      <c r="F224" s="85"/>
    </row>
    <row r="225">
      <c r="B225" s="95"/>
      <c r="E225" s="96"/>
      <c r="F225" s="85"/>
    </row>
    <row r="226">
      <c r="B226" s="95"/>
      <c r="E226" s="96"/>
      <c r="F226" s="85"/>
    </row>
    <row r="227">
      <c r="B227" s="95"/>
      <c r="E227" s="96"/>
      <c r="F227" s="85"/>
    </row>
    <row r="228">
      <c r="B228" s="95"/>
      <c r="E228" s="96"/>
      <c r="F228" s="85"/>
    </row>
    <row r="229">
      <c r="B229" s="95"/>
      <c r="E229" s="96"/>
      <c r="F229" s="85"/>
    </row>
    <row r="230">
      <c r="B230" s="95"/>
      <c r="E230" s="96"/>
      <c r="F230" s="85"/>
    </row>
    <row r="231">
      <c r="B231" s="95"/>
      <c r="E231" s="96"/>
      <c r="F231" s="85"/>
    </row>
    <row r="232">
      <c r="B232" s="95"/>
      <c r="E232" s="96"/>
      <c r="F232" s="85"/>
    </row>
    <row r="233">
      <c r="B233" s="95"/>
      <c r="E233" s="96"/>
      <c r="F233" s="85"/>
    </row>
    <row r="234">
      <c r="B234" s="95"/>
      <c r="E234" s="96"/>
      <c r="F234" s="85"/>
    </row>
    <row r="235">
      <c r="B235" s="95"/>
      <c r="E235" s="96"/>
      <c r="F235" s="85"/>
    </row>
    <row r="236">
      <c r="B236" s="95"/>
      <c r="E236" s="96"/>
      <c r="F236" s="85"/>
    </row>
    <row r="237">
      <c r="B237" s="95"/>
      <c r="E237" s="96"/>
      <c r="F237" s="85"/>
    </row>
    <row r="238">
      <c r="B238" s="95"/>
      <c r="E238" s="96"/>
      <c r="F238" s="85"/>
    </row>
    <row r="239">
      <c r="B239" s="95"/>
      <c r="E239" s="96"/>
      <c r="F239" s="85"/>
    </row>
    <row r="240">
      <c r="B240" s="95"/>
      <c r="E240" s="96"/>
      <c r="F240" s="85"/>
    </row>
    <row r="241">
      <c r="B241" s="95"/>
      <c r="E241" s="96"/>
      <c r="F241" s="85"/>
    </row>
    <row r="242">
      <c r="B242" s="95"/>
      <c r="E242" s="96"/>
      <c r="F242" s="85"/>
    </row>
    <row r="243">
      <c r="B243" s="95"/>
      <c r="E243" s="96"/>
      <c r="F243" s="85"/>
    </row>
    <row r="244">
      <c r="B244" s="95"/>
      <c r="E244" s="96"/>
      <c r="F244" s="85"/>
    </row>
    <row r="245">
      <c r="B245" s="95"/>
      <c r="E245" s="96"/>
      <c r="F245" s="85"/>
    </row>
    <row r="246">
      <c r="B246" s="95"/>
      <c r="E246" s="96"/>
      <c r="F246" s="85"/>
    </row>
    <row r="247">
      <c r="B247" s="95"/>
      <c r="E247" s="96"/>
      <c r="F247" s="85"/>
    </row>
    <row r="248">
      <c r="B248" s="95"/>
      <c r="E248" s="96"/>
      <c r="F248" s="85"/>
    </row>
    <row r="249">
      <c r="B249" s="95"/>
      <c r="E249" s="96"/>
      <c r="F249" s="85"/>
    </row>
    <row r="250">
      <c r="B250" s="95"/>
      <c r="E250" s="96"/>
      <c r="F250" s="85"/>
    </row>
    <row r="251">
      <c r="B251" s="95"/>
      <c r="E251" s="96"/>
      <c r="F251" s="85"/>
    </row>
    <row r="252">
      <c r="B252" s="95"/>
      <c r="E252" s="96"/>
      <c r="F252" s="85"/>
    </row>
    <row r="253">
      <c r="B253" s="95"/>
      <c r="E253" s="96"/>
      <c r="F253" s="85"/>
    </row>
    <row r="254">
      <c r="B254" s="95"/>
      <c r="E254" s="96"/>
      <c r="F254" s="85"/>
    </row>
    <row r="255">
      <c r="B255" s="95"/>
      <c r="E255" s="96"/>
      <c r="F255" s="85"/>
    </row>
    <row r="256">
      <c r="B256" s="95"/>
      <c r="E256" s="96"/>
      <c r="F256" s="85"/>
    </row>
    <row r="257">
      <c r="B257" s="95"/>
      <c r="E257" s="96"/>
      <c r="F257" s="85"/>
    </row>
    <row r="258">
      <c r="B258" s="95"/>
      <c r="E258" s="96"/>
      <c r="F258" s="85"/>
    </row>
    <row r="259">
      <c r="B259" s="95"/>
      <c r="E259" s="96"/>
      <c r="F259" s="85"/>
    </row>
    <row r="260">
      <c r="B260" s="95"/>
      <c r="E260" s="96"/>
      <c r="F260" s="85"/>
    </row>
    <row r="261">
      <c r="B261" s="95"/>
      <c r="E261" s="96"/>
      <c r="F261" s="85"/>
    </row>
    <row r="262">
      <c r="B262" s="95"/>
      <c r="E262" s="96"/>
      <c r="F262" s="85"/>
    </row>
    <row r="263">
      <c r="B263" s="95"/>
      <c r="E263" s="96"/>
      <c r="F263" s="85"/>
    </row>
    <row r="264">
      <c r="B264" s="95"/>
      <c r="E264" s="96"/>
      <c r="F264" s="85"/>
    </row>
    <row r="265">
      <c r="B265" s="95"/>
      <c r="E265" s="96"/>
      <c r="F265" s="85"/>
    </row>
    <row r="266">
      <c r="B266" s="95"/>
      <c r="E266" s="96"/>
      <c r="F266" s="85"/>
    </row>
    <row r="267">
      <c r="B267" s="95"/>
      <c r="E267" s="96"/>
      <c r="F267" s="85"/>
    </row>
    <row r="268">
      <c r="B268" s="95"/>
      <c r="E268" s="96"/>
      <c r="F268" s="85"/>
    </row>
    <row r="269">
      <c r="B269" s="95"/>
      <c r="E269" s="96"/>
      <c r="F269" s="85"/>
    </row>
    <row r="270">
      <c r="B270" s="95"/>
      <c r="E270" s="96"/>
      <c r="F270" s="85"/>
    </row>
    <row r="271">
      <c r="B271" s="95"/>
      <c r="E271" s="96"/>
      <c r="F271" s="85"/>
    </row>
    <row r="272">
      <c r="B272" s="95"/>
      <c r="E272" s="96"/>
      <c r="F272" s="85"/>
    </row>
    <row r="273">
      <c r="B273" s="95"/>
      <c r="E273" s="96"/>
      <c r="F273" s="85"/>
    </row>
    <row r="274">
      <c r="B274" s="95"/>
      <c r="E274" s="96"/>
      <c r="F274" s="85"/>
    </row>
    <row r="275">
      <c r="B275" s="95"/>
      <c r="E275" s="96"/>
      <c r="F275" s="85"/>
    </row>
    <row r="276">
      <c r="B276" s="95"/>
      <c r="E276" s="96"/>
      <c r="F276" s="85"/>
    </row>
    <row r="277">
      <c r="B277" s="95"/>
      <c r="E277" s="96"/>
      <c r="F277" s="85"/>
    </row>
    <row r="278">
      <c r="B278" s="95"/>
      <c r="E278" s="96"/>
      <c r="F278" s="85"/>
    </row>
    <row r="279">
      <c r="B279" s="95"/>
      <c r="E279" s="96"/>
      <c r="F279" s="85"/>
    </row>
    <row r="280">
      <c r="B280" s="95"/>
      <c r="E280" s="96"/>
      <c r="F280" s="85"/>
    </row>
    <row r="281">
      <c r="B281" s="95"/>
      <c r="E281" s="96"/>
      <c r="F281" s="85"/>
    </row>
    <row r="282">
      <c r="B282" s="95"/>
      <c r="E282" s="96"/>
      <c r="F282" s="85"/>
    </row>
    <row r="283">
      <c r="B283" s="95"/>
      <c r="E283" s="96"/>
      <c r="F283" s="85"/>
    </row>
    <row r="284">
      <c r="B284" s="95"/>
      <c r="E284" s="96"/>
      <c r="F284" s="85"/>
    </row>
    <row r="285">
      <c r="B285" s="95"/>
      <c r="E285" s="96"/>
      <c r="F285" s="85"/>
    </row>
    <row r="286">
      <c r="B286" s="95"/>
      <c r="E286" s="96"/>
      <c r="F286" s="85"/>
    </row>
    <row r="287">
      <c r="B287" s="95"/>
      <c r="E287" s="96"/>
      <c r="F287" s="85"/>
    </row>
    <row r="288">
      <c r="B288" s="95"/>
      <c r="E288" s="96"/>
      <c r="F288" s="85"/>
    </row>
    <row r="289">
      <c r="B289" s="95"/>
      <c r="E289" s="96"/>
      <c r="F289" s="85"/>
    </row>
    <row r="290">
      <c r="B290" s="95"/>
      <c r="E290" s="96"/>
      <c r="F290" s="85"/>
    </row>
    <row r="291">
      <c r="B291" s="95"/>
      <c r="E291" s="96"/>
      <c r="F291" s="85"/>
    </row>
    <row r="292">
      <c r="B292" s="95"/>
      <c r="E292" s="96"/>
      <c r="F292" s="85"/>
    </row>
    <row r="293">
      <c r="B293" s="95"/>
      <c r="E293" s="96"/>
      <c r="F293" s="85"/>
    </row>
    <row r="294">
      <c r="B294" s="95"/>
      <c r="E294" s="96"/>
      <c r="F294" s="85"/>
    </row>
    <row r="295">
      <c r="B295" s="95"/>
      <c r="E295" s="96"/>
      <c r="F295" s="85"/>
    </row>
    <row r="296">
      <c r="B296" s="95"/>
      <c r="E296" s="96"/>
      <c r="F296" s="85"/>
    </row>
    <row r="297">
      <c r="B297" s="95"/>
      <c r="E297" s="96"/>
      <c r="F297" s="85"/>
    </row>
    <row r="298">
      <c r="B298" s="95"/>
      <c r="E298" s="96"/>
      <c r="F298" s="85"/>
    </row>
    <row r="299">
      <c r="B299" s="95"/>
      <c r="E299" s="96"/>
      <c r="F299" s="85"/>
    </row>
    <row r="300">
      <c r="B300" s="95"/>
      <c r="E300" s="96"/>
      <c r="F300" s="85"/>
    </row>
    <row r="301">
      <c r="B301" s="95"/>
      <c r="E301" s="96"/>
      <c r="F301" s="85"/>
    </row>
    <row r="302">
      <c r="B302" s="95"/>
      <c r="E302" s="96"/>
      <c r="F302" s="85"/>
    </row>
    <row r="303">
      <c r="B303" s="95"/>
      <c r="E303" s="96"/>
      <c r="F303" s="85"/>
    </row>
    <row r="304">
      <c r="B304" s="95"/>
      <c r="E304" s="96"/>
      <c r="F304" s="85"/>
    </row>
    <row r="305">
      <c r="B305" s="95"/>
      <c r="E305" s="96"/>
      <c r="F305" s="85"/>
    </row>
    <row r="306">
      <c r="B306" s="95"/>
      <c r="E306" s="96"/>
      <c r="F306" s="85"/>
    </row>
    <row r="307">
      <c r="B307" s="95"/>
      <c r="E307" s="96"/>
      <c r="F307" s="85"/>
    </row>
    <row r="308">
      <c r="B308" s="95"/>
      <c r="E308" s="96"/>
      <c r="F308" s="85"/>
    </row>
    <row r="309">
      <c r="B309" s="95"/>
      <c r="E309" s="96"/>
      <c r="F309" s="85"/>
    </row>
    <row r="310">
      <c r="B310" s="95"/>
      <c r="E310" s="96"/>
      <c r="F310" s="85"/>
    </row>
    <row r="311">
      <c r="B311" s="95"/>
      <c r="E311" s="96"/>
      <c r="F311" s="85"/>
    </row>
    <row r="312">
      <c r="B312" s="95"/>
      <c r="E312" s="96"/>
      <c r="F312" s="85"/>
    </row>
    <row r="313">
      <c r="B313" s="95"/>
      <c r="E313" s="96"/>
      <c r="F313" s="85"/>
    </row>
    <row r="314">
      <c r="B314" s="95"/>
      <c r="E314" s="96"/>
      <c r="F314" s="85"/>
    </row>
    <row r="315">
      <c r="B315" s="95"/>
      <c r="E315" s="96"/>
      <c r="F315" s="85"/>
    </row>
    <row r="316">
      <c r="B316" s="95"/>
      <c r="E316" s="96"/>
      <c r="F316" s="85"/>
    </row>
    <row r="317">
      <c r="B317" s="95"/>
      <c r="E317" s="96"/>
      <c r="F317" s="85"/>
    </row>
    <row r="318">
      <c r="B318" s="95"/>
      <c r="E318" s="96"/>
      <c r="F318" s="85"/>
    </row>
    <row r="319">
      <c r="B319" s="95"/>
      <c r="E319" s="96"/>
      <c r="F319" s="85"/>
    </row>
    <row r="320">
      <c r="B320" s="95"/>
      <c r="E320" s="96"/>
      <c r="F320" s="85"/>
    </row>
    <row r="321">
      <c r="B321" s="95"/>
      <c r="E321" s="96"/>
      <c r="F321" s="85"/>
    </row>
    <row r="322">
      <c r="B322" s="95"/>
      <c r="E322" s="96"/>
      <c r="F322" s="85"/>
    </row>
    <row r="323">
      <c r="B323" s="95"/>
      <c r="E323" s="96"/>
      <c r="F323" s="85"/>
    </row>
    <row r="324">
      <c r="B324" s="95"/>
      <c r="E324" s="96"/>
      <c r="F324" s="85"/>
    </row>
    <row r="325">
      <c r="B325" s="95"/>
      <c r="E325" s="96"/>
      <c r="F325" s="85"/>
    </row>
    <row r="326">
      <c r="B326" s="95"/>
      <c r="E326" s="96"/>
      <c r="F326" s="85"/>
    </row>
    <row r="327">
      <c r="B327" s="95"/>
      <c r="E327" s="96"/>
      <c r="F327" s="85"/>
    </row>
    <row r="328">
      <c r="B328" s="95"/>
      <c r="E328" s="96"/>
      <c r="F328" s="85"/>
    </row>
    <row r="329">
      <c r="B329" s="95"/>
      <c r="E329" s="96"/>
      <c r="F329" s="85"/>
    </row>
    <row r="330">
      <c r="B330" s="95"/>
      <c r="E330" s="96"/>
      <c r="F330" s="85"/>
    </row>
    <row r="331">
      <c r="B331" s="95"/>
      <c r="E331" s="96"/>
      <c r="F331" s="85"/>
    </row>
    <row r="332">
      <c r="B332" s="95"/>
      <c r="E332" s="96"/>
      <c r="F332" s="85"/>
    </row>
    <row r="333">
      <c r="B333" s="95"/>
      <c r="E333" s="96"/>
      <c r="F333" s="85"/>
    </row>
    <row r="334">
      <c r="B334" s="95"/>
      <c r="E334" s="96"/>
      <c r="F334" s="85"/>
    </row>
    <row r="335">
      <c r="B335" s="95"/>
      <c r="E335" s="96"/>
      <c r="F335" s="85"/>
    </row>
    <row r="336">
      <c r="B336" s="95"/>
      <c r="E336" s="96"/>
      <c r="F336" s="85"/>
    </row>
    <row r="337">
      <c r="B337" s="95"/>
      <c r="E337" s="96"/>
      <c r="F337" s="85"/>
    </row>
    <row r="338">
      <c r="B338" s="95"/>
      <c r="E338" s="96"/>
      <c r="F338" s="85"/>
    </row>
    <row r="339">
      <c r="B339" s="95"/>
      <c r="E339" s="96"/>
      <c r="F339" s="85"/>
    </row>
    <row r="340">
      <c r="B340" s="95"/>
      <c r="E340" s="96"/>
      <c r="F340" s="85"/>
    </row>
    <row r="341">
      <c r="B341" s="95"/>
      <c r="E341" s="96"/>
      <c r="F341" s="85"/>
    </row>
    <row r="342">
      <c r="B342" s="95"/>
      <c r="E342" s="96"/>
      <c r="F342" s="85"/>
    </row>
    <row r="343">
      <c r="B343" s="95"/>
      <c r="E343" s="96"/>
      <c r="F343" s="85"/>
    </row>
    <row r="344">
      <c r="B344" s="95"/>
      <c r="E344" s="96"/>
      <c r="F344" s="85"/>
    </row>
    <row r="345">
      <c r="B345" s="95"/>
      <c r="E345" s="96"/>
      <c r="F345" s="85"/>
    </row>
    <row r="346">
      <c r="B346" s="95"/>
      <c r="E346" s="96"/>
      <c r="F346" s="85"/>
    </row>
    <row r="347">
      <c r="B347" s="95"/>
      <c r="E347" s="96"/>
      <c r="F347" s="85"/>
    </row>
    <row r="348">
      <c r="B348" s="95"/>
      <c r="E348" s="96"/>
      <c r="F348" s="85"/>
    </row>
    <row r="349">
      <c r="B349" s="95"/>
      <c r="E349" s="96"/>
      <c r="F349" s="85"/>
    </row>
    <row r="350">
      <c r="B350" s="95"/>
      <c r="E350" s="96"/>
      <c r="F350" s="85"/>
    </row>
    <row r="351">
      <c r="B351" s="95"/>
      <c r="E351" s="96"/>
      <c r="F351" s="85"/>
    </row>
    <row r="352">
      <c r="B352" s="95"/>
      <c r="E352" s="96"/>
      <c r="F352" s="85"/>
    </row>
    <row r="353">
      <c r="B353" s="95"/>
      <c r="E353" s="96"/>
      <c r="F353" s="85"/>
    </row>
    <row r="354">
      <c r="B354" s="95"/>
      <c r="E354" s="96"/>
      <c r="F354" s="85"/>
    </row>
    <row r="355">
      <c r="B355" s="95"/>
      <c r="E355" s="96"/>
      <c r="F355" s="85"/>
    </row>
    <row r="356">
      <c r="B356" s="95"/>
      <c r="E356" s="96"/>
      <c r="F356" s="85"/>
    </row>
    <row r="357">
      <c r="B357" s="95"/>
      <c r="E357" s="96"/>
      <c r="F357" s="85"/>
    </row>
    <row r="358">
      <c r="B358" s="95"/>
      <c r="E358" s="96"/>
      <c r="F358" s="85"/>
    </row>
    <row r="359">
      <c r="B359" s="95"/>
      <c r="E359" s="96"/>
      <c r="F359" s="85"/>
    </row>
    <row r="360">
      <c r="B360" s="95"/>
      <c r="E360" s="96"/>
      <c r="F360" s="85"/>
    </row>
    <row r="361">
      <c r="B361" s="95"/>
      <c r="E361" s="96"/>
      <c r="F361" s="85"/>
    </row>
    <row r="362">
      <c r="B362" s="95"/>
      <c r="E362" s="96"/>
      <c r="F362" s="85"/>
    </row>
    <row r="363">
      <c r="B363" s="95"/>
      <c r="E363" s="96"/>
      <c r="F363" s="85"/>
    </row>
    <row r="364">
      <c r="B364" s="95"/>
      <c r="E364" s="96"/>
      <c r="F364" s="85"/>
    </row>
    <row r="365">
      <c r="B365" s="95"/>
      <c r="E365" s="96"/>
      <c r="F365" s="85"/>
    </row>
    <row r="366">
      <c r="B366" s="95"/>
      <c r="E366" s="96"/>
      <c r="F366" s="85"/>
    </row>
    <row r="367">
      <c r="B367" s="95"/>
      <c r="E367" s="96"/>
      <c r="F367" s="85"/>
    </row>
    <row r="368">
      <c r="B368" s="95"/>
      <c r="E368" s="96"/>
      <c r="F368" s="85"/>
    </row>
    <row r="369">
      <c r="B369" s="95"/>
      <c r="E369" s="96"/>
      <c r="F369" s="85"/>
    </row>
    <row r="370">
      <c r="B370" s="95"/>
      <c r="E370" s="96"/>
      <c r="F370" s="85"/>
    </row>
    <row r="371">
      <c r="B371" s="95"/>
      <c r="E371" s="96"/>
      <c r="F371" s="85"/>
    </row>
    <row r="372">
      <c r="B372" s="95"/>
      <c r="E372" s="96"/>
      <c r="F372" s="85"/>
    </row>
    <row r="373">
      <c r="B373" s="95"/>
      <c r="E373" s="96"/>
      <c r="F373" s="85"/>
    </row>
    <row r="374">
      <c r="B374" s="95"/>
      <c r="E374" s="96"/>
      <c r="F374" s="85"/>
    </row>
    <row r="375">
      <c r="B375" s="95"/>
      <c r="E375" s="96"/>
      <c r="F375" s="85"/>
    </row>
    <row r="376">
      <c r="B376" s="95"/>
      <c r="E376" s="96"/>
      <c r="F376" s="85"/>
    </row>
    <row r="377">
      <c r="B377" s="95"/>
      <c r="E377" s="96"/>
      <c r="F377" s="85"/>
    </row>
    <row r="378">
      <c r="B378" s="95"/>
      <c r="E378" s="96"/>
      <c r="F378" s="85"/>
    </row>
    <row r="379">
      <c r="B379" s="95"/>
      <c r="E379" s="96"/>
      <c r="F379" s="85"/>
    </row>
    <row r="380">
      <c r="B380" s="95"/>
      <c r="E380" s="96"/>
      <c r="F380" s="85"/>
    </row>
    <row r="381">
      <c r="B381" s="95"/>
      <c r="E381" s="96"/>
      <c r="F381" s="85"/>
    </row>
    <row r="382">
      <c r="B382" s="95"/>
      <c r="E382" s="96"/>
      <c r="F382" s="85"/>
    </row>
    <row r="383">
      <c r="B383" s="95"/>
      <c r="E383" s="96"/>
      <c r="F383" s="85"/>
    </row>
    <row r="384">
      <c r="B384" s="95"/>
      <c r="E384" s="96"/>
      <c r="F384" s="85"/>
    </row>
    <row r="385">
      <c r="B385" s="95"/>
      <c r="E385" s="96"/>
      <c r="F385" s="85"/>
    </row>
    <row r="386">
      <c r="B386" s="95"/>
      <c r="E386" s="96"/>
      <c r="F386" s="85"/>
    </row>
    <row r="387">
      <c r="B387" s="95"/>
      <c r="E387" s="96"/>
      <c r="F387" s="85"/>
    </row>
    <row r="388">
      <c r="B388" s="95"/>
      <c r="E388" s="96"/>
      <c r="F388" s="85"/>
    </row>
    <row r="389">
      <c r="B389" s="95"/>
      <c r="E389" s="96"/>
      <c r="F389" s="85"/>
    </row>
    <row r="390">
      <c r="B390" s="95"/>
      <c r="E390" s="96"/>
      <c r="F390" s="85"/>
    </row>
    <row r="391">
      <c r="B391" s="95"/>
      <c r="E391" s="96"/>
      <c r="F391" s="85"/>
    </row>
    <row r="392">
      <c r="B392" s="95"/>
      <c r="E392" s="96"/>
      <c r="F392" s="85"/>
    </row>
    <row r="393">
      <c r="B393" s="95"/>
      <c r="E393" s="96"/>
      <c r="F393" s="85"/>
    </row>
    <row r="394">
      <c r="B394" s="95"/>
      <c r="E394" s="96"/>
      <c r="F394" s="85"/>
    </row>
    <row r="395">
      <c r="B395" s="95"/>
      <c r="E395" s="96"/>
      <c r="F395" s="85"/>
    </row>
    <row r="396">
      <c r="B396" s="95"/>
      <c r="E396" s="96"/>
      <c r="F396" s="85"/>
    </row>
    <row r="397">
      <c r="B397" s="95"/>
      <c r="E397" s="96"/>
      <c r="F397" s="85"/>
    </row>
    <row r="398">
      <c r="B398" s="95"/>
      <c r="E398" s="96"/>
      <c r="F398" s="85"/>
    </row>
    <row r="399">
      <c r="B399" s="95"/>
      <c r="E399" s="96"/>
      <c r="F399" s="85"/>
    </row>
    <row r="400">
      <c r="B400" s="95"/>
      <c r="E400" s="96"/>
      <c r="F400" s="85"/>
    </row>
    <row r="401">
      <c r="B401" s="95"/>
      <c r="E401" s="96"/>
      <c r="F401" s="85"/>
    </row>
    <row r="402">
      <c r="B402" s="95"/>
      <c r="E402" s="96"/>
      <c r="F402" s="85"/>
    </row>
    <row r="403">
      <c r="B403" s="95"/>
      <c r="E403" s="96"/>
      <c r="F403" s="85"/>
    </row>
    <row r="404">
      <c r="B404" s="95"/>
      <c r="E404" s="96"/>
      <c r="F404" s="85"/>
    </row>
    <row r="405">
      <c r="B405" s="95"/>
      <c r="E405" s="96"/>
      <c r="F405" s="85"/>
    </row>
    <row r="406">
      <c r="B406" s="95"/>
      <c r="E406" s="96"/>
      <c r="F406" s="85"/>
    </row>
    <row r="407">
      <c r="B407" s="95"/>
      <c r="E407" s="96"/>
      <c r="F407" s="85"/>
    </row>
    <row r="408">
      <c r="B408" s="95"/>
      <c r="E408" s="96"/>
      <c r="F408" s="85"/>
    </row>
    <row r="409">
      <c r="B409" s="95"/>
      <c r="E409" s="96"/>
      <c r="F409" s="85"/>
    </row>
    <row r="410">
      <c r="B410" s="95"/>
      <c r="E410" s="96"/>
      <c r="F410" s="85"/>
    </row>
    <row r="411">
      <c r="B411" s="95"/>
      <c r="E411" s="96"/>
      <c r="F411" s="85"/>
    </row>
    <row r="412">
      <c r="B412" s="95"/>
      <c r="E412" s="96"/>
      <c r="F412" s="85"/>
    </row>
    <row r="413">
      <c r="B413" s="95"/>
      <c r="E413" s="96"/>
      <c r="F413" s="85"/>
    </row>
    <row r="414">
      <c r="B414" s="95"/>
      <c r="E414" s="96"/>
      <c r="F414" s="85"/>
    </row>
    <row r="415">
      <c r="B415" s="95"/>
      <c r="E415" s="96"/>
      <c r="F415" s="85"/>
    </row>
    <row r="416">
      <c r="B416" s="95"/>
      <c r="E416" s="96"/>
      <c r="F416" s="85"/>
    </row>
    <row r="417">
      <c r="B417" s="95"/>
      <c r="E417" s="96"/>
      <c r="F417" s="85"/>
    </row>
    <row r="418">
      <c r="B418" s="95"/>
      <c r="E418" s="96"/>
      <c r="F418" s="85"/>
    </row>
    <row r="419">
      <c r="B419" s="95"/>
      <c r="E419" s="96"/>
      <c r="F419" s="85"/>
    </row>
    <row r="420">
      <c r="B420" s="95"/>
      <c r="E420" s="96"/>
      <c r="F420" s="85"/>
    </row>
    <row r="421">
      <c r="B421" s="95"/>
      <c r="E421" s="96"/>
      <c r="F421" s="85"/>
    </row>
    <row r="422">
      <c r="B422" s="95"/>
      <c r="E422" s="96"/>
      <c r="F422" s="85"/>
    </row>
    <row r="423">
      <c r="B423" s="95"/>
      <c r="E423" s="96"/>
      <c r="F423" s="85"/>
    </row>
    <row r="424">
      <c r="B424" s="95"/>
      <c r="E424" s="96"/>
      <c r="F424" s="85"/>
    </row>
    <row r="425">
      <c r="B425" s="95"/>
      <c r="E425" s="96"/>
      <c r="F425" s="85"/>
    </row>
    <row r="426">
      <c r="B426" s="95"/>
      <c r="E426" s="96"/>
      <c r="F426" s="85"/>
    </row>
    <row r="427">
      <c r="B427" s="95"/>
      <c r="E427" s="96"/>
      <c r="F427" s="85"/>
    </row>
    <row r="428">
      <c r="B428" s="95"/>
      <c r="E428" s="96"/>
      <c r="F428" s="85"/>
    </row>
    <row r="429">
      <c r="B429" s="95"/>
      <c r="E429" s="96"/>
      <c r="F429" s="85"/>
    </row>
    <row r="430">
      <c r="B430" s="95"/>
      <c r="E430" s="96"/>
      <c r="F430" s="85"/>
    </row>
    <row r="431">
      <c r="B431" s="95"/>
      <c r="E431" s="96"/>
      <c r="F431" s="85"/>
    </row>
    <row r="432">
      <c r="B432" s="95"/>
      <c r="E432" s="96"/>
      <c r="F432" s="85"/>
    </row>
    <row r="433">
      <c r="B433" s="95"/>
      <c r="E433" s="96"/>
      <c r="F433" s="85"/>
    </row>
    <row r="434">
      <c r="B434" s="95"/>
      <c r="E434" s="96"/>
      <c r="F434" s="85"/>
    </row>
    <row r="435">
      <c r="B435" s="95"/>
      <c r="E435" s="96"/>
      <c r="F435" s="85"/>
    </row>
    <row r="436">
      <c r="B436" s="95"/>
      <c r="E436" s="96"/>
      <c r="F436" s="85"/>
    </row>
    <row r="437">
      <c r="B437" s="95"/>
      <c r="E437" s="96"/>
      <c r="F437" s="85"/>
    </row>
    <row r="438">
      <c r="B438" s="95"/>
      <c r="E438" s="96"/>
      <c r="F438" s="85"/>
    </row>
    <row r="439">
      <c r="B439" s="95"/>
      <c r="E439" s="96"/>
      <c r="F439" s="85"/>
    </row>
    <row r="440">
      <c r="B440" s="95"/>
      <c r="E440" s="96"/>
      <c r="F440" s="85"/>
    </row>
    <row r="441">
      <c r="B441" s="95"/>
      <c r="E441" s="96"/>
      <c r="F441" s="85"/>
    </row>
    <row r="442">
      <c r="B442" s="95"/>
      <c r="E442" s="96"/>
      <c r="F442" s="85"/>
    </row>
    <row r="443">
      <c r="B443" s="95"/>
      <c r="E443" s="96"/>
      <c r="F443" s="85"/>
    </row>
    <row r="444">
      <c r="B444" s="95"/>
      <c r="E444" s="96"/>
      <c r="F444" s="85"/>
    </row>
    <row r="445">
      <c r="B445" s="95"/>
      <c r="E445" s="96"/>
      <c r="F445" s="85"/>
    </row>
    <row r="446">
      <c r="B446" s="95"/>
      <c r="E446" s="96"/>
      <c r="F446" s="85"/>
    </row>
    <row r="447">
      <c r="B447" s="95"/>
      <c r="E447" s="96"/>
      <c r="F447" s="85"/>
    </row>
    <row r="448">
      <c r="B448" s="95"/>
      <c r="E448" s="96"/>
      <c r="F448" s="85"/>
    </row>
    <row r="449">
      <c r="B449" s="95"/>
      <c r="E449" s="96"/>
      <c r="F449" s="85"/>
    </row>
    <row r="450">
      <c r="B450" s="95"/>
      <c r="E450" s="96"/>
      <c r="F450" s="85"/>
    </row>
    <row r="451">
      <c r="B451" s="95"/>
      <c r="E451" s="96"/>
      <c r="F451" s="85"/>
    </row>
    <row r="452">
      <c r="B452" s="95"/>
      <c r="E452" s="96"/>
      <c r="F452" s="85"/>
    </row>
    <row r="453">
      <c r="B453" s="95"/>
      <c r="E453" s="96"/>
      <c r="F453" s="85"/>
    </row>
    <row r="454">
      <c r="B454" s="95"/>
      <c r="E454" s="96"/>
      <c r="F454" s="85"/>
    </row>
    <row r="455">
      <c r="B455" s="95"/>
      <c r="E455" s="96"/>
      <c r="F455" s="85"/>
    </row>
    <row r="456">
      <c r="B456" s="95"/>
      <c r="E456" s="96"/>
      <c r="F456" s="85"/>
    </row>
    <row r="457">
      <c r="B457" s="95"/>
      <c r="E457" s="96"/>
      <c r="F457" s="85"/>
    </row>
    <row r="458">
      <c r="B458" s="95"/>
      <c r="E458" s="96"/>
      <c r="F458" s="85"/>
    </row>
    <row r="459">
      <c r="B459" s="95"/>
      <c r="E459" s="96"/>
      <c r="F459" s="85"/>
    </row>
    <row r="460">
      <c r="B460" s="95"/>
      <c r="E460" s="96"/>
      <c r="F460" s="85"/>
    </row>
    <row r="461">
      <c r="B461" s="95"/>
      <c r="E461" s="96"/>
      <c r="F461" s="85"/>
    </row>
    <row r="462">
      <c r="B462" s="95"/>
      <c r="E462" s="96"/>
      <c r="F462" s="85"/>
    </row>
    <row r="463">
      <c r="B463" s="95"/>
      <c r="E463" s="96"/>
      <c r="F463" s="85"/>
    </row>
    <row r="464">
      <c r="B464" s="95"/>
      <c r="E464" s="96"/>
      <c r="F464" s="85"/>
    </row>
    <row r="465">
      <c r="B465" s="95"/>
      <c r="E465" s="96"/>
      <c r="F465" s="85"/>
    </row>
    <row r="466">
      <c r="B466" s="95"/>
      <c r="E466" s="96"/>
      <c r="F466" s="85"/>
    </row>
    <row r="467">
      <c r="B467" s="95"/>
      <c r="E467" s="96"/>
      <c r="F467" s="85"/>
    </row>
    <row r="468">
      <c r="B468" s="95"/>
      <c r="E468" s="96"/>
      <c r="F468" s="85"/>
    </row>
    <row r="469">
      <c r="B469" s="95"/>
      <c r="E469" s="96"/>
      <c r="F469" s="85"/>
    </row>
    <row r="470">
      <c r="B470" s="95"/>
      <c r="E470" s="96"/>
      <c r="F470" s="85"/>
    </row>
    <row r="471">
      <c r="B471" s="95"/>
      <c r="E471" s="96"/>
      <c r="F471" s="85"/>
    </row>
    <row r="472">
      <c r="B472" s="95"/>
      <c r="E472" s="96"/>
      <c r="F472" s="85"/>
    </row>
    <row r="473">
      <c r="B473" s="95"/>
      <c r="E473" s="96"/>
      <c r="F473" s="85"/>
    </row>
    <row r="474">
      <c r="B474" s="95"/>
      <c r="E474" s="96"/>
      <c r="F474" s="85"/>
    </row>
    <row r="475">
      <c r="B475" s="95"/>
      <c r="E475" s="96"/>
      <c r="F475" s="85"/>
    </row>
    <row r="476">
      <c r="B476" s="95"/>
      <c r="E476" s="96"/>
      <c r="F476" s="85"/>
    </row>
    <row r="477">
      <c r="B477" s="95"/>
      <c r="E477" s="96"/>
      <c r="F477" s="85"/>
    </row>
    <row r="478">
      <c r="B478" s="95"/>
      <c r="E478" s="96"/>
      <c r="F478" s="85"/>
    </row>
    <row r="479">
      <c r="B479" s="95"/>
      <c r="E479" s="96"/>
      <c r="F479" s="85"/>
    </row>
    <row r="480">
      <c r="B480" s="95"/>
      <c r="E480" s="96"/>
      <c r="F480" s="85"/>
    </row>
    <row r="481">
      <c r="B481" s="95"/>
      <c r="E481" s="96"/>
      <c r="F481" s="85"/>
    </row>
    <row r="482">
      <c r="B482" s="95"/>
      <c r="E482" s="96"/>
      <c r="F482" s="85"/>
    </row>
    <row r="483">
      <c r="B483" s="95"/>
      <c r="E483" s="96"/>
      <c r="F483" s="85"/>
    </row>
    <row r="484">
      <c r="B484" s="95"/>
      <c r="E484" s="96"/>
      <c r="F484" s="85"/>
    </row>
    <row r="485">
      <c r="B485" s="95"/>
      <c r="E485" s="96"/>
      <c r="F485" s="85"/>
    </row>
    <row r="486">
      <c r="B486" s="95"/>
      <c r="E486" s="96"/>
      <c r="F486" s="85"/>
    </row>
    <row r="487">
      <c r="B487" s="95"/>
      <c r="E487" s="96"/>
      <c r="F487" s="85"/>
    </row>
    <row r="488">
      <c r="B488" s="95"/>
      <c r="E488" s="96"/>
      <c r="F488" s="85"/>
    </row>
    <row r="489">
      <c r="B489" s="95"/>
      <c r="E489" s="96"/>
      <c r="F489" s="85"/>
    </row>
    <row r="490">
      <c r="B490" s="95"/>
      <c r="E490" s="96"/>
      <c r="F490" s="85"/>
    </row>
    <row r="491">
      <c r="B491" s="95"/>
      <c r="E491" s="96"/>
      <c r="F491" s="85"/>
    </row>
    <row r="492">
      <c r="B492" s="95"/>
      <c r="E492" s="96"/>
      <c r="F492" s="85"/>
    </row>
    <row r="493">
      <c r="B493" s="95"/>
      <c r="E493" s="96"/>
      <c r="F493" s="85"/>
    </row>
    <row r="494">
      <c r="B494" s="95"/>
      <c r="E494" s="96"/>
      <c r="F494" s="85"/>
    </row>
    <row r="495">
      <c r="B495" s="95"/>
      <c r="E495" s="96"/>
      <c r="F495" s="85"/>
    </row>
    <row r="496">
      <c r="B496" s="95"/>
      <c r="E496" s="96"/>
      <c r="F496" s="85"/>
    </row>
    <row r="497">
      <c r="B497" s="95"/>
      <c r="E497" s="96"/>
      <c r="F497" s="85"/>
    </row>
    <row r="498">
      <c r="B498" s="95"/>
      <c r="E498" s="96"/>
      <c r="F498" s="85"/>
    </row>
    <row r="499">
      <c r="B499" s="95"/>
      <c r="E499" s="96"/>
      <c r="F499" s="85"/>
    </row>
    <row r="500">
      <c r="B500" s="95"/>
      <c r="E500" s="96"/>
      <c r="F500" s="85"/>
    </row>
    <row r="501">
      <c r="B501" s="95"/>
      <c r="E501" s="96"/>
      <c r="F501" s="85"/>
    </row>
    <row r="502">
      <c r="B502" s="95"/>
      <c r="E502" s="96"/>
      <c r="F502" s="85"/>
    </row>
    <row r="503">
      <c r="B503" s="95"/>
      <c r="E503" s="96"/>
      <c r="F503" s="85"/>
    </row>
    <row r="504">
      <c r="B504" s="95"/>
      <c r="E504" s="96"/>
      <c r="F504" s="85"/>
    </row>
    <row r="505">
      <c r="B505" s="95"/>
      <c r="E505" s="96"/>
      <c r="F505" s="85"/>
    </row>
    <row r="506">
      <c r="B506" s="95"/>
      <c r="E506" s="96"/>
      <c r="F506" s="85"/>
    </row>
    <row r="507">
      <c r="B507" s="95"/>
      <c r="E507" s="96"/>
      <c r="F507" s="85"/>
    </row>
    <row r="508">
      <c r="B508" s="95"/>
      <c r="E508" s="96"/>
      <c r="F508" s="85"/>
    </row>
    <row r="509">
      <c r="B509" s="95"/>
      <c r="E509" s="96"/>
      <c r="F509" s="85"/>
    </row>
    <row r="510">
      <c r="B510" s="95"/>
      <c r="E510" s="96"/>
      <c r="F510" s="85"/>
    </row>
    <row r="511">
      <c r="B511" s="95"/>
      <c r="E511" s="96"/>
      <c r="F511" s="85"/>
    </row>
    <row r="512">
      <c r="B512" s="95"/>
      <c r="E512" s="96"/>
      <c r="F512" s="85"/>
    </row>
    <row r="513">
      <c r="B513" s="95"/>
      <c r="E513" s="96"/>
      <c r="F513" s="85"/>
    </row>
    <row r="514">
      <c r="B514" s="95"/>
      <c r="E514" s="96"/>
      <c r="F514" s="85"/>
    </row>
    <row r="515">
      <c r="B515" s="95"/>
      <c r="E515" s="96"/>
      <c r="F515" s="85"/>
    </row>
    <row r="516">
      <c r="B516" s="95"/>
      <c r="E516" s="96"/>
      <c r="F516" s="85"/>
    </row>
    <row r="517">
      <c r="B517" s="95"/>
      <c r="E517" s="96"/>
      <c r="F517" s="85"/>
    </row>
    <row r="518">
      <c r="B518" s="95"/>
      <c r="E518" s="96"/>
      <c r="F518" s="85"/>
    </row>
    <row r="519">
      <c r="B519" s="95"/>
      <c r="E519" s="96"/>
      <c r="F519" s="85"/>
    </row>
    <row r="520">
      <c r="B520" s="95"/>
      <c r="E520" s="96"/>
      <c r="F520" s="85"/>
    </row>
    <row r="521">
      <c r="B521" s="95"/>
      <c r="E521" s="96"/>
      <c r="F521" s="85"/>
    </row>
    <row r="522">
      <c r="B522" s="95"/>
      <c r="E522" s="96"/>
      <c r="F522" s="85"/>
    </row>
    <row r="523">
      <c r="B523" s="95"/>
      <c r="E523" s="96"/>
      <c r="F523" s="85"/>
    </row>
    <row r="524">
      <c r="B524" s="95"/>
      <c r="E524" s="96"/>
      <c r="F524" s="85"/>
    </row>
    <row r="525">
      <c r="B525" s="95"/>
      <c r="E525" s="96"/>
      <c r="F525" s="85"/>
    </row>
    <row r="526">
      <c r="B526" s="95"/>
      <c r="E526" s="96"/>
      <c r="F526" s="85"/>
    </row>
    <row r="527">
      <c r="B527" s="95"/>
      <c r="E527" s="96"/>
      <c r="F527" s="85"/>
    </row>
    <row r="528">
      <c r="B528" s="95"/>
      <c r="E528" s="96"/>
      <c r="F528" s="85"/>
    </row>
    <row r="529">
      <c r="B529" s="95"/>
      <c r="E529" s="96"/>
      <c r="F529" s="85"/>
    </row>
    <row r="530">
      <c r="B530" s="95"/>
      <c r="E530" s="96"/>
      <c r="F530" s="85"/>
    </row>
    <row r="531">
      <c r="B531" s="95"/>
      <c r="E531" s="96"/>
      <c r="F531" s="85"/>
    </row>
    <row r="532">
      <c r="B532" s="95"/>
      <c r="E532" s="96"/>
      <c r="F532" s="85"/>
    </row>
    <row r="533">
      <c r="B533" s="95"/>
      <c r="E533" s="96"/>
      <c r="F533" s="85"/>
    </row>
    <row r="534">
      <c r="B534" s="95"/>
      <c r="E534" s="96"/>
      <c r="F534" s="85"/>
    </row>
    <row r="535">
      <c r="B535" s="95"/>
      <c r="E535" s="96"/>
      <c r="F535" s="85"/>
    </row>
    <row r="536">
      <c r="B536" s="95"/>
      <c r="E536" s="96"/>
      <c r="F536" s="85"/>
    </row>
    <row r="537">
      <c r="B537" s="95"/>
      <c r="E537" s="96"/>
      <c r="F537" s="85"/>
    </row>
    <row r="538">
      <c r="B538" s="95"/>
      <c r="E538" s="96"/>
      <c r="F538" s="85"/>
    </row>
    <row r="539">
      <c r="B539" s="95"/>
      <c r="E539" s="96"/>
      <c r="F539" s="85"/>
    </row>
    <row r="540">
      <c r="B540" s="95"/>
      <c r="E540" s="96"/>
      <c r="F540" s="85"/>
    </row>
    <row r="541">
      <c r="B541" s="95"/>
      <c r="E541" s="96"/>
      <c r="F541" s="85"/>
    </row>
    <row r="542">
      <c r="B542" s="95"/>
      <c r="E542" s="96"/>
      <c r="F542" s="85"/>
    </row>
    <row r="543">
      <c r="B543" s="95"/>
      <c r="E543" s="96"/>
      <c r="F543" s="85"/>
    </row>
    <row r="544">
      <c r="B544" s="95"/>
      <c r="E544" s="96"/>
      <c r="F544" s="85"/>
    </row>
    <row r="545">
      <c r="B545" s="95"/>
      <c r="E545" s="96"/>
      <c r="F545" s="85"/>
    </row>
    <row r="546">
      <c r="B546" s="95"/>
      <c r="E546" s="96"/>
      <c r="F546" s="85"/>
    </row>
    <row r="547">
      <c r="B547" s="95"/>
      <c r="E547" s="96"/>
      <c r="F547" s="85"/>
    </row>
    <row r="548">
      <c r="B548" s="95"/>
      <c r="E548" s="96"/>
      <c r="F548" s="85"/>
    </row>
    <row r="549">
      <c r="B549" s="95"/>
      <c r="E549" s="96"/>
      <c r="F549" s="85"/>
    </row>
    <row r="550">
      <c r="B550" s="95"/>
      <c r="E550" s="96"/>
      <c r="F550" s="85"/>
    </row>
    <row r="551">
      <c r="B551" s="95"/>
      <c r="E551" s="96"/>
      <c r="F551" s="85"/>
    </row>
    <row r="552">
      <c r="B552" s="95"/>
      <c r="E552" s="96"/>
      <c r="F552" s="85"/>
    </row>
    <row r="553">
      <c r="B553" s="95"/>
      <c r="E553" s="96"/>
      <c r="F553" s="85"/>
    </row>
    <row r="554">
      <c r="B554" s="95"/>
      <c r="E554" s="96"/>
      <c r="F554" s="85"/>
    </row>
    <row r="555">
      <c r="B555" s="95"/>
      <c r="E555" s="96"/>
      <c r="F555" s="85"/>
    </row>
    <row r="556">
      <c r="B556" s="95"/>
      <c r="E556" s="96"/>
      <c r="F556" s="85"/>
    </row>
    <row r="557">
      <c r="B557" s="95"/>
      <c r="E557" s="96"/>
      <c r="F557" s="85"/>
    </row>
    <row r="558">
      <c r="B558" s="95"/>
      <c r="E558" s="96"/>
      <c r="F558" s="85"/>
    </row>
    <row r="559">
      <c r="B559" s="95"/>
      <c r="E559" s="96"/>
      <c r="F559" s="85"/>
    </row>
    <row r="560">
      <c r="B560" s="95"/>
      <c r="E560" s="96"/>
      <c r="F560" s="85"/>
    </row>
    <row r="561">
      <c r="B561" s="95"/>
      <c r="E561" s="96"/>
      <c r="F561" s="85"/>
    </row>
    <row r="562">
      <c r="B562" s="95"/>
      <c r="E562" s="96"/>
      <c r="F562" s="85"/>
    </row>
    <row r="563">
      <c r="B563" s="95"/>
      <c r="E563" s="96"/>
      <c r="F563" s="85"/>
    </row>
    <row r="564">
      <c r="B564" s="95"/>
      <c r="E564" s="96"/>
      <c r="F564" s="85"/>
    </row>
    <row r="565">
      <c r="B565" s="95"/>
      <c r="E565" s="96"/>
      <c r="F565" s="85"/>
    </row>
    <row r="566">
      <c r="B566" s="95"/>
      <c r="E566" s="96"/>
      <c r="F566" s="85"/>
    </row>
    <row r="567">
      <c r="B567" s="95"/>
      <c r="E567" s="96"/>
      <c r="F567" s="85"/>
    </row>
    <row r="568">
      <c r="B568" s="95"/>
      <c r="E568" s="96"/>
      <c r="F568" s="85"/>
    </row>
    <row r="569">
      <c r="B569" s="95"/>
      <c r="E569" s="96"/>
      <c r="F569" s="85"/>
    </row>
    <row r="570">
      <c r="B570" s="95"/>
      <c r="E570" s="96"/>
      <c r="F570" s="85"/>
    </row>
    <row r="571">
      <c r="B571" s="95"/>
      <c r="E571" s="96"/>
      <c r="F571" s="85"/>
    </row>
    <row r="572">
      <c r="B572" s="95"/>
      <c r="E572" s="96"/>
      <c r="F572" s="85"/>
    </row>
    <row r="573">
      <c r="B573" s="95"/>
      <c r="E573" s="96"/>
      <c r="F573" s="85"/>
    </row>
    <row r="574">
      <c r="B574" s="95"/>
      <c r="E574" s="96"/>
      <c r="F574" s="85"/>
    </row>
    <row r="575">
      <c r="B575" s="95"/>
      <c r="E575" s="96"/>
      <c r="F575" s="85"/>
    </row>
    <row r="576">
      <c r="B576" s="95"/>
      <c r="E576" s="96"/>
      <c r="F576" s="85"/>
    </row>
    <row r="577">
      <c r="B577" s="95"/>
      <c r="E577" s="96"/>
      <c r="F577" s="85"/>
    </row>
    <row r="578">
      <c r="B578" s="95"/>
      <c r="E578" s="96"/>
      <c r="F578" s="85"/>
    </row>
    <row r="579">
      <c r="B579" s="95"/>
      <c r="E579" s="96"/>
      <c r="F579" s="85"/>
    </row>
    <row r="580">
      <c r="B580" s="95"/>
      <c r="E580" s="96"/>
      <c r="F580" s="85"/>
    </row>
    <row r="581">
      <c r="B581" s="95"/>
      <c r="E581" s="96"/>
      <c r="F581" s="85"/>
    </row>
    <row r="582">
      <c r="B582" s="95"/>
      <c r="E582" s="96"/>
      <c r="F582" s="85"/>
    </row>
    <row r="583">
      <c r="B583" s="95"/>
      <c r="E583" s="96"/>
      <c r="F583" s="85"/>
    </row>
    <row r="584">
      <c r="B584" s="95"/>
      <c r="E584" s="96"/>
      <c r="F584" s="85"/>
    </row>
    <row r="585">
      <c r="B585" s="95"/>
      <c r="E585" s="96"/>
      <c r="F585" s="85"/>
    </row>
    <row r="586">
      <c r="B586" s="95"/>
      <c r="E586" s="96"/>
      <c r="F586" s="85"/>
    </row>
    <row r="587">
      <c r="B587" s="95"/>
      <c r="E587" s="96"/>
      <c r="F587" s="85"/>
    </row>
    <row r="588">
      <c r="B588" s="95"/>
      <c r="E588" s="96"/>
      <c r="F588" s="85"/>
    </row>
    <row r="589">
      <c r="B589" s="95"/>
      <c r="E589" s="96"/>
      <c r="F589" s="85"/>
    </row>
    <row r="590">
      <c r="B590" s="95"/>
      <c r="E590" s="96"/>
      <c r="F590" s="85"/>
    </row>
    <row r="591">
      <c r="B591" s="95"/>
      <c r="E591" s="96"/>
      <c r="F591" s="85"/>
    </row>
    <row r="592">
      <c r="B592" s="95"/>
      <c r="E592" s="96"/>
      <c r="F592" s="85"/>
    </row>
    <row r="593">
      <c r="B593" s="95"/>
      <c r="E593" s="96"/>
      <c r="F593" s="85"/>
    </row>
    <row r="594">
      <c r="B594" s="95"/>
      <c r="E594" s="96"/>
      <c r="F594" s="85"/>
    </row>
    <row r="595">
      <c r="B595" s="95"/>
      <c r="E595" s="96"/>
      <c r="F595" s="85"/>
    </row>
    <row r="596">
      <c r="B596" s="95"/>
      <c r="E596" s="96"/>
      <c r="F596" s="85"/>
    </row>
    <row r="597">
      <c r="B597" s="95"/>
      <c r="E597" s="96"/>
      <c r="F597" s="85"/>
    </row>
    <row r="598">
      <c r="B598" s="95"/>
      <c r="E598" s="96"/>
      <c r="F598" s="85"/>
    </row>
    <row r="599">
      <c r="B599" s="95"/>
      <c r="E599" s="96"/>
      <c r="F599" s="85"/>
    </row>
    <row r="600">
      <c r="B600" s="95"/>
      <c r="E600" s="96"/>
      <c r="F600" s="85"/>
    </row>
    <row r="601">
      <c r="B601" s="95"/>
      <c r="E601" s="96"/>
      <c r="F601" s="85"/>
    </row>
    <row r="602">
      <c r="B602" s="95"/>
      <c r="E602" s="96"/>
      <c r="F602" s="85"/>
    </row>
    <row r="603">
      <c r="B603" s="95"/>
      <c r="E603" s="96"/>
      <c r="F603" s="85"/>
    </row>
    <row r="604">
      <c r="B604" s="95"/>
      <c r="E604" s="96"/>
      <c r="F604" s="85"/>
    </row>
    <row r="605">
      <c r="B605" s="95"/>
      <c r="E605" s="96"/>
      <c r="F605" s="85"/>
    </row>
    <row r="606">
      <c r="B606" s="95"/>
      <c r="E606" s="96"/>
      <c r="F606" s="85"/>
    </row>
    <row r="607">
      <c r="B607" s="95"/>
      <c r="E607" s="96"/>
      <c r="F607" s="85"/>
    </row>
    <row r="608">
      <c r="B608" s="95"/>
      <c r="E608" s="96"/>
      <c r="F608" s="85"/>
    </row>
    <row r="609">
      <c r="B609" s="95"/>
      <c r="E609" s="96"/>
      <c r="F609" s="85"/>
    </row>
    <row r="610">
      <c r="B610" s="95"/>
      <c r="E610" s="96"/>
      <c r="F610" s="85"/>
    </row>
    <row r="611">
      <c r="B611" s="95"/>
      <c r="E611" s="96"/>
      <c r="F611" s="85"/>
    </row>
    <row r="612">
      <c r="B612" s="95"/>
      <c r="E612" s="96"/>
      <c r="F612" s="85"/>
    </row>
    <row r="613">
      <c r="B613" s="95"/>
      <c r="E613" s="96"/>
      <c r="F613" s="85"/>
    </row>
    <row r="614">
      <c r="B614" s="95"/>
      <c r="E614" s="96"/>
      <c r="F614" s="85"/>
    </row>
    <row r="615">
      <c r="B615" s="95"/>
      <c r="E615" s="96"/>
      <c r="F615" s="85"/>
    </row>
    <row r="616">
      <c r="B616" s="95"/>
      <c r="E616" s="96"/>
      <c r="F616" s="85"/>
    </row>
    <row r="617">
      <c r="B617" s="95"/>
      <c r="E617" s="96"/>
      <c r="F617" s="85"/>
    </row>
    <row r="618">
      <c r="B618" s="95"/>
      <c r="E618" s="96"/>
      <c r="F618" s="85"/>
    </row>
    <row r="619">
      <c r="B619" s="95"/>
      <c r="E619" s="96"/>
      <c r="F619" s="85"/>
    </row>
    <row r="620">
      <c r="B620" s="95"/>
      <c r="E620" s="96"/>
      <c r="F620" s="85"/>
    </row>
    <row r="621">
      <c r="B621" s="95"/>
      <c r="E621" s="96"/>
      <c r="F621" s="85"/>
    </row>
    <row r="622">
      <c r="B622" s="95"/>
      <c r="E622" s="96"/>
      <c r="F622" s="85"/>
    </row>
    <row r="623">
      <c r="B623" s="95"/>
      <c r="E623" s="96"/>
      <c r="F623" s="85"/>
    </row>
    <row r="624">
      <c r="B624" s="95"/>
      <c r="E624" s="96"/>
      <c r="F624" s="85"/>
    </row>
    <row r="625">
      <c r="B625" s="95"/>
      <c r="E625" s="96"/>
      <c r="F625" s="85"/>
    </row>
    <row r="626">
      <c r="B626" s="95"/>
      <c r="E626" s="96"/>
      <c r="F626" s="85"/>
    </row>
    <row r="627">
      <c r="B627" s="95"/>
      <c r="E627" s="96"/>
      <c r="F627" s="85"/>
    </row>
    <row r="628">
      <c r="B628" s="95"/>
      <c r="E628" s="96"/>
      <c r="F628" s="85"/>
    </row>
    <row r="629">
      <c r="B629" s="95"/>
      <c r="E629" s="96"/>
      <c r="F629" s="85"/>
    </row>
    <row r="630">
      <c r="B630" s="95"/>
      <c r="E630" s="96"/>
      <c r="F630" s="85"/>
    </row>
    <row r="631">
      <c r="B631" s="95"/>
      <c r="E631" s="96"/>
      <c r="F631" s="85"/>
    </row>
    <row r="632">
      <c r="B632" s="95"/>
      <c r="E632" s="96"/>
      <c r="F632" s="85"/>
    </row>
    <row r="633">
      <c r="B633" s="95"/>
      <c r="E633" s="96"/>
      <c r="F633" s="85"/>
    </row>
    <row r="634">
      <c r="B634" s="95"/>
      <c r="E634" s="96"/>
      <c r="F634" s="85"/>
    </row>
    <row r="635">
      <c r="B635" s="95"/>
      <c r="E635" s="96"/>
      <c r="F635" s="85"/>
    </row>
    <row r="636">
      <c r="B636" s="95"/>
      <c r="E636" s="96"/>
      <c r="F636" s="85"/>
    </row>
    <row r="637">
      <c r="B637" s="95"/>
      <c r="E637" s="96"/>
      <c r="F637" s="85"/>
    </row>
    <row r="638">
      <c r="B638" s="95"/>
      <c r="E638" s="96"/>
      <c r="F638" s="85"/>
    </row>
    <row r="639">
      <c r="B639" s="95"/>
      <c r="E639" s="96"/>
      <c r="F639" s="85"/>
    </row>
    <row r="640">
      <c r="B640" s="95"/>
      <c r="E640" s="96"/>
      <c r="F640" s="85"/>
    </row>
    <row r="641">
      <c r="B641" s="95"/>
      <c r="E641" s="96"/>
      <c r="F641" s="85"/>
    </row>
    <row r="642">
      <c r="B642" s="95"/>
      <c r="E642" s="96"/>
      <c r="F642" s="85"/>
    </row>
    <row r="643">
      <c r="B643" s="95"/>
      <c r="E643" s="96"/>
      <c r="F643" s="85"/>
    </row>
    <row r="644">
      <c r="B644" s="95"/>
      <c r="E644" s="96"/>
      <c r="F644" s="85"/>
    </row>
    <row r="645">
      <c r="B645" s="95"/>
      <c r="E645" s="96"/>
      <c r="F645" s="85"/>
    </row>
    <row r="646">
      <c r="B646" s="95"/>
      <c r="E646" s="96"/>
      <c r="F646" s="85"/>
    </row>
    <row r="647">
      <c r="B647" s="95"/>
      <c r="E647" s="96"/>
      <c r="F647" s="85"/>
    </row>
    <row r="648">
      <c r="B648" s="95"/>
      <c r="E648" s="96"/>
      <c r="F648" s="85"/>
    </row>
    <row r="649">
      <c r="B649" s="95"/>
      <c r="E649" s="96"/>
      <c r="F649" s="85"/>
    </row>
    <row r="650">
      <c r="B650" s="95"/>
      <c r="E650" s="96"/>
      <c r="F650" s="85"/>
    </row>
    <row r="651">
      <c r="B651" s="95"/>
      <c r="E651" s="96"/>
      <c r="F651" s="85"/>
    </row>
    <row r="652">
      <c r="B652" s="95"/>
      <c r="E652" s="96"/>
      <c r="F652" s="85"/>
    </row>
    <row r="653">
      <c r="B653" s="95"/>
      <c r="E653" s="96"/>
      <c r="F653" s="85"/>
    </row>
    <row r="654">
      <c r="B654" s="95"/>
      <c r="E654" s="96"/>
      <c r="F654" s="85"/>
    </row>
    <row r="655">
      <c r="B655" s="95"/>
      <c r="E655" s="96"/>
      <c r="F655" s="85"/>
    </row>
    <row r="656">
      <c r="B656" s="95"/>
      <c r="E656" s="96"/>
      <c r="F656" s="85"/>
    </row>
    <row r="657">
      <c r="B657" s="95"/>
      <c r="E657" s="96"/>
      <c r="F657" s="85"/>
    </row>
    <row r="658">
      <c r="B658" s="95"/>
      <c r="E658" s="96"/>
      <c r="F658" s="85"/>
    </row>
    <row r="659">
      <c r="B659" s="95"/>
      <c r="E659" s="96"/>
      <c r="F659" s="85"/>
    </row>
    <row r="660">
      <c r="B660" s="95"/>
      <c r="E660" s="96"/>
      <c r="F660" s="85"/>
    </row>
    <row r="661">
      <c r="B661" s="95"/>
      <c r="E661" s="96"/>
      <c r="F661" s="85"/>
    </row>
    <row r="662">
      <c r="B662" s="95"/>
      <c r="E662" s="96"/>
      <c r="F662" s="85"/>
    </row>
    <row r="663">
      <c r="B663" s="95"/>
      <c r="E663" s="96"/>
      <c r="F663" s="85"/>
    </row>
    <row r="664">
      <c r="B664" s="95"/>
      <c r="E664" s="96"/>
      <c r="F664" s="85"/>
    </row>
    <row r="665">
      <c r="B665" s="95"/>
      <c r="E665" s="96"/>
      <c r="F665" s="85"/>
    </row>
    <row r="666">
      <c r="B666" s="95"/>
      <c r="E666" s="96"/>
      <c r="F666" s="85"/>
    </row>
    <row r="667">
      <c r="B667" s="95"/>
      <c r="E667" s="96"/>
      <c r="F667" s="85"/>
    </row>
    <row r="668">
      <c r="B668" s="95"/>
      <c r="E668" s="96"/>
      <c r="F668" s="85"/>
    </row>
    <row r="669">
      <c r="B669" s="95"/>
      <c r="E669" s="96"/>
      <c r="F669" s="85"/>
    </row>
    <row r="670">
      <c r="B670" s="95"/>
      <c r="E670" s="96"/>
      <c r="F670" s="85"/>
    </row>
    <row r="671">
      <c r="B671" s="95"/>
      <c r="E671" s="96"/>
      <c r="F671" s="85"/>
    </row>
    <row r="672">
      <c r="B672" s="95"/>
      <c r="E672" s="96"/>
      <c r="F672" s="85"/>
    </row>
    <row r="673">
      <c r="B673" s="95"/>
      <c r="E673" s="96"/>
      <c r="F673" s="85"/>
    </row>
    <row r="674">
      <c r="B674" s="95"/>
      <c r="E674" s="96"/>
      <c r="F674" s="85"/>
    </row>
    <row r="675">
      <c r="B675" s="95"/>
      <c r="E675" s="96"/>
      <c r="F675" s="85"/>
    </row>
    <row r="676">
      <c r="B676" s="95"/>
      <c r="E676" s="96"/>
      <c r="F676" s="85"/>
    </row>
    <row r="677">
      <c r="B677" s="95"/>
      <c r="E677" s="96"/>
      <c r="F677" s="85"/>
    </row>
    <row r="678">
      <c r="B678" s="95"/>
      <c r="E678" s="96"/>
      <c r="F678" s="85"/>
    </row>
    <row r="679">
      <c r="B679" s="95"/>
      <c r="E679" s="96"/>
      <c r="F679" s="85"/>
    </row>
    <row r="680">
      <c r="B680" s="95"/>
      <c r="E680" s="96"/>
      <c r="F680" s="85"/>
    </row>
    <row r="681">
      <c r="B681" s="95"/>
      <c r="E681" s="96"/>
      <c r="F681" s="85"/>
    </row>
    <row r="682">
      <c r="B682" s="95"/>
      <c r="E682" s="96"/>
      <c r="F682" s="85"/>
    </row>
    <row r="683">
      <c r="B683" s="95"/>
      <c r="E683" s="96"/>
      <c r="F683" s="85"/>
    </row>
    <row r="684">
      <c r="B684" s="95"/>
      <c r="E684" s="96"/>
      <c r="F684" s="85"/>
    </row>
    <row r="685">
      <c r="B685" s="95"/>
      <c r="E685" s="96"/>
      <c r="F685" s="85"/>
    </row>
    <row r="686">
      <c r="B686" s="95"/>
      <c r="E686" s="96"/>
      <c r="F686" s="85"/>
    </row>
    <row r="687">
      <c r="B687" s="95"/>
      <c r="E687" s="96"/>
      <c r="F687" s="85"/>
    </row>
    <row r="688">
      <c r="B688" s="95"/>
      <c r="E688" s="96"/>
      <c r="F688" s="85"/>
    </row>
    <row r="689">
      <c r="B689" s="95"/>
      <c r="E689" s="96"/>
      <c r="F689" s="85"/>
    </row>
    <row r="690">
      <c r="B690" s="95"/>
      <c r="E690" s="96"/>
      <c r="F690" s="85"/>
    </row>
    <row r="691">
      <c r="B691" s="95"/>
      <c r="E691" s="96"/>
      <c r="F691" s="85"/>
    </row>
    <row r="692">
      <c r="B692" s="95"/>
      <c r="E692" s="96"/>
      <c r="F692" s="85"/>
    </row>
    <row r="693">
      <c r="B693" s="95"/>
      <c r="E693" s="96"/>
      <c r="F693" s="85"/>
    </row>
    <row r="694">
      <c r="B694" s="95"/>
      <c r="E694" s="96"/>
      <c r="F694" s="85"/>
    </row>
    <row r="695">
      <c r="B695" s="95"/>
      <c r="E695" s="96"/>
      <c r="F695" s="85"/>
    </row>
    <row r="696">
      <c r="B696" s="95"/>
      <c r="E696" s="96"/>
      <c r="F696" s="85"/>
    </row>
    <row r="697">
      <c r="B697" s="95"/>
      <c r="E697" s="96"/>
      <c r="F697" s="85"/>
    </row>
    <row r="698">
      <c r="B698" s="95"/>
      <c r="E698" s="96"/>
      <c r="F698" s="85"/>
    </row>
    <row r="699">
      <c r="B699" s="95"/>
      <c r="E699" s="96"/>
      <c r="F699" s="85"/>
    </row>
    <row r="700">
      <c r="B700" s="95"/>
      <c r="E700" s="96"/>
      <c r="F700" s="85"/>
    </row>
    <row r="701">
      <c r="B701" s="95"/>
      <c r="E701" s="96"/>
      <c r="F701" s="85"/>
    </row>
    <row r="702">
      <c r="B702" s="95"/>
      <c r="E702" s="96"/>
      <c r="F702" s="85"/>
    </row>
    <row r="703">
      <c r="B703" s="95"/>
      <c r="E703" s="96"/>
      <c r="F703" s="85"/>
    </row>
    <row r="704">
      <c r="B704" s="95"/>
      <c r="E704" s="96"/>
      <c r="F704" s="85"/>
    </row>
    <row r="705">
      <c r="B705" s="95"/>
      <c r="E705" s="96"/>
      <c r="F705" s="85"/>
    </row>
    <row r="706">
      <c r="B706" s="95"/>
      <c r="E706" s="96"/>
      <c r="F706" s="85"/>
    </row>
    <row r="707">
      <c r="B707" s="95"/>
      <c r="E707" s="96"/>
      <c r="F707" s="85"/>
    </row>
    <row r="708">
      <c r="B708" s="95"/>
      <c r="E708" s="96"/>
      <c r="F708" s="85"/>
    </row>
    <row r="709">
      <c r="B709" s="95"/>
      <c r="E709" s="96"/>
      <c r="F709" s="85"/>
    </row>
    <row r="710">
      <c r="B710" s="95"/>
      <c r="E710" s="96"/>
      <c r="F710" s="85"/>
    </row>
    <row r="711">
      <c r="B711" s="95"/>
      <c r="E711" s="96"/>
      <c r="F711" s="85"/>
    </row>
    <row r="712">
      <c r="B712" s="95"/>
      <c r="E712" s="96"/>
      <c r="F712" s="85"/>
    </row>
    <row r="713">
      <c r="B713" s="95"/>
      <c r="E713" s="96"/>
      <c r="F713" s="85"/>
    </row>
    <row r="714">
      <c r="B714" s="95"/>
      <c r="E714" s="96"/>
      <c r="F714" s="85"/>
    </row>
    <row r="715">
      <c r="B715" s="95"/>
      <c r="E715" s="96"/>
      <c r="F715" s="85"/>
    </row>
    <row r="716">
      <c r="B716" s="95"/>
      <c r="E716" s="96"/>
      <c r="F716" s="85"/>
    </row>
    <row r="717">
      <c r="B717" s="95"/>
      <c r="E717" s="96"/>
      <c r="F717" s="85"/>
    </row>
    <row r="718">
      <c r="B718" s="95"/>
      <c r="E718" s="96"/>
      <c r="F718" s="85"/>
    </row>
    <row r="719">
      <c r="B719" s="95"/>
      <c r="E719" s="96"/>
      <c r="F719" s="85"/>
    </row>
    <row r="720">
      <c r="B720" s="95"/>
      <c r="E720" s="96"/>
      <c r="F720" s="85"/>
    </row>
    <row r="721">
      <c r="B721" s="95"/>
      <c r="E721" s="96"/>
      <c r="F721" s="85"/>
    </row>
    <row r="722">
      <c r="B722" s="95"/>
      <c r="E722" s="96"/>
      <c r="F722" s="85"/>
    </row>
    <row r="723">
      <c r="B723" s="95"/>
      <c r="E723" s="96"/>
      <c r="F723" s="85"/>
    </row>
    <row r="724">
      <c r="B724" s="95"/>
      <c r="E724" s="96"/>
      <c r="F724" s="85"/>
    </row>
    <row r="725">
      <c r="B725" s="95"/>
      <c r="E725" s="96"/>
      <c r="F725" s="85"/>
    </row>
    <row r="726">
      <c r="B726" s="95"/>
      <c r="E726" s="96"/>
      <c r="F726" s="85"/>
    </row>
    <row r="727">
      <c r="B727" s="95"/>
      <c r="E727" s="96"/>
      <c r="F727" s="85"/>
    </row>
    <row r="728">
      <c r="B728" s="95"/>
      <c r="E728" s="96"/>
      <c r="F728" s="85"/>
    </row>
    <row r="729">
      <c r="B729" s="95"/>
      <c r="E729" s="96"/>
      <c r="F729" s="85"/>
    </row>
    <row r="730">
      <c r="B730" s="95"/>
      <c r="E730" s="96"/>
      <c r="F730" s="85"/>
    </row>
    <row r="731">
      <c r="B731" s="95"/>
      <c r="E731" s="96"/>
      <c r="F731" s="85"/>
    </row>
    <row r="732">
      <c r="B732" s="95"/>
      <c r="E732" s="96"/>
      <c r="F732" s="85"/>
    </row>
    <row r="733">
      <c r="B733" s="95"/>
      <c r="E733" s="96"/>
      <c r="F733" s="85"/>
    </row>
    <row r="734">
      <c r="B734" s="95"/>
      <c r="E734" s="96"/>
      <c r="F734" s="85"/>
    </row>
    <row r="735">
      <c r="B735" s="95"/>
      <c r="E735" s="96"/>
      <c r="F735" s="85"/>
    </row>
    <row r="736">
      <c r="B736" s="95"/>
      <c r="E736" s="96"/>
      <c r="F736" s="85"/>
    </row>
    <row r="737">
      <c r="B737" s="95"/>
      <c r="E737" s="96"/>
      <c r="F737" s="85"/>
    </row>
    <row r="738">
      <c r="B738" s="95"/>
      <c r="E738" s="96"/>
      <c r="F738" s="85"/>
    </row>
    <row r="739">
      <c r="B739" s="95"/>
      <c r="E739" s="96"/>
      <c r="F739" s="85"/>
    </row>
    <row r="740">
      <c r="B740" s="95"/>
      <c r="E740" s="96"/>
      <c r="F740" s="85"/>
    </row>
    <row r="741">
      <c r="B741" s="95"/>
      <c r="E741" s="96"/>
      <c r="F741" s="85"/>
    </row>
    <row r="742">
      <c r="B742" s="95"/>
      <c r="E742" s="96"/>
      <c r="F742" s="85"/>
    </row>
    <row r="743">
      <c r="B743" s="95"/>
      <c r="E743" s="96"/>
      <c r="F743" s="85"/>
    </row>
    <row r="744">
      <c r="B744" s="95"/>
      <c r="E744" s="96"/>
      <c r="F744" s="85"/>
    </row>
    <row r="745">
      <c r="B745" s="95"/>
      <c r="E745" s="96"/>
      <c r="F745" s="85"/>
    </row>
    <row r="746">
      <c r="B746" s="95"/>
      <c r="E746" s="96"/>
      <c r="F746" s="85"/>
    </row>
    <row r="747">
      <c r="B747" s="95"/>
      <c r="E747" s="96"/>
      <c r="F747" s="85"/>
    </row>
    <row r="748">
      <c r="B748" s="95"/>
      <c r="E748" s="96"/>
      <c r="F748" s="85"/>
    </row>
    <row r="749">
      <c r="B749" s="95"/>
      <c r="E749" s="96"/>
      <c r="F749" s="85"/>
    </row>
    <row r="750">
      <c r="B750" s="95"/>
      <c r="E750" s="96"/>
      <c r="F750" s="85"/>
    </row>
    <row r="751">
      <c r="B751" s="95"/>
      <c r="E751" s="96"/>
      <c r="F751" s="85"/>
    </row>
    <row r="752">
      <c r="B752" s="95"/>
      <c r="E752" s="96"/>
      <c r="F752" s="85"/>
    </row>
    <row r="753">
      <c r="B753" s="95"/>
      <c r="E753" s="96"/>
      <c r="F753" s="85"/>
    </row>
    <row r="754">
      <c r="B754" s="95"/>
      <c r="E754" s="96"/>
      <c r="F754" s="85"/>
    </row>
    <row r="755">
      <c r="B755" s="95"/>
      <c r="E755" s="96"/>
      <c r="F755" s="85"/>
    </row>
    <row r="756">
      <c r="B756" s="95"/>
      <c r="E756" s="96"/>
      <c r="F756" s="85"/>
    </row>
    <row r="757">
      <c r="B757" s="95"/>
      <c r="E757" s="96"/>
      <c r="F757" s="85"/>
    </row>
    <row r="758">
      <c r="B758" s="95"/>
      <c r="E758" s="96"/>
      <c r="F758" s="85"/>
    </row>
    <row r="759">
      <c r="B759" s="95"/>
      <c r="E759" s="96"/>
      <c r="F759" s="85"/>
    </row>
    <row r="760">
      <c r="B760" s="95"/>
      <c r="E760" s="96"/>
      <c r="F760" s="85"/>
    </row>
    <row r="761">
      <c r="B761" s="95"/>
      <c r="E761" s="96"/>
      <c r="F761" s="85"/>
    </row>
    <row r="762">
      <c r="B762" s="95"/>
      <c r="E762" s="96"/>
      <c r="F762" s="85"/>
    </row>
    <row r="763">
      <c r="B763" s="95"/>
      <c r="E763" s="96"/>
      <c r="F763" s="85"/>
    </row>
    <row r="764">
      <c r="B764" s="95"/>
      <c r="E764" s="96"/>
      <c r="F764" s="85"/>
    </row>
    <row r="765">
      <c r="B765" s="95"/>
      <c r="E765" s="96"/>
      <c r="F765" s="85"/>
    </row>
    <row r="766">
      <c r="B766" s="95"/>
      <c r="E766" s="96"/>
      <c r="F766" s="85"/>
    </row>
    <row r="767">
      <c r="B767" s="95"/>
      <c r="E767" s="96"/>
      <c r="F767" s="85"/>
    </row>
    <row r="768">
      <c r="B768" s="95"/>
      <c r="E768" s="96"/>
      <c r="F768" s="85"/>
    </row>
    <row r="769">
      <c r="B769" s="95"/>
      <c r="E769" s="96"/>
      <c r="F769" s="85"/>
    </row>
    <row r="770">
      <c r="B770" s="95"/>
      <c r="E770" s="96"/>
      <c r="F770" s="85"/>
    </row>
    <row r="771">
      <c r="B771" s="95"/>
      <c r="E771" s="96"/>
      <c r="F771" s="85"/>
    </row>
    <row r="772">
      <c r="B772" s="95"/>
      <c r="E772" s="96"/>
      <c r="F772" s="85"/>
    </row>
    <row r="773">
      <c r="B773" s="95"/>
      <c r="E773" s="96"/>
      <c r="F773" s="85"/>
    </row>
    <row r="774">
      <c r="B774" s="95"/>
      <c r="E774" s="96"/>
      <c r="F774" s="85"/>
    </row>
    <row r="775">
      <c r="B775" s="95"/>
      <c r="E775" s="96"/>
      <c r="F775" s="85"/>
    </row>
    <row r="776">
      <c r="B776" s="95"/>
      <c r="E776" s="96"/>
      <c r="F776" s="85"/>
    </row>
    <row r="777">
      <c r="B777" s="95"/>
      <c r="E777" s="96"/>
      <c r="F777" s="85"/>
    </row>
    <row r="778">
      <c r="B778" s="95"/>
      <c r="E778" s="96"/>
      <c r="F778" s="85"/>
    </row>
    <row r="779">
      <c r="B779" s="95"/>
      <c r="E779" s="96"/>
      <c r="F779" s="85"/>
    </row>
    <row r="780">
      <c r="B780" s="95"/>
      <c r="E780" s="96"/>
      <c r="F780" s="85"/>
    </row>
    <row r="781">
      <c r="B781" s="95"/>
      <c r="E781" s="96"/>
      <c r="F781" s="85"/>
    </row>
    <row r="782">
      <c r="B782" s="95"/>
      <c r="E782" s="96"/>
      <c r="F782" s="85"/>
    </row>
    <row r="783">
      <c r="B783" s="95"/>
      <c r="E783" s="96"/>
      <c r="F783" s="85"/>
    </row>
    <row r="784">
      <c r="B784" s="95"/>
      <c r="E784" s="96"/>
      <c r="F784" s="85"/>
    </row>
    <row r="785">
      <c r="B785" s="95"/>
      <c r="E785" s="96"/>
      <c r="F785" s="85"/>
    </row>
    <row r="786">
      <c r="B786" s="95"/>
      <c r="E786" s="96"/>
      <c r="F786" s="85"/>
    </row>
    <row r="787">
      <c r="B787" s="95"/>
      <c r="E787" s="96"/>
      <c r="F787" s="85"/>
    </row>
    <row r="788">
      <c r="B788" s="95"/>
      <c r="E788" s="96"/>
      <c r="F788" s="85"/>
    </row>
    <row r="789">
      <c r="B789" s="95"/>
      <c r="E789" s="96"/>
      <c r="F789" s="85"/>
    </row>
    <row r="790">
      <c r="B790" s="95"/>
      <c r="E790" s="96"/>
      <c r="F790" s="85"/>
    </row>
    <row r="791">
      <c r="B791" s="95"/>
      <c r="E791" s="96"/>
      <c r="F791" s="85"/>
    </row>
    <row r="792">
      <c r="B792" s="95"/>
      <c r="E792" s="96"/>
      <c r="F792" s="85"/>
    </row>
    <row r="793">
      <c r="B793" s="95"/>
      <c r="E793" s="96"/>
      <c r="F793" s="85"/>
    </row>
    <row r="794">
      <c r="B794" s="95"/>
      <c r="E794" s="96"/>
      <c r="F794" s="85"/>
    </row>
    <row r="795">
      <c r="B795" s="95"/>
      <c r="E795" s="96"/>
      <c r="F795" s="85"/>
    </row>
    <row r="796">
      <c r="B796" s="95"/>
      <c r="E796" s="96"/>
      <c r="F796" s="85"/>
    </row>
    <row r="797">
      <c r="B797" s="95"/>
      <c r="E797" s="96"/>
      <c r="F797" s="85"/>
    </row>
    <row r="798">
      <c r="B798" s="95"/>
      <c r="E798" s="96"/>
      <c r="F798" s="85"/>
    </row>
    <row r="799">
      <c r="B799" s="95"/>
      <c r="E799" s="96"/>
      <c r="F799" s="85"/>
    </row>
    <row r="800">
      <c r="B800" s="95"/>
      <c r="E800" s="96"/>
      <c r="F800" s="85"/>
    </row>
    <row r="801">
      <c r="B801" s="95"/>
      <c r="E801" s="96"/>
      <c r="F801" s="85"/>
    </row>
    <row r="802">
      <c r="B802" s="95"/>
      <c r="E802" s="96"/>
      <c r="F802" s="85"/>
    </row>
    <row r="803">
      <c r="B803" s="95"/>
      <c r="E803" s="96"/>
      <c r="F803" s="85"/>
    </row>
    <row r="804">
      <c r="B804" s="95"/>
      <c r="E804" s="96"/>
      <c r="F804" s="85"/>
    </row>
    <row r="805">
      <c r="B805" s="95"/>
      <c r="E805" s="96"/>
      <c r="F805" s="85"/>
    </row>
    <row r="806">
      <c r="B806" s="95"/>
      <c r="E806" s="96"/>
      <c r="F806" s="85"/>
    </row>
    <row r="807">
      <c r="B807" s="95"/>
      <c r="E807" s="96"/>
      <c r="F807" s="85"/>
    </row>
    <row r="808">
      <c r="B808" s="95"/>
      <c r="E808" s="96"/>
      <c r="F808" s="85"/>
    </row>
    <row r="809">
      <c r="B809" s="95"/>
      <c r="E809" s="96"/>
      <c r="F809" s="85"/>
    </row>
    <row r="810">
      <c r="B810" s="95"/>
      <c r="E810" s="96"/>
      <c r="F810" s="85"/>
    </row>
    <row r="811">
      <c r="B811" s="95"/>
      <c r="E811" s="96"/>
      <c r="F811" s="85"/>
    </row>
    <row r="812">
      <c r="B812" s="95"/>
      <c r="E812" s="96"/>
      <c r="F812" s="85"/>
    </row>
    <row r="813">
      <c r="B813" s="95"/>
      <c r="E813" s="96"/>
      <c r="F813" s="85"/>
    </row>
    <row r="814">
      <c r="B814" s="95"/>
      <c r="E814" s="96"/>
      <c r="F814" s="85"/>
    </row>
    <row r="815">
      <c r="B815" s="95"/>
      <c r="E815" s="96"/>
      <c r="F815" s="85"/>
    </row>
    <row r="816">
      <c r="B816" s="95"/>
      <c r="E816" s="96"/>
      <c r="F816" s="85"/>
    </row>
    <row r="817">
      <c r="B817" s="95"/>
      <c r="E817" s="96"/>
      <c r="F817" s="85"/>
    </row>
    <row r="818">
      <c r="B818" s="95"/>
      <c r="E818" s="96"/>
      <c r="F818" s="85"/>
    </row>
    <row r="819">
      <c r="B819" s="95"/>
      <c r="E819" s="96"/>
      <c r="F819" s="85"/>
    </row>
    <row r="820">
      <c r="B820" s="95"/>
      <c r="E820" s="96"/>
      <c r="F820" s="85"/>
    </row>
    <row r="821">
      <c r="B821" s="95"/>
      <c r="E821" s="96"/>
      <c r="F821" s="85"/>
    </row>
    <row r="822">
      <c r="B822" s="95"/>
      <c r="E822" s="96"/>
      <c r="F822" s="85"/>
    </row>
    <row r="823">
      <c r="B823" s="95"/>
      <c r="E823" s="96"/>
      <c r="F823" s="85"/>
    </row>
    <row r="824">
      <c r="B824" s="95"/>
      <c r="E824" s="96"/>
      <c r="F824" s="85"/>
    </row>
    <row r="825">
      <c r="B825" s="95"/>
      <c r="E825" s="96"/>
      <c r="F825" s="85"/>
    </row>
    <row r="826">
      <c r="B826" s="95"/>
      <c r="E826" s="96"/>
      <c r="F826" s="85"/>
    </row>
    <row r="827">
      <c r="B827" s="95"/>
      <c r="E827" s="96"/>
      <c r="F827" s="85"/>
    </row>
    <row r="828">
      <c r="B828" s="95"/>
      <c r="E828" s="96"/>
      <c r="F828" s="85"/>
    </row>
    <row r="829">
      <c r="B829" s="95"/>
      <c r="E829" s="96"/>
      <c r="F829" s="85"/>
    </row>
    <row r="830">
      <c r="B830" s="95"/>
      <c r="E830" s="96"/>
      <c r="F830" s="85"/>
    </row>
    <row r="831">
      <c r="B831" s="95"/>
      <c r="E831" s="96"/>
      <c r="F831" s="85"/>
    </row>
    <row r="832">
      <c r="B832" s="95"/>
      <c r="E832" s="96"/>
      <c r="F832" s="85"/>
    </row>
    <row r="833">
      <c r="B833" s="95"/>
      <c r="E833" s="96"/>
      <c r="F833" s="85"/>
    </row>
    <row r="834">
      <c r="B834" s="95"/>
      <c r="E834" s="96"/>
      <c r="F834" s="85"/>
    </row>
    <row r="835">
      <c r="B835" s="95"/>
      <c r="E835" s="96"/>
      <c r="F835" s="85"/>
    </row>
    <row r="836">
      <c r="B836" s="95"/>
      <c r="E836" s="96"/>
      <c r="F836" s="85"/>
    </row>
    <row r="837">
      <c r="B837" s="95"/>
      <c r="E837" s="96"/>
      <c r="F837" s="85"/>
    </row>
    <row r="838">
      <c r="B838" s="95"/>
      <c r="E838" s="96"/>
      <c r="F838" s="85"/>
    </row>
    <row r="839">
      <c r="B839" s="95"/>
      <c r="E839" s="96"/>
      <c r="F839" s="85"/>
    </row>
    <row r="840">
      <c r="B840" s="95"/>
      <c r="E840" s="96"/>
      <c r="F840" s="85"/>
    </row>
    <row r="841">
      <c r="B841" s="95"/>
      <c r="E841" s="96"/>
      <c r="F841" s="85"/>
    </row>
    <row r="842">
      <c r="B842" s="95"/>
      <c r="E842" s="96"/>
      <c r="F842" s="85"/>
    </row>
    <row r="843">
      <c r="B843" s="95"/>
      <c r="E843" s="96"/>
      <c r="F843" s="85"/>
    </row>
    <row r="844">
      <c r="B844" s="95"/>
      <c r="E844" s="96"/>
      <c r="F844" s="85"/>
    </row>
    <row r="845">
      <c r="B845" s="95"/>
      <c r="E845" s="96"/>
      <c r="F845" s="85"/>
    </row>
    <row r="846">
      <c r="B846" s="95"/>
      <c r="E846" s="96"/>
      <c r="F846" s="85"/>
    </row>
    <row r="847">
      <c r="B847" s="95"/>
      <c r="E847" s="96"/>
      <c r="F847" s="85"/>
    </row>
    <row r="848">
      <c r="B848" s="95"/>
      <c r="E848" s="96"/>
      <c r="F848" s="85"/>
    </row>
    <row r="849">
      <c r="B849" s="95"/>
      <c r="E849" s="96"/>
      <c r="F849" s="85"/>
    </row>
    <row r="850">
      <c r="B850" s="95"/>
      <c r="E850" s="96"/>
      <c r="F850" s="85"/>
    </row>
    <row r="851">
      <c r="B851" s="95"/>
      <c r="E851" s="96"/>
      <c r="F851" s="85"/>
    </row>
    <row r="852">
      <c r="B852" s="95"/>
      <c r="E852" s="96"/>
      <c r="F852" s="85"/>
    </row>
    <row r="853">
      <c r="B853" s="95"/>
      <c r="E853" s="96"/>
      <c r="F853" s="85"/>
    </row>
    <row r="854">
      <c r="B854" s="95"/>
      <c r="E854" s="96"/>
      <c r="F854" s="85"/>
    </row>
    <row r="855">
      <c r="B855" s="95"/>
      <c r="E855" s="96"/>
      <c r="F855" s="85"/>
    </row>
    <row r="856">
      <c r="B856" s="95"/>
      <c r="E856" s="96"/>
      <c r="F856" s="85"/>
    </row>
    <row r="857">
      <c r="B857" s="95"/>
      <c r="E857" s="96"/>
      <c r="F857" s="85"/>
    </row>
    <row r="858">
      <c r="B858" s="95"/>
      <c r="E858" s="96"/>
      <c r="F858" s="85"/>
    </row>
    <row r="859">
      <c r="B859" s="95"/>
      <c r="E859" s="96"/>
      <c r="F859" s="85"/>
    </row>
    <row r="860">
      <c r="B860" s="95"/>
      <c r="E860" s="96"/>
      <c r="F860" s="85"/>
    </row>
    <row r="861">
      <c r="B861" s="95"/>
      <c r="E861" s="96"/>
      <c r="F861" s="85"/>
    </row>
    <row r="862">
      <c r="B862" s="95"/>
      <c r="E862" s="96"/>
      <c r="F862" s="85"/>
    </row>
    <row r="863">
      <c r="B863" s="95"/>
      <c r="E863" s="96"/>
      <c r="F863" s="85"/>
    </row>
    <row r="864">
      <c r="B864" s="95"/>
      <c r="E864" s="96"/>
      <c r="F864" s="85"/>
    </row>
    <row r="865">
      <c r="B865" s="95"/>
      <c r="E865" s="96"/>
      <c r="F865" s="85"/>
    </row>
    <row r="866">
      <c r="B866" s="95"/>
      <c r="E866" s="96"/>
      <c r="F866" s="85"/>
    </row>
    <row r="867">
      <c r="B867" s="95"/>
      <c r="E867" s="96"/>
      <c r="F867" s="85"/>
    </row>
    <row r="868">
      <c r="B868" s="95"/>
      <c r="E868" s="96"/>
      <c r="F868" s="85"/>
    </row>
    <row r="869">
      <c r="B869" s="95"/>
      <c r="E869" s="96"/>
      <c r="F869" s="85"/>
    </row>
    <row r="870">
      <c r="B870" s="95"/>
      <c r="E870" s="96"/>
      <c r="F870" s="85"/>
    </row>
    <row r="871">
      <c r="B871" s="95"/>
      <c r="E871" s="96"/>
      <c r="F871" s="85"/>
    </row>
    <row r="872">
      <c r="B872" s="95"/>
      <c r="E872" s="96"/>
      <c r="F872" s="85"/>
    </row>
    <row r="873">
      <c r="B873" s="95"/>
      <c r="E873" s="96"/>
      <c r="F873" s="85"/>
    </row>
    <row r="874">
      <c r="B874" s="95"/>
      <c r="E874" s="96"/>
      <c r="F874" s="85"/>
    </row>
    <row r="875">
      <c r="B875" s="95"/>
      <c r="E875" s="96"/>
      <c r="F875" s="85"/>
    </row>
    <row r="876">
      <c r="B876" s="95"/>
      <c r="E876" s="96"/>
      <c r="F876" s="85"/>
    </row>
    <row r="877">
      <c r="B877" s="95"/>
      <c r="E877" s="96"/>
      <c r="F877" s="85"/>
    </row>
    <row r="878">
      <c r="B878" s="95"/>
      <c r="E878" s="96"/>
      <c r="F878" s="85"/>
    </row>
    <row r="879">
      <c r="B879" s="95"/>
      <c r="E879" s="96"/>
      <c r="F879" s="85"/>
    </row>
    <row r="880">
      <c r="B880" s="95"/>
      <c r="E880" s="96"/>
      <c r="F880" s="85"/>
    </row>
    <row r="881">
      <c r="B881" s="95"/>
      <c r="E881" s="96"/>
      <c r="F881" s="85"/>
    </row>
    <row r="882">
      <c r="B882" s="95"/>
      <c r="E882" s="96"/>
      <c r="F882" s="85"/>
    </row>
    <row r="883">
      <c r="B883" s="95"/>
      <c r="E883" s="96"/>
      <c r="F883" s="85"/>
    </row>
    <row r="884">
      <c r="B884" s="95"/>
      <c r="E884" s="96"/>
      <c r="F884" s="85"/>
    </row>
    <row r="885">
      <c r="B885" s="95"/>
      <c r="E885" s="96"/>
      <c r="F885" s="85"/>
    </row>
    <row r="886">
      <c r="B886" s="95"/>
      <c r="E886" s="96"/>
      <c r="F886" s="85"/>
    </row>
    <row r="887">
      <c r="B887" s="95"/>
      <c r="E887" s="96"/>
      <c r="F887" s="85"/>
    </row>
    <row r="888">
      <c r="B888" s="95"/>
      <c r="E888" s="96"/>
      <c r="F888" s="85"/>
    </row>
    <row r="889">
      <c r="B889" s="95"/>
      <c r="E889" s="96"/>
      <c r="F889" s="85"/>
    </row>
    <row r="890">
      <c r="B890" s="95"/>
      <c r="E890" s="96"/>
      <c r="F890" s="85"/>
    </row>
    <row r="891">
      <c r="B891" s="95"/>
      <c r="E891" s="96"/>
      <c r="F891" s="85"/>
    </row>
    <row r="892">
      <c r="B892" s="95"/>
      <c r="E892" s="96"/>
      <c r="F892" s="85"/>
    </row>
    <row r="893">
      <c r="B893" s="95"/>
      <c r="E893" s="96"/>
      <c r="F893" s="85"/>
    </row>
    <row r="894">
      <c r="B894" s="95"/>
      <c r="E894" s="96"/>
      <c r="F894" s="85"/>
    </row>
    <row r="895">
      <c r="B895" s="95"/>
      <c r="E895" s="96"/>
      <c r="F895" s="85"/>
    </row>
    <row r="896">
      <c r="B896" s="95"/>
      <c r="E896" s="96"/>
      <c r="F896" s="85"/>
    </row>
    <row r="897">
      <c r="B897" s="95"/>
      <c r="E897" s="96"/>
      <c r="F897" s="85"/>
    </row>
    <row r="898">
      <c r="B898" s="95"/>
      <c r="E898" s="96"/>
      <c r="F898" s="85"/>
    </row>
    <row r="899">
      <c r="B899" s="95"/>
      <c r="E899" s="96"/>
      <c r="F899" s="85"/>
    </row>
    <row r="900">
      <c r="B900" s="95"/>
      <c r="E900" s="96"/>
      <c r="F900" s="85"/>
    </row>
    <row r="901">
      <c r="B901" s="95"/>
      <c r="E901" s="96"/>
      <c r="F901" s="85"/>
    </row>
    <row r="902">
      <c r="B902" s="95"/>
      <c r="E902" s="96"/>
      <c r="F902" s="85"/>
    </row>
    <row r="903">
      <c r="B903" s="95"/>
      <c r="E903" s="96"/>
      <c r="F903" s="85"/>
    </row>
    <row r="904">
      <c r="B904" s="95"/>
      <c r="E904" s="96"/>
      <c r="F904" s="85"/>
    </row>
    <row r="905">
      <c r="B905" s="95"/>
      <c r="E905" s="96"/>
      <c r="F905" s="85"/>
    </row>
    <row r="906">
      <c r="B906" s="95"/>
      <c r="E906" s="96"/>
      <c r="F906" s="85"/>
    </row>
    <row r="907">
      <c r="B907" s="95"/>
      <c r="E907" s="96"/>
      <c r="F907" s="85"/>
    </row>
    <row r="908">
      <c r="B908" s="95"/>
      <c r="E908" s="96"/>
      <c r="F908" s="85"/>
    </row>
    <row r="909">
      <c r="B909" s="95"/>
      <c r="E909" s="96"/>
      <c r="F909" s="85"/>
    </row>
    <row r="910">
      <c r="B910" s="95"/>
      <c r="E910" s="96"/>
      <c r="F910" s="85"/>
    </row>
    <row r="911">
      <c r="B911" s="95"/>
      <c r="E911" s="96"/>
      <c r="F911" s="85"/>
    </row>
    <row r="912">
      <c r="B912" s="95"/>
      <c r="E912" s="96"/>
      <c r="F912" s="85"/>
    </row>
    <row r="913">
      <c r="B913" s="95"/>
      <c r="E913" s="96"/>
      <c r="F913" s="85"/>
    </row>
    <row r="914">
      <c r="B914" s="95"/>
      <c r="E914" s="96"/>
      <c r="F914" s="85"/>
    </row>
    <row r="915">
      <c r="B915" s="95"/>
      <c r="E915" s="96"/>
      <c r="F915" s="85"/>
    </row>
    <row r="916">
      <c r="B916" s="95"/>
      <c r="E916" s="96"/>
      <c r="F916" s="85"/>
    </row>
    <row r="917">
      <c r="B917" s="95"/>
      <c r="E917" s="96"/>
      <c r="F917" s="85"/>
    </row>
    <row r="918">
      <c r="B918" s="95"/>
      <c r="E918" s="96"/>
      <c r="F918" s="85"/>
    </row>
    <row r="919">
      <c r="B919" s="95"/>
      <c r="E919" s="96"/>
      <c r="F919" s="85"/>
    </row>
    <row r="920">
      <c r="B920" s="95"/>
      <c r="E920" s="96"/>
      <c r="F920" s="85"/>
    </row>
    <row r="921">
      <c r="B921" s="95"/>
      <c r="E921" s="96"/>
      <c r="F921" s="85"/>
    </row>
    <row r="922">
      <c r="B922" s="95"/>
      <c r="E922" s="96"/>
      <c r="F922" s="85"/>
    </row>
    <row r="923">
      <c r="B923" s="95"/>
      <c r="E923" s="96"/>
      <c r="F923" s="85"/>
    </row>
    <row r="924">
      <c r="B924" s="95"/>
      <c r="E924" s="96"/>
      <c r="F924" s="85"/>
    </row>
    <row r="925">
      <c r="B925" s="95"/>
      <c r="E925" s="96"/>
      <c r="F925" s="85"/>
    </row>
    <row r="926">
      <c r="B926" s="95"/>
      <c r="E926" s="96"/>
      <c r="F926" s="85"/>
    </row>
    <row r="927">
      <c r="B927" s="95"/>
      <c r="E927" s="96"/>
      <c r="F927" s="85"/>
    </row>
    <row r="928">
      <c r="B928" s="95"/>
      <c r="E928" s="96"/>
      <c r="F928" s="85"/>
    </row>
    <row r="929">
      <c r="B929" s="95"/>
      <c r="E929" s="96"/>
      <c r="F929" s="85"/>
    </row>
    <row r="930">
      <c r="B930" s="95"/>
      <c r="E930" s="96"/>
      <c r="F930" s="85"/>
    </row>
    <row r="931">
      <c r="B931" s="95"/>
      <c r="E931" s="96"/>
      <c r="F931" s="85"/>
    </row>
    <row r="932">
      <c r="B932" s="95"/>
      <c r="E932" s="96"/>
      <c r="F932" s="85"/>
    </row>
    <row r="933">
      <c r="B933" s="95"/>
      <c r="E933" s="96"/>
      <c r="F933" s="85"/>
    </row>
    <row r="934">
      <c r="B934" s="95"/>
      <c r="E934" s="96"/>
      <c r="F934" s="85"/>
    </row>
    <row r="935">
      <c r="B935" s="95"/>
      <c r="E935" s="96"/>
      <c r="F935" s="85"/>
    </row>
    <row r="936">
      <c r="B936" s="95"/>
      <c r="E936" s="96"/>
      <c r="F936" s="85"/>
    </row>
    <row r="937">
      <c r="B937" s="95"/>
      <c r="E937" s="96"/>
      <c r="F937" s="85"/>
    </row>
    <row r="938">
      <c r="B938" s="95"/>
      <c r="E938" s="96"/>
      <c r="F938" s="85"/>
    </row>
    <row r="939">
      <c r="B939" s="95"/>
      <c r="E939" s="96"/>
      <c r="F939" s="85"/>
    </row>
    <row r="940">
      <c r="B940" s="95"/>
      <c r="E940" s="96"/>
      <c r="F940" s="85"/>
    </row>
    <row r="941">
      <c r="B941" s="95"/>
      <c r="E941" s="96"/>
      <c r="F941" s="85"/>
    </row>
    <row r="942">
      <c r="B942" s="95"/>
      <c r="E942" s="96"/>
      <c r="F942" s="85"/>
    </row>
    <row r="943">
      <c r="B943" s="95"/>
      <c r="E943" s="96"/>
      <c r="F943" s="85"/>
    </row>
    <row r="944">
      <c r="B944" s="95"/>
      <c r="E944" s="96"/>
      <c r="F944" s="85"/>
    </row>
    <row r="945">
      <c r="B945" s="95"/>
      <c r="E945" s="96"/>
      <c r="F945" s="85"/>
    </row>
    <row r="946">
      <c r="B946" s="95"/>
      <c r="E946" s="96"/>
      <c r="F946" s="85"/>
    </row>
    <row r="947">
      <c r="B947" s="95"/>
      <c r="E947" s="96"/>
      <c r="F947" s="85"/>
    </row>
    <row r="948">
      <c r="B948" s="95"/>
      <c r="E948" s="96"/>
      <c r="F948" s="85"/>
    </row>
    <row r="949">
      <c r="B949" s="95"/>
      <c r="E949" s="96"/>
      <c r="F949" s="85"/>
    </row>
    <row r="950">
      <c r="B950" s="95"/>
      <c r="E950" s="96"/>
      <c r="F950" s="85"/>
    </row>
    <row r="951">
      <c r="B951" s="95"/>
      <c r="E951" s="96"/>
      <c r="F951" s="85"/>
    </row>
    <row r="952">
      <c r="B952" s="95"/>
      <c r="E952" s="96"/>
      <c r="F952" s="85"/>
    </row>
    <row r="953">
      <c r="B953" s="95"/>
      <c r="E953" s="96"/>
      <c r="F953" s="85"/>
    </row>
    <row r="954">
      <c r="B954" s="95"/>
      <c r="E954" s="96"/>
      <c r="F954" s="85"/>
    </row>
    <row r="955">
      <c r="B955" s="95"/>
      <c r="E955" s="96"/>
      <c r="F955" s="85"/>
    </row>
    <row r="956">
      <c r="B956" s="95"/>
      <c r="E956" s="96"/>
      <c r="F956" s="85"/>
    </row>
    <row r="957">
      <c r="B957" s="95"/>
      <c r="E957" s="96"/>
      <c r="F957" s="85"/>
    </row>
    <row r="958">
      <c r="B958" s="95"/>
      <c r="E958" s="96"/>
      <c r="F958" s="85"/>
    </row>
    <row r="959">
      <c r="B959" s="95"/>
      <c r="E959" s="96"/>
      <c r="F959" s="85"/>
    </row>
    <row r="960">
      <c r="B960" s="95"/>
      <c r="E960" s="96"/>
      <c r="F960" s="85"/>
    </row>
    <row r="961">
      <c r="B961" s="95"/>
      <c r="E961" s="96"/>
      <c r="F961" s="85"/>
    </row>
    <row r="962">
      <c r="B962" s="95"/>
      <c r="E962" s="96"/>
      <c r="F962" s="85"/>
    </row>
    <row r="963">
      <c r="B963" s="95"/>
      <c r="E963" s="96"/>
      <c r="F963" s="85"/>
    </row>
    <row r="964">
      <c r="B964" s="95"/>
      <c r="E964" s="96"/>
      <c r="F964" s="85"/>
    </row>
    <row r="965">
      <c r="B965" s="95"/>
      <c r="E965" s="96"/>
      <c r="F965" s="85"/>
    </row>
    <row r="966">
      <c r="B966" s="95"/>
      <c r="E966" s="96"/>
      <c r="F966" s="85"/>
    </row>
    <row r="967">
      <c r="B967" s="95"/>
      <c r="E967" s="96"/>
      <c r="F967" s="85"/>
    </row>
    <row r="968">
      <c r="B968" s="95"/>
      <c r="E968" s="96"/>
      <c r="F968" s="85"/>
    </row>
    <row r="969">
      <c r="B969" s="95"/>
      <c r="E969" s="96"/>
      <c r="F969" s="85"/>
    </row>
    <row r="970">
      <c r="B970" s="95"/>
      <c r="E970" s="96"/>
      <c r="F970" s="85"/>
    </row>
    <row r="971">
      <c r="B971" s="95"/>
      <c r="E971" s="96"/>
      <c r="F971" s="85"/>
    </row>
    <row r="972">
      <c r="B972" s="95"/>
      <c r="E972" s="96"/>
      <c r="F972" s="85"/>
    </row>
    <row r="973">
      <c r="B973" s="95"/>
      <c r="E973" s="96"/>
      <c r="F973" s="85"/>
    </row>
    <row r="974">
      <c r="B974" s="95"/>
      <c r="E974" s="96"/>
      <c r="F974" s="85"/>
    </row>
    <row r="975">
      <c r="B975" s="95"/>
      <c r="E975" s="96"/>
      <c r="F975" s="85"/>
    </row>
    <row r="976">
      <c r="B976" s="95"/>
      <c r="E976" s="96"/>
      <c r="F976" s="85"/>
    </row>
    <row r="977">
      <c r="B977" s="95"/>
      <c r="E977" s="96"/>
      <c r="F977" s="85"/>
    </row>
    <row r="978">
      <c r="B978" s="95"/>
      <c r="E978" s="96"/>
      <c r="F978" s="85"/>
    </row>
    <row r="979">
      <c r="B979" s="95"/>
      <c r="E979" s="96"/>
      <c r="F979" s="85"/>
    </row>
    <row r="980">
      <c r="B980" s="95"/>
      <c r="E980" s="96"/>
      <c r="F980" s="85"/>
    </row>
    <row r="981">
      <c r="B981" s="95"/>
      <c r="E981" s="96"/>
      <c r="F981" s="85"/>
    </row>
    <row r="982">
      <c r="B982" s="95"/>
      <c r="E982" s="96"/>
      <c r="F982" s="85"/>
    </row>
    <row r="983">
      <c r="B983" s="95"/>
      <c r="E983" s="96"/>
      <c r="F983" s="85"/>
    </row>
    <row r="984">
      <c r="B984" s="95"/>
      <c r="E984" s="96"/>
      <c r="F984" s="85"/>
    </row>
    <row r="985">
      <c r="B985" s="95"/>
      <c r="E985" s="96"/>
      <c r="F985" s="85"/>
    </row>
    <row r="986">
      <c r="B986" s="95"/>
      <c r="E986" s="96"/>
      <c r="F986" s="85"/>
    </row>
    <row r="987">
      <c r="B987" s="95"/>
      <c r="E987" s="96"/>
      <c r="F987" s="85"/>
    </row>
    <row r="988">
      <c r="B988" s="95"/>
      <c r="E988" s="96"/>
      <c r="F988" s="85"/>
    </row>
    <row r="989">
      <c r="B989" s="95"/>
      <c r="E989" s="96"/>
      <c r="F989" s="85"/>
    </row>
    <row r="990">
      <c r="B990" s="95"/>
      <c r="E990" s="96"/>
      <c r="F990" s="85"/>
    </row>
    <row r="991">
      <c r="B991" s="95"/>
      <c r="E991" s="96"/>
      <c r="F991" s="85"/>
    </row>
    <row r="992">
      <c r="B992" s="95"/>
      <c r="E992" s="96"/>
      <c r="F992" s="85"/>
    </row>
    <row r="993">
      <c r="B993" s="95"/>
      <c r="E993" s="96"/>
      <c r="F993" s="85"/>
    </row>
    <row r="994">
      <c r="B994" s="95"/>
      <c r="E994" s="96"/>
      <c r="F994" s="85"/>
    </row>
    <row r="995">
      <c r="B995" s="95"/>
      <c r="E995" s="96"/>
      <c r="F995" s="85"/>
    </row>
    <row r="996">
      <c r="B996" s="95"/>
      <c r="E996" s="96"/>
      <c r="F996" s="85"/>
    </row>
    <row r="997">
      <c r="B997" s="95"/>
      <c r="E997" s="96"/>
      <c r="F997" s="85"/>
    </row>
    <row r="998">
      <c r="B998" s="95"/>
      <c r="E998" s="96"/>
      <c r="F998" s="85"/>
    </row>
    <row r="999">
      <c r="B999" s="95"/>
      <c r="E999" s="96"/>
      <c r="F999" s="85"/>
    </row>
    <row r="1000">
      <c r="B1000" s="95"/>
      <c r="E1000" s="96"/>
      <c r="F1000" s="8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7.88"/>
    <col customWidth="1" min="8" max="8" width="37.0"/>
  </cols>
  <sheetData>
    <row r="1">
      <c r="A1" s="97" t="s">
        <v>0</v>
      </c>
      <c r="B1" s="87" t="s">
        <v>13</v>
      </c>
      <c r="C1" s="88" t="s">
        <v>2763</v>
      </c>
      <c r="D1" s="88" t="s">
        <v>5</v>
      </c>
      <c r="E1" s="89" t="s">
        <v>6</v>
      </c>
      <c r="F1" s="89" t="s">
        <v>10</v>
      </c>
      <c r="G1" s="98" t="s">
        <v>2764</v>
      </c>
      <c r="H1" s="99" t="s">
        <v>2765</v>
      </c>
      <c r="I1" s="100" t="s">
        <v>2766</v>
      </c>
      <c r="J1" s="88"/>
      <c r="K1" s="89"/>
      <c r="L1" s="89"/>
      <c r="M1" s="92"/>
      <c r="N1" s="92"/>
      <c r="O1" s="92"/>
    </row>
    <row r="2">
      <c r="A2" s="85">
        <f>IFERROR(__xludf.DUMMYFUNCTION("{IFERROR( QUERY({FMS!$A$7:$F2004,FMS!O7:P2004},""Select Col1,Col2,Col3,Col4,Col5,Col6,Col7 ,    '""&amp;FMS!O2&amp;""','""&amp;FMS!O3&amp;""'  where Col7 is not null and Col8 is null label '""&amp;FMS!O2&amp;""' '' , '""&amp;FMS!O3&amp;""' '' "") ,{ """","""","""","""","""","""","""","""&amp;""",""""});IFERROR( QUERY({FMS!$A$7:$F2004,FMS!U7:V2004},""Select Col1,Col2,Col3,Col4,Col5,Col6,Col7 ,    '""&amp;FMS!U2&amp;""','""&amp;FMS!U3&amp;""'  where Col7 is not null and Col8 is null label '""&amp;FMS!U2&amp;""' '' , '""&amp;FMS!U3&amp;""' '' "") ,{ """","""","""","""","""","""&amp;""","""","""",""""});IFERROR( QUERY({FMS!$A$7:$F2004,FMS!AI7:AJ2004},""Select Col1,Col2,Col3,Col4,Col5,Col6,Col7 ,    '""&amp;FMS!AI2&amp;""','""&amp;FMS!AI3&amp;""'  where Col7 is not null and Col8 is null label '""&amp;FMS!AI2&amp;""' '' , '""&amp;FMS!AI3&amp;""' '' "") ,{ """","""","""&amp;""","""","""","""","""","""",""""});IFERROR( QUERY({FMS!$A$7:$F2004,FMS!AN7:AO2004},""Select Col1,Col2,Col3,Col4,Col5,Col6,Col7 ,    '""&amp;FMS!AN2&amp;""','""&amp;FMS!AN3&amp;""'  where Col7 is not null and Col8 is null label '""&amp;FMS!AN2&amp;""' '' , '""&amp;FMS!AN3&amp;""' '' "") "&amp;",{ """","""","""","""","""","""","""","""",""""});IFERROR( QUERY({FMS!$A$7:$F2004,FMS!AS7:AT2004},""Select Col1,Col2,Col3,Col4,Col5,Col6,Col7 ,    '""&amp;FMS!AS2&amp;""','""&amp;FMS!AS3&amp;""'  where Col7 is not null and Col8 is null label '""&amp;FMS!AS2&amp;""' '' , '""&amp;FMS!"&amp;"AS3&amp;""' '' "") ,{ """","""","""","""","""","""","""","""",""""})}"),44626.502146122686)</f>
        <v>44626.50215</v>
      </c>
      <c r="B2" s="4"/>
      <c r="C2" s="4"/>
      <c r="D2" s="4"/>
      <c r="E2" s="4"/>
      <c r="F2" s="4"/>
      <c r="G2" s="85">
        <f>IFERROR(__xludf.DUMMYFUNCTION("""COMPUTED_VALUE"""),44628.50208333333)</f>
        <v>44628.50208</v>
      </c>
      <c r="H2" s="85" t="str">
        <f>IFERROR(__xludf.DUMMYFUNCTION("""COMPUTED_VALUE"""),"Enquire &amp; Coordinate with client")</f>
        <v>Enquire &amp; Coordinate with client</v>
      </c>
      <c r="I2" s="4" t="str">
        <f>IFERROR(__xludf.DUMMYFUNCTION("""COMPUTED_VALUE"""),"sales person - first shivani")</f>
        <v>sales person - first shivani</v>
      </c>
    </row>
    <row r="3">
      <c r="A3" s="85">
        <f>IFERROR(__xludf.DUMMYFUNCTION("""COMPUTED_VALUE"""),44626.66808186343)</f>
        <v>44626.66808</v>
      </c>
      <c r="B3" s="4"/>
      <c r="C3" s="4"/>
      <c r="D3" s="4"/>
      <c r="E3" s="4"/>
      <c r="F3" s="4"/>
      <c r="G3" s="85">
        <f>IFERROR(__xludf.DUMMYFUNCTION("""COMPUTED_VALUE"""),44628.66805555555)</f>
        <v>44628.66806</v>
      </c>
      <c r="H3" s="85" t="str">
        <f>IFERROR(__xludf.DUMMYFUNCTION("""COMPUTED_VALUE"""),"Enquire &amp; Coordinate with client")</f>
        <v>Enquire &amp; Coordinate with client</v>
      </c>
      <c r="I3" s="4" t="str">
        <f>IFERROR(__xludf.DUMMYFUNCTION("""COMPUTED_VALUE"""),"sales person - first shivani")</f>
        <v>sales person - first shivani</v>
      </c>
    </row>
    <row r="4">
      <c r="A4" s="85">
        <f>IFERROR(__xludf.DUMMYFUNCTION("""COMPUTED_VALUE"""),44626.669340277775)</f>
        <v>44626.66934</v>
      </c>
      <c r="B4" s="4"/>
      <c r="C4" s="4"/>
      <c r="D4" s="4"/>
      <c r="E4" s="4"/>
      <c r="F4" s="4"/>
      <c r="G4" s="85">
        <f>IFERROR(__xludf.DUMMYFUNCTION("""COMPUTED_VALUE"""),44628.66875)</f>
        <v>44628.66875</v>
      </c>
      <c r="H4" s="85" t="str">
        <f>IFERROR(__xludf.DUMMYFUNCTION("""COMPUTED_VALUE"""),"Enquire &amp; Coordinate with client")</f>
        <v>Enquire &amp; Coordinate with client</v>
      </c>
      <c r="I4" s="4" t="str">
        <f>IFERROR(__xludf.DUMMYFUNCTION("""COMPUTED_VALUE"""),"sales person - first shivani")</f>
        <v>sales person - first shivani</v>
      </c>
    </row>
    <row r="5">
      <c r="A5" s="85">
        <f>IFERROR(__xludf.DUMMYFUNCTION("""COMPUTED_VALUE"""),44626.67088987269)</f>
        <v>44626.67089</v>
      </c>
      <c r="B5" s="4"/>
      <c r="C5" s="4"/>
      <c r="D5" s="4"/>
      <c r="E5" s="4"/>
      <c r="F5" s="4"/>
      <c r="G5" s="85">
        <f>IFERROR(__xludf.DUMMYFUNCTION("""COMPUTED_VALUE"""),44628.67083333334)</f>
        <v>44628.67083</v>
      </c>
      <c r="H5" s="85" t="str">
        <f>IFERROR(__xludf.DUMMYFUNCTION("""COMPUTED_VALUE"""),"Enquire &amp; Coordinate with client")</f>
        <v>Enquire &amp; Coordinate with client</v>
      </c>
      <c r="I5" s="4" t="str">
        <f>IFERROR(__xludf.DUMMYFUNCTION("""COMPUTED_VALUE"""),"sales person - first shivani")</f>
        <v>sales person - first shivani</v>
      </c>
    </row>
    <row r="6">
      <c r="A6" s="85">
        <f>IFERROR(__xludf.DUMMYFUNCTION("""COMPUTED_VALUE"""),44635.7216875)</f>
        <v>44635.72169</v>
      </c>
      <c r="B6" s="4"/>
      <c r="C6" s="4"/>
      <c r="D6" s="4"/>
      <c r="E6" s="4"/>
      <c r="F6" s="4"/>
      <c r="G6" s="85">
        <f>IFERROR(__xludf.DUMMYFUNCTION("""COMPUTED_VALUE"""),44636.72152777778)</f>
        <v>44636.72153</v>
      </c>
      <c r="H6" s="85" t="str">
        <f>IFERROR(__xludf.DUMMYFUNCTION("""COMPUTED_VALUE"""),"Enquire &amp; Coordinate with client")</f>
        <v>Enquire &amp; Coordinate with client</v>
      </c>
      <c r="I6" s="4" t="str">
        <f>IFERROR(__xludf.DUMMYFUNCTION("""COMPUTED_VALUE"""),"sales person - first shivani")</f>
        <v>sales person - first shivani</v>
      </c>
    </row>
    <row r="7">
      <c r="A7" s="85">
        <f>IFERROR(__xludf.DUMMYFUNCTION("""COMPUTED_VALUE"""),44636.497870844905)</f>
        <v>44636.49787</v>
      </c>
      <c r="B7" s="4"/>
      <c r="C7" s="4"/>
      <c r="D7" s="4"/>
      <c r="E7" s="4"/>
      <c r="F7" s="4"/>
      <c r="G7" s="85">
        <f>IFERROR(__xludf.DUMMYFUNCTION("""COMPUTED_VALUE"""),44637.49722222222)</f>
        <v>44637.49722</v>
      </c>
      <c r="H7" s="85" t="str">
        <f>IFERROR(__xludf.DUMMYFUNCTION("""COMPUTED_VALUE"""),"Enquire &amp; Coordinate with client")</f>
        <v>Enquire &amp; Coordinate with client</v>
      </c>
      <c r="I7" s="4" t="str">
        <f>IFERROR(__xludf.DUMMYFUNCTION("""COMPUTED_VALUE"""),"sales person - first shivani")</f>
        <v>sales person - first shivani</v>
      </c>
    </row>
    <row r="8">
      <c r="A8" s="85">
        <f>IFERROR(__xludf.DUMMYFUNCTION("""COMPUTED_VALUE"""),44636.50167417824)</f>
        <v>44636.50167</v>
      </c>
      <c r="B8" s="4"/>
      <c r="C8" s="4"/>
      <c r="D8" s="4"/>
      <c r="E8" s="4"/>
      <c r="F8" s="4"/>
      <c r="G8" s="85">
        <f>IFERROR(__xludf.DUMMYFUNCTION("""COMPUTED_VALUE"""),44637.50138888889)</f>
        <v>44637.50139</v>
      </c>
      <c r="H8" s="85" t="str">
        <f>IFERROR(__xludf.DUMMYFUNCTION("""COMPUTED_VALUE"""),"Enquire &amp; Coordinate with client")</f>
        <v>Enquire &amp; Coordinate with client</v>
      </c>
      <c r="I8" s="4" t="str">
        <f>IFERROR(__xludf.DUMMYFUNCTION("""COMPUTED_VALUE"""),"sales person - first shivani")</f>
        <v>sales person - first shivani</v>
      </c>
    </row>
    <row r="9">
      <c r="A9" s="85">
        <f>IFERROR(__xludf.DUMMYFUNCTION("""COMPUTED_VALUE"""),44636.50929306713)</f>
        <v>44636.50929</v>
      </c>
      <c r="B9" s="4"/>
      <c r="C9" s="4"/>
      <c r="D9" s="4"/>
      <c r="E9" s="4"/>
      <c r="F9" s="4"/>
      <c r="G9" s="85">
        <f>IFERROR(__xludf.DUMMYFUNCTION("""COMPUTED_VALUE"""),44637.50902777778)</f>
        <v>44637.50903</v>
      </c>
      <c r="H9" s="85" t="str">
        <f>IFERROR(__xludf.DUMMYFUNCTION("""COMPUTED_VALUE"""),"Enquire &amp; Coordinate with client")</f>
        <v>Enquire &amp; Coordinate with client</v>
      </c>
      <c r="I9" s="4" t="str">
        <f>IFERROR(__xludf.DUMMYFUNCTION("""COMPUTED_VALUE"""),"sales person - first shivani")</f>
        <v>sales person - first shivani</v>
      </c>
    </row>
    <row r="10">
      <c r="A10" s="85">
        <f>IFERROR(__xludf.DUMMYFUNCTION("""COMPUTED_VALUE"""),44643.68842210648)</f>
        <v>44643.68842</v>
      </c>
      <c r="B10" s="4"/>
      <c r="C10" s="4"/>
      <c r="D10" s="4"/>
      <c r="E10" s="4"/>
      <c r="F10" s="4"/>
      <c r="G10" s="85">
        <f>IFERROR(__xludf.DUMMYFUNCTION("""COMPUTED_VALUE"""),44644.68819444445)</f>
        <v>44644.68819</v>
      </c>
      <c r="H10" s="85" t="str">
        <f>IFERROR(__xludf.DUMMYFUNCTION("""COMPUTED_VALUE"""),"Enquire &amp; Coordinate with client")</f>
        <v>Enquire &amp; Coordinate with client</v>
      </c>
      <c r="I10" s="4" t="str">
        <f>IFERROR(__xludf.DUMMYFUNCTION("""COMPUTED_VALUE"""),"sales person - first shivani")</f>
        <v>sales person - first shivani</v>
      </c>
    </row>
    <row r="11">
      <c r="A11" s="85">
        <f>IFERROR(__xludf.DUMMYFUNCTION("""COMPUTED_VALUE"""),44643.68978079861)</f>
        <v>44643.68978</v>
      </c>
      <c r="B11" s="4"/>
      <c r="C11" s="4"/>
      <c r="D11" s="4"/>
      <c r="E11" s="4"/>
      <c r="F11" s="4"/>
      <c r="G11" s="85">
        <f>IFERROR(__xludf.DUMMYFUNCTION("""COMPUTED_VALUE"""),44644.68958333333)</f>
        <v>44644.68958</v>
      </c>
      <c r="H11" s="85" t="str">
        <f>IFERROR(__xludf.DUMMYFUNCTION("""COMPUTED_VALUE"""),"Enquire &amp; Coordinate with client")</f>
        <v>Enquire &amp; Coordinate with client</v>
      </c>
      <c r="I11" s="4" t="str">
        <f>IFERROR(__xludf.DUMMYFUNCTION("""COMPUTED_VALUE"""),"sales person - first shivani")</f>
        <v>sales person - first shivani</v>
      </c>
    </row>
    <row r="12">
      <c r="A12" s="85">
        <f>IFERROR(__xludf.DUMMYFUNCTION("""COMPUTED_VALUE"""),44643.69121891204)</f>
        <v>44643.69122</v>
      </c>
      <c r="B12" s="4"/>
      <c r="C12" s="4"/>
      <c r="D12" s="4"/>
      <c r="E12" s="4"/>
      <c r="F12" s="4"/>
      <c r="G12" s="85">
        <f>IFERROR(__xludf.DUMMYFUNCTION("""COMPUTED_VALUE"""),44644.69097222222)</f>
        <v>44644.69097</v>
      </c>
      <c r="H12" s="85" t="str">
        <f>IFERROR(__xludf.DUMMYFUNCTION("""COMPUTED_VALUE"""),"Enquire &amp; Coordinate with client")</f>
        <v>Enquire &amp; Coordinate with client</v>
      </c>
      <c r="I12" s="4" t="str">
        <f>IFERROR(__xludf.DUMMYFUNCTION("""COMPUTED_VALUE"""),"sales person - first shivani")</f>
        <v>sales person - first shivani</v>
      </c>
    </row>
    <row r="13">
      <c r="A13" s="85">
        <f>IFERROR(__xludf.DUMMYFUNCTION("""COMPUTED_VALUE"""),44643.69221607639)</f>
        <v>44643.69222</v>
      </c>
      <c r="B13" s="4"/>
      <c r="C13" s="4"/>
      <c r="D13" s="4"/>
      <c r="E13" s="4"/>
      <c r="F13" s="4"/>
      <c r="G13" s="85">
        <f>IFERROR(__xludf.DUMMYFUNCTION("""COMPUTED_VALUE"""),44644.691666666666)</f>
        <v>44644.69167</v>
      </c>
      <c r="H13" s="85" t="str">
        <f>IFERROR(__xludf.DUMMYFUNCTION("""COMPUTED_VALUE"""),"Enquire &amp; Coordinate with client")</f>
        <v>Enquire &amp; Coordinate with client</v>
      </c>
      <c r="I13" s="4" t="str">
        <f>IFERROR(__xludf.DUMMYFUNCTION("""COMPUTED_VALUE"""),"sales person - first shivani")</f>
        <v>sales person - first shivani</v>
      </c>
    </row>
    <row r="14">
      <c r="A14" s="85">
        <f>IFERROR(__xludf.DUMMYFUNCTION("""COMPUTED_VALUE"""),44643.69308625)</f>
        <v>44643.69309</v>
      </c>
      <c r="B14" s="4"/>
      <c r="C14" s="4"/>
      <c r="D14" s="4"/>
      <c r="E14" s="4"/>
      <c r="F14" s="4"/>
      <c r="G14" s="85">
        <f>IFERROR(__xludf.DUMMYFUNCTION("""COMPUTED_VALUE"""),44644.69305555556)</f>
        <v>44644.69306</v>
      </c>
      <c r="H14" s="85" t="str">
        <f>IFERROR(__xludf.DUMMYFUNCTION("""COMPUTED_VALUE"""),"Enquire &amp; Coordinate with client")</f>
        <v>Enquire &amp; Coordinate with client</v>
      </c>
      <c r="I14" s="4" t="str">
        <f>IFERROR(__xludf.DUMMYFUNCTION("""COMPUTED_VALUE"""),"sales person - first shivani")</f>
        <v>sales person - first shivani</v>
      </c>
    </row>
    <row r="15">
      <c r="A15" s="85">
        <f>IFERROR(__xludf.DUMMYFUNCTION("""COMPUTED_VALUE"""),44645.58288913194)</f>
        <v>44645.58289</v>
      </c>
      <c r="B15" s="4"/>
      <c r="C15" s="4"/>
      <c r="D15" s="4"/>
      <c r="E15" s="4"/>
      <c r="F15" s="4"/>
      <c r="G15" s="85">
        <f>IFERROR(__xludf.DUMMYFUNCTION("""COMPUTED_VALUE"""),44646.58263888889)</f>
        <v>44646.58264</v>
      </c>
      <c r="H15" s="85" t="str">
        <f>IFERROR(__xludf.DUMMYFUNCTION("""COMPUTED_VALUE"""),"Enquire &amp; Coordinate with client")</f>
        <v>Enquire &amp; Coordinate with client</v>
      </c>
      <c r="I15" s="4" t="str">
        <f>IFERROR(__xludf.DUMMYFUNCTION("""COMPUTED_VALUE"""),"sales person - first shivani")</f>
        <v>sales person - first shivani</v>
      </c>
    </row>
    <row r="16">
      <c r="A16" s="85">
        <f>IFERROR(__xludf.DUMMYFUNCTION("""COMPUTED_VALUE"""),44678.49157111111)</f>
        <v>44678.49157</v>
      </c>
      <c r="B16" s="4"/>
      <c r="C16" s="4"/>
      <c r="D16" s="4"/>
      <c r="E16" s="4"/>
      <c r="F16" s="4"/>
      <c r="G16" s="85">
        <f>IFERROR(__xludf.DUMMYFUNCTION("""COMPUTED_VALUE"""),44679.49097222222)</f>
        <v>44679.49097</v>
      </c>
      <c r="H16" s="85" t="str">
        <f>IFERROR(__xludf.DUMMYFUNCTION("""COMPUTED_VALUE"""),"Enquire &amp; Coordinate with client")</f>
        <v>Enquire &amp; Coordinate with client</v>
      </c>
      <c r="I16" s="4" t="str">
        <f>IFERROR(__xludf.DUMMYFUNCTION("""COMPUTED_VALUE"""),"sales person - first shivani")</f>
        <v>sales person - first shivani</v>
      </c>
    </row>
    <row r="17">
      <c r="A17" s="85">
        <f>IFERROR(__xludf.DUMMYFUNCTION("""COMPUTED_VALUE"""),44680.73905730324)</f>
        <v>44680.73906</v>
      </c>
      <c r="B17" s="4"/>
      <c r="C17" s="4"/>
      <c r="D17" s="4"/>
      <c r="E17" s="4"/>
      <c r="F17" s="4"/>
      <c r="G17" s="85">
        <f>IFERROR(__xludf.DUMMYFUNCTION("""COMPUTED_VALUE"""),44681.73888888889)</f>
        <v>44681.73889</v>
      </c>
      <c r="H17" s="85" t="str">
        <f>IFERROR(__xludf.DUMMYFUNCTION("""COMPUTED_VALUE"""),"Enquire &amp; Coordinate with client")</f>
        <v>Enquire &amp; Coordinate with client</v>
      </c>
      <c r="I17" s="4" t="str">
        <f>IFERROR(__xludf.DUMMYFUNCTION("""COMPUTED_VALUE"""),"sales person - first shivani")</f>
        <v>sales person - first shivani</v>
      </c>
    </row>
    <row r="18">
      <c r="A18" s="85">
        <f>IFERROR(__xludf.DUMMYFUNCTION("""COMPUTED_VALUE"""),44684.610864062495)</f>
        <v>44684.61086</v>
      </c>
      <c r="B18" s="4"/>
      <c r="C18" s="4"/>
      <c r="D18" s="4"/>
      <c r="E18" s="4"/>
      <c r="F18" s="4"/>
      <c r="G18" s="85">
        <f>IFERROR(__xludf.DUMMYFUNCTION("""COMPUTED_VALUE"""),44685.61041666666)</f>
        <v>44685.61042</v>
      </c>
      <c r="H18" s="85" t="str">
        <f>IFERROR(__xludf.DUMMYFUNCTION("""COMPUTED_VALUE"""),"Enquire &amp; Coordinate with client")</f>
        <v>Enquire &amp; Coordinate with client</v>
      </c>
      <c r="I18" s="4" t="str">
        <f>IFERROR(__xludf.DUMMYFUNCTION("""COMPUTED_VALUE"""),"sales person - first shivani")</f>
        <v>sales person - first shivani</v>
      </c>
    </row>
    <row r="19">
      <c r="A19" s="85">
        <f>IFERROR(__xludf.DUMMYFUNCTION("""COMPUTED_VALUE"""),44685.48934518519)</f>
        <v>44685.48935</v>
      </c>
      <c r="B19" s="4"/>
      <c r="C19" s="4"/>
      <c r="D19" s="4"/>
      <c r="E19" s="4"/>
      <c r="F19" s="4"/>
      <c r="G19" s="85">
        <f>IFERROR(__xludf.DUMMYFUNCTION("""COMPUTED_VALUE"""),44686.48888888889)</f>
        <v>44686.48889</v>
      </c>
      <c r="H19" s="85" t="str">
        <f>IFERROR(__xludf.DUMMYFUNCTION("""COMPUTED_VALUE"""),"Enquire &amp; Coordinate with client")</f>
        <v>Enquire &amp; Coordinate with client</v>
      </c>
      <c r="I19" s="4" t="str">
        <f>IFERROR(__xludf.DUMMYFUNCTION("""COMPUTED_VALUE"""),"sales person - first shivani")</f>
        <v>sales person - first shivani</v>
      </c>
    </row>
    <row r="20">
      <c r="A20" s="85">
        <f>IFERROR(__xludf.DUMMYFUNCTION("""COMPUTED_VALUE"""),44694.489989490736)</f>
        <v>44694.48999</v>
      </c>
      <c r="B20" s="4"/>
      <c r="C20" s="4"/>
      <c r="D20" s="4"/>
      <c r="E20" s="4"/>
      <c r="F20" s="4"/>
      <c r="G20" s="85">
        <f>IFERROR(__xludf.DUMMYFUNCTION("""COMPUTED_VALUE"""),44695.48958333333)</f>
        <v>44695.48958</v>
      </c>
      <c r="H20" s="85" t="str">
        <f>IFERROR(__xludf.DUMMYFUNCTION("""COMPUTED_VALUE"""),"Enquire &amp; Coordinate with client")</f>
        <v>Enquire &amp; Coordinate with client</v>
      </c>
      <c r="I20" s="4" t="str">
        <f>IFERROR(__xludf.DUMMYFUNCTION("""COMPUTED_VALUE"""),"sales person - first shivani")</f>
        <v>sales person - first shivani</v>
      </c>
    </row>
    <row r="21">
      <c r="A21" s="85">
        <f>IFERROR(__xludf.DUMMYFUNCTION("""COMPUTED_VALUE"""),44709.64866075232)</f>
        <v>44709.64866</v>
      </c>
      <c r="B21" s="4"/>
      <c r="C21" s="4"/>
      <c r="D21" s="4"/>
      <c r="E21" s="4"/>
      <c r="F21" s="4"/>
      <c r="G21" s="85">
        <f>IFERROR(__xludf.DUMMYFUNCTION("""COMPUTED_VALUE"""),44710.648611111115)</f>
        <v>44710.64861</v>
      </c>
      <c r="H21" s="85" t="str">
        <f>IFERROR(__xludf.DUMMYFUNCTION("""COMPUTED_VALUE"""),"Enquire &amp; Coordinate with client")</f>
        <v>Enquire &amp; Coordinate with client</v>
      </c>
      <c r="I21" s="4" t="str">
        <f>IFERROR(__xludf.DUMMYFUNCTION("""COMPUTED_VALUE"""),"sales person - first shivani")</f>
        <v>sales person - first shivani</v>
      </c>
    </row>
    <row r="22">
      <c r="A22" s="85">
        <f>IFERROR(__xludf.DUMMYFUNCTION("""COMPUTED_VALUE"""),44710.51303489584)</f>
        <v>44710.51303</v>
      </c>
      <c r="B22" s="4"/>
      <c r="C22" s="4"/>
      <c r="D22" s="4"/>
      <c r="E22" s="4"/>
      <c r="F22" s="4"/>
      <c r="G22" s="85">
        <f>IFERROR(__xludf.DUMMYFUNCTION("""COMPUTED_VALUE"""),44712.5125)</f>
        <v>44712.5125</v>
      </c>
      <c r="H22" s="85" t="str">
        <f>IFERROR(__xludf.DUMMYFUNCTION("""COMPUTED_VALUE"""),"Enquire &amp; Coordinate with client")</f>
        <v>Enquire &amp; Coordinate with client</v>
      </c>
      <c r="I22" s="4" t="str">
        <f>IFERROR(__xludf.DUMMYFUNCTION("""COMPUTED_VALUE"""),"sales person - first shivani")</f>
        <v>sales person - first shivani</v>
      </c>
    </row>
    <row r="23">
      <c r="A23" s="85">
        <f>IFERROR(__xludf.DUMMYFUNCTION("""COMPUTED_VALUE"""),44710.51469099537)</f>
        <v>44710.51469</v>
      </c>
      <c r="B23" s="4"/>
      <c r="C23" s="4"/>
      <c r="D23" s="4"/>
      <c r="E23" s="4"/>
      <c r="F23" s="4"/>
      <c r="G23" s="85">
        <f>IFERROR(__xludf.DUMMYFUNCTION("""COMPUTED_VALUE"""),44712.51458333334)</f>
        <v>44712.51458</v>
      </c>
      <c r="H23" s="85" t="str">
        <f>IFERROR(__xludf.DUMMYFUNCTION("""COMPUTED_VALUE"""),"Enquire &amp; Coordinate with client")</f>
        <v>Enquire &amp; Coordinate with client</v>
      </c>
      <c r="I23" s="4" t="str">
        <f>IFERROR(__xludf.DUMMYFUNCTION("""COMPUTED_VALUE"""),"sales person - first shivani")</f>
        <v>sales person - first shivani</v>
      </c>
    </row>
    <row r="24">
      <c r="A24" s="85">
        <f>IFERROR(__xludf.DUMMYFUNCTION("""COMPUTED_VALUE"""),44720.520356388886)</f>
        <v>44720.52036</v>
      </c>
      <c r="B24" s="4"/>
      <c r="C24" s="4"/>
      <c r="D24" s="4"/>
      <c r="E24" s="4"/>
      <c r="F24" s="4"/>
      <c r="G24" s="85">
        <f>IFERROR(__xludf.DUMMYFUNCTION("""COMPUTED_VALUE"""),44721.52013888889)</f>
        <v>44721.52014</v>
      </c>
      <c r="H24" s="85" t="str">
        <f>IFERROR(__xludf.DUMMYFUNCTION("""COMPUTED_VALUE"""),"Enquire &amp; Coordinate with client")</f>
        <v>Enquire &amp; Coordinate with client</v>
      </c>
      <c r="I24" s="4" t="str">
        <f>IFERROR(__xludf.DUMMYFUNCTION("""COMPUTED_VALUE"""),"sales person - first shivani")</f>
        <v>sales person - first shivani</v>
      </c>
    </row>
    <row r="25">
      <c r="A25" s="85">
        <f>IFERROR(__xludf.DUMMYFUNCTION("""COMPUTED_VALUE"""),44726.541755543985)</f>
        <v>44726.54176</v>
      </c>
      <c r="B25" s="4"/>
      <c r="C25" s="4"/>
      <c r="D25" s="4"/>
      <c r="E25" s="4"/>
      <c r="F25" s="4"/>
      <c r="G25" s="85">
        <f>IFERROR(__xludf.DUMMYFUNCTION("""COMPUTED_VALUE"""),44727.54166666667)</f>
        <v>44727.54167</v>
      </c>
      <c r="H25" s="85" t="str">
        <f>IFERROR(__xludf.DUMMYFUNCTION("""COMPUTED_VALUE"""),"Enquire &amp; Coordinate with client")</f>
        <v>Enquire &amp; Coordinate with client</v>
      </c>
      <c r="I25" s="4" t="str">
        <f>IFERROR(__xludf.DUMMYFUNCTION("""COMPUTED_VALUE"""),"sales person - first shivani")</f>
        <v>sales person - first shivani</v>
      </c>
    </row>
    <row r="26">
      <c r="A26" s="85">
        <f>IFERROR(__xludf.DUMMYFUNCTION("""COMPUTED_VALUE"""),44727.567520219905)</f>
        <v>44727.56752</v>
      </c>
      <c r="B26" s="4"/>
      <c r="C26" s="4"/>
      <c r="D26" s="4"/>
      <c r="E26" s="4"/>
      <c r="F26" s="4"/>
      <c r="G26" s="85">
        <f>IFERROR(__xludf.DUMMYFUNCTION("""COMPUTED_VALUE"""),44728.56736111111)</f>
        <v>44728.56736</v>
      </c>
      <c r="H26" s="85" t="str">
        <f>IFERROR(__xludf.DUMMYFUNCTION("""COMPUTED_VALUE"""),"Enquire &amp; Coordinate with client")</f>
        <v>Enquire &amp; Coordinate with client</v>
      </c>
      <c r="I26" s="4" t="str">
        <f>IFERROR(__xludf.DUMMYFUNCTION("""COMPUTED_VALUE"""),"sales person - first shivani")</f>
        <v>sales person - first shivani</v>
      </c>
    </row>
    <row r="27">
      <c r="A27" s="85">
        <f>IFERROR(__xludf.DUMMYFUNCTION("""COMPUTED_VALUE"""),44730.703461006946)</f>
        <v>44730.70346</v>
      </c>
      <c r="B27" s="4"/>
      <c r="C27" s="4"/>
      <c r="D27" s="4"/>
      <c r="E27" s="4"/>
      <c r="F27" s="4"/>
      <c r="G27" s="85">
        <f>IFERROR(__xludf.DUMMYFUNCTION("""COMPUTED_VALUE"""),44731.70277777778)</f>
        <v>44731.70278</v>
      </c>
      <c r="H27" s="85" t="str">
        <f>IFERROR(__xludf.DUMMYFUNCTION("""COMPUTED_VALUE"""),"Enquire &amp; Coordinate with client")</f>
        <v>Enquire &amp; Coordinate with client</v>
      </c>
      <c r="I27" s="4" t="str">
        <f>IFERROR(__xludf.DUMMYFUNCTION("""COMPUTED_VALUE"""),"sales person - first shivani")</f>
        <v>sales person - first shivani</v>
      </c>
    </row>
    <row r="28">
      <c r="A28" s="85">
        <f>IFERROR(__xludf.DUMMYFUNCTION("""COMPUTED_VALUE"""),44730.705676921294)</f>
        <v>44730.70568</v>
      </c>
      <c r="B28" s="4"/>
      <c r="C28" s="4"/>
      <c r="D28" s="4"/>
      <c r="E28" s="4"/>
      <c r="F28" s="4"/>
      <c r="G28" s="85">
        <f>IFERROR(__xludf.DUMMYFUNCTION("""COMPUTED_VALUE"""),44731.705555555556)</f>
        <v>44731.70556</v>
      </c>
      <c r="H28" s="85" t="str">
        <f>IFERROR(__xludf.DUMMYFUNCTION("""COMPUTED_VALUE"""),"Enquire &amp; Coordinate with client")</f>
        <v>Enquire &amp; Coordinate with client</v>
      </c>
      <c r="I28" s="4" t="str">
        <f>IFERROR(__xludf.DUMMYFUNCTION("""COMPUTED_VALUE"""),"sales person - first shivani")</f>
        <v>sales person - first shivani</v>
      </c>
    </row>
    <row r="29">
      <c r="A29" s="85">
        <f>IFERROR(__xludf.DUMMYFUNCTION("""COMPUTED_VALUE"""),44730.7148536574)</f>
        <v>44730.71485</v>
      </c>
      <c r="B29" s="4"/>
      <c r="C29" s="4"/>
      <c r="D29" s="4"/>
      <c r="E29" s="4"/>
      <c r="F29" s="4"/>
      <c r="G29" s="85">
        <f>IFERROR(__xludf.DUMMYFUNCTION("""COMPUTED_VALUE"""),44731.714583333334)</f>
        <v>44731.71458</v>
      </c>
      <c r="H29" s="85" t="str">
        <f>IFERROR(__xludf.DUMMYFUNCTION("""COMPUTED_VALUE"""),"Enquire &amp; Coordinate with client")</f>
        <v>Enquire &amp; Coordinate with client</v>
      </c>
      <c r="I29" s="4" t="str">
        <f>IFERROR(__xludf.DUMMYFUNCTION("""COMPUTED_VALUE"""),"sales person - first shivani")</f>
        <v>sales person - first shivani</v>
      </c>
    </row>
    <row r="30">
      <c r="A30" s="85">
        <f>IFERROR(__xludf.DUMMYFUNCTION("""COMPUTED_VALUE"""),44768.49115574075)</f>
        <v>44768.49116</v>
      </c>
      <c r="B30" s="4"/>
      <c r="C30" s="4"/>
      <c r="D30" s="4"/>
      <c r="E30" s="4"/>
      <c r="F30" s="4"/>
      <c r="G30" s="85">
        <f>IFERROR(__xludf.DUMMYFUNCTION("""COMPUTED_VALUE"""),44769.49097222222)</f>
        <v>44769.49097</v>
      </c>
      <c r="H30" s="85" t="str">
        <f>IFERROR(__xludf.DUMMYFUNCTION("""COMPUTED_VALUE"""),"Enquire &amp; Coordinate with client")</f>
        <v>Enquire &amp; Coordinate with client</v>
      </c>
      <c r="I30" s="4" t="str">
        <f>IFERROR(__xludf.DUMMYFUNCTION("""COMPUTED_VALUE"""),"sales person - first shivani")</f>
        <v>sales person - first shivani</v>
      </c>
    </row>
    <row r="31">
      <c r="A31" s="85">
        <f>IFERROR(__xludf.DUMMYFUNCTION("""COMPUTED_VALUE"""),44783.66246270833)</f>
        <v>44783.66246</v>
      </c>
      <c r="B31" s="4"/>
      <c r="C31" s="4"/>
      <c r="D31" s="4"/>
      <c r="E31" s="4"/>
      <c r="F31" s="4"/>
      <c r="G31" s="85">
        <f>IFERROR(__xludf.DUMMYFUNCTION("""COMPUTED_VALUE"""),44784.66180555556)</f>
        <v>44784.66181</v>
      </c>
      <c r="H31" s="85" t="str">
        <f>IFERROR(__xludf.DUMMYFUNCTION("""COMPUTED_VALUE"""),"Enquire &amp; Coordinate with client")</f>
        <v>Enquire &amp; Coordinate with client</v>
      </c>
      <c r="I31" s="4" t="str">
        <f>IFERROR(__xludf.DUMMYFUNCTION("""COMPUTED_VALUE"""),"sales person - first shivani")</f>
        <v>sales person - first shivani</v>
      </c>
    </row>
    <row r="32">
      <c r="A32" s="85">
        <f>IFERROR(__xludf.DUMMYFUNCTION("""COMPUTED_VALUE"""),44790.47139261574)</f>
        <v>44790.47139</v>
      </c>
      <c r="B32" s="4"/>
      <c r="C32" s="4"/>
      <c r="D32" s="4"/>
      <c r="E32" s="4"/>
      <c r="F32" s="4"/>
      <c r="G32" s="85">
        <f>IFERROR(__xludf.DUMMYFUNCTION("""COMPUTED_VALUE"""),44791.47083333333)</f>
        <v>44791.47083</v>
      </c>
      <c r="H32" s="85" t="str">
        <f>IFERROR(__xludf.DUMMYFUNCTION("""COMPUTED_VALUE"""),"Enquire &amp; Coordinate with client")</f>
        <v>Enquire &amp; Coordinate with client</v>
      </c>
      <c r="I32" s="4" t="str">
        <f>IFERROR(__xludf.DUMMYFUNCTION("""COMPUTED_VALUE"""),"sales person - first shivani")</f>
        <v>sales person - first shivani</v>
      </c>
    </row>
    <row r="33">
      <c r="A33" s="85">
        <f>IFERROR(__xludf.DUMMYFUNCTION("""COMPUTED_VALUE"""),44793.59721324074)</f>
        <v>44793.59721</v>
      </c>
      <c r="B33" s="4"/>
      <c r="C33" s="4"/>
      <c r="D33" s="4"/>
      <c r="E33" s="4"/>
      <c r="F33" s="4"/>
      <c r="G33" s="85">
        <f>IFERROR(__xludf.DUMMYFUNCTION("""COMPUTED_VALUE"""),44794.59652777778)</f>
        <v>44794.59653</v>
      </c>
      <c r="H33" s="85" t="str">
        <f>IFERROR(__xludf.DUMMYFUNCTION("""COMPUTED_VALUE"""),"Enquire &amp; Coordinate with client")</f>
        <v>Enquire &amp; Coordinate with client</v>
      </c>
      <c r="I33" s="4" t="str">
        <f>IFERROR(__xludf.DUMMYFUNCTION("""COMPUTED_VALUE"""),"sales person - first shivani")</f>
        <v>sales person - first shivani</v>
      </c>
    </row>
    <row r="34">
      <c r="A34" s="85">
        <f>IFERROR(__xludf.DUMMYFUNCTION("""COMPUTED_VALUE"""),44810.65610633102)</f>
        <v>44810.65611</v>
      </c>
      <c r="B34" s="4"/>
      <c r="C34" s="4"/>
      <c r="D34" s="4"/>
      <c r="E34" s="4"/>
      <c r="F34" s="4"/>
      <c r="G34" s="85">
        <f>IFERROR(__xludf.DUMMYFUNCTION("""COMPUTED_VALUE"""),44811.65555555555)</f>
        <v>44811.65556</v>
      </c>
      <c r="H34" s="85" t="str">
        <f>IFERROR(__xludf.DUMMYFUNCTION("""COMPUTED_VALUE"""),"Enquire &amp; Coordinate with client")</f>
        <v>Enquire &amp; Coordinate with client</v>
      </c>
      <c r="I34" s="4" t="str">
        <f>IFERROR(__xludf.DUMMYFUNCTION("""COMPUTED_VALUE"""),"sales person - first shivani")</f>
        <v>sales person - first shivani</v>
      </c>
    </row>
    <row r="35">
      <c r="A35" s="85">
        <f>IFERROR(__xludf.DUMMYFUNCTION("""COMPUTED_VALUE"""),44812.571766759254)</f>
        <v>44812.57177</v>
      </c>
      <c r="B35" s="4"/>
      <c r="C35" s="4"/>
      <c r="D35" s="4"/>
      <c r="E35" s="4"/>
      <c r="F35" s="4"/>
      <c r="G35" s="85">
        <f>IFERROR(__xludf.DUMMYFUNCTION("""COMPUTED_VALUE"""),44813.57152777778)</f>
        <v>44813.57153</v>
      </c>
      <c r="H35" s="85" t="str">
        <f>IFERROR(__xludf.DUMMYFUNCTION("""COMPUTED_VALUE"""),"Enquire &amp; Coordinate with client")</f>
        <v>Enquire &amp; Coordinate with client</v>
      </c>
      <c r="I35" s="4" t="str">
        <f>IFERROR(__xludf.DUMMYFUNCTION("""COMPUTED_VALUE"""),"sales person - first shivani")</f>
        <v>sales person - first shivani</v>
      </c>
    </row>
    <row r="36">
      <c r="A36" s="85">
        <f>IFERROR(__xludf.DUMMYFUNCTION("""COMPUTED_VALUE"""),44833.77938108796)</f>
        <v>44833.77938</v>
      </c>
      <c r="B36" s="4"/>
      <c r="C36" s="4"/>
      <c r="D36" s="4"/>
      <c r="E36" s="4"/>
      <c r="F36" s="4"/>
      <c r="G36" s="85">
        <f>IFERROR(__xludf.DUMMYFUNCTION("""COMPUTED_VALUE"""),44834.77916666667)</f>
        <v>44834.77917</v>
      </c>
      <c r="H36" s="85" t="str">
        <f>IFERROR(__xludf.DUMMYFUNCTION("""COMPUTED_VALUE"""),"Enquire &amp; Coordinate with client")</f>
        <v>Enquire &amp; Coordinate with client</v>
      </c>
      <c r="I36" s="4" t="str">
        <f>IFERROR(__xludf.DUMMYFUNCTION("""COMPUTED_VALUE"""),"sales person - first shivani")</f>
        <v>sales person - first shivani</v>
      </c>
    </row>
    <row r="37">
      <c r="A37" s="85">
        <f>IFERROR(__xludf.DUMMYFUNCTION("""COMPUTED_VALUE"""),44835.484577881936)</f>
        <v>44835.48458</v>
      </c>
      <c r="B37" s="4"/>
      <c r="C37" s="4"/>
      <c r="D37" s="4"/>
      <c r="E37" s="4"/>
      <c r="F37" s="4"/>
      <c r="G37" s="85">
        <f>IFERROR(__xludf.DUMMYFUNCTION("""COMPUTED_VALUE"""),44836.48402777778)</f>
        <v>44836.48403</v>
      </c>
      <c r="H37" s="85" t="str">
        <f>IFERROR(__xludf.DUMMYFUNCTION("""COMPUTED_VALUE"""),"Enquire &amp; Coordinate with client")</f>
        <v>Enquire &amp; Coordinate with client</v>
      </c>
      <c r="I37" s="4" t="str">
        <f>IFERROR(__xludf.DUMMYFUNCTION("""COMPUTED_VALUE"""),"sales person - first shivani")</f>
        <v>sales person - first shivani</v>
      </c>
    </row>
    <row r="38">
      <c r="A38" s="85">
        <f>IFERROR(__xludf.DUMMYFUNCTION("""COMPUTED_VALUE"""),44842.485414409726)</f>
        <v>44842.48541</v>
      </c>
      <c r="B38" s="4"/>
      <c r="C38" s="4"/>
      <c r="D38" s="4"/>
      <c r="E38" s="4"/>
      <c r="F38" s="4"/>
      <c r="G38" s="85">
        <f>IFERROR(__xludf.DUMMYFUNCTION("""COMPUTED_VALUE"""),44843.48541666666)</f>
        <v>44843.48542</v>
      </c>
      <c r="H38" s="85" t="str">
        <f>IFERROR(__xludf.DUMMYFUNCTION("""COMPUTED_VALUE"""),"Enquire &amp; Coordinate with client")</f>
        <v>Enquire &amp; Coordinate with client</v>
      </c>
      <c r="I38" s="4" t="str">
        <f>IFERROR(__xludf.DUMMYFUNCTION("""COMPUTED_VALUE"""),"sales person - first shivani")</f>
        <v>sales person - first shivani</v>
      </c>
    </row>
    <row r="39">
      <c r="A39" s="85">
        <f>IFERROR(__xludf.DUMMYFUNCTION("""COMPUTED_VALUE"""),44843.77713694444)</f>
        <v>44843.77714</v>
      </c>
      <c r="B39" s="4"/>
      <c r="C39" s="4"/>
      <c r="D39" s="4"/>
      <c r="E39" s="4"/>
      <c r="F39" s="4"/>
      <c r="G39" s="85">
        <f>IFERROR(__xludf.DUMMYFUNCTION("""COMPUTED_VALUE"""),44845.777083333334)</f>
        <v>44845.77708</v>
      </c>
      <c r="H39" s="85" t="str">
        <f>IFERROR(__xludf.DUMMYFUNCTION("""COMPUTED_VALUE"""),"Enquire &amp; Coordinate with client")</f>
        <v>Enquire &amp; Coordinate with client</v>
      </c>
      <c r="I39" s="4" t="str">
        <f>IFERROR(__xludf.DUMMYFUNCTION("""COMPUTED_VALUE"""),"sales person - first shivani")</f>
        <v>sales person - first shivani</v>
      </c>
    </row>
    <row r="40">
      <c r="A40" s="85">
        <f>IFERROR(__xludf.DUMMYFUNCTION("""COMPUTED_VALUE"""),44855.4343852199)</f>
        <v>44855.43439</v>
      </c>
      <c r="B40" s="4"/>
      <c r="C40" s="4"/>
      <c r="D40" s="4"/>
      <c r="E40" s="4"/>
      <c r="F40" s="4"/>
      <c r="G40" s="85">
        <f>IFERROR(__xludf.DUMMYFUNCTION("""COMPUTED_VALUE"""),44856.43402777778)</f>
        <v>44856.43403</v>
      </c>
      <c r="H40" s="85" t="str">
        <f>IFERROR(__xludf.DUMMYFUNCTION("""COMPUTED_VALUE"""),"Enquire &amp; Coordinate with client")</f>
        <v>Enquire &amp; Coordinate with client</v>
      </c>
      <c r="I40" s="4" t="str">
        <f>IFERROR(__xludf.DUMMYFUNCTION("""COMPUTED_VALUE"""),"sales person - first shivani")</f>
        <v>sales person - first shivani</v>
      </c>
    </row>
    <row r="41">
      <c r="A41" s="85">
        <f>IFERROR(__xludf.DUMMYFUNCTION("""COMPUTED_VALUE"""),44864.78708539352)</f>
        <v>44864.78709</v>
      </c>
      <c r="B41" s="4"/>
      <c r="C41" s="4"/>
      <c r="D41" s="4"/>
      <c r="E41" s="4"/>
      <c r="F41" s="4"/>
      <c r="G41" s="85">
        <f>IFERROR(__xludf.DUMMYFUNCTION("""COMPUTED_VALUE"""),44866.78680555556)</f>
        <v>44866.78681</v>
      </c>
      <c r="H41" s="85" t="str">
        <f>IFERROR(__xludf.DUMMYFUNCTION("""COMPUTED_VALUE"""),"Enquire &amp; Coordinate with client")</f>
        <v>Enquire &amp; Coordinate with client</v>
      </c>
      <c r="I41" s="4" t="str">
        <f>IFERROR(__xludf.DUMMYFUNCTION("""COMPUTED_VALUE"""),"sales person - first shivani")</f>
        <v>sales person - first shivani</v>
      </c>
    </row>
    <row r="42">
      <c r="A42" s="85">
        <f>IFERROR(__xludf.DUMMYFUNCTION("""COMPUTED_VALUE"""),44866.702012395835)</f>
        <v>44866.70201</v>
      </c>
      <c r="B42" s="4"/>
      <c r="C42" s="4"/>
      <c r="D42" s="4"/>
      <c r="E42" s="4"/>
      <c r="F42" s="4"/>
      <c r="G42" s="85">
        <f>IFERROR(__xludf.DUMMYFUNCTION("""COMPUTED_VALUE"""),44867.70138888889)</f>
        <v>44867.70139</v>
      </c>
      <c r="H42" s="85" t="str">
        <f>IFERROR(__xludf.DUMMYFUNCTION("""COMPUTED_VALUE"""),"Enquire &amp; Coordinate with client")</f>
        <v>Enquire &amp; Coordinate with client</v>
      </c>
      <c r="I42" s="4" t="str">
        <f>IFERROR(__xludf.DUMMYFUNCTION("""COMPUTED_VALUE"""),"sales person - first shivani")</f>
        <v>sales person - first shivani</v>
      </c>
    </row>
    <row r="43">
      <c r="A43" s="85">
        <f>IFERROR(__xludf.DUMMYFUNCTION("""COMPUTED_VALUE"""),44869.47592585648)</f>
        <v>44869.47593</v>
      </c>
      <c r="B43" s="4"/>
      <c r="C43" s="4"/>
      <c r="D43" s="4"/>
      <c r="E43" s="4"/>
      <c r="F43" s="4"/>
      <c r="G43" s="85">
        <f>IFERROR(__xludf.DUMMYFUNCTION("""COMPUTED_VALUE"""),44870.475694444445)</f>
        <v>44870.47569</v>
      </c>
      <c r="H43" s="85" t="str">
        <f>IFERROR(__xludf.DUMMYFUNCTION("""COMPUTED_VALUE"""),"Enquire &amp; Coordinate with client")</f>
        <v>Enquire &amp; Coordinate with client</v>
      </c>
      <c r="I43" s="4" t="str">
        <f>IFERROR(__xludf.DUMMYFUNCTION("""COMPUTED_VALUE"""),"sales person - first shivani")</f>
        <v>sales person - first shivani</v>
      </c>
    </row>
    <row r="44">
      <c r="A44" s="85">
        <f>IFERROR(__xludf.DUMMYFUNCTION("""COMPUTED_VALUE"""),44869.47775763888)</f>
        <v>44869.47776</v>
      </c>
      <c r="B44" s="4"/>
      <c r="C44" s="4"/>
      <c r="D44" s="4"/>
      <c r="E44" s="4"/>
      <c r="F44" s="4"/>
      <c r="G44" s="85">
        <f>IFERROR(__xludf.DUMMYFUNCTION("""COMPUTED_VALUE"""),44870.47708333333)</f>
        <v>44870.47708</v>
      </c>
      <c r="H44" s="85" t="str">
        <f>IFERROR(__xludf.DUMMYFUNCTION("""COMPUTED_VALUE"""),"Enquire &amp; Coordinate with client")</f>
        <v>Enquire &amp; Coordinate with client</v>
      </c>
      <c r="I44" s="4" t="str">
        <f>IFERROR(__xludf.DUMMYFUNCTION("""COMPUTED_VALUE"""),"sales person - first shivani")</f>
        <v>sales person - first shivani</v>
      </c>
    </row>
    <row r="45">
      <c r="A45" s="85">
        <f>IFERROR(__xludf.DUMMYFUNCTION("""COMPUTED_VALUE"""),44869.479070243055)</f>
        <v>44869.47907</v>
      </c>
      <c r="B45" s="4"/>
      <c r="C45" s="4"/>
      <c r="D45" s="4"/>
      <c r="E45" s="4"/>
      <c r="F45" s="4"/>
      <c r="G45" s="85">
        <f>IFERROR(__xludf.DUMMYFUNCTION("""COMPUTED_VALUE"""),44870.478472222225)</f>
        <v>44870.47847</v>
      </c>
      <c r="H45" s="85" t="str">
        <f>IFERROR(__xludf.DUMMYFUNCTION("""COMPUTED_VALUE"""),"Enquire &amp; Coordinate with client")</f>
        <v>Enquire &amp; Coordinate with client</v>
      </c>
      <c r="I45" s="4" t="str">
        <f>IFERROR(__xludf.DUMMYFUNCTION("""COMPUTED_VALUE"""),"sales person - first shivani")</f>
        <v>sales person - first shivani</v>
      </c>
    </row>
    <row r="46">
      <c r="A46" s="85">
        <f>IFERROR(__xludf.DUMMYFUNCTION("""COMPUTED_VALUE"""),44869.48332384259)</f>
        <v>44869.48332</v>
      </c>
      <c r="B46" s="4"/>
      <c r="C46" s="4"/>
      <c r="D46" s="4"/>
      <c r="E46" s="4"/>
      <c r="F46" s="4"/>
      <c r="G46" s="85">
        <f>IFERROR(__xludf.DUMMYFUNCTION("""COMPUTED_VALUE"""),44870.48263888889)</f>
        <v>44870.48264</v>
      </c>
      <c r="H46" s="85" t="str">
        <f>IFERROR(__xludf.DUMMYFUNCTION("""COMPUTED_VALUE"""),"Enquire &amp; Coordinate with client")</f>
        <v>Enquire &amp; Coordinate with client</v>
      </c>
      <c r="I46" s="4" t="str">
        <f>IFERROR(__xludf.DUMMYFUNCTION("""COMPUTED_VALUE"""),"sales person - first shivani")</f>
        <v>sales person - first shivani</v>
      </c>
    </row>
    <row r="47">
      <c r="A47" s="85">
        <f>IFERROR(__xludf.DUMMYFUNCTION("""COMPUTED_VALUE"""),44873.507521053245)</f>
        <v>44873.50752</v>
      </c>
      <c r="B47" s="4"/>
      <c r="C47" s="4"/>
      <c r="D47" s="4"/>
      <c r="E47" s="4"/>
      <c r="F47" s="4"/>
      <c r="G47" s="85">
        <f>IFERROR(__xludf.DUMMYFUNCTION("""COMPUTED_VALUE"""),44874.506944444445)</f>
        <v>44874.50694</v>
      </c>
      <c r="H47" s="85" t="str">
        <f>IFERROR(__xludf.DUMMYFUNCTION("""COMPUTED_VALUE"""),"Enquire &amp; Coordinate with client")</f>
        <v>Enquire &amp; Coordinate with client</v>
      </c>
      <c r="I47" s="4" t="str">
        <f>IFERROR(__xludf.DUMMYFUNCTION("""COMPUTED_VALUE"""),"sales person - first shivani")</f>
        <v>sales person - first shivani</v>
      </c>
    </row>
    <row r="48">
      <c r="A48" s="85">
        <f>IFERROR(__xludf.DUMMYFUNCTION("""COMPUTED_VALUE"""),44873.50840438657)</f>
        <v>44873.5084</v>
      </c>
      <c r="B48" s="4"/>
      <c r="C48" s="4"/>
      <c r="D48" s="4"/>
      <c r="E48" s="4"/>
      <c r="F48" s="4"/>
      <c r="G48" s="85">
        <f>IFERROR(__xludf.DUMMYFUNCTION("""COMPUTED_VALUE"""),44874.50833333333)</f>
        <v>44874.50833</v>
      </c>
      <c r="H48" s="85" t="str">
        <f>IFERROR(__xludf.DUMMYFUNCTION("""COMPUTED_VALUE"""),"Enquire &amp; Coordinate with client")</f>
        <v>Enquire &amp; Coordinate with client</v>
      </c>
      <c r="I48" s="4" t="str">
        <f>IFERROR(__xludf.DUMMYFUNCTION("""COMPUTED_VALUE"""),"sales person - first shivani")</f>
        <v>sales person - first shivani</v>
      </c>
    </row>
    <row r="49">
      <c r="A49" s="85">
        <f>IFERROR(__xludf.DUMMYFUNCTION("""COMPUTED_VALUE"""),44873.509584363426)</f>
        <v>44873.50958</v>
      </c>
      <c r="B49" s="4"/>
      <c r="C49" s="4"/>
      <c r="D49" s="4"/>
      <c r="E49" s="4"/>
      <c r="F49" s="4"/>
      <c r="G49" s="85">
        <f>IFERROR(__xludf.DUMMYFUNCTION("""COMPUTED_VALUE"""),44874.50902777778)</f>
        <v>44874.50903</v>
      </c>
      <c r="H49" s="85" t="str">
        <f>IFERROR(__xludf.DUMMYFUNCTION("""COMPUTED_VALUE"""),"Enquire &amp; Coordinate with client")</f>
        <v>Enquire &amp; Coordinate with client</v>
      </c>
      <c r="I49" s="4" t="str">
        <f>IFERROR(__xludf.DUMMYFUNCTION("""COMPUTED_VALUE"""),"sales person - first shivani")</f>
        <v>sales person - first shivani</v>
      </c>
    </row>
    <row r="50">
      <c r="A50" s="85">
        <f>IFERROR(__xludf.DUMMYFUNCTION("""COMPUTED_VALUE"""),44873.52351597222)</f>
        <v>44873.52352</v>
      </c>
      <c r="B50" s="4"/>
      <c r="C50" s="4"/>
      <c r="D50" s="4"/>
      <c r="E50" s="4"/>
      <c r="F50" s="4"/>
      <c r="G50" s="85">
        <f>IFERROR(__xludf.DUMMYFUNCTION("""COMPUTED_VALUE"""),44874.52291666667)</f>
        <v>44874.52292</v>
      </c>
      <c r="H50" s="85" t="str">
        <f>IFERROR(__xludf.DUMMYFUNCTION("""COMPUTED_VALUE"""),"Enquire &amp; Coordinate with client")</f>
        <v>Enquire &amp; Coordinate with client</v>
      </c>
      <c r="I50" s="4" t="str">
        <f>IFERROR(__xludf.DUMMYFUNCTION("""COMPUTED_VALUE"""),"sales person - first shivani")</f>
        <v>sales person - first shivani</v>
      </c>
    </row>
    <row r="51">
      <c r="A51" s="85">
        <f>IFERROR(__xludf.DUMMYFUNCTION("""COMPUTED_VALUE"""),44876.55274363425)</f>
        <v>44876.55274</v>
      </c>
      <c r="B51" s="4"/>
      <c r="C51" s="4"/>
      <c r="D51" s="4"/>
      <c r="E51" s="4"/>
      <c r="F51" s="4"/>
      <c r="G51" s="85">
        <f>IFERROR(__xludf.DUMMYFUNCTION("""COMPUTED_VALUE"""),44877.55208333333)</f>
        <v>44877.55208</v>
      </c>
      <c r="H51" s="85" t="str">
        <f>IFERROR(__xludf.DUMMYFUNCTION("""COMPUTED_VALUE"""),"Enquire &amp; Coordinate with client")</f>
        <v>Enquire &amp; Coordinate with client</v>
      </c>
      <c r="I51" s="4" t="str">
        <f>IFERROR(__xludf.DUMMYFUNCTION("""COMPUTED_VALUE"""),"sales person - first shivani")</f>
        <v>sales person - first shivani</v>
      </c>
    </row>
    <row r="52">
      <c r="A52" s="85">
        <f>IFERROR(__xludf.DUMMYFUNCTION("""COMPUTED_VALUE"""),44880.772080625)</f>
        <v>44880.77208</v>
      </c>
      <c r="B52" s="4"/>
      <c r="C52" s="4"/>
      <c r="D52" s="4"/>
      <c r="E52" s="4"/>
      <c r="F52" s="4"/>
      <c r="G52" s="85">
        <f>IFERROR(__xludf.DUMMYFUNCTION("""COMPUTED_VALUE"""),44881.771527777775)</f>
        <v>44881.77153</v>
      </c>
      <c r="H52" s="85" t="str">
        <f>IFERROR(__xludf.DUMMYFUNCTION("""COMPUTED_VALUE"""),"Enquire &amp; Coordinate with client")</f>
        <v>Enquire &amp; Coordinate with client</v>
      </c>
      <c r="I52" s="4" t="str">
        <f>IFERROR(__xludf.DUMMYFUNCTION("""COMPUTED_VALUE"""),"sales person - first shivani")</f>
        <v>sales person - first shivani</v>
      </c>
    </row>
    <row r="53">
      <c r="A53" s="85">
        <f>IFERROR(__xludf.DUMMYFUNCTION("""COMPUTED_VALUE"""),44884.559236712965)</f>
        <v>44884.55924</v>
      </c>
      <c r="B53" s="4"/>
      <c r="C53" s="4"/>
      <c r="D53" s="4"/>
      <c r="E53" s="4"/>
      <c r="F53" s="4"/>
      <c r="G53" s="85">
        <f>IFERROR(__xludf.DUMMYFUNCTION("""COMPUTED_VALUE"""),44885.55902777778)</f>
        <v>44885.55903</v>
      </c>
      <c r="H53" s="85" t="str">
        <f>IFERROR(__xludf.DUMMYFUNCTION("""COMPUTED_VALUE"""),"Enquire &amp; Coordinate with client")</f>
        <v>Enquire &amp; Coordinate with client</v>
      </c>
      <c r="I53" s="4" t="str">
        <f>IFERROR(__xludf.DUMMYFUNCTION("""COMPUTED_VALUE"""),"sales person - first shivani")</f>
        <v>sales person - first shivani</v>
      </c>
    </row>
    <row r="54">
      <c r="A54" s="85">
        <f>IFERROR(__xludf.DUMMYFUNCTION("""COMPUTED_VALUE"""),44884.571143229165)</f>
        <v>44884.57114</v>
      </c>
      <c r="B54" s="4"/>
      <c r="C54" s="4"/>
      <c r="D54" s="4"/>
      <c r="E54" s="4"/>
      <c r="F54" s="4"/>
      <c r="G54" s="85">
        <f>IFERROR(__xludf.DUMMYFUNCTION("""COMPUTED_VALUE"""),44885.57083333333)</f>
        <v>44885.57083</v>
      </c>
      <c r="H54" s="85" t="str">
        <f>IFERROR(__xludf.DUMMYFUNCTION("""COMPUTED_VALUE"""),"Enquire &amp; Coordinate with client")</f>
        <v>Enquire &amp; Coordinate with client</v>
      </c>
      <c r="I54" s="4" t="str">
        <f>IFERROR(__xludf.DUMMYFUNCTION("""COMPUTED_VALUE"""),"sales person - first shivani")</f>
        <v>sales person - first shivani</v>
      </c>
    </row>
    <row r="55">
      <c r="A55" s="85">
        <f>IFERROR(__xludf.DUMMYFUNCTION("""COMPUTED_VALUE"""),44924.707565914345)</f>
        <v>44924.70757</v>
      </c>
      <c r="B55" s="4"/>
      <c r="C55" s="4"/>
      <c r="D55" s="4"/>
      <c r="E55" s="4"/>
      <c r="F55" s="4"/>
      <c r="G55" s="85">
        <f>IFERROR(__xludf.DUMMYFUNCTION("""COMPUTED_VALUE"""),44925.70694444445)</f>
        <v>44925.70694</v>
      </c>
      <c r="H55" s="85" t="str">
        <f>IFERROR(__xludf.DUMMYFUNCTION("""COMPUTED_VALUE"""),"Enquire &amp; Coordinate with client")</f>
        <v>Enquire &amp; Coordinate with client</v>
      </c>
      <c r="I55" s="4" t="str">
        <f>IFERROR(__xludf.DUMMYFUNCTION("""COMPUTED_VALUE"""),"sales person - first shivani")</f>
        <v>sales person - first shivani</v>
      </c>
    </row>
    <row r="56">
      <c r="A56" s="85">
        <f>IFERROR(__xludf.DUMMYFUNCTION("""COMPUTED_VALUE"""),44927.57774549769)</f>
        <v>44927.57775</v>
      </c>
      <c r="B56" s="4"/>
      <c r="C56" s="4"/>
      <c r="D56" s="4"/>
      <c r="E56" s="4"/>
      <c r="F56" s="4"/>
      <c r="G56" s="85">
        <f>IFERROR(__xludf.DUMMYFUNCTION("""COMPUTED_VALUE"""),44929.57708333334)</f>
        <v>44929.57708</v>
      </c>
      <c r="H56" s="85" t="str">
        <f>IFERROR(__xludf.DUMMYFUNCTION("""COMPUTED_VALUE"""),"Enquire &amp; Coordinate with client")</f>
        <v>Enquire &amp; Coordinate with client</v>
      </c>
      <c r="I56" s="4" t="str">
        <f>IFERROR(__xludf.DUMMYFUNCTION("""COMPUTED_VALUE"""),"sales person - first shivani")</f>
        <v>sales person - first shivani</v>
      </c>
    </row>
    <row r="57">
      <c r="A57" s="85">
        <f>IFERROR(__xludf.DUMMYFUNCTION("""COMPUTED_VALUE"""),44927.58028672454)</f>
        <v>44927.58029</v>
      </c>
      <c r="B57" s="4"/>
      <c r="C57" s="4"/>
      <c r="D57" s="4"/>
      <c r="E57" s="4"/>
      <c r="F57" s="4"/>
      <c r="G57" s="85">
        <f>IFERROR(__xludf.DUMMYFUNCTION("""COMPUTED_VALUE"""),44929.57986111111)</f>
        <v>44929.57986</v>
      </c>
      <c r="H57" s="85" t="str">
        <f>IFERROR(__xludf.DUMMYFUNCTION("""COMPUTED_VALUE"""),"Enquire &amp; Coordinate with client")</f>
        <v>Enquire &amp; Coordinate with client</v>
      </c>
      <c r="I57" s="4" t="str">
        <f>IFERROR(__xludf.DUMMYFUNCTION("""COMPUTED_VALUE"""),"sales person - first shivani")</f>
        <v>sales person - first shivani</v>
      </c>
    </row>
    <row r="58">
      <c r="A58" s="85">
        <f>IFERROR(__xludf.DUMMYFUNCTION("""COMPUTED_VALUE"""),44936.46354170139)</f>
        <v>44936.46354</v>
      </c>
      <c r="B58" s="4"/>
      <c r="C58" s="4"/>
      <c r="D58" s="4"/>
      <c r="E58" s="4"/>
      <c r="F58" s="4"/>
      <c r="G58" s="85">
        <f>IFERROR(__xludf.DUMMYFUNCTION("""COMPUTED_VALUE"""),44937.46319444444)</f>
        <v>44937.46319</v>
      </c>
      <c r="H58" s="85" t="str">
        <f>IFERROR(__xludf.DUMMYFUNCTION("""COMPUTED_VALUE"""),"Enquire &amp; Coordinate with client")</f>
        <v>Enquire &amp; Coordinate with client</v>
      </c>
      <c r="I58" s="4" t="str">
        <f>IFERROR(__xludf.DUMMYFUNCTION("""COMPUTED_VALUE"""),"sales person - first shivani")</f>
        <v>sales person - first shivani</v>
      </c>
    </row>
    <row r="59">
      <c r="A59" s="85">
        <f>IFERROR(__xludf.DUMMYFUNCTION("""COMPUTED_VALUE"""),44936.46454961805)</f>
        <v>44936.46455</v>
      </c>
      <c r="B59" s="4"/>
      <c r="C59" s="4"/>
      <c r="D59" s="4"/>
      <c r="E59" s="4"/>
      <c r="F59" s="4"/>
      <c r="G59" s="85">
        <f>IFERROR(__xludf.DUMMYFUNCTION("""COMPUTED_VALUE"""),44937.46388888889)</f>
        <v>44937.46389</v>
      </c>
      <c r="H59" s="85" t="str">
        <f>IFERROR(__xludf.DUMMYFUNCTION("""COMPUTED_VALUE"""),"Enquire &amp; Coordinate with client")</f>
        <v>Enquire &amp; Coordinate with client</v>
      </c>
      <c r="I59" s="4" t="str">
        <f>IFERROR(__xludf.DUMMYFUNCTION("""COMPUTED_VALUE"""),"sales person - first shivani")</f>
        <v>sales person - first shivani</v>
      </c>
    </row>
    <row r="60">
      <c r="A60" s="85">
        <f>IFERROR(__xludf.DUMMYFUNCTION("""COMPUTED_VALUE"""),44936.46560909722)</f>
        <v>44936.46561</v>
      </c>
      <c r="B60" s="4"/>
      <c r="C60" s="4"/>
      <c r="D60" s="4"/>
      <c r="E60" s="4"/>
      <c r="F60" s="4"/>
      <c r="G60" s="85">
        <f>IFERROR(__xludf.DUMMYFUNCTION("""COMPUTED_VALUE"""),44937.46527777778)</f>
        <v>44937.46528</v>
      </c>
      <c r="H60" s="85" t="str">
        <f>IFERROR(__xludf.DUMMYFUNCTION("""COMPUTED_VALUE"""),"Enquire &amp; Coordinate with client")</f>
        <v>Enquire &amp; Coordinate with client</v>
      </c>
      <c r="I60" s="4" t="str">
        <f>IFERROR(__xludf.DUMMYFUNCTION("""COMPUTED_VALUE"""),"sales person - first shivani")</f>
        <v>sales person - first shivani</v>
      </c>
    </row>
    <row r="61">
      <c r="A61" s="85">
        <f>IFERROR(__xludf.DUMMYFUNCTION("""COMPUTED_VALUE"""),44936.51986458334)</f>
        <v>44936.51986</v>
      </c>
      <c r="B61" s="4"/>
      <c r="C61" s="4"/>
      <c r="D61" s="4"/>
      <c r="E61" s="4"/>
      <c r="F61" s="4"/>
      <c r="G61" s="85">
        <f>IFERROR(__xludf.DUMMYFUNCTION("""COMPUTED_VALUE"""),44937.51944444445)</f>
        <v>44937.51944</v>
      </c>
      <c r="H61" s="85" t="str">
        <f>IFERROR(__xludf.DUMMYFUNCTION("""COMPUTED_VALUE"""),"Enquire &amp; Coordinate with client")</f>
        <v>Enquire &amp; Coordinate with client</v>
      </c>
      <c r="I61" s="4" t="str">
        <f>IFERROR(__xludf.DUMMYFUNCTION("""COMPUTED_VALUE"""),"sales person - first shivani")</f>
        <v>sales person - first shivani</v>
      </c>
    </row>
    <row r="62">
      <c r="A62" s="85">
        <f>IFERROR(__xludf.DUMMYFUNCTION("""COMPUTED_VALUE"""),44936.53682934028)</f>
        <v>44936.53683</v>
      </c>
      <c r="B62" s="4"/>
      <c r="C62" s="4"/>
      <c r="D62" s="4"/>
      <c r="E62" s="4"/>
      <c r="F62" s="4"/>
      <c r="G62" s="85">
        <f>IFERROR(__xludf.DUMMYFUNCTION("""COMPUTED_VALUE"""),44937.53680555556)</f>
        <v>44937.53681</v>
      </c>
      <c r="H62" s="85" t="str">
        <f>IFERROR(__xludf.DUMMYFUNCTION("""COMPUTED_VALUE"""),"Enquire &amp; Coordinate with client")</f>
        <v>Enquire &amp; Coordinate with client</v>
      </c>
      <c r="I62" s="4" t="str">
        <f>IFERROR(__xludf.DUMMYFUNCTION("""COMPUTED_VALUE"""),"sales person - first shivani")</f>
        <v>sales person - first shivani</v>
      </c>
    </row>
    <row r="63">
      <c r="A63" s="85">
        <f>IFERROR(__xludf.DUMMYFUNCTION("""COMPUTED_VALUE"""),44938.50462876157)</f>
        <v>44938.50463</v>
      </c>
      <c r="B63" s="4"/>
      <c r="C63" s="4"/>
      <c r="D63" s="4"/>
      <c r="E63" s="4"/>
      <c r="F63" s="4"/>
      <c r="G63" s="85">
        <f>IFERROR(__xludf.DUMMYFUNCTION("""COMPUTED_VALUE"""),44939.504166666666)</f>
        <v>44939.50417</v>
      </c>
      <c r="H63" s="85" t="str">
        <f>IFERROR(__xludf.DUMMYFUNCTION("""COMPUTED_VALUE"""),"Enquire &amp; Coordinate with client")</f>
        <v>Enquire &amp; Coordinate with client</v>
      </c>
      <c r="I63" s="4" t="str">
        <f>IFERROR(__xludf.DUMMYFUNCTION("""COMPUTED_VALUE"""),"sales person - first shivani")</f>
        <v>sales person - first shivani</v>
      </c>
    </row>
    <row r="64">
      <c r="A64" s="85">
        <f>IFERROR(__xludf.DUMMYFUNCTION("""COMPUTED_VALUE"""),44939.58477853009)</f>
        <v>44939.58478</v>
      </c>
      <c r="B64" s="4"/>
      <c r="C64" s="4"/>
      <c r="D64" s="4"/>
      <c r="E64" s="4"/>
      <c r="F64" s="4"/>
      <c r="G64" s="85">
        <f>IFERROR(__xludf.DUMMYFUNCTION("""COMPUTED_VALUE"""),44940.58472222222)</f>
        <v>44940.58472</v>
      </c>
      <c r="H64" s="85" t="str">
        <f>IFERROR(__xludf.DUMMYFUNCTION("""COMPUTED_VALUE"""),"Enquire &amp; Coordinate with client")</f>
        <v>Enquire &amp; Coordinate with client</v>
      </c>
      <c r="I64" s="4" t="str">
        <f>IFERROR(__xludf.DUMMYFUNCTION("""COMPUTED_VALUE"""),"sales person - first shivani")</f>
        <v>sales person - first shivani</v>
      </c>
    </row>
    <row r="65">
      <c r="A65" s="85">
        <f>IFERROR(__xludf.DUMMYFUNCTION("""COMPUTED_VALUE"""),44941.51070938657)</f>
        <v>44941.51071</v>
      </c>
      <c r="B65" s="4"/>
      <c r="C65" s="4"/>
      <c r="D65" s="4"/>
      <c r="E65" s="4"/>
      <c r="F65" s="4"/>
      <c r="G65" s="85">
        <f>IFERROR(__xludf.DUMMYFUNCTION("""COMPUTED_VALUE"""),44943.51041666667)</f>
        <v>44943.51042</v>
      </c>
      <c r="H65" s="85" t="str">
        <f>IFERROR(__xludf.DUMMYFUNCTION("""COMPUTED_VALUE"""),"Enquire &amp; Coordinate with client")</f>
        <v>Enquire &amp; Coordinate with client</v>
      </c>
      <c r="I65" s="4" t="str">
        <f>IFERROR(__xludf.DUMMYFUNCTION("""COMPUTED_VALUE"""),"sales person - first shivani")</f>
        <v>sales person - first shivani</v>
      </c>
    </row>
    <row r="66">
      <c r="A66" s="85">
        <f>IFERROR(__xludf.DUMMYFUNCTION("""COMPUTED_VALUE"""),44941.511372789355)</f>
        <v>44941.51137</v>
      </c>
      <c r="B66" s="4"/>
      <c r="C66" s="4"/>
      <c r="D66" s="4"/>
      <c r="E66" s="4"/>
      <c r="F66" s="4"/>
      <c r="G66" s="85">
        <f>IFERROR(__xludf.DUMMYFUNCTION("""COMPUTED_VALUE"""),44943.51111111111)</f>
        <v>44943.51111</v>
      </c>
      <c r="H66" s="85" t="str">
        <f>IFERROR(__xludf.DUMMYFUNCTION("""COMPUTED_VALUE"""),"Enquire &amp; Coordinate with client")</f>
        <v>Enquire &amp; Coordinate with client</v>
      </c>
      <c r="I66" s="4" t="str">
        <f>IFERROR(__xludf.DUMMYFUNCTION("""COMPUTED_VALUE"""),"sales person - first shivani")</f>
        <v>sales person - first shivani</v>
      </c>
    </row>
    <row r="67">
      <c r="A67" s="85">
        <f>IFERROR(__xludf.DUMMYFUNCTION("""COMPUTED_VALUE"""),44941.51438630787)</f>
        <v>44941.51439</v>
      </c>
      <c r="B67" s="4"/>
      <c r="C67" s="4"/>
      <c r="D67" s="4"/>
      <c r="E67" s="4"/>
      <c r="F67" s="4"/>
      <c r="G67" s="85">
        <f>IFERROR(__xludf.DUMMYFUNCTION("""COMPUTED_VALUE"""),44943.51388888889)</f>
        <v>44943.51389</v>
      </c>
      <c r="H67" s="85" t="str">
        <f>IFERROR(__xludf.DUMMYFUNCTION("""COMPUTED_VALUE"""),"Enquire &amp; Coordinate with client")</f>
        <v>Enquire &amp; Coordinate with client</v>
      </c>
      <c r="I67" s="4" t="str">
        <f>IFERROR(__xludf.DUMMYFUNCTION("""COMPUTED_VALUE"""),"sales person - first shivani")</f>
        <v>sales person - first shivani</v>
      </c>
    </row>
    <row r="68">
      <c r="A68" s="85">
        <f>IFERROR(__xludf.DUMMYFUNCTION("""COMPUTED_VALUE"""),44944.518926400466)</f>
        <v>44944.51893</v>
      </c>
      <c r="B68" s="4"/>
      <c r="C68" s="4"/>
      <c r="D68" s="4"/>
      <c r="E68" s="4"/>
      <c r="F68" s="4"/>
      <c r="G68" s="85">
        <f>IFERROR(__xludf.DUMMYFUNCTION("""COMPUTED_VALUE"""),44945.51875)</f>
        <v>44945.51875</v>
      </c>
      <c r="H68" s="85" t="str">
        <f>IFERROR(__xludf.DUMMYFUNCTION("""COMPUTED_VALUE"""),"Enquire &amp; Coordinate with client")</f>
        <v>Enquire &amp; Coordinate with client</v>
      </c>
      <c r="I68" s="4" t="str">
        <f>IFERROR(__xludf.DUMMYFUNCTION("""COMPUTED_VALUE"""),"sales person - first shivani")</f>
        <v>sales person - first shivani</v>
      </c>
    </row>
    <row r="69">
      <c r="A69" s="85">
        <f>IFERROR(__xludf.DUMMYFUNCTION("""COMPUTED_VALUE"""),44944.52391574074)</f>
        <v>44944.52392</v>
      </c>
      <c r="B69" s="4"/>
      <c r="C69" s="4"/>
      <c r="D69" s="4"/>
      <c r="E69" s="4"/>
      <c r="F69" s="4"/>
      <c r="G69" s="85">
        <f>IFERROR(__xludf.DUMMYFUNCTION("""COMPUTED_VALUE"""),44945.523611111115)</f>
        <v>44945.52361</v>
      </c>
      <c r="H69" s="85" t="str">
        <f>IFERROR(__xludf.DUMMYFUNCTION("""COMPUTED_VALUE"""),"Enquire &amp; Coordinate with client")</f>
        <v>Enquire &amp; Coordinate with client</v>
      </c>
      <c r="I69" s="4" t="str">
        <f>IFERROR(__xludf.DUMMYFUNCTION("""COMPUTED_VALUE"""),"sales person - first shivani")</f>
        <v>sales person - first shivani</v>
      </c>
    </row>
    <row r="70">
      <c r="A70" s="85">
        <f>IFERROR(__xludf.DUMMYFUNCTION("""COMPUTED_VALUE"""),44944.530666203704)</f>
        <v>44944.53067</v>
      </c>
      <c r="B70" s="4"/>
      <c r="C70" s="4"/>
      <c r="D70" s="4"/>
      <c r="E70" s="4"/>
      <c r="F70" s="4"/>
      <c r="G70" s="85">
        <f>IFERROR(__xludf.DUMMYFUNCTION("""COMPUTED_VALUE"""),44945.53055555555)</f>
        <v>44945.53056</v>
      </c>
      <c r="H70" s="85" t="str">
        <f>IFERROR(__xludf.DUMMYFUNCTION("""COMPUTED_VALUE"""),"Enquire &amp; Coordinate with client")</f>
        <v>Enquire &amp; Coordinate with client</v>
      </c>
      <c r="I70" s="4" t="str">
        <f>IFERROR(__xludf.DUMMYFUNCTION("""COMPUTED_VALUE"""),"sales person - first shivani")</f>
        <v>sales person - first shivani</v>
      </c>
    </row>
    <row r="71">
      <c r="A71" s="85">
        <f>IFERROR(__xludf.DUMMYFUNCTION("""COMPUTED_VALUE"""),44944.54868616898)</f>
        <v>44944.54869</v>
      </c>
      <c r="B71" s="4"/>
      <c r="C71" s="4"/>
      <c r="D71" s="4"/>
      <c r="E71" s="4"/>
      <c r="F71" s="4"/>
      <c r="G71" s="85">
        <f>IFERROR(__xludf.DUMMYFUNCTION("""COMPUTED_VALUE"""),44945.54861111111)</f>
        <v>44945.54861</v>
      </c>
      <c r="H71" s="85" t="str">
        <f>IFERROR(__xludf.DUMMYFUNCTION("""COMPUTED_VALUE"""),"Enquire &amp; Coordinate with client")</f>
        <v>Enquire &amp; Coordinate with client</v>
      </c>
      <c r="I71" s="4" t="str">
        <f>IFERROR(__xludf.DUMMYFUNCTION("""COMPUTED_VALUE"""),"sales person - first shivani")</f>
        <v>sales person - first shivani</v>
      </c>
    </row>
    <row r="72">
      <c r="A72" s="85">
        <f>IFERROR(__xludf.DUMMYFUNCTION("""COMPUTED_VALUE"""),44985.67442454861)</f>
        <v>44985.67442</v>
      </c>
      <c r="B72" s="4"/>
      <c r="C72" s="4"/>
      <c r="D72" s="4"/>
      <c r="E72" s="4"/>
      <c r="F72" s="4"/>
      <c r="G72" s="85">
        <f>IFERROR(__xludf.DUMMYFUNCTION("""COMPUTED_VALUE"""),44986.674305555556)</f>
        <v>44986.67431</v>
      </c>
      <c r="H72" s="85" t="str">
        <f>IFERROR(__xludf.DUMMYFUNCTION("""COMPUTED_VALUE"""),"Enquire &amp; Coordinate with client")</f>
        <v>Enquire &amp; Coordinate with client</v>
      </c>
      <c r="I72" s="4" t="str">
        <f>IFERROR(__xludf.DUMMYFUNCTION("""COMPUTED_VALUE"""),"sales person - first shivani")</f>
        <v>sales person - first shivani</v>
      </c>
    </row>
    <row r="73">
      <c r="A73" s="85">
        <f>IFERROR(__xludf.DUMMYFUNCTION("""COMPUTED_VALUE"""),45039.96721311342)</f>
        <v>45039.96721</v>
      </c>
      <c r="B73" s="4"/>
      <c r="C73" s="4"/>
      <c r="D73" s="4"/>
      <c r="E73" s="4"/>
      <c r="F73" s="4"/>
      <c r="G73" s="85">
        <f>IFERROR(__xludf.DUMMYFUNCTION("""COMPUTED_VALUE"""),45041.96666666667)</f>
        <v>45041.96667</v>
      </c>
      <c r="H73" s="85" t="str">
        <f>IFERROR(__xludf.DUMMYFUNCTION("""COMPUTED_VALUE"""),"Enquire &amp; Coordinate with client")</f>
        <v>Enquire &amp; Coordinate with client</v>
      </c>
      <c r="I73" s="4" t="str">
        <f>IFERROR(__xludf.DUMMYFUNCTION("""COMPUTED_VALUE"""),"sales person - first shivani")</f>
        <v>sales person - first shivani</v>
      </c>
    </row>
    <row r="74">
      <c r="A74" s="85">
        <f>IFERROR(__xludf.DUMMYFUNCTION("""COMPUTED_VALUE"""),45041.79532341435)</f>
        <v>45041.79532</v>
      </c>
      <c r="B74" s="4"/>
      <c r="C74" s="4"/>
      <c r="D74" s="4"/>
      <c r="E74" s="4"/>
      <c r="F74" s="4"/>
      <c r="G74" s="85">
        <f>IFERROR(__xludf.DUMMYFUNCTION("""COMPUTED_VALUE"""),45042.79513888889)</f>
        <v>45042.79514</v>
      </c>
      <c r="H74" s="85" t="str">
        <f>IFERROR(__xludf.DUMMYFUNCTION("""COMPUTED_VALUE"""),"Enquire &amp; Coordinate with client")</f>
        <v>Enquire &amp; Coordinate with client</v>
      </c>
      <c r="I74" s="4" t="str">
        <f>IFERROR(__xludf.DUMMYFUNCTION("""COMPUTED_VALUE"""),"sales person - first shivani")</f>
        <v>sales person - first shivani</v>
      </c>
    </row>
    <row r="75">
      <c r="A75" s="85">
        <f>IFERROR(__xludf.DUMMYFUNCTION("""COMPUTED_VALUE"""),45042.542520613424)</f>
        <v>45042.54252</v>
      </c>
      <c r="B75" s="4"/>
      <c r="C75" s="4"/>
      <c r="D75" s="4"/>
      <c r="E75" s="4"/>
      <c r="F75" s="4"/>
      <c r="G75" s="85">
        <f>IFERROR(__xludf.DUMMYFUNCTION("""COMPUTED_VALUE"""),45043.54236111111)</f>
        <v>45043.54236</v>
      </c>
      <c r="H75" s="85" t="str">
        <f>IFERROR(__xludf.DUMMYFUNCTION("""COMPUTED_VALUE"""),"Enquire &amp; Coordinate with client")</f>
        <v>Enquire &amp; Coordinate with client</v>
      </c>
      <c r="I75" s="4" t="str">
        <f>IFERROR(__xludf.DUMMYFUNCTION("""COMPUTED_VALUE"""),"sales person - first shivani")</f>
        <v>sales person - first shivani</v>
      </c>
    </row>
    <row r="76">
      <c r="A76" s="85">
        <f>IFERROR(__xludf.DUMMYFUNCTION("""COMPUTED_VALUE"""),45042.589203414354)</f>
        <v>45042.5892</v>
      </c>
      <c r="B76" s="4"/>
      <c r="C76" s="4"/>
      <c r="D76" s="4"/>
      <c r="E76" s="4"/>
      <c r="F76" s="4"/>
      <c r="G76" s="85">
        <f>IFERROR(__xludf.DUMMYFUNCTION("""COMPUTED_VALUE"""),45043.58888888889)</f>
        <v>45043.58889</v>
      </c>
      <c r="H76" s="85" t="str">
        <f>IFERROR(__xludf.DUMMYFUNCTION("""COMPUTED_VALUE"""),"Enquire &amp; Coordinate with client")</f>
        <v>Enquire &amp; Coordinate with client</v>
      </c>
      <c r="I76" s="4" t="str">
        <f>IFERROR(__xludf.DUMMYFUNCTION("""COMPUTED_VALUE"""),"sales person - first shivani")</f>
        <v>sales person - first shivani</v>
      </c>
    </row>
    <row r="77">
      <c r="A77" s="85">
        <f>IFERROR(__xludf.DUMMYFUNCTION("""COMPUTED_VALUE"""),45042.62441503472)</f>
        <v>45042.62442</v>
      </c>
      <c r="B77" s="4"/>
      <c r="C77" s="4"/>
      <c r="D77" s="4"/>
      <c r="E77" s="4"/>
      <c r="F77" s="4"/>
      <c r="G77" s="85">
        <f>IFERROR(__xludf.DUMMYFUNCTION("""COMPUTED_VALUE"""),45043.62430555555)</f>
        <v>45043.62431</v>
      </c>
      <c r="H77" s="85" t="str">
        <f>IFERROR(__xludf.DUMMYFUNCTION("""COMPUTED_VALUE"""),"Enquire &amp; Coordinate with client")</f>
        <v>Enquire &amp; Coordinate with client</v>
      </c>
      <c r="I77" s="4" t="str">
        <f>IFERROR(__xludf.DUMMYFUNCTION("""COMPUTED_VALUE"""),"sales person - first shivani")</f>
        <v>sales person - first shivani</v>
      </c>
    </row>
    <row r="78">
      <c r="A78" s="85">
        <f>IFERROR(__xludf.DUMMYFUNCTION("""COMPUTED_VALUE"""),45055.55306996528)</f>
        <v>45055.55307</v>
      </c>
      <c r="B78" s="4"/>
      <c r="C78" s="4"/>
      <c r="D78" s="4"/>
      <c r="E78" s="4"/>
      <c r="F78" s="4"/>
      <c r="G78" s="85">
        <f>IFERROR(__xludf.DUMMYFUNCTION("""COMPUTED_VALUE"""),45056.552777777775)</f>
        <v>45056.55278</v>
      </c>
      <c r="H78" s="85" t="str">
        <f>IFERROR(__xludf.DUMMYFUNCTION("""COMPUTED_VALUE"""),"Enquire &amp; Coordinate with client")</f>
        <v>Enquire &amp; Coordinate with client</v>
      </c>
      <c r="I78" s="4" t="str">
        <f>IFERROR(__xludf.DUMMYFUNCTION("""COMPUTED_VALUE"""),"sales person - first shivani")</f>
        <v>sales person - first shivani</v>
      </c>
    </row>
    <row r="79">
      <c r="A79" s="85">
        <f>IFERROR(__xludf.DUMMYFUNCTION("""COMPUTED_VALUE"""),45055.5540715625)</f>
        <v>45055.55407</v>
      </c>
      <c r="B79" s="4"/>
      <c r="C79" s="4"/>
      <c r="D79" s="4"/>
      <c r="E79" s="4"/>
      <c r="F79" s="4"/>
      <c r="G79" s="85">
        <f>IFERROR(__xludf.DUMMYFUNCTION("""COMPUTED_VALUE"""),45056.55347222222)</f>
        <v>45056.55347</v>
      </c>
      <c r="H79" s="85" t="str">
        <f>IFERROR(__xludf.DUMMYFUNCTION("""COMPUTED_VALUE"""),"Enquire &amp; Coordinate with client")</f>
        <v>Enquire &amp; Coordinate with client</v>
      </c>
      <c r="I79" s="4" t="str">
        <f>IFERROR(__xludf.DUMMYFUNCTION("""COMPUTED_VALUE"""),"sales person - first shivani")</f>
        <v>sales person - first shivani</v>
      </c>
    </row>
    <row r="80">
      <c r="A80" s="85">
        <f>IFERROR(__xludf.DUMMYFUNCTION("""COMPUTED_VALUE"""),45055.55488240741)</f>
        <v>45055.55488</v>
      </c>
      <c r="B80" s="4"/>
      <c r="C80" s="4"/>
      <c r="D80" s="4"/>
      <c r="E80" s="4"/>
      <c r="F80" s="4"/>
      <c r="G80" s="85">
        <f>IFERROR(__xludf.DUMMYFUNCTION("""COMPUTED_VALUE"""),45056.554861111115)</f>
        <v>45056.55486</v>
      </c>
      <c r="H80" s="85" t="str">
        <f>IFERROR(__xludf.DUMMYFUNCTION("""COMPUTED_VALUE"""),"Enquire &amp; Coordinate with client")</f>
        <v>Enquire &amp; Coordinate with client</v>
      </c>
      <c r="I80" s="4" t="str">
        <f>IFERROR(__xludf.DUMMYFUNCTION("""COMPUTED_VALUE"""),"sales person - first shivani")</f>
        <v>sales person - first shivani</v>
      </c>
    </row>
    <row r="81">
      <c r="A81" s="85">
        <f>IFERROR(__xludf.DUMMYFUNCTION("""COMPUTED_VALUE"""),45055.556175868056)</f>
        <v>45055.55618</v>
      </c>
      <c r="B81" s="4"/>
      <c r="C81" s="4"/>
      <c r="D81" s="4"/>
      <c r="E81" s="4"/>
      <c r="F81" s="4"/>
      <c r="G81" s="85">
        <f>IFERROR(__xludf.DUMMYFUNCTION("""COMPUTED_VALUE"""),45056.555555555555)</f>
        <v>45056.55556</v>
      </c>
      <c r="H81" s="85" t="str">
        <f>IFERROR(__xludf.DUMMYFUNCTION("""COMPUTED_VALUE"""),"Enquire &amp; Coordinate with client")</f>
        <v>Enquire &amp; Coordinate with client</v>
      </c>
      <c r="I81" s="4" t="str">
        <f>IFERROR(__xludf.DUMMYFUNCTION("""COMPUTED_VALUE"""),"sales person - first shivani")</f>
        <v>sales person - first shivani</v>
      </c>
    </row>
    <row r="82">
      <c r="A82" s="85">
        <f>IFERROR(__xludf.DUMMYFUNCTION("""COMPUTED_VALUE"""),45055.55690229167)</f>
        <v>45055.5569</v>
      </c>
      <c r="B82" s="4"/>
      <c r="C82" s="4"/>
      <c r="D82" s="4"/>
      <c r="E82" s="4"/>
      <c r="F82" s="4"/>
      <c r="G82" s="85">
        <f>IFERROR(__xludf.DUMMYFUNCTION("""COMPUTED_VALUE"""),45056.55625)</f>
        <v>45056.55625</v>
      </c>
      <c r="H82" s="85" t="str">
        <f>IFERROR(__xludf.DUMMYFUNCTION("""COMPUTED_VALUE"""),"Enquire &amp; Coordinate with client")</f>
        <v>Enquire &amp; Coordinate with client</v>
      </c>
      <c r="I82" s="4" t="str">
        <f>IFERROR(__xludf.DUMMYFUNCTION("""COMPUTED_VALUE"""),"sales person - first shivani")</f>
        <v>sales person - first shivani</v>
      </c>
    </row>
    <row r="83">
      <c r="A83" s="85">
        <f>IFERROR(__xludf.DUMMYFUNCTION("""COMPUTED_VALUE"""),45055.770224826396)</f>
        <v>45055.77022</v>
      </c>
      <c r="B83" s="4"/>
      <c r="C83" s="4"/>
      <c r="D83" s="4"/>
      <c r="E83" s="4"/>
      <c r="F83" s="4"/>
      <c r="G83" s="85">
        <f>IFERROR(__xludf.DUMMYFUNCTION("""COMPUTED_VALUE"""),45056.77013888889)</f>
        <v>45056.77014</v>
      </c>
      <c r="H83" s="85" t="str">
        <f>IFERROR(__xludf.DUMMYFUNCTION("""COMPUTED_VALUE"""),"Enquire &amp; Coordinate with client")</f>
        <v>Enquire &amp; Coordinate with client</v>
      </c>
      <c r="I83" s="4" t="str">
        <f>IFERROR(__xludf.DUMMYFUNCTION("""COMPUTED_VALUE"""),"sales person - first shivani")</f>
        <v>sales person - first shivani</v>
      </c>
    </row>
    <row r="84">
      <c r="A84" s="85">
        <f>IFERROR(__xludf.DUMMYFUNCTION("""COMPUTED_VALUE"""),45055.784783518524)</f>
        <v>45055.78478</v>
      </c>
      <c r="B84" s="4"/>
      <c r="C84" s="4"/>
      <c r="D84" s="4"/>
      <c r="E84" s="4"/>
      <c r="F84" s="4"/>
      <c r="G84" s="85">
        <f>IFERROR(__xludf.DUMMYFUNCTION("""COMPUTED_VALUE"""),45056.78472222222)</f>
        <v>45056.78472</v>
      </c>
      <c r="H84" s="85" t="str">
        <f>IFERROR(__xludf.DUMMYFUNCTION("""COMPUTED_VALUE"""),"Enquire &amp; Coordinate with client")</f>
        <v>Enquire &amp; Coordinate with client</v>
      </c>
      <c r="I84" s="4" t="str">
        <f>IFERROR(__xludf.DUMMYFUNCTION("""COMPUTED_VALUE"""),"sales person - first shivani")</f>
        <v>sales person - first shivani</v>
      </c>
    </row>
    <row r="85">
      <c r="A85" s="85">
        <f>IFERROR(__xludf.DUMMYFUNCTION("""COMPUTED_VALUE"""),45055.7890433449)</f>
        <v>45055.78904</v>
      </c>
      <c r="B85" s="4"/>
      <c r="C85" s="4"/>
      <c r="D85" s="4"/>
      <c r="E85" s="4"/>
      <c r="F85" s="4"/>
      <c r="G85" s="85">
        <f>IFERROR(__xludf.DUMMYFUNCTION("""COMPUTED_VALUE"""),45056.788888888885)</f>
        <v>45056.78889</v>
      </c>
      <c r="H85" s="85" t="str">
        <f>IFERROR(__xludf.DUMMYFUNCTION("""COMPUTED_VALUE"""),"Enquire &amp; Coordinate with client")</f>
        <v>Enquire &amp; Coordinate with client</v>
      </c>
      <c r="I85" s="4" t="str">
        <f>IFERROR(__xludf.DUMMYFUNCTION("""COMPUTED_VALUE"""),"sales person - first shivani")</f>
        <v>sales person - first shivani</v>
      </c>
    </row>
    <row r="86">
      <c r="A86" s="85">
        <f>IFERROR(__xludf.DUMMYFUNCTION("""COMPUTED_VALUE"""),45055.790402210645)</f>
        <v>45055.7904</v>
      </c>
      <c r="B86" s="4"/>
      <c r="C86" s="4"/>
      <c r="D86" s="4"/>
      <c r="E86" s="4"/>
      <c r="F86" s="4"/>
      <c r="G86" s="85">
        <f>IFERROR(__xludf.DUMMYFUNCTION("""COMPUTED_VALUE"""),45056.79027777778)</f>
        <v>45056.79028</v>
      </c>
      <c r="H86" s="85" t="str">
        <f>IFERROR(__xludf.DUMMYFUNCTION("""COMPUTED_VALUE"""),"Enquire &amp; Coordinate with client")</f>
        <v>Enquire &amp; Coordinate with client</v>
      </c>
      <c r="I86" s="4" t="str">
        <f>IFERROR(__xludf.DUMMYFUNCTION("""COMPUTED_VALUE"""),"sales person - first shivani")</f>
        <v>sales person - first shivani</v>
      </c>
    </row>
    <row r="87">
      <c r="A87" s="85">
        <f>IFERROR(__xludf.DUMMYFUNCTION("""COMPUTED_VALUE"""),45055.791565370375)</f>
        <v>45055.79157</v>
      </c>
      <c r="B87" s="4"/>
      <c r="C87" s="4"/>
      <c r="D87" s="4"/>
      <c r="E87" s="4"/>
      <c r="F87" s="4"/>
      <c r="G87" s="85">
        <f>IFERROR(__xludf.DUMMYFUNCTION("""COMPUTED_VALUE"""),45056.790972222225)</f>
        <v>45056.79097</v>
      </c>
      <c r="H87" s="85" t="str">
        <f>IFERROR(__xludf.DUMMYFUNCTION("""COMPUTED_VALUE"""),"Enquire &amp; Coordinate with client")</f>
        <v>Enquire &amp; Coordinate with client</v>
      </c>
      <c r="I87" s="4" t="str">
        <f>IFERROR(__xludf.DUMMYFUNCTION("""COMPUTED_VALUE"""),"sales person - first shivani")</f>
        <v>sales person - first shivani</v>
      </c>
    </row>
    <row r="88">
      <c r="A88" s="85">
        <f>IFERROR(__xludf.DUMMYFUNCTION("""COMPUTED_VALUE"""),45055.79622982639)</f>
        <v>45055.79623</v>
      </c>
      <c r="B88" s="4"/>
      <c r="C88" s="4"/>
      <c r="D88" s="4"/>
      <c r="E88" s="4"/>
      <c r="F88" s="4"/>
      <c r="G88" s="85">
        <f>IFERROR(__xludf.DUMMYFUNCTION("""COMPUTED_VALUE"""),45056.79583333334)</f>
        <v>45056.79583</v>
      </c>
      <c r="H88" s="85" t="str">
        <f>IFERROR(__xludf.DUMMYFUNCTION("""COMPUTED_VALUE"""),"Enquire &amp; Coordinate with client")</f>
        <v>Enquire &amp; Coordinate with client</v>
      </c>
      <c r="I88" s="4" t="str">
        <f>IFERROR(__xludf.DUMMYFUNCTION("""COMPUTED_VALUE"""),"sales person - first shivani")</f>
        <v>sales person - first shivani</v>
      </c>
    </row>
    <row r="89">
      <c r="A89" s="85">
        <f>IFERROR(__xludf.DUMMYFUNCTION("""COMPUTED_VALUE"""),45055.79734971065)</f>
        <v>45055.79735</v>
      </c>
      <c r="B89" s="4"/>
      <c r="C89" s="4"/>
      <c r="D89" s="4"/>
      <c r="E89" s="4"/>
      <c r="F89" s="4"/>
      <c r="G89" s="85">
        <f>IFERROR(__xludf.DUMMYFUNCTION("""COMPUTED_VALUE"""),45056.79722222222)</f>
        <v>45056.79722</v>
      </c>
      <c r="H89" s="85" t="str">
        <f>IFERROR(__xludf.DUMMYFUNCTION("""COMPUTED_VALUE"""),"Enquire &amp; Coordinate with client")</f>
        <v>Enquire &amp; Coordinate with client</v>
      </c>
      <c r="I89" s="4" t="str">
        <f>IFERROR(__xludf.DUMMYFUNCTION("""COMPUTED_VALUE"""),"sales person - first shivani")</f>
        <v>sales person - first shivani</v>
      </c>
    </row>
    <row r="90">
      <c r="A90" s="85">
        <f>IFERROR(__xludf.DUMMYFUNCTION("""COMPUTED_VALUE"""),45055.79888040509)</f>
        <v>45055.79888</v>
      </c>
      <c r="B90" s="4"/>
      <c r="C90" s="4"/>
      <c r="D90" s="4"/>
      <c r="E90" s="4"/>
      <c r="F90" s="4"/>
      <c r="G90" s="85">
        <f>IFERROR(__xludf.DUMMYFUNCTION("""COMPUTED_VALUE"""),45056.79861111111)</f>
        <v>45056.79861</v>
      </c>
      <c r="H90" s="85" t="str">
        <f>IFERROR(__xludf.DUMMYFUNCTION("""COMPUTED_VALUE"""),"Enquire &amp; Coordinate with client")</f>
        <v>Enquire &amp; Coordinate with client</v>
      </c>
      <c r="I90" s="4" t="str">
        <f>IFERROR(__xludf.DUMMYFUNCTION("""COMPUTED_VALUE"""),"sales person - first shivani")</f>
        <v>sales person - first shivani</v>
      </c>
    </row>
    <row r="91">
      <c r="A91" s="85">
        <f>IFERROR(__xludf.DUMMYFUNCTION("""COMPUTED_VALUE"""),45056.50937980324)</f>
        <v>45056.50938</v>
      </c>
      <c r="B91" s="4"/>
      <c r="C91" s="4"/>
      <c r="D91" s="4"/>
      <c r="E91" s="4"/>
      <c r="F91" s="4"/>
      <c r="G91" s="85">
        <f>IFERROR(__xludf.DUMMYFUNCTION("""COMPUTED_VALUE"""),45057.50902777778)</f>
        <v>45057.50903</v>
      </c>
      <c r="H91" s="85" t="str">
        <f>IFERROR(__xludf.DUMMYFUNCTION("""COMPUTED_VALUE"""),"Enquire &amp; Coordinate with client")</f>
        <v>Enquire &amp; Coordinate with client</v>
      </c>
      <c r="I91" s="4" t="str">
        <f>IFERROR(__xludf.DUMMYFUNCTION("""COMPUTED_VALUE"""),"sales person - first shivani")</f>
        <v>sales person - first shivani</v>
      </c>
    </row>
    <row r="92">
      <c r="A92" s="85">
        <f>IFERROR(__xludf.DUMMYFUNCTION("""COMPUTED_VALUE"""),45058.53826450231)</f>
        <v>45058.53826</v>
      </c>
      <c r="B92" s="4"/>
      <c r="C92" s="4"/>
      <c r="D92" s="4"/>
      <c r="E92" s="4"/>
      <c r="F92" s="4"/>
      <c r="G92" s="85">
        <f>IFERROR(__xludf.DUMMYFUNCTION("""COMPUTED_VALUE"""),45059.538194444445)</f>
        <v>45059.53819</v>
      </c>
      <c r="H92" s="85" t="str">
        <f>IFERROR(__xludf.DUMMYFUNCTION("""COMPUTED_VALUE"""),"Enquire &amp; Coordinate with client")</f>
        <v>Enquire &amp; Coordinate with client</v>
      </c>
      <c r="I92" s="4" t="str">
        <f>IFERROR(__xludf.DUMMYFUNCTION("""COMPUTED_VALUE"""),"sales person - first shivani")</f>
        <v>sales person - first shivani</v>
      </c>
    </row>
    <row r="93">
      <c r="A93" s="85">
        <f>IFERROR(__xludf.DUMMYFUNCTION("""COMPUTED_VALUE"""),45060.805926030094)</f>
        <v>45060.80593</v>
      </c>
      <c r="B93" s="4"/>
      <c r="C93" s="4"/>
      <c r="D93" s="4"/>
      <c r="E93" s="4"/>
      <c r="F93" s="4"/>
      <c r="G93" s="85">
        <f>IFERROR(__xludf.DUMMYFUNCTION("""COMPUTED_VALUE"""),45062.805555555555)</f>
        <v>45062.80556</v>
      </c>
      <c r="H93" s="85" t="str">
        <f>IFERROR(__xludf.DUMMYFUNCTION("""COMPUTED_VALUE"""),"Enquire &amp; Coordinate with client")</f>
        <v>Enquire &amp; Coordinate with client</v>
      </c>
      <c r="I93" s="4" t="str">
        <f>IFERROR(__xludf.DUMMYFUNCTION("""COMPUTED_VALUE"""),"sales person - first shivani")</f>
        <v>sales person - first shivani</v>
      </c>
    </row>
    <row r="94">
      <c r="A94" s="85">
        <f>IFERROR(__xludf.DUMMYFUNCTION("""COMPUTED_VALUE"""),45063.585097256946)</f>
        <v>45063.5851</v>
      </c>
      <c r="B94" s="4"/>
      <c r="C94" s="4"/>
      <c r="D94" s="4"/>
      <c r="E94" s="4"/>
      <c r="F94" s="4"/>
      <c r="G94" s="85">
        <f>IFERROR(__xludf.DUMMYFUNCTION("""COMPUTED_VALUE"""),45064.58472222222)</f>
        <v>45064.58472</v>
      </c>
      <c r="H94" s="85" t="str">
        <f>IFERROR(__xludf.DUMMYFUNCTION("""COMPUTED_VALUE"""),"Enquire &amp; Coordinate with client")</f>
        <v>Enquire &amp; Coordinate with client</v>
      </c>
      <c r="I94" s="4" t="str">
        <f>IFERROR(__xludf.DUMMYFUNCTION("""COMPUTED_VALUE"""),"sales person - first shivani")</f>
        <v>sales person - first shivani</v>
      </c>
    </row>
    <row r="95">
      <c r="A95" s="85">
        <f>IFERROR(__xludf.DUMMYFUNCTION("""COMPUTED_VALUE"""),45064.671935555554)</f>
        <v>45064.67194</v>
      </c>
      <c r="B95" s="4"/>
      <c r="C95" s="4"/>
      <c r="D95" s="4"/>
      <c r="E95" s="4"/>
      <c r="F95" s="4"/>
      <c r="G95" s="85">
        <f>IFERROR(__xludf.DUMMYFUNCTION("""COMPUTED_VALUE"""),45065.67152777778)</f>
        <v>45065.67153</v>
      </c>
      <c r="H95" s="85" t="str">
        <f>IFERROR(__xludf.DUMMYFUNCTION("""COMPUTED_VALUE"""),"Enquire &amp; Coordinate with client")</f>
        <v>Enquire &amp; Coordinate with client</v>
      </c>
      <c r="I95" s="4" t="str">
        <f>IFERROR(__xludf.DUMMYFUNCTION("""COMPUTED_VALUE"""),"sales person - first shivani")</f>
        <v>sales person - first shivani</v>
      </c>
    </row>
    <row r="96">
      <c r="A96" s="85">
        <f>IFERROR(__xludf.DUMMYFUNCTION("""COMPUTED_VALUE"""),45066.55505927083)</f>
        <v>45066.55506</v>
      </c>
      <c r="B96" s="4"/>
      <c r="C96" s="4"/>
      <c r="D96" s="4"/>
      <c r="E96" s="4"/>
      <c r="F96" s="4"/>
      <c r="G96" s="85">
        <f>IFERROR(__xludf.DUMMYFUNCTION("""COMPUTED_VALUE"""),45067.554861111115)</f>
        <v>45067.55486</v>
      </c>
      <c r="H96" s="85" t="str">
        <f>IFERROR(__xludf.DUMMYFUNCTION("""COMPUTED_VALUE"""),"Enquire &amp; Coordinate with client")</f>
        <v>Enquire &amp; Coordinate with client</v>
      </c>
      <c r="I96" s="4" t="str">
        <f>IFERROR(__xludf.DUMMYFUNCTION("""COMPUTED_VALUE"""),"sales person - first shivani")</f>
        <v>sales person - first shivani</v>
      </c>
    </row>
    <row r="97">
      <c r="A97" s="85">
        <f>IFERROR(__xludf.DUMMYFUNCTION("""COMPUTED_VALUE"""),45066.578293425926)</f>
        <v>45066.57829</v>
      </c>
      <c r="B97" s="4"/>
      <c r="C97" s="4"/>
      <c r="D97" s="4"/>
      <c r="E97" s="4"/>
      <c r="F97" s="4"/>
      <c r="G97" s="85">
        <f>IFERROR(__xludf.DUMMYFUNCTION("""COMPUTED_VALUE"""),45067.57777777778)</f>
        <v>45067.57778</v>
      </c>
      <c r="H97" s="85" t="str">
        <f>IFERROR(__xludf.DUMMYFUNCTION("""COMPUTED_VALUE"""),"Enquire &amp; Coordinate with client")</f>
        <v>Enquire &amp; Coordinate with client</v>
      </c>
      <c r="I97" s="4" t="str">
        <f>IFERROR(__xludf.DUMMYFUNCTION("""COMPUTED_VALUE"""),"sales person - first shivani")</f>
        <v>sales person - first shivani</v>
      </c>
    </row>
    <row r="98">
      <c r="A98" s="85">
        <f>IFERROR(__xludf.DUMMYFUNCTION("""COMPUTED_VALUE"""),45067.61971796296)</f>
        <v>45067.61972</v>
      </c>
      <c r="B98" s="4"/>
      <c r="C98" s="4"/>
      <c r="D98" s="4"/>
      <c r="E98" s="4"/>
      <c r="F98" s="4"/>
      <c r="G98" s="85">
        <f>IFERROR(__xludf.DUMMYFUNCTION("""COMPUTED_VALUE"""),45069.61944444444)</f>
        <v>45069.61944</v>
      </c>
      <c r="H98" s="85" t="str">
        <f>IFERROR(__xludf.DUMMYFUNCTION("""COMPUTED_VALUE"""),"Enquire &amp; Coordinate with client")</f>
        <v>Enquire &amp; Coordinate with client</v>
      </c>
      <c r="I98" s="4" t="str">
        <f>IFERROR(__xludf.DUMMYFUNCTION("""COMPUTED_VALUE"""),"sales person - first shivani")</f>
        <v>sales person - first shivani</v>
      </c>
    </row>
    <row r="99">
      <c r="A99" s="85">
        <f>IFERROR(__xludf.DUMMYFUNCTION("""COMPUTED_VALUE"""),45067.70292571759)</f>
        <v>45067.70293</v>
      </c>
      <c r="B99" s="4"/>
      <c r="C99" s="4"/>
      <c r="D99" s="4"/>
      <c r="E99" s="4"/>
      <c r="F99" s="4"/>
      <c r="G99" s="85">
        <f>IFERROR(__xludf.DUMMYFUNCTION("""COMPUTED_VALUE"""),45069.70277777778)</f>
        <v>45069.70278</v>
      </c>
      <c r="H99" s="85" t="str">
        <f>IFERROR(__xludf.DUMMYFUNCTION("""COMPUTED_VALUE"""),"Enquire &amp; Coordinate with client")</f>
        <v>Enquire &amp; Coordinate with client</v>
      </c>
      <c r="I99" s="4" t="str">
        <f>IFERROR(__xludf.DUMMYFUNCTION("""COMPUTED_VALUE"""),"sales person - first shivani")</f>
        <v>sales person - first shivani</v>
      </c>
    </row>
    <row r="100">
      <c r="A100" s="85">
        <f>IFERROR(__xludf.DUMMYFUNCTION("""COMPUTED_VALUE"""),45067.70377898148)</f>
        <v>45067.70378</v>
      </c>
      <c r="B100" s="4"/>
      <c r="C100" s="4"/>
      <c r="D100" s="4"/>
      <c r="E100" s="4"/>
      <c r="F100" s="4"/>
      <c r="G100" s="85">
        <f>IFERROR(__xludf.DUMMYFUNCTION("""COMPUTED_VALUE"""),45069.70347222222)</f>
        <v>45069.70347</v>
      </c>
      <c r="H100" s="85" t="str">
        <f>IFERROR(__xludf.DUMMYFUNCTION("""COMPUTED_VALUE"""),"Enquire &amp; Coordinate with client")</f>
        <v>Enquire &amp; Coordinate with client</v>
      </c>
      <c r="I100" s="4" t="str">
        <f>IFERROR(__xludf.DUMMYFUNCTION("""COMPUTED_VALUE"""),"sales person - first shivani")</f>
        <v>sales person - first shivani</v>
      </c>
    </row>
    <row r="101">
      <c r="A101" s="85">
        <f>IFERROR(__xludf.DUMMYFUNCTION("""COMPUTED_VALUE"""),45067.70518362268)</f>
        <v>45067.70518</v>
      </c>
      <c r="B101" s="4"/>
      <c r="C101" s="4"/>
      <c r="D101" s="4"/>
      <c r="E101" s="4"/>
      <c r="F101" s="4"/>
      <c r="G101" s="85">
        <f>IFERROR(__xludf.DUMMYFUNCTION("""COMPUTED_VALUE"""),45069.70486111111)</f>
        <v>45069.70486</v>
      </c>
      <c r="H101" s="85" t="str">
        <f>IFERROR(__xludf.DUMMYFUNCTION("""COMPUTED_VALUE"""),"Enquire &amp; Coordinate with client")</f>
        <v>Enquire &amp; Coordinate with client</v>
      </c>
      <c r="I101" s="4" t="str">
        <f>IFERROR(__xludf.DUMMYFUNCTION("""COMPUTED_VALUE"""),"sales person - first shivani")</f>
        <v>sales person - first shivani</v>
      </c>
    </row>
    <row r="102">
      <c r="A102" s="85">
        <f>IFERROR(__xludf.DUMMYFUNCTION("""COMPUTED_VALUE"""),45071.511592106486)</f>
        <v>45071.51159</v>
      </c>
      <c r="B102" s="4"/>
      <c r="C102" s="4"/>
      <c r="D102" s="4"/>
      <c r="E102" s="4"/>
      <c r="F102" s="4"/>
      <c r="G102" s="85">
        <f>IFERROR(__xludf.DUMMYFUNCTION("""COMPUTED_VALUE"""),45072.51111111111)</f>
        <v>45072.51111</v>
      </c>
      <c r="H102" s="85" t="str">
        <f>IFERROR(__xludf.DUMMYFUNCTION("""COMPUTED_VALUE"""),"Enquire &amp; Coordinate with client")</f>
        <v>Enquire &amp; Coordinate with client</v>
      </c>
      <c r="I102" s="4" t="str">
        <f>IFERROR(__xludf.DUMMYFUNCTION("""COMPUTED_VALUE"""),"sales person - first shivani")</f>
        <v>sales person - first shivani</v>
      </c>
    </row>
    <row r="103">
      <c r="A103" s="85">
        <f>IFERROR(__xludf.DUMMYFUNCTION("""COMPUTED_VALUE"""),45081.638119629635)</f>
        <v>45081.63812</v>
      </c>
      <c r="B103" s="4"/>
      <c r="C103" s="4"/>
      <c r="D103" s="4"/>
      <c r="E103" s="4"/>
      <c r="F103" s="4"/>
      <c r="G103" s="85">
        <f>IFERROR(__xludf.DUMMYFUNCTION("""COMPUTED_VALUE"""),45083.6375)</f>
        <v>45083.6375</v>
      </c>
      <c r="H103" s="85" t="str">
        <f>IFERROR(__xludf.DUMMYFUNCTION("""COMPUTED_VALUE"""),"Enquire &amp; Coordinate with client")</f>
        <v>Enquire &amp; Coordinate with client</v>
      </c>
      <c r="I103" s="4" t="str">
        <f>IFERROR(__xludf.DUMMYFUNCTION("""COMPUTED_VALUE"""),"sales person - first shivani")</f>
        <v>sales person - first shivani</v>
      </c>
    </row>
    <row r="104">
      <c r="A104" s="85">
        <f>IFERROR(__xludf.DUMMYFUNCTION("""COMPUTED_VALUE"""),45087.5362792824)</f>
        <v>45087.53628</v>
      </c>
      <c r="B104" s="4"/>
      <c r="C104" s="4"/>
      <c r="D104" s="4"/>
      <c r="E104" s="4"/>
      <c r="F104" s="4"/>
      <c r="G104" s="85">
        <f>IFERROR(__xludf.DUMMYFUNCTION("""COMPUTED_VALUE"""),45088.53611111111)</f>
        <v>45088.53611</v>
      </c>
      <c r="H104" s="85" t="str">
        <f>IFERROR(__xludf.DUMMYFUNCTION("""COMPUTED_VALUE"""),"Enquire &amp; Coordinate with client")</f>
        <v>Enquire &amp; Coordinate with client</v>
      </c>
      <c r="I104" s="4" t="str">
        <f>IFERROR(__xludf.DUMMYFUNCTION("""COMPUTED_VALUE"""),"sales person - first shivani")</f>
        <v>sales person - first shivani</v>
      </c>
    </row>
    <row r="105">
      <c r="A105" s="85">
        <f>IFERROR(__xludf.DUMMYFUNCTION("""COMPUTED_VALUE"""),45096.6379124537)</f>
        <v>45096.63791</v>
      </c>
      <c r="B105" s="4"/>
      <c r="C105" s="4"/>
      <c r="D105" s="4"/>
      <c r="E105" s="4"/>
      <c r="F105" s="4"/>
      <c r="G105" s="85">
        <f>IFERROR(__xludf.DUMMYFUNCTION("""COMPUTED_VALUE"""),45097.6375)</f>
        <v>45097.6375</v>
      </c>
      <c r="H105" s="85" t="str">
        <f>IFERROR(__xludf.DUMMYFUNCTION("""COMPUTED_VALUE"""),"Enquire &amp; Coordinate with client")</f>
        <v>Enquire &amp; Coordinate with client</v>
      </c>
      <c r="I105" s="4" t="str">
        <f>IFERROR(__xludf.DUMMYFUNCTION("""COMPUTED_VALUE"""),"sales person - first shivani")</f>
        <v>sales person - first shivani</v>
      </c>
    </row>
    <row r="106">
      <c r="A106" s="85">
        <f>IFERROR(__xludf.DUMMYFUNCTION("""COMPUTED_VALUE"""),45106.60492349537)</f>
        <v>45106.60492</v>
      </c>
      <c r="B106" s="4"/>
      <c r="C106" s="4"/>
      <c r="D106" s="4"/>
      <c r="E106" s="4"/>
      <c r="F106" s="4"/>
      <c r="G106" s="85">
        <f>IFERROR(__xludf.DUMMYFUNCTION("""COMPUTED_VALUE"""),45107.60486111111)</f>
        <v>45107.60486</v>
      </c>
      <c r="H106" s="85" t="str">
        <f>IFERROR(__xludf.DUMMYFUNCTION("""COMPUTED_VALUE"""),"Enquire &amp; Coordinate with client")</f>
        <v>Enquire &amp; Coordinate with client</v>
      </c>
      <c r="I106" s="4" t="str">
        <f>IFERROR(__xludf.DUMMYFUNCTION("""COMPUTED_VALUE"""),"sales person - first shivani")</f>
        <v>sales person - first shivani</v>
      </c>
    </row>
    <row r="107">
      <c r="A107" s="85">
        <f>IFERROR(__xludf.DUMMYFUNCTION("""COMPUTED_VALUE"""),45113.714398171294)</f>
        <v>45113.7144</v>
      </c>
      <c r="B107" s="4"/>
      <c r="C107" s="4"/>
      <c r="D107" s="4"/>
      <c r="E107" s="4"/>
      <c r="F107" s="4"/>
      <c r="G107" s="85">
        <f>IFERROR(__xludf.DUMMYFUNCTION("""COMPUTED_VALUE"""),45114.71388888889)</f>
        <v>45114.71389</v>
      </c>
      <c r="H107" s="85" t="str">
        <f>IFERROR(__xludf.DUMMYFUNCTION("""COMPUTED_VALUE"""),"Enquire &amp; Coordinate with client")</f>
        <v>Enquire &amp; Coordinate with client</v>
      </c>
      <c r="I107" s="4" t="str">
        <f>IFERROR(__xludf.DUMMYFUNCTION("""COMPUTED_VALUE"""),"sales person - first shivani")</f>
        <v>sales person - first shivani</v>
      </c>
    </row>
    <row r="108">
      <c r="A108" s="85">
        <f>IFERROR(__xludf.DUMMYFUNCTION("""COMPUTED_VALUE"""),45113.70357853009)</f>
        <v>45113.70358</v>
      </c>
      <c r="B108" s="4"/>
      <c r="C108" s="4"/>
      <c r="D108" s="4"/>
      <c r="E108" s="4"/>
      <c r="F108" s="4"/>
      <c r="G108" s="85">
        <f>IFERROR(__xludf.DUMMYFUNCTION("""COMPUTED_VALUE"""),45114.70347222222)</f>
        <v>45114.70347</v>
      </c>
      <c r="H108" s="85" t="str">
        <f>IFERROR(__xludf.DUMMYFUNCTION("""COMPUTED_VALUE"""),"Enquire &amp; Coordinate with client")</f>
        <v>Enquire &amp; Coordinate with client</v>
      </c>
      <c r="I108" s="4" t="str">
        <f>IFERROR(__xludf.DUMMYFUNCTION("""COMPUTED_VALUE"""),"sales person - first shivani")</f>
        <v>sales person - first shivani</v>
      </c>
    </row>
    <row r="109">
      <c r="A109" s="85">
        <f>IFERROR(__xludf.DUMMYFUNCTION("""COMPUTED_VALUE"""),45113.70238270833)</f>
        <v>45113.70238</v>
      </c>
      <c r="B109" s="4"/>
      <c r="C109" s="4"/>
      <c r="D109" s="4"/>
      <c r="E109" s="4"/>
      <c r="F109" s="4"/>
      <c r="G109" s="85">
        <f>IFERROR(__xludf.DUMMYFUNCTION("""COMPUTED_VALUE"""),45114.70208333334)</f>
        <v>45114.70208</v>
      </c>
      <c r="H109" s="85" t="str">
        <f>IFERROR(__xludf.DUMMYFUNCTION("""COMPUTED_VALUE"""),"Enquire &amp; Coordinate with client")</f>
        <v>Enquire &amp; Coordinate with client</v>
      </c>
      <c r="I109" s="4" t="str">
        <f>IFERROR(__xludf.DUMMYFUNCTION("""COMPUTED_VALUE"""),"sales person - first shivani")</f>
        <v>sales person - first shivani</v>
      </c>
    </row>
    <row r="110">
      <c r="A110" s="85">
        <f>IFERROR(__xludf.DUMMYFUNCTION("""COMPUTED_VALUE"""),45113.70470115741)</f>
        <v>45113.7047</v>
      </c>
      <c r="B110" s="4"/>
      <c r="C110" s="4"/>
      <c r="D110" s="4"/>
      <c r="E110" s="4"/>
      <c r="F110" s="4"/>
      <c r="G110" s="85">
        <f>IFERROR(__xludf.DUMMYFUNCTION("""COMPUTED_VALUE"""),45114.70416666666)</f>
        <v>45114.70417</v>
      </c>
      <c r="H110" s="85" t="str">
        <f>IFERROR(__xludf.DUMMYFUNCTION("""COMPUTED_VALUE"""),"Enquire &amp; Coordinate with client")</f>
        <v>Enquire &amp; Coordinate with client</v>
      </c>
      <c r="I110" s="4" t="str">
        <f>IFERROR(__xludf.DUMMYFUNCTION("""COMPUTED_VALUE"""),"sales person - first shivani")</f>
        <v>sales person - first shivani</v>
      </c>
    </row>
    <row r="111">
      <c r="A111" s="85">
        <f>IFERROR(__xludf.DUMMYFUNCTION("""COMPUTED_VALUE"""),45113.70105832176)</f>
        <v>45113.70106</v>
      </c>
      <c r="B111" s="4"/>
      <c r="C111" s="4"/>
      <c r="D111" s="4"/>
      <c r="E111" s="4"/>
      <c r="F111" s="4"/>
      <c r="G111" s="85">
        <f>IFERROR(__xludf.DUMMYFUNCTION("""COMPUTED_VALUE"""),45114.700694444444)</f>
        <v>45114.70069</v>
      </c>
      <c r="H111" s="85" t="str">
        <f>IFERROR(__xludf.DUMMYFUNCTION("""COMPUTED_VALUE"""),"Enquire &amp; Coordinate with client")</f>
        <v>Enquire &amp; Coordinate with client</v>
      </c>
      <c r="I111" s="4" t="str">
        <f>IFERROR(__xludf.DUMMYFUNCTION("""COMPUTED_VALUE"""),"sales person - first shivani")</f>
        <v>sales person - first shivani</v>
      </c>
    </row>
    <row r="112">
      <c r="A112" s="85">
        <f>IFERROR(__xludf.DUMMYFUNCTION("""COMPUTED_VALUE"""),45112.67155194444)</f>
        <v>45112.67155</v>
      </c>
      <c r="B112" s="4"/>
      <c r="C112" s="4"/>
      <c r="D112" s="4"/>
      <c r="E112" s="4"/>
      <c r="F112" s="4"/>
      <c r="G112" s="85">
        <f>IFERROR(__xludf.DUMMYFUNCTION("""COMPUTED_VALUE"""),45113.67152777778)</f>
        <v>45113.67153</v>
      </c>
      <c r="H112" s="85" t="str">
        <f>IFERROR(__xludf.DUMMYFUNCTION("""COMPUTED_VALUE"""),"Enquire &amp; Coordinate with client")</f>
        <v>Enquire &amp; Coordinate with client</v>
      </c>
      <c r="I112" s="4" t="str">
        <f>IFERROR(__xludf.DUMMYFUNCTION("""COMPUTED_VALUE"""),"sales person - first shivani")</f>
        <v>sales person - first shivani</v>
      </c>
    </row>
    <row r="113">
      <c r="A113" s="85">
        <f>IFERROR(__xludf.DUMMYFUNCTION("""COMPUTED_VALUE"""),45113.707171319445)</f>
        <v>45113.70717</v>
      </c>
      <c r="B113" s="4"/>
      <c r="C113" s="4"/>
      <c r="D113" s="4"/>
      <c r="E113" s="4"/>
      <c r="F113" s="4"/>
      <c r="G113" s="85">
        <f>IFERROR(__xludf.DUMMYFUNCTION("""COMPUTED_VALUE"""),45114.70694444445)</f>
        <v>45114.70694</v>
      </c>
      <c r="H113" s="85" t="str">
        <f>IFERROR(__xludf.DUMMYFUNCTION("""COMPUTED_VALUE"""),"Enquire &amp; Coordinate with client")</f>
        <v>Enquire &amp; Coordinate with client</v>
      </c>
      <c r="I113" s="4" t="str">
        <f>IFERROR(__xludf.DUMMYFUNCTION("""COMPUTED_VALUE"""),"sales person - first shivani")</f>
        <v>sales person - first shivani</v>
      </c>
    </row>
    <row r="114">
      <c r="A114" s="85">
        <f>IFERROR(__xludf.DUMMYFUNCTION("""COMPUTED_VALUE"""),45113.69959265047)</f>
        <v>45113.69959</v>
      </c>
      <c r="B114" s="4"/>
      <c r="C114" s="4"/>
      <c r="D114" s="4"/>
      <c r="E114" s="4"/>
      <c r="F114" s="4"/>
      <c r="G114" s="85">
        <f>IFERROR(__xludf.DUMMYFUNCTION("""COMPUTED_VALUE"""),45114.69930555555)</f>
        <v>45114.69931</v>
      </c>
      <c r="H114" s="85" t="str">
        <f>IFERROR(__xludf.DUMMYFUNCTION("""COMPUTED_VALUE"""),"Enquire &amp; Coordinate with client")</f>
        <v>Enquire &amp; Coordinate with client</v>
      </c>
      <c r="I114" s="4" t="str">
        <f>IFERROR(__xludf.DUMMYFUNCTION("""COMPUTED_VALUE"""),"sales person - first shivani")</f>
        <v>sales person - first shivani</v>
      </c>
    </row>
    <row r="115">
      <c r="A115" s="85">
        <f>IFERROR(__xludf.DUMMYFUNCTION("""COMPUTED_VALUE"""),45115.55740716435)</f>
        <v>45115.55741</v>
      </c>
      <c r="B115" s="4"/>
      <c r="C115" s="4"/>
      <c r="D115" s="4"/>
      <c r="E115" s="4"/>
      <c r="F115" s="4"/>
      <c r="G115" s="85">
        <f>IFERROR(__xludf.DUMMYFUNCTION("""COMPUTED_VALUE"""),45116.55694444444)</f>
        <v>45116.55694</v>
      </c>
      <c r="H115" s="85" t="str">
        <f>IFERROR(__xludf.DUMMYFUNCTION("""COMPUTED_VALUE"""),"Enquire &amp; Coordinate with client")</f>
        <v>Enquire &amp; Coordinate with client</v>
      </c>
      <c r="I115" s="4" t="str">
        <f>IFERROR(__xludf.DUMMYFUNCTION("""COMPUTED_VALUE"""),"sales person - first shivani")</f>
        <v>sales person - first shivani</v>
      </c>
    </row>
    <row r="116">
      <c r="A116" s="85">
        <f>IFERROR(__xludf.DUMMYFUNCTION("""COMPUTED_VALUE"""),45114.61066569445)</f>
        <v>45114.61067</v>
      </c>
      <c r="B116" s="4"/>
      <c r="C116" s="4"/>
      <c r="D116" s="4"/>
      <c r="E116" s="4"/>
      <c r="F116" s="4"/>
      <c r="G116" s="85">
        <f>IFERROR(__xludf.DUMMYFUNCTION("""COMPUTED_VALUE"""),45115.61041666666)</f>
        <v>45115.61042</v>
      </c>
      <c r="H116" s="85" t="str">
        <f>IFERROR(__xludf.DUMMYFUNCTION("""COMPUTED_VALUE"""),"Enquire &amp; Coordinate with client")</f>
        <v>Enquire &amp; Coordinate with client</v>
      </c>
      <c r="I116" s="4" t="str">
        <f>IFERROR(__xludf.DUMMYFUNCTION("""COMPUTED_VALUE"""),"sales person - first shivani")</f>
        <v>sales person - first shivani</v>
      </c>
    </row>
    <row r="117">
      <c r="A117" s="85">
        <f>IFERROR(__xludf.DUMMYFUNCTION("""COMPUTED_VALUE"""),45115.578478773146)</f>
        <v>45115.57848</v>
      </c>
      <c r="B117" s="4"/>
      <c r="C117" s="4"/>
      <c r="D117" s="4"/>
      <c r="E117" s="4"/>
      <c r="F117" s="4"/>
      <c r="G117" s="85">
        <f>IFERROR(__xludf.DUMMYFUNCTION("""COMPUTED_VALUE"""),45116.57847222222)</f>
        <v>45116.57847</v>
      </c>
      <c r="H117" s="85" t="str">
        <f>IFERROR(__xludf.DUMMYFUNCTION("""COMPUTED_VALUE"""),"Enquire &amp; Coordinate with client")</f>
        <v>Enquire &amp; Coordinate with client</v>
      </c>
      <c r="I117" s="4" t="str">
        <f>IFERROR(__xludf.DUMMYFUNCTION("""COMPUTED_VALUE"""),"sales person - first shivani")</f>
        <v>sales person - first shivani</v>
      </c>
    </row>
    <row r="118">
      <c r="A118" s="85">
        <f>IFERROR(__xludf.DUMMYFUNCTION("""COMPUTED_VALUE"""),45119.533983009256)</f>
        <v>45119.53398</v>
      </c>
      <c r="B118" s="4"/>
      <c r="C118" s="4"/>
      <c r="D118" s="4"/>
      <c r="E118" s="4"/>
      <c r="F118" s="4"/>
      <c r="G118" s="85">
        <f>IFERROR(__xludf.DUMMYFUNCTION("""COMPUTED_VALUE"""),45120.53333333333)</f>
        <v>45120.53333</v>
      </c>
      <c r="H118" s="85" t="str">
        <f>IFERROR(__xludf.DUMMYFUNCTION("""COMPUTED_VALUE"""),"Enquire &amp; Coordinate with client")</f>
        <v>Enquire &amp; Coordinate with client</v>
      </c>
      <c r="I118" s="4" t="str">
        <f>IFERROR(__xludf.DUMMYFUNCTION("""COMPUTED_VALUE"""),"sales person - first shivani")</f>
        <v>sales person - first shivani</v>
      </c>
    </row>
    <row r="119">
      <c r="A119" s="85">
        <f>IFERROR(__xludf.DUMMYFUNCTION("""COMPUTED_VALUE"""),45119.63702692129)</f>
        <v>45119.63703</v>
      </c>
      <c r="B119" s="4"/>
      <c r="C119" s="4"/>
      <c r="D119" s="4"/>
      <c r="E119" s="4"/>
      <c r="F119" s="4"/>
      <c r="G119" s="85">
        <f>IFERROR(__xludf.DUMMYFUNCTION("""COMPUTED_VALUE"""),45120.63680555555)</f>
        <v>45120.63681</v>
      </c>
      <c r="H119" s="85" t="str">
        <f>IFERROR(__xludf.DUMMYFUNCTION("""COMPUTED_VALUE"""),"Enquire &amp; Coordinate with client")</f>
        <v>Enquire &amp; Coordinate with client</v>
      </c>
      <c r="I119" s="4" t="str">
        <f>IFERROR(__xludf.DUMMYFUNCTION("""COMPUTED_VALUE"""),"sales person - first shivani")</f>
        <v>sales person - first shivani</v>
      </c>
    </row>
    <row r="120">
      <c r="A120" s="85">
        <f>IFERROR(__xludf.DUMMYFUNCTION("""COMPUTED_VALUE"""),45120.748508020835)</f>
        <v>45120.74851</v>
      </c>
      <c r="B120" s="4"/>
      <c r="C120" s="4"/>
      <c r="D120" s="4"/>
      <c r="E120" s="4"/>
      <c r="F120" s="4"/>
      <c r="G120" s="85">
        <f>IFERROR(__xludf.DUMMYFUNCTION("""COMPUTED_VALUE"""),45121.74791666667)</f>
        <v>45121.74792</v>
      </c>
      <c r="H120" s="85" t="str">
        <f>IFERROR(__xludf.DUMMYFUNCTION("""COMPUTED_VALUE"""),"Enquire &amp; Coordinate with client")</f>
        <v>Enquire &amp; Coordinate with client</v>
      </c>
      <c r="I120" s="4" t="str">
        <f>IFERROR(__xludf.DUMMYFUNCTION("""COMPUTED_VALUE"""),"sales person - first shivani")</f>
        <v>sales person - first shivani</v>
      </c>
    </row>
    <row r="121">
      <c r="A121" s="85">
        <f>IFERROR(__xludf.DUMMYFUNCTION("""COMPUTED_VALUE"""),45121.72608186343)</f>
        <v>45121.72608</v>
      </c>
      <c r="B121" s="4"/>
      <c r="C121" s="4"/>
      <c r="D121" s="4"/>
      <c r="E121" s="4"/>
      <c r="F121" s="4"/>
      <c r="G121" s="85">
        <f>IFERROR(__xludf.DUMMYFUNCTION("""COMPUTED_VALUE"""),45122.725694444445)</f>
        <v>45122.72569</v>
      </c>
      <c r="H121" s="85" t="str">
        <f>IFERROR(__xludf.DUMMYFUNCTION("""COMPUTED_VALUE"""),"Enquire &amp; Coordinate with client")</f>
        <v>Enquire &amp; Coordinate with client</v>
      </c>
      <c r="I121" s="4" t="str">
        <f>IFERROR(__xludf.DUMMYFUNCTION("""COMPUTED_VALUE"""),"sales person - first shivani")</f>
        <v>sales person - first shivani</v>
      </c>
    </row>
    <row r="122">
      <c r="A122" s="85">
        <f>IFERROR(__xludf.DUMMYFUNCTION("""COMPUTED_VALUE"""),45123.555528321755)</f>
        <v>45123.55553</v>
      </c>
      <c r="B122" s="4"/>
      <c r="C122" s="4"/>
      <c r="D122" s="4"/>
      <c r="E122" s="4"/>
      <c r="F122" s="4"/>
      <c r="G122" s="85">
        <f>IFERROR(__xludf.DUMMYFUNCTION("""COMPUTED_VALUE"""),45125.554861111115)</f>
        <v>45125.55486</v>
      </c>
      <c r="H122" s="85" t="str">
        <f>IFERROR(__xludf.DUMMYFUNCTION("""COMPUTED_VALUE"""),"Enquire &amp; Coordinate with client")</f>
        <v>Enquire &amp; Coordinate with client</v>
      </c>
      <c r="I122" s="4" t="str">
        <f>IFERROR(__xludf.DUMMYFUNCTION("""COMPUTED_VALUE"""),"sales person - first shivani")</f>
        <v>sales person - first shivani</v>
      </c>
    </row>
    <row r="123">
      <c r="A123" s="85">
        <f>IFERROR(__xludf.DUMMYFUNCTION("""COMPUTED_VALUE"""),45123.558831180555)</f>
        <v>45123.55883</v>
      </c>
      <c r="B123" s="4"/>
      <c r="C123" s="4"/>
      <c r="D123" s="4"/>
      <c r="E123" s="4"/>
      <c r="F123" s="4"/>
      <c r="G123" s="85">
        <f>IFERROR(__xludf.DUMMYFUNCTION("""COMPUTED_VALUE"""),45125.558333333334)</f>
        <v>45125.55833</v>
      </c>
      <c r="H123" s="85" t="str">
        <f>IFERROR(__xludf.DUMMYFUNCTION("""COMPUTED_VALUE"""),"Enquire &amp; Coordinate with client")</f>
        <v>Enquire &amp; Coordinate with client</v>
      </c>
      <c r="I123" s="4" t="str">
        <f>IFERROR(__xludf.DUMMYFUNCTION("""COMPUTED_VALUE"""),"sales person - first shivani")</f>
        <v>sales person - first shivani</v>
      </c>
    </row>
    <row r="124">
      <c r="A124" s="85">
        <f>IFERROR(__xludf.DUMMYFUNCTION("""COMPUTED_VALUE"""),45125.55028017361)</f>
        <v>45125.55028</v>
      </c>
      <c r="B124" s="4"/>
      <c r="C124" s="4"/>
      <c r="D124" s="4"/>
      <c r="E124" s="4"/>
      <c r="F124" s="4"/>
      <c r="G124" s="85">
        <f>IFERROR(__xludf.DUMMYFUNCTION("""COMPUTED_VALUE"""),45126.55)</f>
        <v>45126.55</v>
      </c>
      <c r="H124" s="85" t="str">
        <f>IFERROR(__xludf.DUMMYFUNCTION("""COMPUTED_VALUE"""),"Enquire &amp; Coordinate with client")</f>
        <v>Enquire &amp; Coordinate with client</v>
      </c>
      <c r="I124" s="4" t="str">
        <f>IFERROR(__xludf.DUMMYFUNCTION("""COMPUTED_VALUE"""),"sales person - first shivani")</f>
        <v>sales person - first shivani</v>
      </c>
    </row>
    <row r="125">
      <c r="A125" s="85">
        <f>IFERROR(__xludf.DUMMYFUNCTION("""COMPUTED_VALUE"""),45126.653232627315)</f>
        <v>45126.65323</v>
      </c>
      <c r="B125" s="4"/>
      <c r="C125" s="4"/>
      <c r="D125" s="4"/>
      <c r="E125" s="4"/>
      <c r="F125" s="4"/>
      <c r="G125" s="85">
        <f>IFERROR(__xludf.DUMMYFUNCTION("""COMPUTED_VALUE"""),45127.65277777778)</f>
        <v>45127.65278</v>
      </c>
      <c r="H125" s="85" t="str">
        <f>IFERROR(__xludf.DUMMYFUNCTION("""COMPUTED_VALUE"""),"Enquire &amp; Coordinate with client")</f>
        <v>Enquire &amp; Coordinate with client</v>
      </c>
      <c r="I125" s="4" t="str">
        <f>IFERROR(__xludf.DUMMYFUNCTION("""COMPUTED_VALUE"""),"sales person - first shivani")</f>
        <v>sales person - first shivani</v>
      </c>
    </row>
    <row r="126">
      <c r="A126" s="85">
        <f>IFERROR(__xludf.DUMMYFUNCTION("""COMPUTED_VALUE"""),45126.66096804399)</f>
        <v>45126.66097</v>
      </c>
      <c r="B126" s="4"/>
      <c r="C126" s="4"/>
      <c r="D126" s="4"/>
      <c r="E126" s="4"/>
      <c r="F126" s="4"/>
      <c r="G126" s="85">
        <f>IFERROR(__xludf.DUMMYFUNCTION("""COMPUTED_VALUE"""),45127.660416666666)</f>
        <v>45127.66042</v>
      </c>
      <c r="H126" s="85" t="str">
        <f>IFERROR(__xludf.DUMMYFUNCTION("""COMPUTED_VALUE"""),"Enquire &amp; Coordinate with client")</f>
        <v>Enquire &amp; Coordinate with client</v>
      </c>
      <c r="I126" s="4" t="str">
        <f>IFERROR(__xludf.DUMMYFUNCTION("""COMPUTED_VALUE"""),"sales person - first shivani")</f>
        <v>sales person - first shivani</v>
      </c>
    </row>
    <row r="127">
      <c r="A127" s="85">
        <f>IFERROR(__xludf.DUMMYFUNCTION("""COMPUTED_VALUE"""),45126.68817086806)</f>
        <v>45126.68817</v>
      </c>
      <c r="B127" s="4"/>
      <c r="C127" s="4"/>
      <c r="D127" s="4"/>
      <c r="E127" s="4"/>
      <c r="F127" s="4"/>
      <c r="G127" s="85">
        <f>IFERROR(__xludf.DUMMYFUNCTION("""COMPUTED_VALUE"""),45127.6875)</f>
        <v>45127.6875</v>
      </c>
      <c r="H127" s="85" t="str">
        <f>IFERROR(__xludf.DUMMYFUNCTION("""COMPUTED_VALUE"""),"Enquire &amp; Coordinate with client")</f>
        <v>Enquire &amp; Coordinate with client</v>
      </c>
      <c r="I127" s="4" t="str">
        <f>IFERROR(__xludf.DUMMYFUNCTION("""COMPUTED_VALUE"""),"sales person - first shivani")</f>
        <v>sales person - first shivani</v>
      </c>
    </row>
    <row r="128">
      <c r="A128" s="85">
        <f>IFERROR(__xludf.DUMMYFUNCTION("""COMPUTED_VALUE"""),45126.72326496528)</f>
        <v>45126.72326</v>
      </c>
      <c r="B128" s="4"/>
      <c r="C128" s="4"/>
      <c r="D128" s="4"/>
      <c r="E128" s="4"/>
      <c r="F128" s="4"/>
      <c r="G128" s="85">
        <f>IFERROR(__xludf.DUMMYFUNCTION("""COMPUTED_VALUE"""),45127.722916666666)</f>
        <v>45127.72292</v>
      </c>
      <c r="H128" s="85" t="str">
        <f>IFERROR(__xludf.DUMMYFUNCTION("""COMPUTED_VALUE"""),"Enquire &amp; Coordinate with client")</f>
        <v>Enquire &amp; Coordinate with client</v>
      </c>
      <c r="I128" s="4" t="str">
        <f>IFERROR(__xludf.DUMMYFUNCTION("""COMPUTED_VALUE"""),"sales person - first shivani")</f>
        <v>sales person - first shivani</v>
      </c>
    </row>
    <row r="129">
      <c r="A129" s="85">
        <f>IFERROR(__xludf.DUMMYFUNCTION("""COMPUTED_VALUE"""),45127.63463468749)</f>
        <v>45127.63463</v>
      </c>
      <c r="B129" s="4"/>
      <c r="C129" s="4"/>
      <c r="D129" s="4"/>
      <c r="E129" s="4"/>
      <c r="F129" s="4"/>
      <c r="G129" s="85">
        <f>IFERROR(__xludf.DUMMYFUNCTION("""COMPUTED_VALUE"""),45128.63402777778)</f>
        <v>45128.63403</v>
      </c>
      <c r="H129" s="85" t="str">
        <f>IFERROR(__xludf.DUMMYFUNCTION("""COMPUTED_VALUE"""),"Enquire &amp; Coordinate with client")</f>
        <v>Enquire &amp; Coordinate with client</v>
      </c>
      <c r="I129" s="4" t="str">
        <f>IFERROR(__xludf.DUMMYFUNCTION("""COMPUTED_VALUE"""),"sales person - first shivani")</f>
        <v>sales person - first shivani</v>
      </c>
    </row>
    <row r="130">
      <c r="A130" s="85">
        <f>IFERROR(__xludf.DUMMYFUNCTION("""COMPUTED_VALUE"""),45129.620098321764)</f>
        <v>45129.6201</v>
      </c>
      <c r="B130" s="4"/>
      <c r="C130" s="4"/>
      <c r="D130" s="4"/>
      <c r="E130" s="4"/>
      <c r="F130" s="4"/>
      <c r="G130" s="85">
        <f>IFERROR(__xludf.DUMMYFUNCTION("""COMPUTED_VALUE"""),45130.61944444444)</f>
        <v>45130.61944</v>
      </c>
      <c r="H130" s="85" t="str">
        <f>IFERROR(__xludf.DUMMYFUNCTION("""COMPUTED_VALUE"""),"Enquire &amp; Coordinate with client")</f>
        <v>Enquire &amp; Coordinate with client</v>
      </c>
      <c r="I130" s="4" t="str">
        <f>IFERROR(__xludf.DUMMYFUNCTION("""COMPUTED_VALUE"""),"sales person - first shivani")</f>
        <v>sales person - first shivani</v>
      </c>
    </row>
    <row r="131">
      <c r="A131" s="85">
        <f>IFERROR(__xludf.DUMMYFUNCTION("""COMPUTED_VALUE"""),45130.62402480323)</f>
        <v>45130.62402</v>
      </c>
      <c r="B131" s="4"/>
      <c r="C131" s="4"/>
      <c r="D131" s="4"/>
      <c r="E131" s="4"/>
      <c r="F131" s="4"/>
      <c r="G131" s="85">
        <f>IFERROR(__xludf.DUMMYFUNCTION("""COMPUTED_VALUE"""),45132.62361111111)</f>
        <v>45132.62361</v>
      </c>
      <c r="H131" s="85" t="str">
        <f>IFERROR(__xludf.DUMMYFUNCTION("""COMPUTED_VALUE"""),"Enquire &amp; Coordinate with client")</f>
        <v>Enquire &amp; Coordinate with client</v>
      </c>
      <c r="I131" s="4" t="str">
        <f>IFERROR(__xludf.DUMMYFUNCTION("""COMPUTED_VALUE"""),"sales person - first shivani")</f>
        <v>sales person - first shivani</v>
      </c>
    </row>
    <row r="132">
      <c r="A132" s="85">
        <f>IFERROR(__xludf.DUMMYFUNCTION("""COMPUTED_VALUE"""),45133.52893804398)</f>
        <v>45133.52894</v>
      </c>
      <c r="B132" s="4"/>
      <c r="C132" s="4"/>
      <c r="D132" s="4"/>
      <c r="E132" s="4"/>
      <c r="F132" s="4"/>
      <c r="G132" s="85">
        <f>IFERROR(__xludf.DUMMYFUNCTION("""COMPUTED_VALUE"""),45134.52847222222)</f>
        <v>45134.52847</v>
      </c>
      <c r="H132" s="85" t="str">
        <f>IFERROR(__xludf.DUMMYFUNCTION("""COMPUTED_VALUE"""),"Enquire &amp; Coordinate with client")</f>
        <v>Enquire &amp; Coordinate with client</v>
      </c>
      <c r="I132" s="4" t="str">
        <f>IFERROR(__xludf.DUMMYFUNCTION("""COMPUTED_VALUE"""),"sales person - first shivani")</f>
        <v>sales person - first shivani</v>
      </c>
    </row>
    <row r="133">
      <c r="A133" s="85">
        <f>IFERROR(__xludf.DUMMYFUNCTION("""COMPUTED_VALUE"""),45133.75023895833)</f>
        <v>45133.75024</v>
      </c>
      <c r="B133" s="4"/>
      <c r="C133" s="4"/>
      <c r="D133" s="4"/>
      <c r="E133" s="4"/>
      <c r="F133" s="4"/>
      <c r="G133" s="85">
        <f>IFERROR(__xludf.DUMMYFUNCTION("""COMPUTED_VALUE"""),45134.75)</f>
        <v>45134.75</v>
      </c>
      <c r="H133" s="85" t="str">
        <f>IFERROR(__xludf.DUMMYFUNCTION("""COMPUTED_VALUE"""),"Enquire &amp; Coordinate with client")</f>
        <v>Enquire &amp; Coordinate with client</v>
      </c>
      <c r="I133" s="4" t="str">
        <f>IFERROR(__xludf.DUMMYFUNCTION("""COMPUTED_VALUE"""),"sales person - first shivani")</f>
        <v>sales person - first shivani</v>
      </c>
    </row>
    <row r="134">
      <c r="A134" s="85">
        <f>IFERROR(__xludf.DUMMYFUNCTION("""COMPUTED_VALUE"""),45133.75353289352)</f>
        <v>45133.75353</v>
      </c>
      <c r="B134" s="4"/>
      <c r="C134" s="4"/>
      <c r="D134" s="4"/>
      <c r="E134" s="4"/>
      <c r="F134" s="4"/>
      <c r="G134" s="85">
        <f>IFERROR(__xludf.DUMMYFUNCTION("""COMPUTED_VALUE"""),45134.75347222222)</f>
        <v>45134.75347</v>
      </c>
      <c r="H134" s="85" t="str">
        <f>IFERROR(__xludf.DUMMYFUNCTION("""COMPUTED_VALUE"""),"Enquire &amp; Coordinate with client")</f>
        <v>Enquire &amp; Coordinate with client</v>
      </c>
      <c r="I134" s="4" t="str">
        <f>IFERROR(__xludf.DUMMYFUNCTION("""COMPUTED_VALUE"""),"sales person - first shivani")</f>
        <v>sales person - first shivani</v>
      </c>
    </row>
    <row r="135">
      <c r="A135" s="85">
        <f>IFERROR(__xludf.DUMMYFUNCTION("""COMPUTED_VALUE"""),45133.76304049769)</f>
        <v>45133.76304</v>
      </c>
      <c r="B135" s="4"/>
      <c r="C135" s="4"/>
      <c r="D135" s="4"/>
      <c r="E135" s="4"/>
      <c r="F135" s="4"/>
      <c r="G135" s="85">
        <f>IFERROR(__xludf.DUMMYFUNCTION("""COMPUTED_VALUE"""),45134.7625)</f>
        <v>45134.7625</v>
      </c>
      <c r="H135" s="85" t="str">
        <f>IFERROR(__xludf.DUMMYFUNCTION("""COMPUTED_VALUE"""),"Enquire &amp; Coordinate with client")</f>
        <v>Enquire &amp; Coordinate with client</v>
      </c>
      <c r="I135" s="4" t="str">
        <f>IFERROR(__xludf.DUMMYFUNCTION("""COMPUTED_VALUE"""),"sales person - first shivani")</f>
        <v>sales person - first shivani</v>
      </c>
    </row>
    <row r="136">
      <c r="A136" s="85">
        <f>IFERROR(__xludf.DUMMYFUNCTION("""COMPUTED_VALUE"""),45134.563918414344)</f>
        <v>45134.56392</v>
      </c>
      <c r="B136" s="4"/>
      <c r="C136" s="4"/>
      <c r="D136" s="4"/>
      <c r="E136" s="4"/>
      <c r="F136" s="4"/>
      <c r="G136" s="85">
        <f>IFERROR(__xludf.DUMMYFUNCTION("""COMPUTED_VALUE"""),45135.56388888889)</f>
        <v>45135.56389</v>
      </c>
      <c r="H136" s="85" t="str">
        <f>IFERROR(__xludf.DUMMYFUNCTION("""COMPUTED_VALUE"""),"Enquire &amp; Coordinate with client")</f>
        <v>Enquire &amp; Coordinate with client</v>
      </c>
      <c r="I136" s="4" t="str">
        <f>IFERROR(__xludf.DUMMYFUNCTION("""COMPUTED_VALUE"""),"sales person - first shivani")</f>
        <v>sales person - first shivani</v>
      </c>
    </row>
    <row r="137">
      <c r="A137" s="85">
        <f>IFERROR(__xludf.DUMMYFUNCTION("""COMPUTED_VALUE"""),45136.61565035879)</f>
        <v>45136.61565</v>
      </c>
      <c r="B137" s="4"/>
      <c r="C137" s="4"/>
      <c r="D137" s="4"/>
      <c r="E137" s="4"/>
      <c r="F137" s="4"/>
      <c r="G137" s="85">
        <f>IFERROR(__xludf.DUMMYFUNCTION("""COMPUTED_VALUE"""),45137.615277777775)</f>
        <v>45137.61528</v>
      </c>
      <c r="H137" s="85" t="str">
        <f>IFERROR(__xludf.DUMMYFUNCTION("""COMPUTED_VALUE"""),"Enquire &amp; Coordinate with client")</f>
        <v>Enquire &amp; Coordinate with client</v>
      </c>
      <c r="I137" s="4" t="str">
        <f>IFERROR(__xludf.DUMMYFUNCTION("""COMPUTED_VALUE"""),"sales person - first shivani")</f>
        <v>sales person - first shivani</v>
      </c>
    </row>
    <row r="138">
      <c r="A138" s="85">
        <f>IFERROR(__xludf.DUMMYFUNCTION("""COMPUTED_VALUE"""),45136.62994597222)</f>
        <v>45136.62995</v>
      </c>
      <c r="B138" s="4"/>
      <c r="C138" s="4"/>
      <c r="D138" s="4"/>
      <c r="E138" s="4"/>
      <c r="F138" s="4"/>
      <c r="G138" s="85">
        <f>IFERROR(__xludf.DUMMYFUNCTION("""COMPUTED_VALUE"""),45137.62986111111)</f>
        <v>45137.62986</v>
      </c>
      <c r="H138" s="85" t="str">
        <f>IFERROR(__xludf.DUMMYFUNCTION("""COMPUTED_VALUE"""),"Enquire &amp; Coordinate with client")</f>
        <v>Enquire &amp; Coordinate with client</v>
      </c>
      <c r="I138" s="4" t="str">
        <f>IFERROR(__xludf.DUMMYFUNCTION("""COMPUTED_VALUE"""),"sales person - first shivani")</f>
        <v>sales person - first shivani</v>
      </c>
    </row>
    <row r="139">
      <c r="A139" s="85">
        <f>IFERROR(__xludf.DUMMYFUNCTION("""COMPUTED_VALUE"""),45139.62458520834)</f>
        <v>45139.62459</v>
      </c>
      <c r="B139" s="4"/>
      <c r="C139" s="4"/>
      <c r="D139" s="4"/>
      <c r="E139" s="4"/>
      <c r="F139" s="4"/>
      <c r="G139" s="85">
        <f>IFERROR(__xludf.DUMMYFUNCTION("""COMPUTED_VALUE"""),45140.62430555555)</f>
        <v>45140.62431</v>
      </c>
      <c r="H139" s="85" t="str">
        <f>IFERROR(__xludf.DUMMYFUNCTION("""COMPUTED_VALUE"""),"Enquire &amp; Coordinate with client")</f>
        <v>Enquire &amp; Coordinate with client</v>
      </c>
      <c r="I139" s="4" t="str">
        <f>IFERROR(__xludf.DUMMYFUNCTION("""COMPUTED_VALUE"""),"sales person - first shivani")</f>
        <v>sales person - first shivani</v>
      </c>
    </row>
    <row r="140">
      <c r="A140" s="85">
        <f>IFERROR(__xludf.DUMMYFUNCTION("""COMPUTED_VALUE"""),45139.630877233794)</f>
        <v>45139.63088</v>
      </c>
      <c r="B140" s="4"/>
      <c r="C140" s="4"/>
      <c r="D140" s="4"/>
      <c r="E140" s="4"/>
      <c r="F140" s="4"/>
      <c r="G140" s="85">
        <f>IFERROR(__xludf.DUMMYFUNCTION("""COMPUTED_VALUE"""),45140.63055555556)</f>
        <v>45140.63056</v>
      </c>
      <c r="H140" s="85" t="str">
        <f>IFERROR(__xludf.DUMMYFUNCTION("""COMPUTED_VALUE"""),"Enquire &amp; Coordinate with client")</f>
        <v>Enquire &amp; Coordinate with client</v>
      </c>
      <c r="I140" s="4" t="str">
        <f>IFERROR(__xludf.DUMMYFUNCTION("""COMPUTED_VALUE"""),"sales person - first shivani")</f>
        <v>sales person - first shivani</v>
      </c>
    </row>
    <row r="141">
      <c r="A141" s="85">
        <f>IFERROR(__xludf.DUMMYFUNCTION("""COMPUTED_VALUE"""),45143.50144180556)</f>
        <v>45143.50144</v>
      </c>
      <c r="B141" s="4"/>
      <c r="C141" s="4"/>
      <c r="D141" s="4"/>
      <c r="E141" s="4"/>
      <c r="F141" s="4"/>
      <c r="G141" s="85">
        <f>IFERROR(__xludf.DUMMYFUNCTION("""COMPUTED_VALUE"""),45144.50138888889)</f>
        <v>45144.50139</v>
      </c>
      <c r="H141" s="85" t="str">
        <f>IFERROR(__xludf.DUMMYFUNCTION("""COMPUTED_VALUE"""),"Enquire &amp; Coordinate with client")</f>
        <v>Enquire &amp; Coordinate with client</v>
      </c>
      <c r="I141" s="4" t="str">
        <f>IFERROR(__xludf.DUMMYFUNCTION("""COMPUTED_VALUE"""),"sales person - first shivani")</f>
        <v>sales person - first shivani</v>
      </c>
    </row>
    <row r="142">
      <c r="A142" s="85">
        <f>IFERROR(__xludf.DUMMYFUNCTION("""COMPUTED_VALUE"""),45143.55674393519)</f>
        <v>45143.55674</v>
      </c>
      <c r="B142" s="4"/>
      <c r="C142" s="4"/>
      <c r="D142" s="4"/>
      <c r="E142" s="4"/>
      <c r="F142" s="4"/>
      <c r="G142" s="85">
        <f>IFERROR(__xludf.DUMMYFUNCTION("""COMPUTED_VALUE"""),45144.55625)</f>
        <v>45144.55625</v>
      </c>
      <c r="H142" s="85" t="str">
        <f>IFERROR(__xludf.DUMMYFUNCTION("""COMPUTED_VALUE"""),"Enquire &amp; Coordinate with client")</f>
        <v>Enquire &amp; Coordinate with client</v>
      </c>
      <c r="I142" s="4" t="str">
        <f>IFERROR(__xludf.DUMMYFUNCTION("""COMPUTED_VALUE"""),"sales person - first shivani")</f>
        <v>sales person - first shivani</v>
      </c>
    </row>
    <row r="143">
      <c r="A143" s="85">
        <f>IFERROR(__xludf.DUMMYFUNCTION("""COMPUTED_VALUE"""),45143.687269259266)</f>
        <v>45143.68727</v>
      </c>
      <c r="B143" s="4"/>
      <c r="C143" s="4"/>
      <c r="D143" s="4"/>
      <c r="E143" s="4"/>
      <c r="F143" s="4"/>
      <c r="G143" s="85">
        <f>IFERROR(__xludf.DUMMYFUNCTION("""COMPUTED_VALUE"""),45144.68680555555)</f>
        <v>45144.68681</v>
      </c>
      <c r="H143" s="85" t="str">
        <f>IFERROR(__xludf.DUMMYFUNCTION("""COMPUTED_VALUE"""),"Enquire &amp; Coordinate with client")</f>
        <v>Enquire &amp; Coordinate with client</v>
      </c>
      <c r="I143" s="4" t="str">
        <f>IFERROR(__xludf.DUMMYFUNCTION("""COMPUTED_VALUE"""),"sales person - first shivani")</f>
        <v>sales person - first shivani</v>
      </c>
    </row>
    <row r="144">
      <c r="A144" s="85">
        <f>IFERROR(__xludf.DUMMYFUNCTION("""COMPUTED_VALUE"""),45143.69402684028)</f>
        <v>45143.69403</v>
      </c>
      <c r="B144" s="4"/>
      <c r="C144" s="4"/>
      <c r="D144" s="4"/>
      <c r="E144" s="4"/>
      <c r="F144" s="4"/>
      <c r="G144" s="85">
        <f>IFERROR(__xludf.DUMMYFUNCTION("""COMPUTED_VALUE"""),45144.69375)</f>
        <v>45144.69375</v>
      </c>
      <c r="H144" s="85" t="str">
        <f>IFERROR(__xludf.DUMMYFUNCTION("""COMPUTED_VALUE"""),"Enquire &amp; Coordinate with client")</f>
        <v>Enquire &amp; Coordinate with client</v>
      </c>
      <c r="I144" s="4" t="str">
        <f>IFERROR(__xludf.DUMMYFUNCTION("""COMPUTED_VALUE"""),"sales person - first shivani")</f>
        <v>sales person - first shivani</v>
      </c>
    </row>
    <row r="145">
      <c r="A145" s="85">
        <f>IFERROR(__xludf.DUMMYFUNCTION("""COMPUTED_VALUE"""),45143.707891377315)</f>
        <v>45143.70789</v>
      </c>
      <c r="B145" s="4"/>
      <c r="C145" s="4"/>
      <c r="D145" s="4"/>
      <c r="E145" s="4"/>
      <c r="F145" s="4"/>
      <c r="G145" s="85">
        <f>IFERROR(__xludf.DUMMYFUNCTION("""COMPUTED_VALUE"""),45144.70763888889)</f>
        <v>45144.70764</v>
      </c>
      <c r="H145" s="85" t="str">
        <f>IFERROR(__xludf.DUMMYFUNCTION("""COMPUTED_VALUE"""),"Enquire &amp; Coordinate with client")</f>
        <v>Enquire &amp; Coordinate with client</v>
      </c>
      <c r="I145" s="4" t="str">
        <f>IFERROR(__xludf.DUMMYFUNCTION("""COMPUTED_VALUE"""),"sales person - first shivani")</f>
        <v>sales person - first shivani</v>
      </c>
    </row>
    <row r="146">
      <c r="A146" s="85">
        <f>IFERROR(__xludf.DUMMYFUNCTION("""COMPUTED_VALUE"""),45143.74074445602)</f>
        <v>45143.74074</v>
      </c>
      <c r="B146" s="4"/>
      <c r="C146" s="4"/>
      <c r="D146" s="4"/>
      <c r="E146" s="4"/>
      <c r="F146" s="4"/>
      <c r="G146" s="85">
        <f>IFERROR(__xludf.DUMMYFUNCTION("""COMPUTED_VALUE"""),45144.740277777775)</f>
        <v>45144.74028</v>
      </c>
      <c r="H146" s="85" t="str">
        <f>IFERROR(__xludf.DUMMYFUNCTION("""COMPUTED_VALUE"""),"Enquire &amp; Coordinate with client")</f>
        <v>Enquire &amp; Coordinate with client</v>
      </c>
      <c r="I146" s="4" t="str">
        <f>IFERROR(__xludf.DUMMYFUNCTION("""COMPUTED_VALUE"""),"sales person - first shivani")</f>
        <v>sales person - first shivani</v>
      </c>
    </row>
    <row r="147">
      <c r="A147" s="85">
        <f>IFERROR(__xludf.DUMMYFUNCTION("""COMPUTED_VALUE"""),45144.53822113426)</f>
        <v>45144.53822</v>
      </c>
      <c r="B147" s="4"/>
      <c r="C147" s="4"/>
      <c r="D147" s="4"/>
      <c r="E147" s="4"/>
      <c r="F147" s="4"/>
      <c r="G147" s="85">
        <f>IFERROR(__xludf.DUMMYFUNCTION("""COMPUTED_VALUE"""),45146.538194444445)</f>
        <v>45146.53819</v>
      </c>
      <c r="H147" s="85" t="str">
        <f>IFERROR(__xludf.DUMMYFUNCTION("""COMPUTED_VALUE"""),"Enquire &amp; Coordinate with client")</f>
        <v>Enquire &amp; Coordinate with client</v>
      </c>
      <c r="I147" s="4" t="str">
        <f>IFERROR(__xludf.DUMMYFUNCTION("""COMPUTED_VALUE"""),"sales person - first shivani")</f>
        <v>sales person - first shivani</v>
      </c>
    </row>
    <row r="148">
      <c r="A148" s="85">
        <f>IFERROR(__xludf.DUMMYFUNCTION("""COMPUTED_VALUE"""),45144.553526736105)</f>
        <v>45144.55353</v>
      </c>
      <c r="B148" s="4"/>
      <c r="C148" s="4"/>
      <c r="D148" s="4"/>
      <c r="E148" s="4"/>
      <c r="F148" s="4"/>
      <c r="G148" s="85">
        <f>IFERROR(__xludf.DUMMYFUNCTION("""COMPUTED_VALUE"""),45146.55347222222)</f>
        <v>45146.55347</v>
      </c>
      <c r="H148" s="85" t="str">
        <f>IFERROR(__xludf.DUMMYFUNCTION("""COMPUTED_VALUE"""),"Enquire &amp; Coordinate with client")</f>
        <v>Enquire &amp; Coordinate with client</v>
      </c>
      <c r="I148" s="4" t="str">
        <f>IFERROR(__xludf.DUMMYFUNCTION("""COMPUTED_VALUE"""),"sales person - first shivani")</f>
        <v>sales person - first shivani</v>
      </c>
    </row>
    <row r="149">
      <c r="A149" s="85">
        <f>IFERROR(__xludf.DUMMYFUNCTION("""COMPUTED_VALUE"""),45144.630054849535)</f>
        <v>45144.63005</v>
      </c>
      <c r="B149" s="4"/>
      <c r="C149" s="4"/>
      <c r="D149" s="4"/>
      <c r="E149" s="4"/>
      <c r="F149" s="4"/>
      <c r="G149" s="85">
        <f>IFERROR(__xludf.DUMMYFUNCTION("""COMPUTED_VALUE"""),45146.62986111111)</f>
        <v>45146.62986</v>
      </c>
      <c r="H149" s="85" t="str">
        <f>IFERROR(__xludf.DUMMYFUNCTION("""COMPUTED_VALUE"""),"Enquire &amp; Coordinate with client")</f>
        <v>Enquire &amp; Coordinate with client</v>
      </c>
      <c r="I149" s="4" t="str">
        <f>IFERROR(__xludf.DUMMYFUNCTION("""COMPUTED_VALUE"""),"sales person - first shivani")</f>
        <v>sales person - first shivani</v>
      </c>
    </row>
    <row r="150">
      <c r="A150" s="85">
        <f>IFERROR(__xludf.DUMMYFUNCTION("""COMPUTED_VALUE"""),45146.78955193287)</f>
        <v>45146.78955</v>
      </c>
      <c r="B150" s="4"/>
      <c r="C150" s="4"/>
      <c r="D150" s="4"/>
      <c r="E150" s="4"/>
      <c r="F150" s="4"/>
      <c r="G150" s="85">
        <f>IFERROR(__xludf.DUMMYFUNCTION("""COMPUTED_VALUE"""),45147.788888888885)</f>
        <v>45147.78889</v>
      </c>
      <c r="H150" s="85" t="str">
        <f>IFERROR(__xludf.DUMMYFUNCTION("""COMPUTED_VALUE"""),"Enquire &amp; Coordinate with client")</f>
        <v>Enquire &amp; Coordinate with client</v>
      </c>
      <c r="I150" s="4" t="str">
        <f>IFERROR(__xludf.DUMMYFUNCTION("""COMPUTED_VALUE"""),"sales person - first shivani")</f>
        <v>sales person - first shivani</v>
      </c>
    </row>
    <row r="151">
      <c r="A151" s="85">
        <f>IFERROR(__xludf.DUMMYFUNCTION("""COMPUTED_VALUE"""),45146.79242679398)</f>
        <v>45146.79243</v>
      </c>
      <c r="B151" s="4"/>
      <c r="C151" s="4"/>
      <c r="D151" s="4"/>
      <c r="E151" s="4"/>
      <c r="F151" s="4"/>
      <c r="G151" s="85">
        <f>IFERROR(__xludf.DUMMYFUNCTION("""COMPUTED_VALUE"""),45147.79236111111)</f>
        <v>45147.79236</v>
      </c>
      <c r="H151" s="85" t="str">
        <f>IFERROR(__xludf.DUMMYFUNCTION("""COMPUTED_VALUE"""),"Enquire &amp; Coordinate with client")</f>
        <v>Enquire &amp; Coordinate with client</v>
      </c>
      <c r="I151" s="4" t="str">
        <f>IFERROR(__xludf.DUMMYFUNCTION("""COMPUTED_VALUE"""),"sales person - first shivani")</f>
        <v>sales person - first shivani</v>
      </c>
    </row>
    <row r="152">
      <c r="A152" s="85">
        <f>IFERROR(__xludf.DUMMYFUNCTION("""COMPUTED_VALUE"""),45149.48434653935)</f>
        <v>45149.48435</v>
      </c>
      <c r="B152" s="4"/>
      <c r="C152" s="4"/>
      <c r="D152" s="4"/>
      <c r="E152" s="4"/>
      <c r="F152" s="4"/>
      <c r="G152" s="85">
        <f>IFERROR(__xludf.DUMMYFUNCTION("""COMPUTED_VALUE"""),45150.48402777778)</f>
        <v>45150.48403</v>
      </c>
      <c r="H152" s="85" t="str">
        <f>IFERROR(__xludf.DUMMYFUNCTION("""COMPUTED_VALUE"""),"Enquire &amp; Coordinate with client")</f>
        <v>Enquire &amp; Coordinate with client</v>
      </c>
      <c r="I152" s="4" t="str">
        <f>IFERROR(__xludf.DUMMYFUNCTION("""COMPUTED_VALUE"""),"sales person - first shivani")</f>
        <v>sales person - first shivani</v>
      </c>
    </row>
    <row r="153">
      <c r="A153" s="85">
        <f>IFERROR(__xludf.DUMMYFUNCTION("""COMPUTED_VALUE"""),45149.65626835648)</f>
        <v>45149.65627</v>
      </c>
      <c r="B153" s="4"/>
      <c r="C153" s="4"/>
      <c r="D153" s="4"/>
      <c r="E153" s="4"/>
      <c r="F153" s="4"/>
      <c r="G153" s="85">
        <f>IFERROR(__xludf.DUMMYFUNCTION("""COMPUTED_VALUE"""),45150.65625)</f>
        <v>45150.65625</v>
      </c>
      <c r="H153" s="85" t="str">
        <f>IFERROR(__xludf.DUMMYFUNCTION("""COMPUTED_VALUE"""),"Enquire &amp; Coordinate with client")</f>
        <v>Enquire &amp; Coordinate with client</v>
      </c>
      <c r="I153" s="4" t="str">
        <f>IFERROR(__xludf.DUMMYFUNCTION("""COMPUTED_VALUE"""),"sales person - first shivani")</f>
        <v>sales person - first shivani</v>
      </c>
    </row>
    <row r="154">
      <c r="A154" s="85">
        <f>IFERROR(__xludf.DUMMYFUNCTION("""COMPUTED_VALUE"""),45150.62981391203)</f>
        <v>45150.62981</v>
      </c>
      <c r="B154" s="4"/>
      <c r="C154" s="4"/>
      <c r="D154" s="4"/>
      <c r="E154" s="4"/>
      <c r="F154" s="4"/>
      <c r="G154" s="85">
        <f>IFERROR(__xludf.DUMMYFUNCTION("""COMPUTED_VALUE"""),45151.629166666666)</f>
        <v>45151.62917</v>
      </c>
      <c r="H154" s="85" t="str">
        <f>IFERROR(__xludf.DUMMYFUNCTION("""COMPUTED_VALUE"""),"Enquire &amp; Coordinate with client")</f>
        <v>Enquire &amp; Coordinate with client</v>
      </c>
      <c r="I154" s="4" t="str">
        <f>IFERROR(__xludf.DUMMYFUNCTION("""COMPUTED_VALUE"""),"sales person - first shivani")</f>
        <v>sales person - first shivani</v>
      </c>
    </row>
    <row r="155">
      <c r="A155" s="85">
        <f>IFERROR(__xludf.DUMMYFUNCTION("""COMPUTED_VALUE"""),45154.80569799768)</f>
        <v>45154.8057</v>
      </c>
      <c r="B155" s="4"/>
      <c r="C155" s="4"/>
      <c r="D155" s="4"/>
      <c r="E155" s="4"/>
      <c r="F155" s="4"/>
      <c r="G155" s="85">
        <f>IFERROR(__xludf.DUMMYFUNCTION("""COMPUTED_VALUE"""),45155.805555555555)</f>
        <v>45155.80556</v>
      </c>
      <c r="H155" s="85" t="str">
        <f>IFERROR(__xludf.DUMMYFUNCTION("""COMPUTED_VALUE"""),"Enquire &amp; Coordinate with client")</f>
        <v>Enquire &amp; Coordinate with client</v>
      </c>
      <c r="I155" s="4" t="str">
        <f>IFERROR(__xludf.DUMMYFUNCTION("""COMPUTED_VALUE"""),"sales person - first shivani")</f>
        <v>sales person - first shivani</v>
      </c>
    </row>
    <row r="156">
      <c r="A156" s="85">
        <f>IFERROR(__xludf.DUMMYFUNCTION("""COMPUTED_VALUE"""),45154.80811006945)</f>
        <v>45154.80811</v>
      </c>
      <c r="B156" s="4"/>
      <c r="C156" s="4"/>
      <c r="D156" s="4"/>
      <c r="E156" s="4"/>
      <c r="F156" s="4"/>
      <c r="G156" s="85">
        <f>IFERROR(__xludf.DUMMYFUNCTION("""COMPUTED_VALUE"""),45155.80763888889)</f>
        <v>45155.80764</v>
      </c>
      <c r="H156" s="85" t="str">
        <f>IFERROR(__xludf.DUMMYFUNCTION("""COMPUTED_VALUE"""),"Enquire &amp; Coordinate with client")</f>
        <v>Enquire &amp; Coordinate with client</v>
      </c>
      <c r="I156" s="4" t="str">
        <f>IFERROR(__xludf.DUMMYFUNCTION("""COMPUTED_VALUE"""),"sales person - first shivani")</f>
        <v>sales person - first shivani</v>
      </c>
    </row>
    <row r="157">
      <c r="A157" s="85">
        <f>IFERROR(__xludf.DUMMYFUNCTION("""COMPUTED_VALUE"""),45154.81032626158)</f>
        <v>45154.81033</v>
      </c>
      <c r="B157" s="4"/>
      <c r="C157" s="4"/>
      <c r="D157" s="4"/>
      <c r="E157" s="4"/>
      <c r="F157" s="4"/>
      <c r="G157" s="85">
        <f>IFERROR(__xludf.DUMMYFUNCTION("""COMPUTED_VALUE"""),45155.80972222222)</f>
        <v>45155.80972</v>
      </c>
      <c r="H157" s="85" t="str">
        <f>IFERROR(__xludf.DUMMYFUNCTION("""COMPUTED_VALUE"""),"Enquire &amp; Coordinate with client")</f>
        <v>Enquire &amp; Coordinate with client</v>
      </c>
      <c r="I157" s="4" t="str">
        <f>IFERROR(__xludf.DUMMYFUNCTION("""COMPUTED_VALUE"""),"sales person - first shivani")</f>
        <v>sales person - first shivani</v>
      </c>
    </row>
    <row r="158">
      <c r="A158" s="85">
        <f>IFERROR(__xludf.DUMMYFUNCTION("""COMPUTED_VALUE"""),45155.77813291666)</f>
        <v>45155.77813</v>
      </c>
      <c r="B158" s="4"/>
      <c r="C158" s="4"/>
      <c r="D158" s="4"/>
      <c r="E158" s="4"/>
      <c r="F158" s="4"/>
      <c r="G158" s="85">
        <f>IFERROR(__xludf.DUMMYFUNCTION("""COMPUTED_VALUE"""),45156.77777777778)</f>
        <v>45156.77778</v>
      </c>
      <c r="H158" s="85" t="str">
        <f>IFERROR(__xludf.DUMMYFUNCTION("""COMPUTED_VALUE"""),"Enquire &amp; Coordinate with client")</f>
        <v>Enquire &amp; Coordinate with client</v>
      </c>
      <c r="I158" s="4" t="str">
        <f>IFERROR(__xludf.DUMMYFUNCTION("""COMPUTED_VALUE"""),"sales person - first shivani")</f>
        <v>sales person - first shivani</v>
      </c>
    </row>
    <row r="159">
      <c r="A159" s="85">
        <f>IFERROR(__xludf.DUMMYFUNCTION("""COMPUTED_VALUE"""),45157.59433679398)</f>
        <v>45157.59434</v>
      </c>
      <c r="B159" s="4"/>
      <c r="C159" s="4"/>
      <c r="D159" s="4"/>
      <c r="E159" s="4"/>
      <c r="F159" s="4"/>
      <c r="G159" s="85">
        <f>IFERROR(__xludf.DUMMYFUNCTION("""COMPUTED_VALUE"""),45158.59375)</f>
        <v>45158.59375</v>
      </c>
      <c r="H159" s="85" t="str">
        <f>IFERROR(__xludf.DUMMYFUNCTION("""COMPUTED_VALUE"""),"Enquire &amp; Coordinate with client")</f>
        <v>Enquire &amp; Coordinate with client</v>
      </c>
      <c r="I159" s="4" t="str">
        <f>IFERROR(__xludf.DUMMYFUNCTION("""COMPUTED_VALUE"""),"sales person - first shivani")</f>
        <v>sales person - first shivani</v>
      </c>
    </row>
    <row r="160">
      <c r="A160" s="85">
        <f>IFERROR(__xludf.DUMMYFUNCTION("""COMPUTED_VALUE"""),45158.489477916664)</f>
        <v>45158.48948</v>
      </c>
      <c r="B160" s="4"/>
      <c r="C160" s="4"/>
      <c r="D160" s="4"/>
      <c r="E160" s="4"/>
      <c r="F160" s="4"/>
      <c r="G160" s="85">
        <f>IFERROR(__xludf.DUMMYFUNCTION("""COMPUTED_VALUE"""),45160.48888888889)</f>
        <v>45160.48889</v>
      </c>
      <c r="H160" s="85" t="str">
        <f>IFERROR(__xludf.DUMMYFUNCTION("""COMPUTED_VALUE"""),"Enquire &amp; Coordinate with client")</f>
        <v>Enquire &amp; Coordinate with client</v>
      </c>
      <c r="I160" s="4" t="str">
        <f>IFERROR(__xludf.DUMMYFUNCTION("""COMPUTED_VALUE"""),"sales person - first shivani")</f>
        <v>sales person - first shivani</v>
      </c>
    </row>
    <row r="161">
      <c r="A161" s="85">
        <f>IFERROR(__xludf.DUMMYFUNCTION("""COMPUTED_VALUE"""),45160.612379548606)</f>
        <v>45160.61238</v>
      </c>
      <c r="B161" s="4"/>
      <c r="C161" s="4"/>
      <c r="D161" s="4"/>
      <c r="E161" s="4"/>
      <c r="F161" s="4"/>
      <c r="G161" s="85">
        <f>IFERROR(__xludf.DUMMYFUNCTION("""COMPUTED_VALUE"""),45161.611805555556)</f>
        <v>45161.61181</v>
      </c>
      <c r="H161" s="85" t="str">
        <f>IFERROR(__xludf.DUMMYFUNCTION("""COMPUTED_VALUE"""),"Enquire &amp; Coordinate with client")</f>
        <v>Enquire &amp; Coordinate with client</v>
      </c>
      <c r="I161" s="4" t="str">
        <f>IFERROR(__xludf.DUMMYFUNCTION("""COMPUTED_VALUE"""),"sales person - first shivani")</f>
        <v>sales person - first shivani</v>
      </c>
    </row>
    <row r="162">
      <c r="A162" s="85">
        <f>IFERROR(__xludf.DUMMYFUNCTION("""COMPUTED_VALUE"""),45163.495249872685)</f>
        <v>45163.49525</v>
      </c>
      <c r="B162" s="4"/>
      <c r="C162" s="4"/>
      <c r="D162" s="4"/>
      <c r="E162" s="4"/>
      <c r="F162" s="4"/>
      <c r="G162" s="85">
        <f>IFERROR(__xludf.DUMMYFUNCTION("""COMPUTED_VALUE"""),45164.49513888889)</f>
        <v>45164.49514</v>
      </c>
      <c r="H162" s="85" t="str">
        <f>IFERROR(__xludf.DUMMYFUNCTION("""COMPUTED_VALUE"""),"Enquire &amp; Coordinate with client")</f>
        <v>Enquire &amp; Coordinate with client</v>
      </c>
      <c r="I162" s="4" t="str">
        <f>IFERROR(__xludf.DUMMYFUNCTION("""COMPUTED_VALUE"""),"sales person - first shivani")</f>
        <v>sales person - first shivani</v>
      </c>
    </row>
    <row r="163">
      <c r="A163" s="85">
        <f>IFERROR(__xludf.DUMMYFUNCTION("""COMPUTED_VALUE"""),45167.51876219907)</f>
        <v>45167.51876</v>
      </c>
      <c r="B163" s="4"/>
      <c r="C163" s="4"/>
      <c r="D163" s="4"/>
      <c r="E163" s="4"/>
      <c r="F163" s="4"/>
      <c r="G163" s="85">
        <f>IFERROR(__xludf.DUMMYFUNCTION("""COMPUTED_VALUE"""),45168.51875)</f>
        <v>45168.51875</v>
      </c>
      <c r="H163" s="85" t="str">
        <f>IFERROR(__xludf.DUMMYFUNCTION("""COMPUTED_VALUE"""),"Enquire &amp; Coordinate with client")</f>
        <v>Enquire &amp; Coordinate with client</v>
      </c>
      <c r="I163" s="4" t="str">
        <f>IFERROR(__xludf.DUMMYFUNCTION("""COMPUTED_VALUE"""),"sales person - first shivani")</f>
        <v>sales person - first shivani</v>
      </c>
    </row>
    <row r="164">
      <c r="A164" s="85">
        <f>IFERROR(__xludf.DUMMYFUNCTION("""COMPUTED_VALUE"""),45167.539175185186)</f>
        <v>45167.53918</v>
      </c>
      <c r="B164" s="4"/>
      <c r="C164" s="4"/>
      <c r="D164" s="4"/>
      <c r="E164" s="4"/>
      <c r="F164" s="4"/>
      <c r="G164" s="85">
        <f>IFERROR(__xludf.DUMMYFUNCTION("""COMPUTED_VALUE"""),45168.538888888885)</f>
        <v>45168.53889</v>
      </c>
      <c r="H164" s="85" t="str">
        <f>IFERROR(__xludf.DUMMYFUNCTION("""COMPUTED_VALUE"""),"Enquire &amp; Coordinate with client")</f>
        <v>Enquire &amp; Coordinate with client</v>
      </c>
      <c r="I164" s="4" t="str">
        <f>IFERROR(__xludf.DUMMYFUNCTION("""COMPUTED_VALUE"""),"sales person - first shivani")</f>
        <v>sales person - first shivani</v>
      </c>
    </row>
    <row r="165">
      <c r="A165" s="85">
        <f>IFERROR(__xludf.DUMMYFUNCTION("""COMPUTED_VALUE"""),45167.55873478009)</f>
        <v>45167.55873</v>
      </c>
      <c r="B165" s="4"/>
      <c r="C165" s="4"/>
      <c r="D165" s="4"/>
      <c r="E165" s="4"/>
      <c r="F165" s="4"/>
      <c r="G165" s="85">
        <f>IFERROR(__xludf.DUMMYFUNCTION("""COMPUTED_VALUE"""),45168.558333333334)</f>
        <v>45168.55833</v>
      </c>
      <c r="H165" s="85" t="str">
        <f>IFERROR(__xludf.DUMMYFUNCTION("""COMPUTED_VALUE"""),"Enquire &amp; Coordinate with client")</f>
        <v>Enquire &amp; Coordinate with client</v>
      </c>
      <c r="I165" s="4" t="str">
        <f>IFERROR(__xludf.DUMMYFUNCTION("""COMPUTED_VALUE"""),"sales person - first shivani")</f>
        <v>sales person - first shivani</v>
      </c>
    </row>
    <row r="166">
      <c r="A166" s="85">
        <f>IFERROR(__xludf.DUMMYFUNCTION("""COMPUTED_VALUE"""),45168.528310428235)</f>
        <v>45168.52831</v>
      </c>
      <c r="B166" s="4"/>
      <c r="C166" s="4"/>
      <c r="D166" s="4"/>
      <c r="E166" s="4"/>
      <c r="F166" s="4"/>
      <c r="G166" s="85">
        <f>IFERROR(__xludf.DUMMYFUNCTION("""COMPUTED_VALUE"""),45169.52777777778)</f>
        <v>45169.52778</v>
      </c>
      <c r="H166" s="85" t="str">
        <f>IFERROR(__xludf.DUMMYFUNCTION("""COMPUTED_VALUE"""),"Enquire &amp; Coordinate with client")</f>
        <v>Enquire &amp; Coordinate with client</v>
      </c>
      <c r="I166" s="4" t="str">
        <f>IFERROR(__xludf.DUMMYFUNCTION("""COMPUTED_VALUE"""),"sales person - first shivani")</f>
        <v>sales person - first shivani</v>
      </c>
    </row>
    <row r="167">
      <c r="A167" s="85">
        <f>IFERROR(__xludf.DUMMYFUNCTION("""COMPUTED_VALUE"""),45170.54131465278)</f>
        <v>45170.54131</v>
      </c>
      <c r="B167" s="4"/>
      <c r="C167" s="4"/>
      <c r="D167" s="4"/>
      <c r="E167" s="4"/>
      <c r="F167" s="4"/>
      <c r="G167" s="85">
        <f>IFERROR(__xludf.DUMMYFUNCTION("""COMPUTED_VALUE"""),45171.540972222225)</f>
        <v>45171.54097</v>
      </c>
      <c r="H167" s="85" t="str">
        <f>IFERROR(__xludf.DUMMYFUNCTION("""COMPUTED_VALUE"""),"Enquire &amp; Coordinate with client")</f>
        <v>Enquire &amp; Coordinate with client</v>
      </c>
      <c r="I167" s="4" t="str">
        <f>IFERROR(__xludf.DUMMYFUNCTION("""COMPUTED_VALUE"""),"sales person - first shivani")</f>
        <v>sales person - first shivani</v>
      </c>
    </row>
    <row r="168">
      <c r="A168" s="85">
        <f>IFERROR(__xludf.DUMMYFUNCTION("""COMPUTED_VALUE"""),45174.79948401621)</f>
        <v>45174.79948</v>
      </c>
      <c r="B168" s="4"/>
      <c r="C168" s="4"/>
      <c r="D168" s="4"/>
      <c r="E168" s="4"/>
      <c r="F168" s="4"/>
      <c r="G168" s="85">
        <f>IFERROR(__xludf.DUMMYFUNCTION("""COMPUTED_VALUE"""),45175.799305555556)</f>
        <v>45175.79931</v>
      </c>
      <c r="H168" s="85" t="str">
        <f>IFERROR(__xludf.DUMMYFUNCTION("""COMPUTED_VALUE"""),"Enquire &amp; Coordinate with client")</f>
        <v>Enquire &amp; Coordinate with client</v>
      </c>
      <c r="I168" s="4" t="str">
        <f>IFERROR(__xludf.DUMMYFUNCTION("""COMPUTED_VALUE"""),"sales person - first shivani")</f>
        <v>sales person - first shivani</v>
      </c>
    </row>
    <row r="169">
      <c r="A169" s="85">
        <f>IFERROR(__xludf.DUMMYFUNCTION("""COMPUTED_VALUE"""),45175.72137157407)</f>
        <v>45175.72137</v>
      </c>
      <c r="B169" s="4"/>
      <c r="C169" s="4"/>
      <c r="D169" s="4"/>
      <c r="E169" s="4"/>
      <c r="F169" s="4"/>
      <c r="G169" s="85">
        <f>IFERROR(__xludf.DUMMYFUNCTION("""COMPUTED_VALUE"""),45176.72083333333)</f>
        <v>45176.72083</v>
      </c>
      <c r="H169" s="85" t="str">
        <f>IFERROR(__xludf.DUMMYFUNCTION("""COMPUTED_VALUE"""),"Enquire &amp; Coordinate with client")</f>
        <v>Enquire &amp; Coordinate with client</v>
      </c>
      <c r="I169" s="4" t="str">
        <f>IFERROR(__xludf.DUMMYFUNCTION("""COMPUTED_VALUE"""),"sales person - first shivani")</f>
        <v>sales person - first shivani</v>
      </c>
    </row>
    <row r="170">
      <c r="A170" s="85">
        <f>IFERROR(__xludf.DUMMYFUNCTION("""COMPUTED_VALUE"""),45184.5087656713)</f>
        <v>45184.50877</v>
      </c>
      <c r="B170" s="4"/>
      <c r="C170" s="4"/>
      <c r="D170" s="4"/>
      <c r="E170" s="4"/>
      <c r="F170" s="4"/>
      <c r="G170" s="85">
        <f>IFERROR(__xludf.DUMMYFUNCTION("""COMPUTED_VALUE"""),45185.50833333333)</f>
        <v>45185.50833</v>
      </c>
      <c r="H170" s="85" t="str">
        <f>IFERROR(__xludf.DUMMYFUNCTION("""COMPUTED_VALUE"""),"Enquire &amp; Coordinate with client")</f>
        <v>Enquire &amp; Coordinate with client</v>
      </c>
      <c r="I170" s="4" t="str">
        <f>IFERROR(__xludf.DUMMYFUNCTION("""COMPUTED_VALUE"""),"sales person - first shivani")</f>
        <v>sales person - first shivani</v>
      </c>
    </row>
    <row r="171">
      <c r="A171" s="85">
        <f>IFERROR(__xludf.DUMMYFUNCTION("""COMPUTED_VALUE"""),45184.519578217594)</f>
        <v>45184.51958</v>
      </c>
      <c r="B171" s="4"/>
      <c r="C171" s="4"/>
      <c r="D171" s="4"/>
      <c r="E171" s="4"/>
      <c r="F171" s="4"/>
      <c r="G171" s="85">
        <f>IFERROR(__xludf.DUMMYFUNCTION("""COMPUTED_VALUE"""),45185.51944444445)</f>
        <v>45185.51944</v>
      </c>
      <c r="H171" s="85" t="str">
        <f>IFERROR(__xludf.DUMMYFUNCTION("""COMPUTED_VALUE"""),"Enquire &amp; Coordinate with client")</f>
        <v>Enquire &amp; Coordinate with client</v>
      </c>
      <c r="I171" s="4" t="str">
        <f>IFERROR(__xludf.DUMMYFUNCTION("""COMPUTED_VALUE"""),"sales person - first shivani")</f>
        <v>sales person - first shivani</v>
      </c>
    </row>
    <row r="172">
      <c r="A172" s="85">
        <f>IFERROR(__xludf.DUMMYFUNCTION("""COMPUTED_VALUE"""),45184.52167609954)</f>
        <v>45184.52168</v>
      </c>
      <c r="B172" s="4"/>
      <c r="C172" s="4"/>
      <c r="D172" s="4"/>
      <c r="E172" s="4"/>
      <c r="F172" s="4"/>
      <c r="G172" s="85">
        <f>IFERROR(__xludf.DUMMYFUNCTION("""COMPUTED_VALUE"""),45185.521527777775)</f>
        <v>45185.52153</v>
      </c>
      <c r="H172" s="85" t="str">
        <f>IFERROR(__xludf.DUMMYFUNCTION("""COMPUTED_VALUE"""),"Enquire &amp; Coordinate with client")</f>
        <v>Enquire &amp; Coordinate with client</v>
      </c>
      <c r="I172" s="4" t="str">
        <f>IFERROR(__xludf.DUMMYFUNCTION("""COMPUTED_VALUE"""),"sales person - first shivani")</f>
        <v>sales person - first shivani</v>
      </c>
    </row>
    <row r="173">
      <c r="A173" s="85">
        <f>IFERROR(__xludf.DUMMYFUNCTION("""COMPUTED_VALUE"""),45184.539257337965)</f>
        <v>45184.53926</v>
      </c>
      <c r="B173" s="4"/>
      <c r="C173" s="4"/>
      <c r="D173" s="4"/>
      <c r="E173" s="4"/>
      <c r="F173" s="4"/>
      <c r="G173" s="85">
        <f>IFERROR(__xludf.DUMMYFUNCTION("""COMPUTED_VALUE"""),45185.538888888885)</f>
        <v>45185.53889</v>
      </c>
      <c r="H173" s="85" t="str">
        <f>IFERROR(__xludf.DUMMYFUNCTION("""COMPUTED_VALUE"""),"Enquire &amp; Coordinate with client")</f>
        <v>Enquire &amp; Coordinate with client</v>
      </c>
      <c r="I173" s="4" t="str">
        <f>IFERROR(__xludf.DUMMYFUNCTION("""COMPUTED_VALUE"""),"sales person - first shivani")</f>
        <v>sales person - first shivani</v>
      </c>
    </row>
    <row r="174">
      <c r="A174" s="85">
        <f>IFERROR(__xludf.DUMMYFUNCTION("""COMPUTED_VALUE"""),45184.555018680556)</f>
        <v>45184.55502</v>
      </c>
      <c r="B174" s="4"/>
      <c r="C174" s="4"/>
      <c r="D174" s="4"/>
      <c r="E174" s="4"/>
      <c r="F174" s="4"/>
      <c r="G174" s="85">
        <f>IFERROR(__xludf.DUMMYFUNCTION("""COMPUTED_VALUE"""),45185.554861111115)</f>
        <v>45185.55486</v>
      </c>
      <c r="H174" s="85" t="str">
        <f>IFERROR(__xludf.DUMMYFUNCTION("""COMPUTED_VALUE"""),"Enquire &amp; Coordinate with client")</f>
        <v>Enquire &amp; Coordinate with client</v>
      </c>
      <c r="I174" s="4" t="str">
        <f>IFERROR(__xludf.DUMMYFUNCTION("""COMPUTED_VALUE"""),"sales person - first shivani")</f>
        <v>sales person - first shivani</v>
      </c>
    </row>
    <row r="175">
      <c r="A175" s="85">
        <f>IFERROR(__xludf.DUMMYFUNCTION("""COMPUTED_VALUE"""),45184.55929478009)</f>
        <v>45184.55929</v>
      </c>
      <c r="B175" s="4"/>
      <c r="C175" s="4"/>
      <c r="D175" s="4"/>
      <c r="E175" s="4"/>
      <c r="F175" s="4"/>
      <c r="G175" s="85">
        <f>IFERROR(__xludf.DUMMYFUNCTION("""COMPUTED_VALUE"""),45185.55902777778)</f>
        <v>45185.55903</v>
      </c>
      <c r="H175" s="85" t="str">
        <f>IFERROR(__xludf.DUMMYFUNCTION("""COMPUTED_VALUE"""),"Enquire &amp; Coordinate with client")</f>
        <v>Enquire &amp; Coordinate with client</v>
      </c>
      <c r="I175" s="4" t="str">
        <f>IFERROR(__xludf.DUMMYFUNCTION("""COMPUTED_VALUE"""),"sales person - first shivani")</f>
        <v>sales person - first shivani</v>
      </c>
    </row>
    <row r="176">
      <c r="A176" s="85">
        <f>IFERROR(__xludf.DUMMYFUNCTION("""COMPUTED_VALUE"""),45212.826936006946)</f>
        <v>45212.82694</v>
      </c>
      <c r="B176" s="4"/>
      <c r="C176" s="4"/>
      <c r="D176" s="4"/>
      <c r="E176" s="4"/>
      <c r="F176" s="4"/>
      <c r="G176" s="85">
        <f>IFERROR(__xludf.DUMMYFUNCTION("""COMPUTED_VALUE"""),45213.82638888889)</f>
        <v>45213.82639</v>
      </c>
      <c r="H176" s="85" t="str">
        <f>IFERROR(__xludf.DUMMYFUNCTION("""COMPUTED_VALUE"""),"Enquire &amp; Coordinate with client")</f>
        <v>Enquire &amp; Coordinate with client</v>
      </c>
      <c r="I176" s="4" t="str">
        <f>IFERROR(__xludf.DUMMYFUNCTION("""COMPUTED_VALUE"""),"sales person - first shivani")</f>
        <v>sales person - first shivani</v>
      </c>
    </row>
    <row r="177">
      <c r="A177" s="85">
        <f>IFERROR(__xludf.DUMMYFUNCTION("""COMPUTED_VALUE"""),45231.65193384259)</f>
        <v>45231.65193</v>
      </c>
      <c r="B177" s="4"/>
      <c r="C177" s="4"/>
      <c r="D177" s="4"/>
      <c r="E177" s="4"/>
      <c r="F177" s="4"/>
      <c r="G177" s="85">
        <f>IFERROR(__xludf.DUMMYFUNCTION("""COMPUTED_VALUE"""),45232.65138888889)</f>
        <v>45232.65139</v>
      </c>
      <c r="H177" s="85" t="str">
        <f>IFERROR(__xludf.DUMMYFUNCTION("""COMPUTED_VALUE"""),"Enquire &amp; Coordinate with client")</f>
        <v>Enquire &amp; Coordinate with client</v>
      </c>
      <c r="I177" s="4" t="str">
        <f>IFERROR(__xludf.DUMMYFUNCTION("""COMPUTED_VALUE"""),"sales person - first shivani")</f>
        <v>sales person - first shivani</v>
      </c>
    </row>
    <row r="178">
      <c r="A178" s="85">
        <f>IFERROR(__xludf.DUMMYFUNCTION("""COMPUTED_VALUE"""),45231.66718464121)</f>
        <v>45231.66718</v>
      </c>
      <c r="B178" s="4"/>
      <c r="C178" s="4"/>
      <c r="D178" s="4"/>
      <c r="E178" s="4"/>
      <c r="F178" s="4"/>
      <c r="G178" s="85">
        <f>IFERROR(__xludf.DUMMYFUNCTION("""COMPUTED_VALUE"""),45232.66666666667)</f>
        <v>45232.66667</v>
      </c>
      <c r="H178" s="85" t="str">
        <f>IFERROR(__xludf.DUMMYFUNCTION("""COMPUTED_VALUE"""),"Enquire &amp; Coordinate with client")</f>
        <v>Enquire &amp; Coordinate with client</v>
      </c>
      <c r="I178" s="4" t="str">
        <f>IFERROR(__xludf.DUMMYFUNCTION("""COMPUTED_VALUE"""),"sales person - first shivani")</f>
        <v>sales person - first shivani</v>
      </c>
    </row>
    <row r="179">
      <c r="A179" s="85">
        <f>IFERROR(__xludf.DUMMYFUNCTION("""COMPUTED_VALUE"""),45231.67400883102)</f>
        <v>45231.67401</v>
      </c>
      <c r="B179" s="4"/>
      <c r="C179" s="4"/>
      <c r="D179" s="4"/>
      <c r="E179" s="4"/>
      <c r="F179" s="4"/>
      <c r="G179" s="85">
        <f>IFERROR(__xludf.DUMMYFUNCTION("""COMPUTED_VALUE"""),45232.67361111111)</f>
        <v>45232.67361</v>
      </c>
      <c r="H179" s="85" t="str">
        <f>IFERROR(__xludf.DUMMYFUNCTION("""COMPUTED_VALUE"""),"Enquire &amp; Coordinate with client")</f>
        <v>Enquire &amp; Coordinate with client</v>
      </c>
      <c r="I179" s="4" t="str">
        <f>IFERROR(__xludf.DUMMYFUNCTION("""COMPUTED_VALUE"""),"sales person - first shivani")</f>
        <v>sales person - first shivani</v>
      </c>
    </row>
    <row r="180">
      <c r="A180" s="85">
        <f>IFERROR(__xludf.DUMMYFUNCTION("""COMPUTED_VALUE"""),45231.69381135416)</f>
        <v>45231.69381</v>
      </c>
      <c r="B180" s="4"/>
      <c r="C180" s="4"/>
      <c r="D180" s="4"/>
      <c r="E180" s="4"/>
      <c r="F180" s="4"/>
      <c r="G180" s="85">
        <f>IFERROR(__xludf.DUMMYFUNCTION("""COMPUTED_VALUE"""),45232.69375)</f>
        <v>45232.69375</v>
      </c>
      <c r="H180" s="85" t="str">
        <f>IFERROR(__xludf.DUMMYFUNCTION("""COMPUTED_VALUE"""),"Enquire &amp; Coordinate with client")</f>
        <v>Enquire &amp; Coordinate with client</v>
      </c>
      <c r="I180" s="4" t="str">
        <f>IFERROR(__xludf.DUMMYFUNCTION("""COMPUTED_VALUE"""),"sales person - first shivani")</f>
        <v>sales person - first shivani</v>
      </c>
    </row>
    <row r="181">
      <c r="A181" s="85">
        <f>IFERROR(__xludf.DUMMYFUNCTION("""COMPUTED_VALUE"""),45232.70373228009)</f>
        <v>45232.70373</v>
      </c>
      <c r="B181" s="4"/>
      <c r="C181" s="4"/>
      <c r="D181" s="4"/>
      <c r="E181" s="4"/>
      <c r="F181" s="4"/>
      <c r="G181" s="85">
        <f>IFERROR(__xludf.DUMMYFUNCTION("""COMPUTED_VALUE"""),45233.70347222222)</f>
        <v>45233.70347</v>
      </c>
      <c r="H181" s="85" t="str">
        <f>IFERROR(__xludf.DUMMYFUNCTION("""COMPUTED_VALUE"""),"Enquire &amp; Coordinate with client")</f>
        <v>Enquire &amp; Coordinate with client</v>
      </c>
      <c r="I181" s="4" t="str">
        <f>IFERROR(__xludf.DUMMYFUNCTION("""COMPUTED_VALUE"""),"sales person - first shivani")</f>
        <v>sales person - first shivani</v>
      </c>
    </row>
    <row r="182">
      <c r="A182" s="85">
        <f>IFERROR(__xludf.DUMMYFUNCTION("""COMPUTED_VALUE"""),45232.76113398148)</f>
        <v>45232.76113</v>
      </c>
      <c r="B182" s="4"/>
      <c r="C182" s="4"/>
      <c r="D182" s="4"/>
      <c r="E182" s="4"/>
      <c r="F182" s="4"/>
      <c r="G182" s="85">
        <f>IFERROR(__xludf.DUMMYFUNCTION("""COMPUTED_VALUE"""),45233.76111111111)</f>
        <v>45233.76111</v>
      </c>
      <c r="H182" s="85" t="str">
        <f>IFERROR(__xludf.DUMMYFUNCTION("""COMPUTED_VALUE"""),"Enquire &amp; Coordinate with client")</f>
        <v>Enquire &amp; Coordinate with client</v>
      </c>
      <c r="I182" s="4" t="str">
        <f>IFERROR(__xludf.DUMMYFUNCTION("""COMPUTED_VALUE"""),"sales person - first shivani")</f>
        <v>sales person - first shivani</v>
      </c>
    </row>
    <row r="183">
      <c r="A183" s="85">
        <f>IFERROR(__xludf.DUMMYFUNCTION("""COMPUTED_VALUE"""),45233.491173020826)</f>
        <v>45233.49117</v>
      </c>
      <c r="B183" s="4"/>
      <c r="C183" s="4"/>
      <c r="D183" s="4"/>
      <c r="E183" s="4"/>
      <c r="F183" s="4"/>
      <c r="G183" s="85">
        <f>IFERROR(__xludf.DUMMYFUNCTION("""COMPUTED_VALUE"""),45234.49097222222)</f>
        <v>45234.49097</v>
      </c>
      <c r="H183" s="85" t="str">
        <f>IFERROR(__xludf.DUMMYFUNCTION("""COMPUTED_VALUE"""),"Enquire &amp; Coordinate with client")</f>
        <v>Enquire &amp; Coordinate with client</v>
      </c>
      <c r="I183" s="4" t="str">
        <f>IFERROR(__xludf.DUMMYFUNCTION("""COMPUTED_VALUE"""),"sales person - first shivani")</f>
        <v>sales person - first shivani</v>
      </c>
    </row>
    <row r="184">
      <c r="A184" s="85">
        <f>IFERROR(__xludf.DUMMYFUNCTION("""COMPUTED_VALUE"""),45233.4942599537)</f>
        <v>45233.49426</v>
      </c>
      <c r="B184" s="4"/>
      <c r="C184" s="4"/>
      <c r="D184" s="4"/>
      <c r="E184" s="4"/>
      <c r="F184" s="4"/>
      <c r="G184" s="85">
        <f>IFERROR(__xludf.DUMMYFUNCTION("""COMPUTED_VALUE"""),45234.49375)</f>
        <v>45234.49375</v>
      </c>
      <c r="H184" s="85" t="str">
        <f>IFERROR(__xludf.DUMMYFUNCTION("""COMPUTED_VALUE"""),"Enquire &amp; Coordinate with client")</f>
        <v>Enquire &amp; Coordinate with client</v>
      </c>
      <c r="I184" s="4" t="str">
        <f>IFERROR(__xludf.DUMMYFUNCTION("""COMPUTED_VALUE"""),"sales person - first shivani")</f>
        <v>sales person - first shivani</v>
      </c>
    </row>
    <row r="185">
      <c r="A185" s="85">
        <f>IFERROR(__xludf.DUMMYFUNCTION("""COMPUTED_VALUE"""),45233.49948655093)</f>
        <v>45233.49949</v>
      </c>
      <c r="B185" s="4"/>
      <c r="C185" s="4"/>
      <c r="D185" s="4"/>
      <c r="E185" s="4"/>
      <c r="F185" s="4"/>
      <c r="G185" s="85">
        <f>IFERROR(__xludf.DUMMYFUNCTION("""COMPUTED_VALUE"""),45234.49930555555)</f>
        <v>45234.49931</v>
      </c>
      <c r="H185" s="85" t="str">
        <f>IFERROR(__xludf.DUMMYFUNCTION("""COMPUTED_VALUE"""),"Enquire &amp; Coordinate with client")</f>
        <v>Enquire &amp; Coordinate with client</v>
      </c>
      <c r="I185" s="4" t="str">
        <f>IFERROR(__xludf.DUMMYFUNCTION("""COMPUTED_VALUE"""),"sales person - first shivani")</f>
        <v>sales person - first shivani</v>
      </c>
    </row>
    <row r="186">
      <c r="A186" s="85">
        <f>IFERROR(__xludf.DUMMYFUNCTION("""COMPUTED_VALUE"""),45233.573081793984)</f>
        <v>45233.57308</v>
      </c>
      <c r="B186" s="4"/>
      <c r="C186" s="4"/>
      <c r="D186" s="4"/>
      <c r="E186" s="4"/>
      <c r="F186" s="4"/>
      <c r="G186" s="85">
        <f>IFERROR(__xludf.DUMMYFUNCTION("""COMPUTED_VALUE"""),45234.57291666667)</f>
        <v>45234.57292</v>
      </c>
      <c r="H186" s="85" t="str">
        <f>IFERROR(__xludf.DUMMYFUNCTION("""COMPUTED_VALUE"""),"Enquire &amp; Coordinate with client")</f>
        <v>Enquire &amp; Coordinate with client</v>
      </c>
      <c r="I186" s="4" t="str">
        <f>IFERROR(__xludf.DUMMYFUNCTION("""COMPUTED_VALUE"""),"sales person - first shivani")</f>
        <v>sales person - first shivani</v>
      </c>
    </row>
    <row r="187">
      <c r="A187" s="85">
        <f>IFERROR(__xludf.DUMMYFUNCTION("""COMPUTED_VALUE"""),45233.647371018524)</f>
        <v>45233.64737</v>
      </c>
      <c r="B187" s="4"/>
      <c r="C187" s="4"/>
      <c r="D187" s="4"/>
      <c r="E187" s="4"/>
      <c r="F187" s="4"/>
      <c r="G187" s="85">
        <f>IFERROR(__xludf.DUMMYFUNCTION("""COMPUTED_VALUE"""),45234.64722222222)</f>
        <v>45234.64722</v>
      </c>
      <c r="H187" s="85" t="str">
        <f>IFERROR(__xludf.DUMMYFUNCTION("""COMPUTED_VALUE"""),"Enquire &amp; Coordinate with client")</f>
        <v>Enquire &amp; Coordinate with client</v>
      </c>
      <c r="I187" s="4" t="str">
        <f>IFERROR(__xludf.DUMMYFUNCTION("""COMPUTED_VALUE"""),"sales person - first shivani")</f>
        <v>sales person - first shivani</v>
      </c>
    </row>
    <row r="188">
      <c r="A188" s="85">
        <f>IFERROR(__xludf.DUMMYFUNCTION("""COMPUTED_VALUE"""),45233.64960077546)</f>
        <v>45233.6496</v>
      </c>
      <c r="B188" s="4"/>
      <c r="C188" s="4"/>
      <c r="D188" s="4"/>
      <c r="E188" s="4"/>
      <c r="F188" s="4"/>
      <c r="G188" s="85">
        <f>IFERROR(__xludf.DUMMYFUNCTION("""COMPUTED_VALUE"""),45234.649305555555)</f>
        <v>45234.64931</v>
      </c>
      <c r="H188" s="85" t="str">
        <f>IFERROR(__xludf.DUMMYFUNCTION("""COMPUTED_VALUE"""),"Enquire &amp; Coordinate with client")</f>
        <v>Enquire &amp; Coordinate with client</v>
      </c>
      <c r="I188" s="4" t="str">
        <f>IFERROR(__xludf.DUMMYFUNCTION("""COMPUTED_VALUE"""),"sales person - first shivani")</f>
        <v>sales person - first shivani</v>
      </c>
    </row>
    <row r="189">
      <c r="A189" s="85">
        <f>IFERROR(__xludf.DUMMYFUNCTION("""COMPUTED_VALUE"""),45233.65159188658)</f>
        <v>45233.65159</v>
      </c>
      <c r="B189" s="4"/>
      <c r="C189" s="4"/>
      <c r="D189" s="4"/>
      <c r="E189" s="4"/>
      <c r="F189" s="4"/>
      <c r="G189" s="85">
        <f>IFERROR(__xludf.DUMMYFUNCTION("""COMPUTED_VALUE"""),45234.65138888889)</f>
        <v>45234.65139</v>
      </c>
      <c r="H189" s="85" t="str">
        <f>IFERROR(__xludf.DUMMYFUNCTION("""COMPUTED_VALUE"""),"Enquire &amp; Coordinate with client")</f>
        <v>Enquire &amp; Coordinate with client</v>
      </c>
      <c r="I189" s="4" t="str">
        <f>IFERROR(__xludf.DUMMYFUNCTION("""COMPUTED_VALUE"""),"sales person - first shivani")</f>
        <v>sales person - first shivani</v>
      </c>
    </row>
    <row r="190">
      <c r="A190" s="85">
        <f>IFERROR(__xludf.DUMMYFUNCTION("""COMPUTED_VALUE"""),45233.65308631944)</f>
        <v>45233.65309</v>
      </c>
      <c r="B190" s="4"/>
      <c r="C190" s="4"/>
      <c r="D190" s="4"/>
      <c r="E190" s="4"/>
      <c r="F190" s="4"/>
      <c r="G190" s="85">
        <f>IFERROR(__xludf.DUMMYFUNCTION("""COMPUTED_VALUE"""),45234.65277777778)</f>
        <v>45234.65278</v>
      </c>
      <c r="H190" s="85" t="str">
        <f>IFERROR(__xludf.DUMMYFUNCTION("""COMPUTED_VALUE"""),"Enquire &amp; Coordinate with client")</f>
        <v>Enquire &amp; Coordinate with client</v>
      </c>
      <c r="I190" s="4" t="str">
        <f>IFERROR(__xludf.DUMMYFUNCTION("""COMPUTED_VALUE"""),"sales person - first shivani")</f>
        <v>sales person - first shivani</v>
      </c>
    </row>
    <row r="191">
      <c r="A191" s="85">
        <f>IFERROR(__xludf.DUMMYFUNCTION("""COMPUTED_VALUE"""),45233.668798391205)</f>
        <v>45233.6688</v>
      </c>
      <c r="B191" s="4"/>
      <c r="C191" s="4"/>
      <c r="D191" s="4"/>
      <c r="E191" s="4"/>
      <c r="F191" s="4"/>
      <c r="G191" s="85">
        <f>IFERROR(__xludf.DUMMYFUNCTION("""COMPUTED_VALUE"""),45234.66875)</f>
        <v>45234.66875</v>
      </c>
      <c r="H191" s="85" t="str">
        <f>IFERROR(__xludf.DUMMYFUNCTION("""COMPUTED_VALUE"""),"Enquire &amp; Coordinate with client")</f>
        <v>Enquire &amp; Coordinate with client</v>
      </c>
      <c r="I191" s="4" t="str">
        <f>IFERROR(__xludf.DUMMYFUNCTION("""COMPUTED_VALUE"""),"sales person - first shivani")</f>
        <v>sales person - first shivani</v>
      </c>
    </row>
    <row r="192">
      <c r="A192" s="85">
        <f>IFERROR(__xludf.DUMMYFUNCTION("""COMPUTED_VALUE"""),45233.67780953704)</f>
        <v>45233.67781</v>
      </c>
      <c r="B192" s="4"/>
      <c r="C192" s="4"/>
      <c r="D192" s="4"/>
      <c r="E192" s="4"/>
      <c r="F192" s="4"/>
      <c r="G192" s="85">
        <f>IFERROR(__xludf.DUMMYFUNCTION("""COMPUTED_VALUE"""),45234.677777777775)</f>
        <v>45234.67778</v>
      </c>
      <c r="H192" s="85" t="str">
        <f>IFERROR(__xludf.DUMMYFUNCTION("""COMPUTED_VALUE"""),"Enquire &amp; Coordinate with client")</f>
        <v>Enquire &amp; Coordinate with client</v>
      </c>
      <c r="I192" s="4" t="str">
        <f>IFERROR(__xludf.DUMMYFUNCTION("""COMPUTED_VALUE"""),"sales person - first shivani")</f>
        <v>sales person - first shivani</v>
      </c>
    </row>
    <row r="193">
      <c r="A193" s="85">
        <f>IFERROR(__xludf.DUMMYFUNCTION("""COMPUTED_VALUE"""),45233.68164461805)</f>
        <v>45233.68164</v>
      </c>
      <c r="B193" s="4"/>
      <c r="C193" s="4"/>
      <c r="D193" s="4"/>
      <c r="E193" s="4"/>
      <c r="F193" s="4"/>
      <c r="G193" s="85">
        <f>IFERROR(__xludf.DUMMYFUNCTION("""COMPUTED_VALUE"""),45234.68125)</f>
        <v>45234.68125</v>
      </c>
      <c r="H193" s="85" t="str">
        <f>IFERROR(__xludf.DUMMYFUNCTION("""COMPUTED_VALUE"""),"Enquire &amp; Coordinate with client")</f>
        <v>Enquire &amp; Coordinate with client</v>
      </c>
      <c r="I193" s="4" t="str">
        <f>IFERROR(__xludf.DUMMYFUNCTION("""COMPUTED_VALUE"""),"sales person - first shivani")</f>
        <v>sales person - first shivani</v>
      </c>
    </row>
    <row r="194">
      <c r="A194" s="85">
        <f>IFERROR(__xludf.DUMMYFUNCTION("""COMPUTED_VALUE"""),45235.67948952546)</f>
        <v>45235.67949</v>
      </c>
      <c r="B194" s="4"/>
      <c r="C194" s="4"/>
      <c r="D194" s="4"/>
      <c r="E194" s="4"/>
      <c r="F194" s="4"/>
      <c r="G194" s="85">
        <f>IFERROR(__xludf.DUMMYFUNCTION("""COMPUTED_VALUE"""),45237.67916666667)</f>
        <v>45237.67917</v>
      </c>
      <c r="H194" s="85" t="str">
        <f>IFERROR(__xludf.DUMMYFUNCTION("""COMPUTED_VALUE"""),"Enquire &amp; Coordinate with client")</f>
        <v>Enquire &amp; Coordinate with client</v>
      </c>
      <c r="I194" s="4" t="str">
        <f>IFERROR(__xludf.DUMMYFUNCTION("""COMPUTED_VALUE"""),"sales person - first shivani")</f>
        <v>sales person - first shivani</v>
      </c>
    </row>
    <row r="195">
      <c r="A195" s="85">
        <f>IFERROR(__xludf.DUMMYFUNCTION("""COMPUTED_VALUE"""),45237.572420798606)</f>
        <v>45237.57242</v>
      </c>
      <c r="B195" s="4"/>
      <c r="C195" s="4"/>
      <c r="D195" s="4"/>
      <c r="E195" s="4"/>
      <c r="F195" s="4"/>
      <c r="G195" s="85">
        <f>IFERROR(__xludf.DUMMYFUNCTION("""COMPUTED_VALUE"""),45238.572222222225)</f>
        <v>45238.57222</v>
      </c>
      <c r="H195" s="85" t="str">
        <f>IFERROR(__xludf.DUMMYFUNCTION("""COMPUTED_VALUE"""),"Enquire &amp; Coordinate with client")</f>
        <v>Enquire &amp; Coordinate with client</v>
      </c>
      <c r="I195" s="4" t="str">
        <f>IFERROR(__xludf.DUMMYFUNCTION("""COMPUTED_VALUE"""),"sales person - first shivani")</f>
        <v>sales person - first shivani</v>
      </c>
    </row>
    <row r="196">
      <c r="A196" s="85">
        <f>IFERROR(__xludf.DUMMYFUNCTION("""COMPUTED_VALUE"""),45239.52630586806)</f>
        <v>45239.52631</v>
      </c>
      <c r="B196" s="4"/>
      <c r="C196" s="4"/>
      <c r="D196" s="4"/>
      <c r="E196" s="4"/>
      <c r="F196" s="4"/>
      <c r="G196" s="85">
        <f>IFERROR(__xludf.DUMMYFUNCTION("""COMPUTED_VALUE"""),45240.52569444444)</f>
        <v>45240.52569</v>
      </c>
      <c r="H196" s="85" t="str">
        <f>IFERROR(__xludf.DUMMYFUNCTION("""COMPUTED_VALUE"""),"Enquire &amp; Coordinate with client")</f>
        <v>Enquire &amp; Coordinate with client</v>
      </c>
      <c r="I196" s="4" t="str">
        <f>IFERROR(__xludf.DUMMYFUNCTION("""COMPUTED_VALUE"""),"sales person - first shivani")</f>
        <v>sales person - first shivani</v>
      </c>
    </row>
    <row r="197">
      <c r="A197" s="85">
        <f>IFERROR(__xludf.DUMMYFUNCTION("""COMPUTED_VALUE"""),45239.52842027778)</f>
        <v>45239.52842</v>
      </c>
      <c r="B197" s="4"/>
      <c r="C197" s="4"/>
      <c r="D197" s="4"/>
      <c r="E197" s="4"/>
      <c r="F197" s="4"/>
      <c r="G197" s="85">
        <f>IFERROR(__xludf.DUMMYFUNCTION("""COMPUTED_VALUE"""),45240.52777777778)</f>
        <v>45240.52778</v>
      </c>
      <c r="H197" s="85" t="str">
        <f>IFERROR(__xludf.DUMMYFUNCTION("""COMPUTED_VALUE"""),"Enquire &amp; Coordinate with client")</f>
        <v>Enquire &amp; Coordinate with client</v>
      </c>
      <c r="I197" s="4" t="str">
        <f>IFERROR(__xludf.DUMMYFUNCTION("""COMPUTED_VALUE"""),"sales person - first shivani")</f>
        <v>sales person - first shivani</v>
      </c>
    </row>
    <row r="198">
      <c r="A198" s="85">
        <f>IFERROR(__xludf.DUMMYFUNCTION("""COMPUTED_VALUE"""),45239.53191921296)</f>
        <v>45239.53192</v>
      </c>
      <c r="B198" s="4"/>
      <c r="C198" s="4"/>
      <c r="D198" s="4"/>
      <c r="E198" s="4"/>
      <c r="F198" s="4"/>
      <c r="G198" s="85">
        <f>IFERROR(__xludf.DUMMYFUNCTION("""COMPUTED_VALUE"""),45240.53125)</f>
        <v>45240.53125</v>
      </c>
      <c r="H198" s="85" t="str">
        <f>IFERROR(__xludf.DUMMYFUNCTION("""COMPUTED_VALUE"""),"Enquire &amp; Coordinate with client")</f>
        <v>Enquire &amp; Coordinate with client</v>
      </c>
      <c r="I198" s="4" t="str">
        <f>IFERROR(__xludf.DUMMYFUNCTION("""COMPUTED_VALUE"""),"sales person - first shivani")</f>
        <v>sales person - first shivani</v>
      </c>
    </row>
    <row r="199">
      <c r="A199" s="85">
        <f>IFERROR(__xludf.DUMMYFUNCTION("""COMPUTED_VALUE"""),45239.53466027777)</f>
        <v>45239.53466</v>
      </c>
      <c r="B199" s="4"/>
      <c r="C199" s="4"/>
      <c r="D199" s="4"/>
      <c r="E199" s="4"/>
      <c r="F199" s="4"/>
      <c r="G199" s="85">
        <f>IFERROR(__xludf.DUMMYFUNCTION("""COMPUTED_VALUE"""),45240.53402777778)</f>
        <v>45240.53403</v>
      </c>
      <c r="H199" s="85" t="str">
        <f>IFERROR(__xludf.DUMMYFUNCTION("""COMPUTED_VALUE"""),"Enquire &amp; Coordinate with client")</f>
        <v>Enquire &amp; Coordinate with client</v>
      </c>
      <c r="I199" s="4" t="str">
        <f>IFERROR(__xludf.DUMMYFUNCTION("""COMPUTED_VALUE"""),"sales person - first shivani")</f>
        <v>sales person - first shivani</v>
      </c>
    </row>
    <row r="200">
      <c r="A200" s="85">
        <f>IFERROR(__xludf.DUMMYFUNCTION("""COMPUTED_VALUE"""),45239.55340473379)</f>
        <v>45239.5534</v>
      </c>
      <c r="B200" s="4"/>
      <c r="C200" s="4"/>
      <c r="D200" s="4"/>
      <c r="E200" s="4"/>
      <c r="F200" s="4"/>
      <c r="G200" s="85">
        <f>IFERROR(__xludf.DUMMYFUNCTION("""COMPUTED_VALUE"""),45240.552777777775)</f>
        <v>45240.55278</v>
      </c>
      <c r="H200" s="85" t="str">
        <f>IFERROR(__xludf.DUMMYFUNCTION("""COMPUTED_VALUE"""),"Enquire &amp; Coordinate with client")</f>
        <v>Enquire &amp; Coordinate with client</v>
      </c>
      <c r="I200" s="4" t="str">
        <f>IFERROR(__xludf.DUMMYFUNCTION("""COMPUTED_VALUE"""),"sales person - first shivani")</f>
        <v>sales person - first shivani</v>
      </c>
    </row>
    <row r="201">
      <c r="A201" s="85">
        <f>IFERROR(__xludf.DUMMYFUNCTION("""COMPUTED_VALUE"""),45246.64393061343)</f>
        <v>45246.64393</v>
      </c>
      <c r="B201" s="4"/>
      <c r="C201" s="4"/>
      <c r="D201" s="4"/>
      <c r="E201" s="4"/>
      <c r="F201" s="4"/>
      <c r="G201" s="85">
        <f>IFERROR(__xludf.DUMMYFUNCTION("""COMPUTED_VALUE"""),45247.64375)</f>
        <v>45247.64375</v>
      </c>
      <c r="H201" s="85" t="str">
        <f>IFERROR(__xludf.DUMMYFUNCTION("""COMPUTED_VALUE"""),"Enquire &amp; Coordinate with client")</f>
        <v>Enquire &amp; Coordinate with client</v>
      </c>
      <c r="I201" s="4" t="str">
        <f>IFERROR(__xludf.DUMMYFUNCTION("""COMPUTED_VALUE"""),"sales person - first shivani")</f>
        <v>sales person - first shivani</v>
      </c>
    </row>
    <row r="202">
      <c r="A202" s="85">
        <f>IFERROR(__xludf.DUMMYFUNCTION("""COMPUTED_VALUE"""),45246.706224375004)</f>
        <v>45246.70622</v>
      </c>
      <c r="B202" s="4"/>
      <c r="C202" s="4"/>
      <c r="D202" s="4"/>
      <c r="E202" s="4"/>
      <c r="F202" s="4"/>
      <c r="G202" s="85">
        <f>IFERROR(__xludf.DUMMYFUNCTION("""COMPUTED_VALUE"""),45247.705555555556)</f>
        <v>45247.70556</v>
      </c>
      <c r="H202" s="85" t="str">
        <f>IFERROR(__xludf.DUMMYFUNCTION("""COMPUTED_VALUE"""),"Enquire &amp; Coordinate with client")</f>
        <v>Enquire &amp; Coordinate with client</v>
      </c>
      <c r="I202" s="4" t="str">
        <f>IFERROR(__xludf.DUMMYFUNCTION("""COMPUTED_VALUE"""),"sales person - first shivani")</f>
        <v>sales person - first shivani</v>
      </c>
    </row>
    <row r="203">
      <c r="A203" s="85">
        <f>IFERROR(__xludf.DUMMYFUNCTION("""COMPUTED_VALUE"""),45246.713569120366)</f>
        <v>45246.71357</v>
      </c>
      <c r="B203" s="4"/>
      <c r="C203" s="4"/>
      <c r="D203" s="4"/>
      <c r="E203" s="4"/>
      <c r="F203" s="4"/>
      <c r="G203" s="85">
        <f>IFERROR(__xludf.DUMMYFUNCTION("""COMPUTED_VALUE"""),45247.71319444444)</f>
        <v>45247.71319</v>
      </c>
      <c r="H203" s="85" t="str">
        <f>IFERROR(__xludf.DUMMYFUNCTION("""COMPUTED_VALUE"""),"Enquire &amp; Coordinate with client")</f>
        <v>Enquire &amp; Coordinate with client</v>
      </c>
      <c r="I203" s="4" t="str">
        <f>IFERROR(__xludf.DUMMYFUNCTION("""COMPUTED_VALUE"""),"sales person - first shivani")</f>
        <v>sales person - first shivani</v>
      </c>
    </row>
    <row r="204">
      <c r="A204" s="85">
        <f>IFERROR(__xludf.DUMMYFUNCTION("""COMPUTED_VALUE"""),45246.71487541667)</f>
        <v>45246.71488</v>
      </c>
      <c r="B204" s="4"/>
      <c r="C204" s="4"/>
      <c r="D204" s="4"/>
      <c r="E204" s="4"/>
      <c r="F204" s="4"/>
      <c r="G204" s="85">
        <f>IFERROR(__xludf.DUMMYFUNCTION("""COMPUTED_VALUE"""),45247.714583333334)</f>
        <v>45247.71458</v>
      </c>
      <c r="H204" s="85" t="str">
        <f>IFERROR(__xludf.DUMMYFUNCTION("""COMPUTED_VALUE"""),"Enquire &amp; Coordinate with client")</f>
        <v>Enquire &amp; Coordinate with client</v>
      </c>
      <c r="I204" s="4" t="str">
        <f>IFERROR(__xludf.DUMMYFUNCTION("""COMPUTED_VALUE"""),"sales person - first shivani")</f>
        <v>sales person - first shivani</v>
      </c>
    </row>
    <row r="205">
      <c r="A205" s="85">
        <f>IFERROR(__xludf.DUMMYFUNCTION("""COMPUTED_VALUE"""),45253.5247049537)</f>
        <v>45253.5247</v>
      </c>
      <c r="B205" s="4"/>
      <c r="C205" s="4"/>
      <c r="D205" s="4"/>
      <c r="E205" s="4"/>
      <c r="F205" s="4"/>
      <c r="G205" s="85">
        <f>IFERROR(__xludf.DUMMYFUNCTION("""COMPUTED_VALUE"""),45254.524305555555)</f>
        <v>45254.52431</v>
      </c>
      <c r="H205" s="85" t="str">
        <f>IFERROR(__xludf.DUMMYFUNCTION("""COMPUTED_VALUE"""),"Enquire &amp; Coordinate with client")</f>
        <v>Enquire &amp; Coordinate with client</v>
      </c>
      <c r="I205" s="4" t="str">
        <f>IFERROR(__xludf.DUMMYFUNCTION("""COMPUTED_VALUE"""),"sales person - first shivani")</f>
        <v>sales person - first shivani</v>
      </c>
    </row>
    <row r="206">
      <c r="A206" s="85">
        <f>IFERROR(__xludf.DUMMYFUNCTION("""COMPUTED_VALUE"""),45253.526548553236)</f>
        <v>45253.52655</v>
      </c>
      <c r="B206" s="4"/>
      <c r="C206" s="4"/>
      <c r="D206" s="4"/>
      <c r="E206" s="4"/>
      <c r="F206" s="4"/>
      <c r="G206" s="85">
        <f>IFERROR(__xludf.DUMMYFUNCTION("""COMPUTED_VALUE"""),45254.52638888889)</f>
        <v>45254.52639</v>
      </c>
      <c r="H206" s="85" t="str">
        <f>IFERROR(__xludf.DUMMYFUNCTION("""COMPUTED_VALUE"""),"Enquire &amp; Coordinate with client")</f>
        <v>Enquire &amp; Coordinate with client</v>
      </c>
      <c r="I206" s="4" t="str">
        <f>IFERROR(__xludf.DUMMYFUNCTION("""COMPUTED_VALUE"""),"sales person - first shivani")</f>
        <v>sales person - first shivani</v>
      </c>
    </row>
    <row r="207">
      <c r="A207" s="85">
        <f>IFERROR(__xludf.DUMMYFUNCTION("""COMPUTED_VALUE"""),45253.580052743055)</f>
        <v>45253.58005</v>
      </c>
      <c r="B207" s="4"/>
      <c r="C207" s="4"/>
      <c r="D207" s="4"/>
      <c r="E207" s="4"/>
      <c r="F207" s="4"/>
      <c r="G207" s="85">
        <f>IFERROR(__xludf.DUMMYFUNCTION("""COMPUTED_VALUE"""),45254.57986111111)</f>
        <v>45254.57986</v>
      </c>
      <c r="H207" s="85" t="str">
        <f>IFERROR(__xludf.DUMMYFUNCTION("""COMPUTED_VALUE"""),"Enquire &amp; Coordinate with client")</f>
        <v>Enquire &amp; Coordinate with client</v>
      </c>
      <c r="I207" s="4" t="str">
        <f>IFERROR(__xludf.DUMMYFUNCTION("""COMPUTED_VALUE"""),"sales person - first shivani")</f>
        <v>sales person - first shivani</v>
      </c>
    </row>
    <row r="208">
      <c r="A208" s="85">
        <f>IFERROR(__xludf.DUMMYFUNCTION("""COMPUTED_VALUE"""),45253.58287958334)</f>
        <v>45253.58288</v>
      </c>
      <c r="B208" s="4"/>
      <c r="C208" s="4"/>
      <c r="D208" s="4"/>
      <c r="E208" s="4"/>
      <c r="F208" s="4"/>
      <c r="G208" s="85">
        <f>IFERROR(__xludf.DUMMYFUNCTION("""COMPUTED_VALUE"""),45254.58263888889)</f>
        <v>45254.58264</v>
      </c>
      <c r="H208" s="85" t="str">
        <f>IFERROR(__xludf.DUMMYFUNCTION("""COMPUTED_VALUE"""),"Enquire &amp; Coordinate with client")</f>
        <v>Enquire &amp; Coordinate with client</v>
      </c>
      <c r="I208" s="4" t="str">
        <f>IFERROR(__xludf.DUMMYFUNCTION("""COMPUTED_VALUE"""),"sales person - first shivani")</f>
        <v>sales person - first shivani</v>
      </c>
    </row>
    <row r="209">
      <c r="A209" s="85">
        <f>IFERROR(__xludf.DUMMYFUNCTION("""COMPUTED_VALUE"""),45304.56911256944)</f>
        <v>45304.56911</v>
      </c>
      <c r="B209" s="4"/>
      <c r="C209" s="4"/>
      <c r="D209" s="4"/>
      <c r="E209" s="4"/>
      <c r="F209" s="4"/>
      <c r="G209" s="85">
        <f>IFERROR(__xludf.DUMMYFUNCTION("""COMPUTED_VALUE"""),45305.56875)</f>
        <v>45305.56875</v>
      </c>
      <c r="H209" s="85" t="str">
        <f>IFERROR(__xludf.DUMMYFUNCTION("""COMPUTED_VALUE"""),"Enquire &amp; Coordinate with client")</f>
        <v>Enquire &amp; Coordinate with client</v>
      </c>
      <c r="I209" s="4" t="str">
        <f>IFERROR(__xludf.DUMMYFUNCTION("""COMPUTED_VALUE"""),"sales person - first shivani")</f>
        <v>sales person - first shivani</v>
      </c>
    </row>
    <row r="210">
      <c r="A210" s="85">
        <f>IFERROR(__xludf.DUMMYFUNCTION("""COMPUTED_VALUE"""),45304.610027442126)</f>
        <v>45304.61003</v>
      </c>
      <c r="B210" s="4"/>
      <c r="C210" s="4"/>
      <c r="D210" s="4"/>
      <c r="E210" s="4"/>
      <c r="F210" s="4"/>
      <c r="G210" s="85">
        <f>IFERROR(__xludf.DUMMYFUNCTION("""COMPUTED_VALUE"""),45305.60972222222)</f>
        <v>45305.60972</v>
      </c>
      <c r="H210" s="85" t="str">
        <f>IFERROR(__xludf.DUMMYFUNCTION("""COMPUTED_VALUE"""),"Enquire &amp; Coordinate with client")</f>
        <v>Enquire &amp; Coordinate with client</v>
      </c>
      <c r="I210" s="4" t="str">
        <f>IFERROR(__xludf.DUMMYFUNCTION("""COMPUTED_VALUE"""),"sales person - first shivani")</f>
        <v>sales person - first shivani</v>
      </c>
    </row>
    <row r="211">
      <c r="A211" s="85">
        <f>IFERROR(__xludf.DUMMYFUNCTION("""COMPUTED_VALUE"""),45304.65831341435)</f>
        <v>45304.65831</v>
      </c>
      <c r="B211" s="4"/>
      <c r="C211" s="4"/>
      <c r="D211" s="4"/>
      <c r="E211" s="4"/>
      <c r="F211" s="4"/>
      <c r="G211" s="85">
        <f>IFERROR(__xludf.DUMMYFUNCTION("""COMPUTED_VALUE"""),45305.65763888889)</f>
        <v>45305.65764</v>
      </c>
      <c r="H211" s="85" t="str">
        <f>IFERROR(__xludf.DUMMYFUNCTION("""COMPUTED_VALUE"""),"Enquire &amp; Coordinate with client")</f>
        <v>Enquire &amp; Coordinate with client</v>
      </c>
      <c r="I211" s="4" t="str">
        <f>IFERROR(__xludf.DUMMYFUNCTION("""COMPUTED_VALUE"""),"sales person - first shivani")</f>
        <v>sales person - first shivani</v>
      </c>
    </row>
    <row r="212">
      <c r="A212" s="85">
        <f>IFERROR(__xludf.DUMMYFUNCTION("""COMPUTED_VALUE"""),45307.56068328704)</f>
        <v>45307.56068</v>
      </c>
      <c r="B212" s="4"/>
      <c r="C212" s="4"/>
      <c r="D212" s="4"/>
      <c r="E212" s="4"/>
      <c r="F212" s="4"/>
      <c r="G212" s="85">
        <f>IFERROR(__xludf.DUMMYFUNCTION("""COMPUTED_VALUE"""),45308.56041666667)</f>
        <v>45308.56042</v>
      </c>
      <c r="H212" s="85" t="str">
        <f>IFERROR(__xludf.DUMMYFUNCTION("""COMPUTED_VALUE"""),"Enquire &amp; Coordinate with client")</f>
        <v>Enquire &amp; Coordinate with client</v>
      </c>
      <c r="I212" s="4" t="str">
        <f>IFERROR(__xludf.DUMMYFUNCTION("""COMPUTED_VALUE"""),"sales person - first shivani")</f>
        <v>sales person - first shivani</v>
      </c>
    </row>
    <row r="213">
      <c r="A213" s="85">
        <f>IFERROR(__xludf.DUMMYFUNCTION("""COMPUTED_VALUE"""),45307.56528631945)</f>
        <v>45307.56529</v>
      </c>
      <c r="B213" s="4"/>
      <c r="C213" s="4"/>
      <c r="D213" s="4"/>
      <c r="E213" s="4"/>
      <c r="F213" s="4"/>
      <c r="G213" s="85">
        <f>IFERROR(__xludf.DUMMYFUNCTION("""COMPUTED_VALUE"""),45308.56527777778)</f>
        <v>45308.56528</v>
      </c>
      <c r="H213" s="85" t="str">
        <f>IFERROR(__xludf.DUMMYFUNCTION("""COMPUTED_VALUE"""),"Enquire &amp; Coordinate with client")</f>
        <v>Enquire &amp; Coordinate with client</v>
      </c>
      <c r="I213" s="4" t="str">
        <f>IFERROR(__xludf.DUMMYFUNCTION("""COMPUTED_VALUE"""),"sales person - first shivani")</f>
        <v>sales person - first shivani</v>
      </c>
    </row>
    <row r="214">
      <c r="A214" s="85">
        <f>IFERROR(__xludf.DUMMYFUNCTION("""COMPUTED_VALUE"""),45307.58408555556)</f>
        <v>45307.58409</v>
      </c>
      <c r="B214" s="4"/>
      <c r="C214" s="4"/>
      <c r="D214" s="4"/>
      <c r="E214" s="4"/>
      <c r="F214" s="4"/>
      <c r="G214" s="85">
        <f>IFERROR(__xludf.DUMMYFUNCTION("""COMPUTED_VALUE"""),45308.584027777775)</f>
        <v>45308.58403</v>
      </c>
      <c r="H214" s="85" t="str">
        <f>IFERROR(__xludf.DUMMYFUNCTION("""COMPUTED_VALUE"""),"Enquire &amp; Coordinate with client")</f>
        <v>Enquire &amp; Coordinate with client</v>
      </c>
      <c r="I214" s="4" t="str">
        <f>IFERROR(__xludf.DUMMYFUNCTION("""COMPUTED_VALUE"""),"sales person - first shivani")</f>
        <v>sales person - first shivani</v>
      </c>
    </row>
    <row r="215">
      <c r="A215" s="85">
        <f>IFERROR(__xludf.DUMMYFUNCTION("""COMPUTED_VALUE"""),45307.65289740741)</f>
        <v>45307.6529</v>
      </c>
      <c r="B215" s="4"/>
      <c r="C215" s="4"/>
      <c r="D215" s="4"/>
      <c r="E215" s="4"/>
      <c r="F215" s="4"/>
      <c r="G215" s="85">
        <f>IFERROR(__xludf.DUMMYFUNCTION("""COMPUTED_VALUE"""),45308.65277777778)</f>
        <v>45308.65278</v>
      </c>
      <c r="H215" s="85" t="str">
        <f>IFERROR(__xludf.DUMMYFUNCTION("""COMPUTED_VALUE"""),"Enquire &amp; Coordinate with client")</f>
        <v>Enquire &amp; Coordinate with client</v>
      </c>
      <c r="I215" s="4" t="str">
        <f>IFERROR(__xludf.DUMMYFUNCTION("""COMPUTED_VALUE"""),"sales person - first shivani")</f>
        <v>sales person - first shivani</v>
      </c>
    </row>
    <row r="216">
      <c r="A216" s="85">
        <f>IFERROR(__xludf.DUMMYFUNCTION("""COMPUTED_VALUE"""),45307.65876201389)</f>
        <v>45307.65876</v>
      </c>
      <c r="B216" s="4"/>
      <c r="C216" s="4"/>
      <c r="D216" s="4"/>
      <c r="E216" s="4"/>
      <c r="F216" s="4"/>
      <c r="G216" s="85">
        <f>IFERROR(__xludf.DUMMYFUNCTION("""COMPUTED_VALUE"""),45308.65833333333)</f>
        <v>45308.65833</v>
      </c>
      <c r="H216" s="85" t="str">
        <f>IFERROR(__xludf.DUMMYFUNCTION("""COMPUTED_VALUE"""),"Enquire &amp; Coordinate with client")</f>
        <v>Enquire &amp; Coordinate with client</v>
      </c>
      <c r="I216" s="4" t="str">
        <f>IFERROR(__xludf.DUMMYFUNCTION("""COMPUTED_VALUE"""),"sales person - first shivani")</f>
        <v>sales person - first shivani</v>
      </c>
    </row>
    <row r="217">
      <c r="A217" s="85">
        <f>IFERROR(__xludf.DUMMYFUNCTION("""COMPUTED_VALUE"""),45307.66184528935)</f>
        <v>45307.66185</v>
      </c>
      <c r="B217" s="4"/>
      <c r="C217" s="4"/>
      <c r="D217" s="4"/>
      <c r="E217" s="4"/>
      <c r="F217" s="4"/>
      <c r="G217" s="85">
        <f>IFERROR(__xludf.DUMMYFUNCTION("""COMPUTED_VALUE"""),45308.66180555556)</f>
        <v>45308.66181</v>
      </c>
      <c r="H217" s="85" t="str">
        <f>IFERROR(__xludf.DUMMYFUNCTION("""COMPUTED_VALUE"""),"Enquire &amp; Coordinate with client")</f>
        <v>Enquire &amp; Coordinate with client</v>
      </c>
      <c r="I217" s="4" t="str">
        <f>IFERROR(__xludf.DUMMYFUNCTION("""COMPUTED_VALUE"""),"sales person - first shivani")</f>
        <v>sales person - first shivani</v>
      </c>
    </row>
    <row r="218">
      <c r="A218" s="85">
        <f>IFERROR(__xludf.DUMMYFUNCTION("""COMPUTED_VALUE"""),45307.66729729167)</f>
        <v>45307.6673</v>
      </c>
      <c r="B218" s="4"/>
      <c r="C218" s="4"/>
      <c r="D218" s="4"/>
      <c r="E218" s="4"/>
      <c r="F218" s="4"/>
      <c r="G218" s="85">
        <f>IFERROR(__xludf.DUMMYFUNCTION("""COMPUTED_VALUE"""),45308.66666666667)</f>
        <v>45308.66667</v>
      </c>
      <c r="H218" s="85" t="str">
        <f>IFERROR(__xludf.DUMMYFUNCTION("""COMPUTED_VALUE"""),"Enquire &amp; Coordinate with client")</f>
        <v>Enquire &amp; Coordinate with client</v>
      </c>
      <c r="I218" s="4" t="str">
        <f>IFERROR(__xludf.DUMMYFUNCTION("""COMPUTED_VALUE"""),"sales person - first shivani")</f>
        <v>sales person - first shivani</v>
      </c>
    </row>
    <row r="219">
      <c r="A219" s="85">
        <f>IFERROR(__xludf.DUMMYFUNCTION("""COMPUTED_VALUE"""),45307.67348206018)</f>
        <v>45307.67348</v>
      </c>
      <c r="B219" s="4"/>
      <c r="C219" s="4"/>
      <c r="D219" s="4"/>
      <c r="E219" s="4"/>
      <c r="F219" s="4"/>
      <c r="G219" s="85">
        <f>IFERROR(__xludf.DUMMYFUNCTION("""COMPUTED_VALUE"""),45308.67291666666)</f>
        <v>45308.67292</v>
      </c>
      <c r="H219" s="85" t="str">
        <f>IFERROR(__xludf.DUMMYFUNCTION("""COMPUTED_VALUE"""),"Enquire &amp; Coordinate with client")</f>
        <v>Enquire &amp; Coordinate with client</v>
      </c>
      <c r="I219" s="4" t="str">
        <f>IFERROR(__xludf.DUMMYFUNCTION("""COMPUTED_VALUE"""),"sales person - first shivani")</f>
        <v>sales person - first shivani</v>
      </c>
    </row>
    <row r="220">
      <c r="A220" s="85">
        <f>IFERROR(__xludf.DUMMYFUNCTION("""COMPUTED_VALUE"""),45307.67596811343)</f>
        <v>45307.67597</v>
      </c>
      <c r="B220" s="4"/>
      <c r="C220" s="4"/>
      <c r="D220" s="4"/>
      <c r="E220" s="4"/>
      <c r="F220" s="4"/>
      <c r="G220" s="85">
        <f>IFERROR(__xludf.DUMMYFUNCTION("""COMPUTED_VALUE"""),45308.67569444445)</f>
        <v>45308.67569</v>
      </c>
      <c r="H220" s="85" t="str">
        <f>IFERROR(__xludf.DUMMYFUNCTION("""COMPUTED_VALUE"""),"Enquire &amp; Coordinate with client")</f>
        <v>Enquire &amp; Coordinate with client</v>
      </c>
      <c r="I220" s="4" t="str">
        <f>IFERROR(__xludf.DUMMYFUNCTION("""COMPUTED_VALUE"""),"sales person - first shivani")</f>
        <v>sales person - first shivani</v>
      </c>
    </row>
    <row r="221">
      <c r="A221" s="85">
        <f>IFERROR(__xludf.DUMMYFUNCTION("""COMPUTED_VALUE"""),45307.67864856482)</f>
        <v>45307.67865</v>
      </c>
      <c r="B221" s="4"/>
      <c r="C221" s="4"/>
      <c r="D221" s="4"/>
      <c r="E221" s="4"/>
      <c r="F221" s="4"/>
      <c r="G221" s="85">
        <f>IFERROR(__xludf.DUMMYFUNCTION("""COMPUTED_VALUE"""),45308.67847222222)</f>
        <v>45308.67847</v>
      </c>
      <c r="H221" s="85" t="str">
        <f>IFERROR(__xludf.DUMMYFUNCTION("""COMPUTED_VALUE"""),"Enquire &amp; Coordinate with client")</f>
        <v>Enquire &amp; Coordinate with client</v>
      </c>
      <c r="I221" s="4" t="str">
        <f>IFERROR(__xludf.DUMMYFUNCTION("""COMPUTED_VALUE"""),"sales person - first shivani")</f>
        <v>sales person - first shivani</v>
      </c>
    </row>
    <row r="222">
      <c r="A222" s="85">
        <f>IFERROR(__xludf.DUMMYFUNCTION("""COMPUTED_VALUE"""),45307.68543820602)</f>
        <v>45307.68544</v>
      </c>
      <c r="B222" s="4"/>
      <c r="C222" s="4"/>
      <c r="D222" s="4"/>
      <c r="E222" s="4"/>
      <c r="F222" s="4"/>
      <c r="G222" s="85">
        <f>IFERROR(__xludf.DUMMYFUNCTION("""COMPUTED_VALUE"""),45308.68541666667)</f>
        <v>45308.68542</v>
      </c>
      <c r="H222" s="85" t="str">
        <f>IFERROR(__xludf.DUMMYFUNCTION("""COMPUTED_VALUE"""),"Enquire &amp; Coordinate with client")</f>
        <v>Enquire &amp; Coordinate with client</v>
      </c>
      <c r="I222" s="4" t="str">
        <f>IFERROR(__xludf.DUMMYFUNCTION("""COMPUTED_VALUE"""),"sales person - first shivani")</f>
        <v>sales person - first shivani</v>
      </c>
    </row>
    <row r="223">
      <c r="A223" s="85">
        <f>IFERROR(__xludf.DUMMYFUNCTION("""COMPUTED_VALUE"""),45307.74230608796)</f>
        <v>45307.74231</v>
      </c>
      <c r="B223" s="4"/>
      <c r="C223" s="4"/>
      <c r="D223" s="4"/>
      <c r="E223" s="4"/>
      <c r="F223" s="4"/>
      <c r="G223" s="85">
        <f>IFERROR(__xludf.DUMMYFUNCTION("""COMPUTED_VALUE"""),45308.74166666667)</f>
        <v>45308.74167</v>
      </c>
      <c r="H223" s="85" t="str">
        <f>IFERROR(__xludf.DUMMYFUNCTION("""COMPUTED_VALUE"""),"Enquire &amp; Coordinate with client")</f>
        <v>Enquire &amp; Coordinate with client</v>
      </c>
      <c r="I223" s="4" t="str">
        <f>IFERROR(__xludf.DUMMYFUNCTION("""COMPUTED_VALUE"""),"sales person - first shivani")</f>
        <v>sales person - first shivani</v>
      </c>
    </row>
    <row r="224">
      <c r="A224" s="85">
        <f>IFERROR(__xludf.DUMMYFUNCTION("""COMPUTED_VALUE"""),45308.686365231486)</f>
        <v>45308.68637</v>
      </c>
      <c r="B224" s="4"/>
      <c r="C224" s="4"/>
      <c r="D224" s="4"/>
      <c r="E224" s="4"/>
      <c r="F224" s="4"/>
      <c r="G224" s="85">
        <f>IFERROR(__xludf.DUMMYFUNCTION("""COMPUTED_VALUE"""),45309.68611111111)</f>
        <v>45309.68611</v>
      </c>
      <c r="H224" s="85" t="str">
        <f>IFERROR(__xludf.DUMMYFUNCTION("""COMPUTED_VALUE"""),"Enquire &amp; Coordinate with client")</f>
        <v>Enquire &amp; Coordinate with client</v>
      </c>
      <c r="I224" s="4" t="str">
        <f>IFERROR(__xludf.DUMMYFUNCTION("""COMPUTED_VALUE"""),"sales person - first shivani")</f>
        <v>sales person - first shivani</v>
      </c>
    </row>
    <row r="225">
      <c r="A225" s="85">
        <f>IFERROR(__xludf.DUMMYFUNCTION("""COMPUTED_VALUE"""),45308.689778472224)</f>
        <v>45308.68978</v>
      </c>
      <c r="B225" s="4"/>
      <c r="C225" s="4"/>
      <c r="D225" s="4"/>
      <c r="E225" s="4"/>
      <c r="F225" s="4"/>
      <c r="G225" s="85">
        <f>IFERROR(__xludf.DUMMYFUNCTION("""COMPUTED_VALUE"""),45309.68958333333)</f>
        <v>45309.68958</v>
      </c>
      <c r="H225" s="85" t="str">
        <f>IFERROR(__xludf.DUMMYFUNCTION("""COMPUTED_VALUE"""),"Enquire &amp; Coordinate with client")</f>
        <v>Enquire &amp; Coordinate with client</v>
      </c>
      <c r="I225" s="4" t="str">
        <f>IFERROR(__xludf.DUMMYFUNCTION("""COMPUTED_VALUE"""),"sales person - first shivani")</f>
        <v>sales person - first shivani</v>
      </c>
    </row>
    <row r="226">
      <c r="A226" s="85">
        <f>IFERROR(__xludf.DUMMYFUNCTION("""COMPUTED_VALUE"""),45308.698721388886)</f>
        <v>45308.69872</v>
      </c>
      <c r="B226" s="4"/>
      <c r="C226" s="4"/>
      <c r="D226" s="4"/>
      <c r="E226" s="4"/>
      <c r="F226" s="4"/>
      <c r="G226" s="85">
        <f>IFERROR(__xludf.DUMMYFUNCTION("""COMPUTED_VALUE"""),45309.69861111111)</f>
        <v>45309.69861</v>
      </c>
      <c r="H226" s="85" t="str">
        <f>IFERROR(__xludf.DUMMYFUNCTION("""COMPUTED_VALUE"""),"Enquire &amp; Coordinate with client")</f>
        <v>Enquire &amp; Coordinate with client</v>
      </c>
      <c r="I226" s="4" t="str">
        <f>IFERROR(__xludf.DUMMYFUNCTION("""COMPUTED_VALUE"""),"sales person - first shivani")</f>
        <v>sales person - first shivani</v>
      </c>
    </row>
    <row r="227">
      <c r="A227" s="85">
        <f>IFERROR(__xludf.DUMMYFUNCTION("""COMPUTED_VALUE"""),45309.618032245366)</f>
        <v>45309.61803</v>
      </c>
      <c r="B227" s="4"/>
      <c r="C227" s="4"/>
      <c r="D227" s="4"/>
      <c r="E227" s="4"/>
      <c r="F227" s="4"/>
      <c r="G227" s="85">
        <f>IFERROR(__xludf.DUMMYFUNCTION("""COMPUTED_VALUE"""),45310.617361111115)</f>
        <v>45310.61736</v>
      </c>
      <c r="H227" s="85" t="str">
        <f>IFERROR(__xludf.DUMMYFUNCTION("""COMPUTED_VALUE"""),"Enquire &amp; Coordinate with client")</f>
        <v>Enquire &amp; Coordinate with client</v>
      </c>
      <c r="I227" s="4" t="str">
        <f>IFERROR(__xludf.DUMMYFUNCTION("""COMPUTED_VALUE"""),"sales person - first shivani")</f>
        <v>sales person - first shivani</v>
      </c>
    </row>
    <row r="228">
      <c r="A228" s="85">
        <f>IFERROR(__xludf.DUMMYFUNCTION("""COMPUTED_VALUE"""),45309.62376387732)</f>
        <v>45309.62376</v>
      </c>
      <c r="B228" s="4"/>
      <c r="C228" s="4"/>
      <c r="D228" s="4"/>
      <c r="E228" s="4"/>
      <c r="F228" s="4"/>
      <c r="G228" s="85">
        <f>IFERROR(__xludf.DUMMYFUNCTION("""COMPUTED_VALUE"""),45310.62361111111)</f>
        <v>45310.62361</v>
      </c>
      <c r="H228" s="85" t="str">
        <f>IFERROR(__xludf.DUMMYFUNCTION("""COMPUTED_VALUE"""),"Enquire &amp; Coordinate with client")</f>
        <v>Enquire &amp; Coordinate with client</v>
      </c>
      <c r="I228" s="4" t="str">
        <f>IFERROR(__xludf.DUMMYFUNCTION("""COMPUTED_VALUE"""),"sales person - first shivani")</f>
        <v>sales person - first shivani</v>
      </c>
    </row>
    <row r="229">
      <c r="A229" s="85">
        <f>IFERROR(__xludf.DUMMYFUNCTION("""COMPUTED_VALUE"""),45309.62799244213)</f>
        <v>45309.62799</v>
      </c>
      <c r="B229" s="4"/>
      <c r="C229" s="4"/>
      <c r="D229" s="4"/>
      <c r="E229" s="4"/>
      <c r="F229" s="4"/>
      <c r="G229" s="85">
        <f>IFERROR(__xludf.DUMMYFUNCTION("""COMPUTED_VALUE"""),45310.62777777778)</f>
        <v>45310.62778</v>
      </c>
      <c r="H229" s="85" t="str">
        <f>IFERROR(__xludf.DUMMYFUNCTION("""COMPUTED_VALUE"""),"Enquire &amp; Coordinate with client")</f>
        <v>Enquire &amp; Coordinate with client</v>
      </c>
      <c r="I229" s="4" t="str">
        <f>IFERROR(__xludf.DUMMYFUNCTION("""COMPUTED_VALUE"""),"sales person - first shivani")</f>
        <v>sales person - first shivani</v>
      </c>
    </row>
    <row r="230">
      <c r="A230" s="85">
        <f>IFERROR(__xludf.DUMMYFUNCTION("""COMPUTED_VALUE"""),45319.69412143519)</f>
        <v>45319.69412</v>
      </c>
      <c r="B230" s="4"/>
      <c r="C230" s="4"/>
      <c r="D230" s="4"/>
      <c r="E230" s="4"/>
      <c r="F230" s="4"/>
      <c r="G230" s="85">
        <f>IFERROR(__xludf.DUMMYFUNCTION("""COMPUTED_VALUE"""),45321.69375)</f>
        <v>45321.69375</v>
      </c>
      <c r="H230" s="85" t="str">
        <f>IFERROR(__xludf.DUMMYFUNCTION("""COMPUTED_VALUE"""),"Enquire &amp; Coordinate with client")</f>
        <v>Enquire &amp; Coordinate with client</v>
      </c>
      <c r="I230" s="4" t="str">
        <f>IFERROR(__xludf.DUMMYFUNCTION("""COMPUTED_VALUE"""),"sales person - first shivani")</f>
        <v>sales person - first shivani</v>
      </c>
    </row>
    <row r="231">
      <c r="A231" s="85">
        <f>IFERROR(__xludf.DUMMYFUNCTION("""COMPUTED_VALUE"""),45323.54066981481)</f>
        <v>45323.54067</v>
      </c>
      <c r="B231" s="4"/>
      <c r="C231" s="4"/>
      <c r="D231" s="4"/>
      <c r="E231" s="4"/>
      <c r="F231" s="4"/>
      <c r="G231" s="85">
        <f>IFERROR(__xludf.DUMMYFUNCTION("""COMPUTED_VALUE"""),45324.54027777778)</f>
        <v>45324.54028</v>
      </c>
      <c r="H231" s="85" t="str">
        <f>IFERROR(__xludf.DUMMYFUNCTION("""COMPUTED_VALUE"""),"Enquire &amp; Coordinate with client")</f>
        <v>Enquire &amp; Coordinate with client</v>
      </c>
      <c r="I231" s="4" t="str">
        <f>IFERROR(__xludf.DUMMYFUNCTION("""COMPUTED_VALUE"""),"sales person - first shivani")</f>
        <v>sales person - first shivani</v>
      </c>
    </row>
    <row r="232">
      <c r="A232" s="85">
        <f>IFERROR(__xludf.DUMMYFUNCTION("""COMPUTED_VALUE"""),45323.54196569444)</f>
        <v>45323.54197</v>
      </c>
      <c r="B232" s="4"/>
      <c r="C232" s="4"/>
      <c r="D232" s="4"/>
      <c r="E232" s="4"/>
      <c r="F232" s="4"/>
      <c r="G232" s="85">
        <f>IFERROR(__xludf.DUMMYFUNCTION("""COMPUTED_VALUE"""),45324.54166666667)</f>
        <v>45324.54167</v>
      </c>
      <c r="H232" s="85" t="str">
        <f>IFERROR(__xludf.DUMMYFUNCTION("""COMPUTED_VALUE"""),"Enquire &amp; Coordinate with client")</f>
        <v>Enquire &amp; Coordinate with client</v>
      </c>
      <c r="I232" s="4" t="str">
        <f>IFERROR(__xludf.DUMMYFUNCTION("""COMPUTED_VALUE"""),"sales person - first shivani")</f>
        <v>sales person - first shivani</v>
      </c>
    </row>
    <row r="233">
      <c r="A233" s="85">
        <f>IFERROR(__xludf.DUMMYFUNCTION("""COMPUTED_VALUE"""),45323.54333664352)</f>
        <v>45323.54334</v>
      </c>
      <c r="B233" s="4"/>
      <c r="C233" s="4"/>
      <c r="D233" s="4"/>
      <c r="E233" s="4"/>
      <c r="F233" s="4"/>
      <c r="G233" s="85">
        <f>IFERROR(__xludf.DUMMYFUNCTION("""COMPUTED_VALUE"""),45324.54305555555)</f>
        <v>45324.54306</v>
      </c>
      <c r="H233" s="85" t="str">
        <f>IFERROR(__xludf.DUMMYFUNCTION("""COMPUTED_VALUE"""),"Enquire &amp; Coordinate with client")</f>
        <v>Enquire &amp; Coordinate with client</v>
      </c>
      <c r="I233" s="4" t="str">
        <f>IFERROR(__xludf.DUMMYFUNCTION("""COMPUTED_VALUE"""),"sales person - first shivani")</f>
        <v>sales person - first shivani</v>
      </c>
    </row>
    <row r="234">
      <c r="A234" s="85">
        <f>IFERROR(__xludf.DUMMYFUNCTION("""COMPUTED_VALUE"""),45323.54444766204)</f>
        <v>45323.54445</v>
      </c>
      <c r="B234" s="4"/>
      <c r="C234" s="4"/>
      <c r="D234" s="4"/>
      <c r="E234" s="4"/>
      <c r="F234" s="4"/>
      <c r="G234" s="85">
        <f>IFERROR(__xludf.DUMMYFUNCTION("""COMPUTED_VALUE"""),45324.544444444444)</f>
        <v>45324.54444</v>
      </c>
      <c r="H234" s="85" t="str">
        <f>IFERROR(__xludf.DUMMYFUNCTION("""COMPUTED_VALUE"""),"Enquire &amp; Coordinate with client")</f>
        <v>Enquire &amp; Coordinate with client</v>
      </c>
      <c r="I234" s="4" t="str">
        <f>IFERROR(__xludf.DUMMYFUNCTION("""COMPUTED_VALUE"""),"sales person - first shivani")</f>
        <v>sales person - first shivani</v>
      </c>
    </row>
    <row r="235">
      <c r="A235" s="85">
        <f>IFERROR(__xludf.DUMMYFUNCTION("""COMPUTED_VALUE"""),45323.54543532408)</f>
        <v>45323.54544</v>
      </c>
      <c r="B235" s="4"/>
      <c r="C235" s="4"/>
      <c r="D235" s="4"/>
      <c r="E235" s="4"/>
      <c r="F235" s="4"/>
      <c r="G235" s="85">
        <f>IFERROR(__xludf.DUMMYFUNCTION("""COMPUTED_VALUE"""),45324.54513888889)</f>
        <v>45324.54514</v>
      </c>
      <c r="H235" s="85" t="str">
        <f>IFERROR(__xludf.DUMMYFUNCTION("""COMPUTED_VALUE"""),"Enquire &amp; Coordinate with client")</f>
        <v>Enquire &amp; Coordinate with client</v>
      </c>
      <c r="I235" s="4" t="str">
        <f>IFERROR(__xludf.DUMMYFUNCTION("""COMPUTED_VALUE"""),"sales person - first shivani")</f>
        <v>sales person - first shivani</v>
      </c>
    </row>
    <row r="236">
      <c r="A236" s="85">
        <f>IFERROR(__xludf.DUMMYFUNCTION("""COMPUTED_VALUE"""),45323.54964293981)</f>
        <v>45323.54964</v>
      </c>
      <c r="B236" s="4"/>
      <c r="C236" s="4"/>
      <c r="D236" s="4"/>
      <c r="E236" s="4"/>
      <c r="F236" s="4"/>
      <c r="G236" s="85">
        <f>IFERROR(__xludf.DUMMYFUNCTION("""COMPUTED_VALUE"""),45324.549305555556)</f>
        <v>45324.54931</v>
      </c>
      <c r="H236" s="85" t="str">
        <f>IFERROR(__xludf.DUMMYFUNCTION("""COMPUTED_VALUE"""),"Enquire &amp; Coordinate with client")</f>
        <v>Enquire &amp; Coordinate with client</v>
      </c>
      <c r="I236" s="4" t="str">
        <f>IFERROR(__xludf.DUMMYFUNCTION("""COMPUTED_VALUE"""),"sales person - first shivani")</f>
        <v>sales person - first shivani</v>
      </c>
    </row>
    <row r="237">
      <c r="A237" s="85">
        <f>IFERROR(__xludf.DUMMYFUNCTION("""COMPUTED_VALUE"""),45323.55085303241)</f>
        <v>45323.55085</v>
      </c>
      <c r="B237" s="4"/>
      <c r="C237" s="4"/>
      <c r="D237" s="4"/>
      <c r="E237" s="4"/>
      <c r="F237" s="4"/>
      <c r="G237" s="85">
        <f>IFERROR(__xludf.DUMMYFUNCTION("""COMPUTED_VALUE"""),45324.55069444445)</f>
        <v>45324.55069</v>
      </c>
      <c r="H237" s="85" t="str">
        <f>IFERROR(__xludf.DUMMYFUNCTION("""COMPUTED_VALUE"""),"Enquire &amp; Coordinate with client")</f>
        <v>Enquire &amp; Coordinate with client</v>
      </c>
      <c r="I237" s="4" t="str">
        <f>IFERROR(__xludf.DUMMYFUNCTION("""COMPUTED_VALUE"""),"sales person - first shivani")</f>
        <v>sales person - first shivani</v>
      </c>
    </row>
    <row r="238">
      <c r="A238" s="85">
        <f>IFERROR(__xludf.DUMMYFUNCTION("""COMPUTED_VALUE"""),45323.55320094907)</f>
        <v>45323.5532</v>
      </c>
      <c r="B238" s="4"/>
      <c r="C238" s="4"/>
      <c r="D238" s="4"/>
      <c r="E238" s="4"/>
      <c r="F238" s="4"/>
      <c r="G238" s="85">
        <f>IFERROR(__xludf.DUMMYFUNCTION("""COMPUTED_VALUE"""),45324.552777777775)</f>
        <v>45324.55278</v>
      </c>
      <c r="H238" s="85" t="str">
        <f>IFERROR(__xludf.DUMMYFUNCTION("""COMPUTED_VALUE"""),"Enquire &amp; Coordinate with client")</f>
        <v>Enquire &amp; Coordinate with client</v>
      </c>
      <c r="I238" s="4" t="str">
        <f>IFERROR(__xludf.DUMMYFUNCTION("""COMPUTED_VALUE"""),"sales person - first shivani")</f>
        <v>sales person - first shivani</v>
      </c>
    </row>
    <row r="239">
      <c r="A239" s="85">
        <f>IFERROR(__xludf.DUMMYFUNCTION("""COMPUTED_VALUE"""),45323.55414368055)</f>
        <v>45323.55414</v>
      </c>
      <c r="B239" s="4"/>
      <c r="C239" s="4"/>
      <c r="D239" s="4"/>
      <c r="E239" s="4"/>
      <c r="F239" s="4"/>
      <c r="G239" s="85">
        <f>IFERROR(__xludf.DUMMYFUNCTION("""COMPUTED_VALUE"""),45324.55347222222)</f>
        <v>45324.55347</v>
      </c>
      <c r="H239" s="85" t="str">
        <f>IFERROR(__xludf.DUMMYFUNCTION("""COMPUTED_VALUE"""),"Enquire &amp; Coordinate with client")</f>
        <v>Enquire &amp; Coordinate with client</v>
      </c>
      <c r="I239" s="4" t="str">
        <f>IFERROR(__xludf.DUMMYFUNCTION("""COMPUTED_VALUE"""),"sales person - first shivani")</f>
        <v>sales person - first shivani</v>
      </c>
    </row>
    <row r="240">
      <c r="A240" s="85">
        <f>IFERROR(__xludf.DUMMYFUNCTION("""COMPUTED_VALUE"""),45323.555900509265)</f>
        <v>45323.5559</v>
      </c>
      <c r="B240" s="4"/>
      <c r="C240" s="4"/>
      <c r="D240" s="4"/>
      <c r="E240" s="4"/>
      <c r="F240" s="4"/>
      <c r="G240" s="85">
        <f>IFERROR(__xludf.DUMMYFUNCTION("""COMPUTED_VALUE"""),45324.555555555555)</f>
        <v>45324.55556</v>
      </c>
      <c r="H240" s="85" t="str">
        <f>IFERROR(__xludf.DUMMYFUNCTION("""COMPUTED_VALUE"""),"Enquire &amp; Coordinate with client")</f>
        <v>Enquire &amp; Coordinate with client</v>
      </c>
      <c r="I240" s="4" t="str">
        <f>IFERROR(__xludf.DUMMYFUNCTION("""COMPUTED_VALUE"""),"sales person - first shivani")</f>
        <v>sales person - first shivani</v>
      </c>
    </row>
    <row r="241">
      <c r="A241" s="85">
        <f>IFERROR(__xludf.DUMMYFUNCTION("""COMPUTED_VALUE"""),45323.55690153935)</f>
        <v>45323.5569</v>
      </c>
      <c r="B241" s="4"/>
      <c r="C241" s="4"/>
      <c r="D241" s="4"/>
      <c r="E241" s="4"/>
      <c r="F241" s="4"/>
      <c r="G241" s="85">
        <f>IFERROR(__xludf.DUMMYFUNCTION("""COMPUTED_VALUE"""),45324.55625)</f>
        <v>45324.55625</v>
      </c>
      <c r="H241" s="85" t="str">
        <f>IFERROR(__xludf.DUMMYFUNCTION("""COMPUTED_VALUE"""),"Enquire &amp; Coordinate with client")</f>
        <v>Enquire &amp; Coordinate with client</v>
      </c>
      <c r="I241" s="4" t="str">
        <f>IFERROR(__xludf.DUMMYFUNCTION("""COMPUTED_VALUE"""),"sales person - first shivani")</f>
        <v>sales person - first shivani</v>
      </c>
    </row>
    <row r="242">
      <c r="A242" s="85">
        <f>IFERROR(__xludf.DUMMYFUNCTION("""COMPUTED_VALUE"""),45323.55781680556)</f>
        <v>45323.55782</v>
      </c>
      <c r="B242" s="4"/>
      <c r="C242" s="4"/>
      <c r="D242" s="4"/>
      <c r="E242" s="4"/>
      <c r="F242" s="4"/>
      <c r="G242" s="85">
        <f>IFERROR(__xludf.DUMMYFUNCTION("""COMPUTED_VALUE"""),45324.55763888889)</f>
        <v>45324.55764</v>
      </c>
      <c r="H242" s="85" t="str">
        <f>IFERROR(__xludf.DUMMYFUNCTION("""COMPUTED_VALUE"""),"Enquire &amp; Coordinate with client")</f>
        <v>Enquire &amp; Coordinate with client</v>
      </c>
      <c r="I242" s="4" t="str">
        <f>IFERROR(__xludf.DUMMYFUNCTION("""COMPUTED_VALUE"""),"sales person - first shivani")</f>
        <v>sales person - first shivani</v>
      </c>
    </row>
    <row r="243">
      <c r="A243" s="85">
        <f>IFERROR(__xludf.DUMMYFUNCTION("""COMPUTED_VALUE"""),45323.5597077662)</f>
        <v>45323.55971</v>
      </c>
      <c r="B243" s="4"/>
      <c r="C243" s="4"/>
      <c r="D243" s="4"/>
      <c r="E243" s="4"/>
      <c r="F243" s="4"/>
      <c r="G243" s="85">
        <f>IFERROR(__xludf.DUMMYFUNCTION("""COMPUTED_VALUE"""),45324.55902777778)</f>
        <v>45324.55903</v>
      </c>
      <c r="H243" s="85" t="str">
        <f>IFERROR(__xludf.DUMMYFUNCTION("""COMPUTED_VALUE"""),"Enquire &amp; Coordinate with client")</f>
        <v>Enquire &amp; Coordinate with client</v>
      </c>
      <c r="I243" s="4" t="str">
        <f>IFERROR(__xludf.DUMMYFUNCTION("""COMPUTED_VALUE"""),"sales person - first shivani")</f>
        <v>sales person - first shivani</v>
      </c>
    </row>
    <row r="244">
      <c r="A244" s="85">
        <f>IFERROR(__xludf.DUMMYFUNCTION("""COMPUTED_VALUE"""),45323.56072903936)</f>
        <v>45323.56073</v>
      </c>
      <c r="B244" s="4"/>
      <c r="C244" s="4"/>
      <c r="D244" s="4"/>
      <c r="E244" s="4"/>
      <c r="F244" s="4"/>
      <c r="G244" s="85">
        <f>IFERROR(__xludf.DUMMYFUNCTION("""COMPUTED_VALUE"""),45324.56041666667)</f>
        <v>45324.56042</v>
      </c>
      <c r="H244" s="85" t="str">
        <f>IFERROR(__xludf.DUMMYFUNCTION("""COMPUTED_VALUE"""),"Enquire &amp; Coordinate with client")</f>
        <v>Enquire &amp; Coordinate with client</v>
      </c>
      <c r="I244" s="4" t="str">
        <f>IFERROR(__xludf.DUMMYFUNCTION("""COMPUTED_VALUE"""),"sales person - first shivani")</f>
        <v>sales person - first shivani</v>
      </c>
    </row>
    <row r="245">
      <c r="A245" s="85">
        <f>IFERROR(__xludf.DUMMYFUNCTION("""COMPUTED_VALUE"""),45323.5616175926)</f>
        <v>45323.56162</v>
      </c>
      <c r="B245" s="4"/>
      <c r="C245" s="4"/>
      <c r="D245" s="4"/>
      <c r="E245" s="4"/>
      <c r="F245" s="4"/>
      <c r="G245" s="85">
        <f>IFERROR(__xludf.DUMMYFUNCTION("""COMPUTED_VALUE"""),45324.56111111111)</f>
        <v>45324.56111</v>
      </c>
      <c r="H245" s="85" t="str">
        <f>IFERROR(__xludf.DUMMYFUNCTION("""COMPUTED_VALUE"""),"Enquire &amp; Coordinate with client")</f>
        <v>Enquire &amp; Coordinate with client</v>
      </c>
      <c r="I245" s="4" t="str">
        <f>IFERROR(__xludf.DUMMYFUNCTION("""COMPUTED_VALUE"""),"sales person - first shivani")</f>
        <v>sales person - first shivani</v>
      </c>
    </row>
    <row r="246">
      <c r="A246" s="85">
        <f>IFERROR(__xludf.DUMMYFUNCTION("""COMPUTED_VALUE"""),45323.56286170139)</f>
        <v>45323.56286</v>
      </c>
      <c r="B246" s="4"/>
      <c r="C246" s="4"/>
      <c r="D246" s="4"/>
      <c r="E246" s="4"/>
      <c r="F246" s="4"/>
      <c r="G246" s="85">
        <f>IFERROR(__xludf.DUMMYFUNCTION("""COMPUTED_VALUE"""),45324.5625)</f>
        <v>45324.5625</v>
      </c>
      <c r="H246" s="85" t="str">
        <f>IFERROR(__xludf.DUMMYFUNCTION("""COMPUTED_VALUE"""),"Enquire &amp; Coordinate with client")</f>
        <v>Enquire &amp; Coordinate with client</v>
      </c>
      <c r="I246" s="4" t="str">
        <f>IFERROR(__xludf.DUMMYFUNCTION("""COMPUTED_VALUE"""),"sales person - first shivani")</f>
        <v>sales person - first shivani</v>
      </c>
    </row>
    <row r="247">
      <c r="A247" s="85">
        <f>IFERROR(__xludf.DUMMYFUNCTION("""COMPUTED_VALUE"""),45323.56347590278)</f>
        <v>45323.56348</v>
      </c>
      <c r="B247" s="4"/>
      <c r="C247" s="4"/>
      <c r="D247" s="4"/>
      <c r="E247" s="4"/>
      <c r="F247" s="4"/>
      <c r="G247" s="85">
        <f>IFERROR(__xludf.DUMMYFUNCTION("""COMPUTED_VALUE"""),45324.56319444445)</f>
        <v>45324.56319</v>
      </c>
      <c r="H247" s="85" t="str">
        <f>IFERROR(__xludf.DUMMYFUNCTION("""COMPUTED_VALUE"""),"Enquire &amp; Coordinate with client")</f>
        <v>Enquire &amp; Coordinate with client</v>
      </c>
      <c r="I247" s="4" t="str">
        <f>IFERROR(__xludf.DUMMYFUNCTION("""COMPUTED_VALUE"""),"sales person - first shivani")</f>
        <v>sales person - first shivani</v>
      </c>
    </row>
    <row r="248">
      <c r="A248" s="85">
        <f>IFERROR(__xludf.DUMMYFUNCTION("""COMPUTED_VALUE"""),45323.56423900463)</f>
        <v>45323.56424</v>
      </c>
      <c r="B248" s="4"/>
      <c r="C248" s="4"/>
      <c r="D248" s="4"/>
      <c r="E248" s="4"/>
      <c r="F248" s="4"/>
      <c r="G248" s="85">
        <f>IFERROR(__xludf.DUMMYFUNCTION("""COMPUTED_VALUE"""),45324.56388888889)</f>
        <v>45324.56389</v>
      </c>
      <c r="H248" s="85" t="str">
        <f>IFERROR(__xludf.DUMMYFUNCTION("""COMPUTED_VALUE"""),"Enquire &amp; Coordinate with client")</f>
        <v>Enquire &amp; Coordinate with client</v>
      </c>
      <c r="I248" s="4" t="str">
        <f>IFERROR(__xludf.DUMMYFUNCTION("""COMPUTED_VALUE"""),"sales person - first shivani")</f>
        <v>sales person - first shivani</v>
      </c>
    </row>
    <row r="249">
      <c r="A249" s="85">
        <f>IFERROR(__xludf.DUMMYFUNCTION("""COMPUTED_VALUE"""),45323.564982303236)</f>
        <v>45323.56498</v>
      </c>
      <c r="B249" s="4"/>
      <c r="C249" s="4"/>
      <c r="D249" s="4"/>
      <c r="E249" s="4"/>
      <c r="F249" s="4"/>
      <c r="G249" s="85">
        <f>IFERROR(__xludf.DUMMYFUNCTION("""COMPUTED_VALUE"""),45324.56458333333)</f>
        <v>45324.56458</v>
      </c>
      <c r="H249" s="85" t="str">
        <f>IFERROR(__xludf.DUMMYFUNCTION("""COMPUTED_VALUE"""),"Enquire &amp; Coordinate with client")</f>
        <v>Enquire &amp; Coordinate with client</v>
      </c>
      <c r="I249" s="4" t="str">
        <f>IFERROR(__xludf.DUMMYFUNCTION("""COMPUTED_VALUE"""),"sales person - first shivani")</f>
        <v>sales person - first shivani</v>
      </c>
    </row>
    <row r="250">
      <c r="A250" s="85">
        <f>IFERROR(__xludf.DUMMYFUNCTION("""COMPUTED_VALUE"""),45323.56569526621)</f>
        <v>45323.5657</v>
      </c>
      <c r="B250" s="4"/>
      <c r="C250" s="4"/>
      <c r="D250" s="4"/>
      <c r="E250" s="4"/>
      <c r="F250" s="4"/>
      <c r="G250" s="85">
        <f>IFERROR(__xludf.DUMMYFUNCTION("""COMPUTED_VALUE"""),45324.56527777778)</f>
        <v>45324.56528</v>
      </c>
      <c r="H250" s="85" t="str">
        <f>IFERROR(__xludf.DUMMYFUNCTION("""COMPUTED_VALUE"""),"Enquire &amp; Coordinate with client")</f>
        <v>Enquire &amp; Coordinate with client</v>
      </c>
      <c r="I250" s="4" t="str">
        <f>IFERROR(__xludf.DUMMYFUNCTION("""COMPUTED_VALUE"""),"sales person - first shivani")</f>
        <v>sales person - first shivani</v>
      </c>
    </row>
    <row r="251">
      <c r="A251" s="85">
        <f>IFERROR(__xludf.DUMMYFUNCTION("""COMPUTED_VALUE"""),45323.56654965277)</f>
        <v>45323.56655</v>
      </c>
      <c r="B251" s="4"/>
      <c r="C251" s="4"/>
      <c r="D251" s="4"/>
      <c r="E251" s="4"/>
      <c r="F251" s="4"/>
      <c r="G251" s="85">
        <f>IFERROR(__xludf.DUMMYFUNCTION("""COMPUTED_VALUE"""),45324.56597222222)</f>
        <v>45324.56597</v>
      </c>
      <c r="H251" s="85" t="str">
        <f>IFERROR(__xludf.DUMMYFUNCTION("""COMPUTED_VALUE"""),"Enquire &amp; Coordinate with client")</f>
        <v>Enquire &amp; Coordinate with client</v>
      </c>
      <c r="I251" s="4" t="str">
        <f>IFERROR(__xludf.DUMMYFUNCTION("""COMPUTED_VALUE"""),"sales person - first shivani")</f>
        <v>sales person - first shivani</v>
      </c>
    </row>
    <row r="252">
      <c r="A252" s="85">
        <f>IFERROR(__xludf.DUMMYFUNCTION("""COMPUTED_VALUE"""),45323.56727151621)</f>
        <v>45323.56727</v>
      </c>
      <c r="B252" s="4"/>
      <c r="C252" s="4"/>
      <c r="D252" s="4"/>
      <c r="E252" s="4"/>
      <c r="F252" s="4"/>
      <c r="G252" s="85">
        <f>IFERROR(__xludf.DUMMYFUNCTION("""COMPUTED_VALUE"""),45324.566666666666)</f>
        <v>45324.56667</v>
      </c>
      <c r="H252" s="85" t="str">
        <f>IFERROR(__xludf.DUMMYFUNCTION("""COMPUTED_VALUE"""),"Enquire &amp; Coordinate with client")</f>
        <v>Enquire &amp; Coordinate with client</v>
      </c>
      <c r="I252" s="4" t="str">
        <f>IFERROR(__xludf.DUMMYFUNCTION("""COMPUTED_VALUE"""),"sales person - first shivani")</f>
        <v>sales person - first shivani</v>
      </c>
    </row>
    <row r="253">
      <c r="A253" s="85">
        <f>IFERROR(__xludf.DUMMYFUNCTION("""COMPUTED_VALUE"""),45323.6978456713)</f>
        <v>45323.69785</v>
      </c>
      <c r="B253" s="4"/>
      <c r="C253" s="4"/>
      <c r="D253" s="4"/>
      <c r="E253" s="4"/>
      <c r="F253" s="4"/>
      <c r="G253" s="85">
        <f>IFERROR(__xludf.DUMMYFUNCTION("""COMPUTED_VALUE"""),45324.697222222225)</f>
        <v>45324.69722</v>
      </c>
      <c r="H253" s="85" t="str">
        <f>IFERROR(__xludf.DUMMYFUNCTION("""COMPUTED_VALUE"""),"Enquire &amp; Coordinate with client")</f>
        <v>Enquire &amp; Coordinate with client</v>
      </c>
      <c r="I253" s="4" t="str">
        <f>IFERROR(__xludf.DUMMYFUNCTION("""COMPUTED_VALUE"""),"sales person - first shivani")</f>
        <v>sales person - first shivani</v>
      </c>
    </row>
    <row r="254">
      <c r="A254" s="85">
        <f>IFERROR(__xludf.DUMMYFUNCTION("""COMPUTED_VALUE"""),45323.69937849537)</f>
        <v>45323.69938</v>
      </c>
      <c r="B254" s="4"/>
      <c r="C254" s="4"/>
      <c r="D254" s="4"/>
      <c r="E254" s="4"/>
      <c r="F254" s="4"/>
      <c r="G254" s="85">
        <f>IFERROR(__xludf.DUMMYFUNCTION("""COMPUTED_VALUE"""),45324.69930555555)</f>
        <v>45324.69931</v>
      </c>
      <c r="H254" s="85" t="str">
        <f>IFERROR(__xludf.DUMMYFUNCTION("""COMPUTED_VALUE"""),"Enquire &amp; Coordinate with client")</f>
        <v>Enquire &amp; Coordinate with client</v>
      </c>
      <c r="I254" s="4" t="str">
        <f>IFERROR(__xludf.DUMMYFUNCTION("""COMPUTED_VALUE"""),"sales person - first shivani")</f>
        <v>sales person - first shivani</v>
      </c>
    </row>
    <row r="255">
      <c r="A255" s="85">
        <f>IFERROR(__xludf.DUMMYFUNCTION("""COMPUTED_VALUE"""),45323.70037861111)</f>
        <v>45323.70038</v>
      </c>
      <c r="B255" s="4"/>
      <c r="C255" s="4"/>
      <c r="D255" s="4"/>
      <c r="E255" s="4"/>
      <c r="F255" s="4"/>
      <c r="G255" s="85">
        <f>IFERROR(__xludf.DUMMYFUNCTION("""COMPUTED_VALUE"""),45324.7)</f>
        <v>45324.7</v>
      </c>
      <c r="H255" s="85" t="str">
        <f>IFERROR(__xludf.DUMMYFUNCTION("""COMPUTED_VALUE"""),"Enquire &amp; Coordinate with client")</f>
        <v>Enquire &amp; Coordinate with client</v>
      </c>
      <c r="I255" s="4" t="str">
        <f>IFERROR(__xludf.DUMMYFUNCTION("""COMPUTED_VALUE"""),"sales person - first shivani")</f>
        <v>sales person - first shivani</v>
      </c>
    </row>
    <row r="256">
      <c r="A256" s="85">
        <f>IFERROR(__xludf.DUMMYFUNCTION("""COMPUTED_VALUE"""),45323.704228043985)</f>
        <v>45323.70423</v>
      </c>
      <c r="B256" s="4"/>
      <c r="C256" s="4"/>
      <c r="D256" s="4"/>
      <c r="E256" s="4"/>
      <c r="F256" s="4"/>
      <c r="G256" s="85">
        <f>IFERROR(__xludf.DUMMYFUNCTION("""COMPUTED_VALUE"""),45324.70416666666)</f>
        <v>45324.70417</v>
      </c>
      <c r="H256" s="85" t="str">
        <f>IFERROR(__xludf.DUMMYFUNCTION("""COMPUTED_VALUE"""),"Enquire &amp; Coordinate with client")</f>
        <v>Enquire &amp; Coordinate with client</v>
      </c>
      <c r="I256" s="4" t="str">
        <f>IFERROR(__xludf.DUMMYFUNCTION("""COMPUTED_VALUE"""),"sales person - first shivani")</f>
        <v>sales person - first shivani</v>
      </c>
    </row>
    <row r="257">
      <c r="A257" s="85">
        <f>IFERROR(__xludf.DUMMYFUNCTION("""COMPUTED_VALUE"""),45325.70485834491)</f>
        <v>45325.70486</v>
      </c>
      <c r="B257" s="4"/>
      <c r="C257" s="4"/>
      <c r="D257" s="4"/>
      <c r="E257" s="4"/>
      <c r="F257" s="4"/>
      <c r="G257" s="85">
        <f>IFERROR(__xludf.DUMMYFUNCTION("""COMPUTED_VALUE"""),45326.70486111111)</f>
        <v>45326.70486</v>
      </c>
      <c r="H257" s="85" t="str">
        <f>IFERROR(__xludf.DUMMYFUNCTION("""COMPUTED_VALUE"""),"Enquire &amp; Coordinate with client")</f>
        <v>Enquire &amp; Coordinate with client</v>
      </c>
      <c r="I257" s="4" t="str">
        <f>IFERROR(__xludf.DUMMYFUNCTION("""COMPUTED_VALUE"""),"sales person - first shivani")</f>
        <v>sales person - first shivani</v>
      </c>
    </row>
    <row r="258">
      <c r="A258" s="85">
        <f>IFERROR(__xludf.DUMMYFUNCTION("""COMPUTED_VALUE"""),45325.70662981482)</f>
        <v>45325.70663</v>
      </c>
      <c r="B258" s="4"/>
      <c r="C258" s="4"/>
      <c r="D258" s="4"/>
      <c r="E258" s="4"/>
      <c r="F258" s="4"/>
      <c r="G258" s="85">
        <f>IFERROR(__xludf.DUMMYFUNCTION("""COMPUTED_VALUE"""),45326.70625)</f>
        <v>45326.70625</v>
      </c>
      <c r="H258" s="85" t="str">
        <f>IFERROR(__xludf.DUMMYFUNCTION("""COMPUTED_VALUE"""),"Enquire &amp; Coordinate with client")</f>
        <v>Enquire &amp; Coordinate with client</v>
      </c>
      <c r="I258" s="4" t="str">
        <f>IFERROR(__xludf.DUMMYFUNCTION("""COMPUTED_VALUE"""),"sales person - first shivani")</f>
        <v>sales person - first shivani</v>
      </c>
    </row>
    <row r="259">
      <c r="A259" s="85">
        <f>IFERROR(__xludf.DUMMYFUNCTION("""COMPUTED_VALUE"""),45325.70746050926)</f>
        <v>45325.70746</v>
      </c>
      <c r="B259" s="4"/>
      <c r="C259" s="4"/>
      <c r="D259" s="4"/>
      <c r="E259" s="4"/>
      <c r="F259" s="4"/>
      <c r="G259" s="85">
        <f>IFERROR(__xludf.DUMMYFUNCTION("""COMPUTED_VALUE"""),45326.70694444445)</f>
        <v>45326.70694</v>
      </c>
      <c r="H259" s="85" t="str">
        <f>IFERROR(__xludf.DUMMYFUNCTION("""COMPUTED_VALUE"""),"Enquire &amp; Coordinate with client")</f>
        <v>Enquire &amp; Coordinate with client</v>
      </c>
      <c r="I259" s="4" t="str">
        <f>IFERROR(__xludf.DUMMYFUNCTION("""COMPUTED_VALUE"""),"sales person - first shivani")</f>
        <v>sales person - first shivani</v>
      </c>
    </row>
    <row r="260">
      <c r="A260" s="85">
        <f>IFERROR(__xludf.DUMMYFUNCTION("""COMPUTED_VALUE"""),45325.70842616898)</f>
        <v>45325.70843</v>
      </c>
      <c r="B260" s="4"/>
      <c r="C260" s="4"/>
      <c r="D260" s="4"/>
      <c r="E260" s="4"/>
      <c r="F260" s="4"/>
      <c r="G260" s="85">
        <f>IFERROR(__xludf.DUMMYFUNCTION("""COMPUTED_VALUE"""),45326.70833333333)</f>
        <v>45326.70833</v>
      </c>
      <c r="H260" s="85" t="str">
        <f>IFERROR(__xludf.DUMMYFUNCTION("""COMPUTED_VALUE"""),"Enquire &amp; Coordinate with client")</f>
        <v>Enquire &amp; Coordinate with client</v>
      </c>
      <c r="I260" s="4" t="str">
        <f>IFERROR(__xludf.DUMMYFUNCTION("""COMPUTED_VALUE"""),"sales person - first shivani")</f>
        <v>sales person - first shivani</v>
      </c>
    </row>
    <row r="261">
      <c r="A261" s="85">
        <f>IFERROR(__xludf.DUMMYFUNCTION("""COMPUTED_VALUE"""),45325.709281284726)</f>
        <v>45325.70928</v>
      </c>
      <c r="B261" s="4"/>
      <c r="C261" s="4"/>
      <c r="D261" s="4"/>
      <c r="E261" s="4"/>
      <c r="F261" s="4"/>
      <c r="G261" s="85">
        <f>IFERROR(__xludf.DUMMYFUNCTION("""COMPUTED_VALUE"""),45326.709027777775)</f>
        <v>45326.70903</v>
      </c>
      <c r="H261" s="85" t="str">
        <f>IFERROR(__xludf.DUMMYFUNCTION("""COMPUTED_VALUE"""),"Enquire &amp; Coordinate with client")</f>
        <v>Enquire &amp; Coordinate with client</v>
      </c>
      <c r="I261" s="4" t="str">
        <f>IFERROR(__xludf.DUMMYFUNCTION("""COMPUTED_VALUE"""),"sales person - first shivani")</f>
        <v>sales person - first shivani</v>
      </c>
    </row>
    <row r="262">
      <c r="A262" s="85">
        <f>IFERROR(__xludf.DUMMYFUNCTION("""COMPUTED_VALUE"""),45325.71065732639)</f>
        <v>45325.71066</v>
      </c>
      <c r="B262" s="4"/>
      <c r="C262" s="4"/>
      <c r="D262" s="4"/>
      <c r="E262" s="4"/>
      <c r="F262" s="4"/>
      <c r="G262" s="85">
        <f>IFERROR(__xludf.DUMMYFUNCTION("""COMPUTED_VALUE"""),45326.71041666667)</f>
        <v>45326.71042</v>
      </c>
      <c r="H262" s="85" t="str">
        <f>IFERROR(__xludf.DUMMYFUNCTION("""COMPUTED_VALUE"""),"Enquire &amp; Coordinate with client")</f>
        <v>Enquire &amp; Coordinate with client</v>
      </c>
      <c r="I262" s="4" t="str">
        <f>IFERROR(__xludf.DUMMYFUNCTION("""COMPUTED_VALUE"""),"sales person - first shivani")</f>
        <v>sales person - first shivani</v>
      </c>
    </row>
    <row r="263">
      <c r="A263" s="85">
        <f>IFERROR(__xludf.DUMMYFUNCTION("""COMPUTED_VALUE"""),45325.71401586805)</f>
        <v>45325.71402</v>
      </c>
      <c r="B263" s="4"/>
      <c r="C263" s="4"/>
      <c r="D263" s="4"/>
      <c r="E263" s="4"/>
      <c r="F263" s="4"/>
      <c r="G263" s="85">
        <f>IFERROR(__xludf.DUMMYFUNCTION("""COMPUTED_VALUE"""),45326.71388888889)</f>
        <v>45326.71389</v>
      </c>
      <c r="H263" s="85" t="str">
        <f>IFERROR(__xludf.DUMMYFUNCTION("""COMPUTED_VALUE"""),"Enquire &amp; Coordinate with client")</f>
        <v>Enquire &amp; Coordinate with client</v>
      </c>
      <c r="I263" s="4" t="str">
        <f>IFERROR(__xludf.DUMMYFUNCTION("""COMPUTED_VALUE"""),"sales person - first shivani")</f>
        <v>sales person - first shivani</v>
      </c>
    </row>
    <row r="264">
      <c r="A264" s="85">
        <f>IFERROR(__xludf.DUMMYFUNCTION("""COMPUTED_VALUE"""),45325.72334710648)</f>
        <v>45325.72335</v>
      </c>
      <c r="B264" s="4"/>
      <c r="C264" s="4"/>
      <c r="D264" s="4"/>
      <c r="E264" s="4"/>
      <c r="F264" s="4"/>
      <c r="G264" s="85">
        <f>IFERROR(__xludf.DUMMYFUNCTION("""COMPUTED_VALUE"""),45326.722916666666)</f>
        <v>45326.72292</v>
      </c>
      <c r="H264" s="85" t="str">
        <f>IFERROR(__xludf.DUMMYFUNCTION("""COMPUTED_VALUE"""),"Enquire &amp; Coordinate with client")</f>
        <v>Enquire &amp; Coordinate with client</v>
      </c>
      <c r="I264" s="4" t="str">
        <f>IFERROR(__xludf.DUMMYFUNCTION("""COMPUTED_VALUE"""),"sales person - first shivani")</f>
        <v>sales person - first shivani</v>
      </c>
    </row>
    <row r="265">
      <c r="A265" s="85">
        <f>IFERROR(__xludf.DUMMYFUNCTION("""COMPUTED_VALUE"""),45325.725131747684)</f>
        <v>45325.72513</v>
      </c>
      <c r="B265" s="4"/>
      <c r="C265" s="4"/>
      <c r="D265" s="4"/>
      <c r="E265" s="4"/>
      <c r="F265" s="4"/>
      <c r="G265" s="85">
        <f>IFERROR(__xludf.DUMMYFUNCTION("""COMPUTED_VALUE"""),45326.725)</f>
        <v>45326.725</v>
      </c>
      <c r="H265" s="85" t="str">
        <f>IFERROR(__xludf.DUMMYFUNCTION("""COMPUTED_VALUE"""),"Enquire &amp; Coordinate with client")</f>
        <v>Enquire &amp; Coordinate with client</v>
      </c>
      <c r="I265" s="4" t="str">
        <f>IFERROR(__xludf.DUMMYFUNCTION("""COMPUTED_VALUE"""),"sales person - first shivani")</f>
        <v>sales person - first shivani</v>
      </c>
    </row>
    <row r="266">
      <c r="A266" s="85">
        <f>IFERROR(__xludf.DUMMYFUNCTION("""COMPUTED_VALUE"""),45325.72678045139)</f>
        <v>45325.72678</v>
      </c>
      <c r="B266" s="4"/>
      <c r="C266" s="4"/>
      <c r="D266" s="4"/>
      <c r="E266" s="4"/>
      <c r="F266" s="4"/>
      <c r="G266" s="85">
        <f>IFERROR(__xludf.DUMMYFUNCTION("""COMPUTED_VALUE"""),45326.726388888885)</f>
        <v>45326.72639</v>
      </c>
      <c r="H266" s="85" t="str">
        <f>IFERROR(__xludf.DUMMYFUNCTION("""COMPUTED_VALUE"""),"Enquire &amp; Coordinate with client")</f>
        <v>Enquire &amp; Coordinate with client</v>
      </c>
      <c r="I266" s="4" t="str">
        <f>IFERROR(__xludf.DUMMYFUNCTION("""COMPUTED_VALUE"""),"sales person - first shivani")</f>
        <v>sales person - first shivani</v>
      </c>
    </row>
    <row r="267">
      <c r="A267" s="85">
        <f>IFERROR(__xludf.DUMMYFUNCTION("""COMPUTED_VALUE"""),45325.727821458335)</f>
        <v>45325.72782</v>
      </c>
      <c r="B267" s="4"/>
      <c r="C267" s="4"/>
      <c r="D267" s="4"/>
      <c r="E267" s="4"/>
      <c r="F267" s="4"/>
      <c r="G267" s="85">
        <f>IFERROR(__xludf.DUMMYFUNCTION("""COMPUTED_VALUE"""),45326.72777777778)</f>
        <v>45326.72778</v>
      </c>
      <c r="H267" s="85" t="str">
        <f>IFERROR(__xludf.DUMMYFUNCTION("""COMPUTED_VALUE"""),"Enquire &amp; Coordinate with client")</f>
        <v>Enquire &amp; Coordinate with client</v>
      </c>
      <c r="I267" s="4" t="str">
        <f>IFERROR(__xludf.DUMMYFUNCTION("""COMPUTED_VALUE"""),"sales person - first shivani")</f>
        <v>sales person - first shivani</v>
      </c>
    </row>
    <row r="268">
      <c r="A268" s="85">
        <f>IFERROR(__xludf.DUMMYFUNCTION("""COMPUTED_VALUE"""),45325.72909898149)</f>
        <v>45325.7291</v>
      </c>
      <c r="B268" s="4"/>
      <c r="C268" s="4"/>
      <c r="D268" s="4"/>
      <c r="E268" s="4"/>
      <c r="F268" s="4"/>
      <c r="G268" s="85">
        <f>IFERROR(__xludf.DUMMYFUNCTION("""COMPUTED_VALUE"""),45326.728472222225)</f>
        <v>45326.72847</v>
      </c>
      <c r="H268" s="85" t="str">
        <f>IFERROR(__xludf.DUMMYFUNCTION("""COMPUTED_VALUE"""),"Enquire &amp; Coordinate with client")</f>
        <v>Enquire &amp; Coordinate with client</v>
      </c>
      <c r="I268" s="4" t="str">
        <f>IFERROR(__xludf.DUMMYFUNCTION("""COMPUTED_VALUE"""),"sales person - first shivani")</f>
        <v>sales person - first shivani</v>
      </c>
    </row>
    <row r="269">
      <c r="A269" s="85">
        <f>IFERROR(__xludf.DUMMYFUNCTION("""COMPUTED_VALUE"""),45325.73012834491)</f>
        <v>45325.73013</v>
      </c>
      <c r="B269" s="4"/>
      <c r="C269" s="4"/>
      <c r="D269" s="4"/>
      <c r="E269" s="4"/>
      <c r="F269" s="4"/>
      <c r="G269" s="85">
        <f>IFERROR(__xludf.DUMMYFUNCTION("""COMPUTED_VALUE"""),45326.72986111111)</f>
        <v>45326.72986</v>
      </c>
      <c r="H269" s="85" t="str">
        <f>IFERROR(__xludf.DUMMYFUNCTION("""COMPUTED_VALUE"""),"Enquire &amp; Coordinate with client")</f>
        <v>Enquire &amp; Coordinate with client</v>
      </c>
      <c r="I269" s="4" t="str">
        <f>IFERROR(__xludf.DUMMYFUNCTION("""COMPUTED_VALUE"""),"sales person - first shivani")</f>
        <v>sales person - first shivani</v>
      </c>
    </row>
    <row r="270">
      <c r="A270" s="85">
        <f>IFERROR(__xludf.DUMMYFUNCTION("""COMPUTED_VALUE"""),45325.7310190625)</f>
        <v>45325.73102</v>
      </c>
      <c r="B270" s="4"/>
      <c r="C270" s="4"/>
      <c r="D270" s="4"/>
      <c r="E270" s="4"/>
      <c r="F270" s="4"/>
      <c r="G270" s="85">
        <f>IFERROR(__xludf.DUMMYFUNCTION("""COMPUTED_VALUE"""),45326.73055555555)</f>
        <v>45326.73056</v>
      </c>
      <c r="H270" s="85" t="str">
        <f>IFERROR(__xludf.DUMMYFUNCTION("""COMPUTED_VALUE"""),"Enquire &amp; Coordinate with client")</f>
        <v>Enquire &amp; Coordinate with client</v>
      </c>
      <c r="I270" s="4" t="str">
        <f>IFERROR(__xludf.DUMMYFUNCTION("""COMPUTED_VALUE"""),"sales person - first shivani")</f>
        <v>sales person - first shivani</v>
      </c>
    </row>
    <row r="271">
      <c r="A271" s="85">
        <f>IFERROR(__xludf.DUMMYFUNCTION("""COMPUTED_VALUE"""),45325.7327547338)</f>
        <v>45325.73275</v>
      </c>
      <c r="B271" s="4"/>
      <c r="C271" s="4"/>
      <c r="D271" s="4"/>
      <c r="E271" s="4"/>
      <c r="F271" s="4"/>
      <c r="G271" s="85">
        <f>IFERROR(__xludf.DUMMYFUNCTION("""COMPUTED_VALUE"""),45326.73263888889)</f>
        <v>45326.73264</v>
      </c>
      <c r="H271" s="85" t="str">
        <f>IFERROR(__xludf.DUMMYFUNCTION("""COMPUTED_VALUE"""),"Enquire &amp; Coordinate with client")</f>
        <v>Enquire &amp; Coordinate with client</v>
      </c>
      <c r="I271" s="4" t="str">
        <f>IFERROR(__xludf.DUMMYFUNCTION("""COMPUTED_VALUE"""),"sales person - first shivani")</f>
        <v>sales person - first shivani</v>
      </c>
    </row>
    <row r="272">
      <c r="A272" s="85">
        <f>IFERROR(__xludf.DUMMYFUNCTION("""COMPUTED_VALUE"""),45325.73385427084)</f>
        <v>45325.73385</v>
      </c>
      <c r="B272" s="4"/>
      <c r="C272" s="4"/>
      <c r="D272" s="4"/>
      <c r="E272" s="4"/>
      <c r="F272" s="4"/>
      <c r="G272" s="85">
        <f>IFERROR(__xludf.DUMMYFUNCTION("""COMPUTED_VALUE"""),45326.73333333334)</f>
        <v>45326.73333</v>
      </c>
      <c r="H272" s="85" t="str">
        <f>IFERROR(__xludf.DUMMYFUNCTION("""COMPUTED_VALUE"""),"Enquire &amp; Coordinate with client")</f>
        <v>Enquire &amp; Coordinate with client</v>
      </c>
      <c r="I272" s="4" t="str">
        <f>IFERROR(__xludf.DUMMYFUNCTION("""COMPUTED_VALUE"""),"sales person - first shivani")</f>
        <v>sales person - first shivani</v>
      </c>
    </row>
    <row r="273">
      <c r="A273" s="85">
        <f>IFERROR(__xludf.DUMMYFUNCTION("""COMPUTED_VALUE"""),45325.734662268515)</f>
        <v>45325.73466</v>
      </c>
      <c r="B273" s="4"/>
      <c r="C273" s="4"/>
      <c r="D273" s="4"/>
      <c r="E273" s="4"/>
      <c r="F273" s="4"/>
      <c r="G273" s="85">
        <f>IFERROR(__xludf.DUMMYFUNCTION("""COMPUTED_VALUE"""),45326.73402777778)</f>
        <v>45326.73403</v>
      </c>
      <c r="H273" s="85" t="str">
        <f>IFERROR(__xludf.DUMMYFUNCTION("""COMPUTED_VALUE"""),"Enquire &amp; Coordinate with client")</f>
        <v>Enquire &amp; Coordinate with client</v>
      </c>
      <c r="I273" s="4" t="str">
        <f>IFERROR(__xludf.DUMMYFUNCTION("""COMPUTED_VALUE"""),"sales person - first shivani")</f>
        <v>sales person - first shivani</v>
      </c>
    </row>
    <row r="274">
      <c r="A274" s="85">
        <f>IFERROR(__xludf.DUMMYFUNCTION("""COMPUTED_VALUE"""),45328.544887407406)</f>
        <v>45328.54489</v>
      </c>
      <c r="B274" s="4"/>
      <c r="C274" s="4"/>
      <c r="D274" s="4"/>
      <c r="E274" s="4"/>
      <c r="F274" s="4"/>
      <c r="G274" s="85">
        <f>IFERROR(__xludf.DUMMYFUNCTION("""COMPUTED_VALUE"""),45329.544444444444)</f>
        <v>45329.54444</v>
      </c>
      <c r="H274" s="85" t="str">
        <f>IFERROR(__xludf.DUMMYFUNCTION("""COMPUTED_VALUE"""),"Enquire &amp; Coordinate with client")</f>
        <v>Enquire &amp; Coordinate with client</v>
      </c>
      <c r="I274" s="4" t="str">
        <f>IFERROR(__xludf.DUMMYFUNCTION("""COMPUTED_VALUE"""),"sales person - first shivani")</f>
        <v>sales person - first shivani</v>
      </c>
    </row>
    <row r="275">
      <c r="A275" s="85">
        <f>IFERROR(__xludf.DUMMYFUNCTION("""COMPUTED_VALUE"""),45328.54830722223)</f>
        <v>45328.54831</v>
      </c>
      <c r="B275" s="4"/>
      <c r="C275" s="4"/>
      <c r="D275" s="4"/>
      <c r="E275" s="4"/>
      <c r="F275" s="4"/>
      <c r="G275" s="85">
        <f>IFERROR(__xludf.DUMMYFUNCTION("""COMPUTED_VALUE"""),45329.54791666666)</f>
        <v>45329.54792</v>
      </c>
      <c r="H275" s="85" t="str">
        <f>IFERROR(__xludf.DUMMYFUNCTION("""COMPUTED_VALUE"""),"Enquire &amp; Coordinate with client")</f>
        <v>Enquire &amp; Coordinate with client</v>
      </c>
      <c r="I275" s="4" t="str">
        <f>IFERROR(__xludf.DUMMYFUNCTION("""COMPUTED_VALUE"""),"sales person - first shivani")</f>
        <v>sales person - first shivani</v>
      </c>
    </row>
    <row r="276">
      <c r="A276" s="85">
        <f>IFERROR(__xludf.DUMMYFUNCTION("""COMPUTED_VALUE"""),45328.54964467593)</f>
        <v>45328.54964</v>
      </c>
      <c r="B276" s="4"/>
      <c r="C276" s="4"/>
      <c r="D276" s="4"/>
      <c r="E276" s="4"/>
      <c r="F276" s="4"/>
      <c r="G276" s="85">
        <f>IFERROR(__xludf.DUMMYFUNCTION("""COMPUTED_VALUE"""),45329.549305555556)</f>
        <v>45329.54931</v>
      </c>
      <c r="H276" s="85" t="str">
        <f>IFERROR(__xludf.DUMMYFUNCTION("""COMPUTED_VALUE"""),"Enquire &amp; Coordinate with client")</f>
        <v>Enquire &amp; Coordinate with client</v>
      </c>
      <c r="I276" s="4" t="str">
        <f>IFERROR(__xludf.DUMMYFUNCTION("""COMPUTED_VALUE"""),"sales person - first shivani")</f>
        <v>sales person - first shivani</v>
      </c>
    </row>
    <row r="277">
      <c r="A277" s="85">
        <f>IFERROR(__xludf.DUMMYFUNCTION("""COMPUTED_VALUE"""),45328.55057707176)</f>
        <v>45328.55058</v>
      </c>
      <c r="B277" s="4"/>
      <c r="C277" s="4"/>
      <c r="D277" s="4"/>
      <c r="E277" s="4"/>
      <c r="F277" s="4"/>
      <c r="G277" s="85">
        <f>IFERROR(__xludf.DUMMYFUNCTION("""COMPUTED_VALUE"""),45329.55)</f>
        <v>45329.55</v>
      </c>
      <c r="H277" s="85" t="str">
        <f>IFERROR(__xludf.DUMMYFUNCTION("""COMPUTED_VALUE"""),"Enquire &amp; Coordinate with client")</f>
        <v>Enquire &amp; Coordinate with client</v>
      </c>
      <c r="I277" s="4" t="str">
        <f>IFERROR(__xludf.DUMMYFUNCTION("""COMPUTED_VALUE"""),"sales person - first shivani")</f>
        <v>sales person - first shivani</v>
      </c>
    </row>
    <row r="278">
      <c r="A278" s="85">
        <f>IFERROR(__xludf.DUMMYFUNCTION("""COMPUTED_VALUE"""),45328.55225064815)</f>
        <v>45328.55225</v>
      </c>
      <c r="B278" s="4"/>
      <c r="C278" s="4"/>
      <c r="D278" s="4"/>
      <c r="E278" s="4"/>
      <c r="F278" s="4"/>
      <c r="G278" s="85">
        <f>IFERROR(__xludf.DUMMYFUNCTION("""COMPUTED_VALUE"""),45329.55208333333)</f>
        <v>45329.55208</v>
      </c>
      <c r="H278" s="85" t="str">
        <f>IFERROR(__xludf.DUMMYFUNCTION("""COMPUTED_VALUE"""),"Enquire &amp; Coordinate with client")</f>
        <v>Enquire &amp; Coordinate with client</v>
      </c>
      <c r="I278" s="4" t="str">
        <f>IFERROR(__xludf.DUMMYFUNCTION("""COMPUTED_VALUE"""),"sales person - first shivani")</f>
        <v>sales person - first shivani</v>
      </c>
    </row>
    <row r="279">
      <c r="A279" s="85">
        <f>IFERROR(__xludf.DUMMYFUNCTION("""COMPUTED_VALUE"""),45328.55360400463)</f>
        <v>45328.5536</v>
      </c>
      <c r="B279" s="4"/>
      <c r="C279" s="4"/>
      <c r="D279" s="4"/>
      <c r="E279" s="4"/>
      <c r="F279" s="4"/>
      <c r="G279" s="85">
        <f>IFERROR(__xludf.DUMMYFUNCTION("""COMPUTED_VALUE"""),45329.55347222222)</f>
        <v>45329.55347</v>
      </c>
      <c r="H279" s="85" t="str">
        <f>IFERROR(__xludf.DUMMYFUNCTION("""COMPUTED_VALUE"""),"Enquire &amp; Coordinate with client")</f>
        <v>Enquire &amp; Coordinate with client</v>
      </c>
      <c r="I279" s="4" t="str">
        <f>IFERROR(__xludf.DUMMYFUNCTION("""COMPUTED_VALUE"""),"sales person - first shivani")</f>
        <v>sales person - first shivani</v>
      </c>
    </row>
    <row r="280">
      <c r="A280" s="85">
        <f>IFERROR(__xludf.DUMMYFUNCTION("""COMPUTED_VALUE"""),45328.55464252315)</f>
        <v>45328.55464</v>
      </c>
      <c r="B280" s="4"/>
      <c r="C280" s="4"/>
      <c r="D280" s="4"/>
      <c r="E280" s="4"/>
      <c r="F280" s="4"/>
      <c r="G280" s="85">
        <f>IFERROR(__xludf.DUMMYFUNCTION("""COMPUTED_VALUE"""),45329.55416666667)</f>
        <v>45329.55417</v>
      </c>
      <c r="H280" s="85" t="str">
        <f>IFERROR(__xludf.DUMMYFUNCTION("""COMPUTED_VALUE"""),"Enquire &amp; Coordinate with client")</f>
        <v>Enquire &amp; Coordinate with client</v>
      </c>
      <c r="I280" s="4" t="str">
        <f>IFERROR(__xludf.DUMMYFUNCTION("""COMPUTED_VALUE"""),"sales person - first shivani")</f>
        <v>sales person - first shivani</v>
      </c>
    </row>
    <row r="281">
      <c r="A281" s="85">
        <f>IFERROR(__xludf.DUMMYFUNCTION("""COMPUTED_VALUE"""),45328.55535555556)</f>
        <v>45328.55536</v>
      </c>
      <c r="B281" s="4"/>
      <c r="C281" s="4"/>
      <c r="D281" s="4"/>
      <c r="E281" s="4"/>
      <c r="F281" s="4"/>
      <c r="G281" s="85">
        <f>IFERROR(__xludf.DUMMYFUNCTION("""COMPUTED_VALUE"""),45329.554861111115)</f>
        <v>45329.55486</v>
      </c>
      <c r="H281" s="85" t="str">
        <f>IFERROR(__xludf.DUMMYFUNCTION("""COMPUTED_VALUE"""),"Enquire &amp; Coordinate with client")</f>
        <v>Enquire &amp; Coordinate with client</v>
      </c>
      <c r="I281" s="4" t="str">
        <f>IFERROR(__xludf.DUMMYFUNCTION("""COMPUTED_VALUE"""),"sales person - first shivani")</f>
        <v>sales person - first shivani</v>
      </c>
    </row>
    <row r="282">
      <c r="A282" s="85">
        <f>IFERROR(__xludf.DUMMYFUNCTION("""COMPUTED_VALUE"""),45328.55634767361)</f>
        <v>45328.55635</v>
      </c>
      <c r="B282" s="4"/>
      <c r="C282" s="4"/>
      <c r="D282" s="4"/>
      <c r="E282" s="4"/>
      <c r="F282" s="4"/>
      <c r="G282" s="85">
        <f>IFERROR(__xludf.DUMMYFUNCTION("""COMPUTED_VALUE"""),45329.55625)</f>
        <v>45329.55625</v>
      </c>
      <c r="H282" s="85" t="str">
        <f>IFERROR(__xludf.DUMMYFUNCTION("""COMPUTED_VALUE"""),"Enquire &amp; Coordinate with client")</f>
        <v>Enquire &amp; Coordinate with client</v>
      </c>
      <c r="I282" s="4" t="str">
        <f>IFERROR(__xludf.DUMMYFUNCTION("""COMPUTED_VALUE"""),"sales person - first shivani")</f>
        <v>sales person - first shivani</v>
      </c>
    </row>
    <row r="283">
      <c r="A283" s="85">
        <f>IFERROR(__xludf.DUMMYFUNCTION("""COMPUTED_VALUE"""),45328.55711829861)</f>
        <v>45328.55712</v>
      </c>
      <c r="B283" s="4"/>
      <c r="C283" s="4"/>
      <c r="D283" s="4"/>
      <c r="E283" s="4"/>
      <c r="F283" s="4"/>
      <c r="G283" s="85">
        <f>IFERROR(__xludf.DUMMYFUNCTION("""COMPUTED_VALUE"""),45329.55694444444)</f>
        <v>45329.55694</v>
      </c>
      <c r="H283" s="85" t="str">
        <f>IFERROR(__xludf.DUMMYFUNCTION("""COMPUTED_VALUE"""),"Enquire &amp; Coordinate with client")</f>
        <v>Enquire &amp; Coordinate with client</v>
      </c>
      <c r="I283" s="4" t="str">
        <f>IFERROR(__xludf.DUMMYFUNCTION("""COMPUTED_VALUE"""),"sales person - first shivani")</f>
        <v>sales person - first shivani</v>
      </c>
    </row>
    <row r="284">
      <c r="A284" s="85">
        <f>IFERROR(__xludf.DUMMYFUNCTION("""COMPUTED_VALUE"""),45328.55792151621)</f>
        <v>45328.55792</v>
      </c>
      <c r="B284" s="4"/>
      <c r="C284" s="4"/>
      <c r="D284" s="4"/>
      <c r="E284" s="4"/>
      <c r="F284" s="4"/>
      <c r="G284" s="85">
        <f>IFERROR(__xludf.DUMMYFUNCTION("""COMPUTED_VALUE"""),45329.55763888889)</f>
        <v>45329.55764</v>
      </c>
      <c r="H284" s="85" t="str">
        <f>IFERROR(__xludf.DUMMYFUNCTION("""COMPUTED_VALUE"""),"Enquire &amp; Coordinate with client")</f>
        <v>Enquire &amp; Coordinate with client</v>
      </c>
      <c r="I284" s="4" t="str">
        <f>IFERROR(__xludf.DUMMYFUNCTION("""COMPUTED_VALUE"""),"sales person - first shivani")</f>
        <v>sales person - first shivani</v>
      </c>
    </row>
    <row r="285">
      <c r="A285" s="85">
        <f>IFERROR(__xludf.DUMMYFUNCTION("""COMPUTED_VALUE"""),45328.55880681713)</f>
        <v>45328.55881</v>
      </c>
      <c r="B285" s="4"/>
      <c r="C285" s="4"/>
      <c r="D285" s="4"/>
      <c r="E285" s="4"/>
      <c r="F285" s="4"/>
      <c r="G285" s="85">
        <f>IFERROR(__xludf.DUMMYFUNCTION("""COMPUTED_VALUE"""),45329.558333333334)</f>
        <v>45329.55833</v>
      </c>
      <c r="H285" s="85" t="str">
        <f>IFERROR(__xludf.DUMMYFUNCTION("""COMPUTED_VALUE"""),"Enquire &amp; Coordinate with client")</f>
        <v>Enquire &amp; Coordinate with client</v>
      </c>
      <c r="I285" s="4" t="str">
        <f>IFERROR(__xludf.DUMMYFUNCTION("""COMPUTED_VALUE"""),"sales person - first shivani")</f>
        <v>sales person - first shivani</v>
      </c>
    </row>
    <row r="286">
      <c r="A286" s="85">
        <f>IFERROR(__xludf.DUMMYFUNCTION("""COMPUTED_VALUE"""),45328.57963075232)</f>
        <v>45328.57963</v>
      </c>
      <c r="B286" s="4"/>
      <c r="C286" s="4"/>
      <c r="D286" s="4"/>
      <c r="E286" s="4"/>
      <c r="F286" s="4"/>
      <c r="G286" s="85">
        <f>IFERROR(__xludf.DUMMYFUNCTION("""COMPUTED_VALUE"""),45329.57916666666)</f>
        <v>45329.57917</v>
      </c>
      <c r="H286" s="85" t="str">
        <f>IFERROR(__xludf.DUMMYFUNCTION("""COMPUTED_VALUE"""),"Enquire &amp; Coordinate with client")</f>
        <v>Enquire &amp; Coordinate with client</v>
      </c>
      <c r="I286" s="4" t="str">
        <f>IFERROR(__xludf.DUMMYFUNCTION("""COMPUTED_VALUE"""),"sales person - first shivani")</f>
        <v>sales person - first shivani</v>
      </c>
    </row>
    <row r="287">
      <c r="A287" s="85">
        <f>IFERROR(__xludf.DUMMYFUNCTION("""COMPUTED_VALUE"""),45328.580644965274)</f>
        <v>45328.58064</v>
      </c>
      <c r="B287" s="4"/>
      <c r="C287" s="4"/>
      <c r="D287" s="4"/>
      <c r="E287" s="4"/>
      <c r="F287" s="4"/>
      <c r="G287" s="85">
        <f>IFERROR(__xludf.DUMMYFUNCTION("""COMPUTED_VALUE"""),45329.580555555556)</f>
        <v>45329.58056</v>
      </c>
      <c r="H287" s="85" t="str">
        <f>IFERROR(__xludf.DUMMYFUNCTION("""COMPUTED_VALUE"""),"Enquire &amp; Coordinate with client")</f>
        <v>Enquire &amp; Coordinate with client</v>
      </c>
      <c r="I287" s="4" t="str">
        <f>IFERROR(__xludf.DUMMYFUNCTION("""COMPUTED_VALUE"""),"sales person - first shivani")</f>
        <v>sales person - first shivani</v>
      </c>
    </row>
    <row r="288">
      <c r="A288" s="85">
        <f>IFERROR(__xludf.DUMMYFUNCTION("""COMPUTED_VALUE"""),45328.58130554398)</f>
        <v>45328.58131</v>
      </c>
      <c r="B288" s="4"/>
      <c r="C288" s="4"/>
      <c r="D288" s="4"/>
      <c r="E288" s="4"/>
      <c r="F288" s="4"/>
      <c r="G288" s="85">
        <f>IFERROR(__xludf.DUMMYFUNCTION("""COMPUTED_VALUE"""),45329.58125)</f>
        <v>45329.58125</v>
      </c>
      <c r="H288" s="85" t="str">
        <f>IFERROR(__xludf.DUMMYFUNCTION("""COMPUTED_VALUE"""),"Enquire &amp; Coordinate with client")</f>
        <v>Enquire &amp; Coordinate with client</v>
      </c>
      <c r="I288" s="4" t="str">
        <f>IFERROR(__xludf.DUMMYFUNCTION("""COMPUTED_VALUE"""),"sales person - first shivani")</f>
        <v>sales person - first shivani</v>
      </c>
    </row>
    <row r="289">
      <c r="A289" s="85">
        <f>IFERROR(__xludf.DUMMYFUNCTION("""COMPUTED_VALUE"""),45328.67058766204)</f>
        <v>45328.67059</v>
      </c>
      <c r="B289" s="4"/>
      <c r="C289" s="4"/>
      <c r="D289" s="4"/>
      <c r="E289" s="4"/>
      <c r="F289" s="4"/>
      <c r="G289" s="85">
        <f>IFERROR(__xludf.DUMMYFUNCTION("""COMPUTED_VALUE"""),45329.67013888889)</f>
        <v>45329.67014</v>
      </c>
      <c r="H289" s="85" t="str">
        <f>IFERROR(__xludf.DUMMYFUNCTION("""COMPUTED_VALUE"""),"Enquire &amp; Coordinate with client")</f>
        <v>Enquire &amp; Coordinate with client</v>
      </c>
      <c r="I289" s="4" t="str">
        <f>IFERROR(__xludf.DUMMYFUNCTION("""COMPUTED_VALUE"""),"sales person - first shivani")</f>
        <v>sales person - first shivani</v>
      </c>
    </row>
    <row r="290">
      <c r="A290" s="85">
        <f>IFERROR(__xludf.DUMMYFUNCTION("""COMPUTED_VALUE"""),45328.67315692129)</f>
        <v>45328.67316</v>
      </c>
      <c r="B290" s="4"/>
      <c r="C290" s="4"/>
      <c r="D290" s="4"/>
      <c r="E290" s="4"/>
      <c r="F290" s="4"/>
      <c r="G290" s="85">
        <f>IFERROR(__xludf.DUMMYFUNCTION("""COMPUTED_VALUE"""),45329.67291666666)</f>
        <v>45329.67292</v>
      </c>
      <c r="H290" s="85" t="str">
        <f>IFERROR(__xludf.DUMMYFUNCTION("""COMPUTED_VALUE"""),"Enquire &amp; Coordinate with client")</f>
        <v>Enquire &amp; Coordinate with client</v>
      </c>
      <c r="I290" s="4" t="str">
        <f>IFERROR(__xludf.DUMMYFUNCTION("""COMPUTED_VALUE"""),"sales person - first shivani")</f>
        <v>sales person - first shivani</v>
      </c>
    </row>
    <row r="291">
      <c r="A291" s="85">
        <f>IFERROR(__xludf.DUMMYFUNCTION("""COMPUTED_VALUE"""),45328.68156358796)</f>
        <v>45328.68156</v>
      </c>
      <c r="B291" s="4"/>
      <c r="C291" s="4"/>
      <c r="D291" s="4"/>
      <c r="E291" s="4"/>
      <c r="F291" s="4"/>
      <c r="G291" s="85">
        <f>IFERROR(__xludf.DUMMYFUNCTION("""COMPUTED_VALUE"""),45329.68125)</f>
        <v>45329.68125</v>
      </c>
      <c r="H291" s="85" t="str">
        <f>IFERROR(__xludf.DUMMYFUNCTION("""COMPUTED_VALUE"""),"Enquire &amp; Coordinate with client")</f>
        <v>Enquire &amp; Coordinate with client</v>
      </c>
      <c r="I291" s="4" t="str">
        <f>IFERROR(__xludf.DUMMYFUNCTION("""COMPUTED_VALUE"""),"sales person - first shivani")</f>
        <v>sales person - first shivani</v>
      </c>
    </row>
    <row r="292">
      <c r="A292" s="85">
        <f>IFERROR(__xludf.DUMMYFUNCTION("""COMPUTED_VALUE"""),45328.68426957176)</f>
        <v>45328.68427</v>
      </c>
      <c r="B292" s="4"/>
      <c r="C292" s="4"/>
      <c r="D292" s="4"/>
      <c r="E292" s="4"/>
      <c r="F292" s="4"/>
      <c r="G292" s="85">
        <f>IFERROR(__xludf.DUMMYFUNCTION("""COMPUTED_VALUE"""),45329.68402777778)</f>
        <v>45329.68403</v>
      </c>
      <c r="H292" s="85" t="str">
        <f>IFERROR(__xludf.DUMMYFUNCTION("""COMPUTED_VALUE"""),"Enquire &amp; Coordinate with client")</f>
        <v>Enquire &amp; Coordinate with client</v>
      </c>
      <c r="I292" s="4" t="str">
        <f>IFERROR(__xludf.DUMMYFUNCTION("""COMPUTED_VALUE"""),"sales person - first shivani")</f>
        <v>sales person - first shivani</v>
      </c>
    </row>
    <row r="293">
      <c r="A293" s="85">
        <f>IFERROR(__xludf.DUMMYFUNCTION("""COMPUTED_VALUE"""),45328.692380312496)</f>
        <v>45328.69238</v>
      </c>
      <c r="B293" s="4"/>
      <c r="C293" s="4"/>
      <c r="D293" s="4"/>
      <c r="E293" s="4"/>
      <c r="F293" s="4"/>
      <c r="G293" s="85">
        <f>IFERROR(__xludf.DUMMYFUNCTION("""COMPUTED_VALUE"""),45329.69236111111)</f>
        <v>45329.69236</v>
      </c>
      <c r="H293" s="85" t="str">
        <f>IFERROR(__xludf.DUMMYFUNCTION("""COMPUTED_VALUE"""),"Enquire &amp; Coordinate with client")</f>
        <v>Enquire &amp; Coordinate with client</v>
      </c>
      <c r="I293" s="4" t="str">
        <f>IFERROR(__xludf.DUMMYFUNCTION("""COMPUTED_VALUE"""),"sales person - first shivani")</f>
        <v>sales person - first shivani</v>
      </c>
    </row>
    <row r="294">
      <c r="A294" s="85">
        <f>IFERROR(__xludf.DUMMYFUNCTION("""COMPUTED_VALUE"""),45328.69414196759)</f>
        <v>45328.69414</v>
      </c>
      <c r="B294" s="4"/>
      <c r="C294" s="4"/>
      <c r="D294" s="4"/>
      <c r="E294" s="4"/>
      <c r="F294" s="4"/>
      <c r="G294" s="85">
        <f>IFERROR(__xludf.DUMMYFUNCTION("""COMPUTED_VALUE"""),45329.69375)</f>
        <v>45329.69375</v>
      </c>
      <c r="H294" s="85" t="str">
        <f>IFERROR(__xludf.DUMMYFUNCTION("""COMPUTED_VALUE"""),"Enquire &amp; Coordinate with client")</f>
        <v>Enquire &amp; Coordinate with client</v>
      </c>
      <c r="I294" s="4" t="str">
        <f>IFERROR(__xludf.DUMMYFUNCTION("""COMPUTED_VALUE"""),"sales person - first shivani")</f>
        <v>sales person - first shivani</v>
      </c>
    </row>
    <row r="295">
      <c r="A295" s="85">
        <f>IFERROR(__xludf.DUMMYFUNCTION("""COMPUTED_VALUE"""),45328.69531349537)</f>
        <v>45328.69531</v>
      </c>
      <c r="B295" s="4"/>
      <c r="C295" s="4"/>
      <c r="D295" s="4"/>
      <c r="E295" s="4"/>
      <c r="F295" s="4"/>
      <c r="G295" s="85">
        <f>IFERROR(__xludf.DUMMYFUNCTION("""COMPUTED_VALUE"""),45329.695138888885)</f>
        <v>45329.69514</v>
      </c>
      <c r="H295" s="85" t="str">
        <f>IFERROR(__xludf.DUMMYFUNCTION("""COMPUTED_VALUE"""),"Enquire &amp; Coordinate with client")</f>
        <v>Enquire &amp; Coordinate with client</v>
      </c>
      <c r="I295" s="4" t="str">
        <f>IFERROR(__xludf.DUMMYFUNCTION("""COMPUTED_VALUE"""),"sales person - first shivani")</f>
        <v>sales person - first shivani</v>
      </c>
    </row>
    <row r="296">
      <c r="A296" s="85">
        <f>IFERROR(__xludf.DUMMYFUNCTION("""COMPUTED_VALUE"""),45329.70899944444)</f>
        <v>45329.709</v>
      </c>
      <c r="B296" s="4"/>
      <c r="C296" s="4"/>
      <c r="D296" s="4"/>
      <c r="E296" s="4"/>
      <c r="F296" s="4"/>
      <c r="G296" s="85">
        <f>IFERROR(__xludf.DUMMYFUNCTION("""COMPUTED_VALUE"""),45330.70833333333)</f>
        <v>45330.70833</v>
      </c>
      <c r="H296" s="85" t="str">
        <f>IFERROR(__xludf.DUMMYFUNCTION("""COMPUTED_VALUE"""),"Enquire &amp; Coordinate with client")</f>
        <v>Enquire &amp; Coordinate with client</v>
      </c>
      <c r="I296" s="4" t="str">
        <f>IFERROR(__xludf.DUMMYFUNCTION("""COMPUTED_VALUE"""),"sales person - first shivani")</f>
        <v>sales person - first shivani</v>
      </c>
    </row>
    <row r="297">
      <c r="A297" s="85">
        <f>IFERROR(__xludf.DUMMYFUNCTION("""COMPUTED_VALUE"""),45329.710175995366)</f>
        <v>45329.71018</v>
      </c>
      <c r="B297" s="4"/>
      <c r="C297" s="4"/>
      <c r="D297" s="4"/>
      <c r="E297" s="4"/>
      <c r="F297" s="4"/>
      <c r="G297" s="85">
        <f>IFERROR(__xludf.DUMMYFUNCTION("""COMPUTED_VALUE"""),45330.70972222222)</f>
        <v>45330.70972</v>
      </c>
      <c r="H297" s="85" t="str">
        <f>IFERROR(__xludf.DUMMYFUNCTION("""COMPUTED_VALUE"""),"Enquire &amp; Coordinate with client")</f>
        <v>Enquire &amp; Coordinate with client</v>
      </c>
      <c r="I297" s="4" t="str">
        <f>IFERROR(__xludf.DUMMYFUNCTION("""COMPUTED_VALUE"""),"sales person - first shivani")</f>
        <v>sales person - first shivani</v>
      </c>
    </row>
    <row r="298">
      <c r="A298" s="85">
        <f>IFERROR(__xludf.DUMMYFUNCTION("""COMPUTED_VALUE"""),45329.711507708336)</f>
        <v>45329.71151</v>
      </c>
      <c r="B298" s="4"/>
      <c r="C298" s="4"/>
      <c r="D298" s="4"/>
      <c r="E298" s="4"/>
      <c r="F298" s="4"/>
      <c r="G298" s="85">
        <f>IFERROR(__xludf.DUMMYFUNCTION("""COMPUTED_VALUE"""),45330.711111111115)</f>
        <v>45330.71111</v>
      </c>
      <c r="H298" s="85" t="str">
        <f>IFERROR(__xludf.DUMMYFUNCTION("""COMPUTED_VALUE"""),"Enquire &amp; Coordinate with client")</f>
        <v>Enquire &amp; Coordinate with client</v>
      </c>
      <c r="I298" s="4" t="str">
        <f>IFERROR(__xludf.DUMMYFUNCTION("""COMPUTED_VALUE"""),"sales person - first shivani")</f>
        <v>sales person - first shivani</v>
      </c>
    </row>
    <row r="299">
      <c r="A299" s="85">
        <f>IFERROR(__xludf.DUMMYFUNCTION("""COMPUTED_VALUE"""),45329.7125705324)</f>
        <v>45329.71257</v>
      </c>
      <c r="B299" s="4"/>
      <c r="C299" s="4"/>
      <c r="D299" s="4"/>
      <c r="E299" s="4"/>
      <c r="F299" s="4"/>
      <c r="G299" s="85">
        <f>IFERROR(__xludf.DUMMYFUNCTION("""COMPUTED_VALUE"""),45330.7125)</f>
        <v>45330.7125</v>
      </c>
      <c r="H299" s="85" t="str">
        <f>IFERROR(__xludf.DUMMYFUNCTION("""COMPUTED_VALUE"""),"Enquire &amp; Coordinate with client")</f>
        <v>Enquire &amp; Coordinate with client</v>
      </c>
      <c r="I299" s="4" t="str">
        <f>IFERROR(__xludf.DUMMYFUNCTION("""COMPUTED_VALUE"""),"sales person - first shivani")</f>
        <v>sales person - first shivani</v>
      </c>
    </row>
    <row r="300">
      <c r="A300" s="85">
        <f>IFERROR(__xludf.DUMMYFUNCTION("""COMPUTED_VALUE"""),45329.71341560185)</f>
        <v>45329.71342</v>
      </c>
      <c r="B300" s="4"/>
      <c r="C300" s="4"/>
      <c r="D300" s="4"/>
      <c r="E300" s="4"/>
      <c r="F300" s="4"/>
      <c r="G300" s="85">
        <f>IFERROR(__xludf.DUMMYFUNCTION("""COMPUTED_VALUE"""),45330.71319444444)</f>
        <v>45330.71319</v>
      </c>
      <c r="H300" s="85" t="str">
        <f>IFERROR(__xludf.DUMMYFUNCTION("""COMPUTED_VALUE"""),"Enquire &amp; Coordinate with client")</f>
        <v>Enquire &amp; Coordinate with client</v>
      </c>
      <c r="I300" s="4" t="str">
        <f>IFERROR(__xludf.DUMMYFUNCTION("""COMPUTED_VALUE"""),"sales person - first shivani")</f>
        <v>sales person - first shivani</v>
      </c>
    </row>
    <row r="301">
      <c r="A301" s="85">
        <f>IFERROR(__xludf.DUMMYFUNCTION("""COMPUTED_VALUE"""),45329.71448228009)</f>
        <v>45329.71448</v>
      </c>
      <c r="B301" s="4"/>
      <c r="C301" s="4"/>
      <c r="D301" s="4"/>
      <c r="E301" s="4"/>
      <c r="F301" s="4"/>
      <c r="G301" s="85">
        <f>IFERROR(__xludf.DUMMYFUNCTION("""COMPUTED_VALUE"""),45330.71388888889)</f>
        <v>45330.71389</v>
      </c>
      <c r="H301" s="85" t="str">
        <f>IFERROR(__xludf.DUMMYFUNCTION("""COMPUTED_VALUE"""),"Enquire &amp; Coordinate with client")</f>
        <v>Enquire &amp; Coordinate with client</v>
      </c>
      <c r="I301" s="4" t="str">
        <f>IFERROR(__xludf.DUMMYFUNCTION("""COMPUTED_VALUE"""),"sales person - first shivani")</f>
        <v>sales person - first shivani</v>
      </c>
    </row>
    <row r="302">
      <c r="A302" s="85">
        <f>IFERROR(__xludf.DUMMYFUNCTION("""COMPUTED_VALUE"""),45329.71551364583)</f>
        <v>45329.71551</v>
      </c>
      <c r="B302" s="4"/>
      <c r="C302" s="4"/>
      <c r="D302" s="4"/>
      <c r="E302" s="4"/>
      <c r="F302" s="4"/>
      <c r="G302" s="85">
        <f>IFERROR(__xludf.DUMMYFUNCTION("""COMPUTED_VALUE"""),45330.71527777778)</f>
        <v>45330.71528</v>
      </c>
      <c r="H302" s="85" t="str">
        <f>IFERROR(__xludf.DUMMYFUNCTION("""COMPUTED_VALUE"""),"Enquire &amp; Coordinate with client")</f>
        <v>Enquire &amp; Coordinate with client</v>
      </c>
      <c r="I302" s="4" t="str">
        <f>IFERROR(__xludf.DUMMYFUNCTION("""COMPUTED_VALUE"""),"sales person - first shivani")</f>
        <v>sales person - first shivani</v>
      </c>
    </row>
    <row r="303">
      <c r="A303" s="85">
        <f>IFERROR(__xludf.DUMMYFUNCTION("""COMPUTED_VALUE"""),45329.71644804398)</f>
        <v>45329.71645</v>
      </c>
      <c r="B303" s="4"/>
      <c r="C303" s="4"/>
      <c r="D303" s="4"/>
      <c r="E303" s="4"/>
      <c r="F303" s="4"/>
      <c r="G303" s="85">
        <f>IFERROR(__xludf.DUMMYFUNCTION("""COMPUTED_VALUE"""),45330.71597222222)</f>
        <v>45330.71597</v>
      </c>
      <c r="H303" s="85" t="str">
        <f>IFERROR(__xludf.DUMMYFUNCTION("""COMPUTED_VALUE"""),"Enquire &amp; Coordinate with client")</f>
        <v>Enquire &amp; Coordinate with client</v>
      </c>
      <c r="I303" s="4" t="str">
        <f>IFERROR(__xludf.DUMMYFUNCTION("""COMPUTED_VALUE"""),"sales person - first shivani")</f>
        <v>sales person - first shivani</v>
      </c>
    </row>
    <row r="304">
      <c r="A304" s="85">
        <f>IFERROR(__xludf.DUMMYFUNCTION("""COMPUTED_VALUE"""),45329.71751938658)</f>
        <v>45329.71752</v>
      </c>
      <c r="B304" s="4"/>
      <c r="C304" s="4"/>
      <c r="D304" s="4"/>
      <c r="E304" s="4"/>
      <c r="F304" s="4"/>
      <c r="G304" s="85">
        <f>IFERROR(__xludf.DUMMYFUNCTION("""COMPUTED_VALUE"""),45330.71736111111)</f>
        <v>45330.71736</v>
      </c>
      <c r="H304" s="85" t="str">
        <f>IFERROR(__xludf.DUMMYFUNCTION("""COMPUTED_VALUE"""),"Enquire &amp; Coordinate with client")</f>
        <v>Enquire &amp; Coordinate with client</v>
      </c>
      <c r="I304" s="4" t="str">
        <f>IFERROR(__xludf.DUMMYFUNCTION("""COMPUTED_VALUE"""),"sales person - first shivani")</f>
        <v>sales person - first shivani</v>
      </c>
    </row>
    <row r="305">
      <c r="A305" s="85">
        <f>IFERROR(__xludf.DUMMYFUNCTION("""COMPUTED_VALUE"""),45329.71825820602)</f>
        <v>45329.71826</v>
      </c>
      <c r="B305" s="4"/>
      <c r="C305" s="4"/>
      <c r="D305" s="4"/>
      <c r="E305" s="4"/>
      <c r="F305" s="4"/>
      <c r="G305" s="85">
        <f>IFERROR(__xludf.DUMMYFUNCTION("""COMPUTED_VALUE"""),45330.71805555555)</f>
        <v>45330.71806</v>
      </c>
      <c r="H305" s="85" t="str">
        <f>IFERROR(__xludf.DUMMYFUNCTION("""COMPUTED_VALUE"""),"Enquire &amp; Coordinate with client")</f>
        <v>Enquire &amp; Coordinate with client</v>
      </c>
      <c r="I305" s="4" t="str">
        <f>IFERROR(__xludf.DUMMYFUNCTION("""COMPUTED_VALUE"""),"sales person - first shivani")</f>
        <v>sales person - first shivani</v>
      </c>
    </row>
    <row r="306">
      <c r="A306" s="85">
        <f>IFERROR(__xludf.DUMMYFUNCTION("""COMPUTED_VALUE"""),45329.71914672454)</f>
        <v>45329.71915</v>
      </c>
      <c r="B306" s="4"/>
      <c r="C306" s="4"/>
      <c r="D306" s="4"/>
      <c r="E306" s="4"/>
      <c r="F306" s="4"/>
      <c r="G306" s="85">
        <f>IFERROR(__xludf.DUMMYFUNCTION("""COMPUTED_VALUE"""),45330.71875)</f>
        <v>45330.71875</v>
      </c>
      <c r="H306" s="85" t="str">
        <f>IFERROR(__xludf.DUMMYFUNCTION("""COMPUTED_VALUE"""),"Enquire &amp; Coordinate with client")</f>
        <v>Enquire &amp; Coordinate with client</v>
      </c>
      <c r="I306" s="4" t="str">
        <f>IFERROR(__xludf.DUMMYFUNCTION("""COMPUTED_VALUE"""),"sales person - first shivani")</f>
        <v>sales person - first shivani</v>
      </c>
    </row>
    <row r="307">
      <c r="A307" s="85">
        <f>IFERROR(__xludf.DUMMYFUNCTION("""COMPUTED_VALUE"""),45329.7199458912)</f>
        <v>45329.71995</v>
      </c>
      <c r="B307" s="4"/>
      <c r="C307" s="4"/>
      <c r="D307" s="4"/>
      <c r="E307" s="4"/>
      <c r="F307" s="4"/>
      <c r="G307" s="85">
        <f>IFERROR(__xludf.DUMMYFUNCTION("""COMPUTED_VALUE"""),45330.71944444445)</f>
        <v>45330.71944</v>
      </c>
      <c r="H307" s="85" t="str">
        <f>IFERROR(__xludf.DUMMYFUNCTION("""COMPUTED_VALUE"""),"Enquire &amp; Coordinate with client")</f>
        <v>Enquire &amp; Coordinate with client</v>
      </c>
      <c r="I307" s="4" t="str">
        <f>IFERROR(__xludf.DUMMYFUNCTION("""COMPUTED_VALUE"""),"sales person - first shivani")</f>
        <v>sales person - first shivani</v>
      </c>
    </row>
    <row r="308">
      <c r="A308" s="85">
        <f>IFERROR(__xludf.DUMMYFUNCTION("""COMPUTED_VALUE"""),45329.72735385416)</f>
        <v>45329.72735</v>
      </c>
      <c r="B308" s="4"/>
      <c r="C308" s="4"/>
      <c r="D308" s="4"/>
      <c r="E308" s="4"/>
      <c r="F308" s="4"/>
      <c r="G308" s="85">
        <f>IFERROR(__xludf.DUMMYFUNCTION("""COMPUTED_VALUE"""),45330.72708333333)</f>
        <v>45330.72708</v>
      </c>
      <c r="H308" s="85" t="str">
        <f>IFERROR(__xludf.DUMMYFUNCTION("""COMPUTED_VALUE"""),"Enquire &amp; Coordinate with client")</f>
        <v>Enquire &amp; Coordinate with client</v>
      </c>
      <c r="I308" s="4" t="str">
        <f>IFERROR(__xludf.DUMMYFUNCTION("""COMPUTED_VALUE"""),"sales person - first shivani")</f>
        <v>sales person - first shivani</v>
      </c>
    </row>
    <row r="309">
      <c r="A309" s="85">
        <f>IFERROR(__xludf.DUMMYFUNCTION("""COMPUTED_VALUE"""),45329.728500729165)</f>
        <v>45329.7285</v>
      </c>
      <c r="B309" s="4"/>
      <c r="C309" s="4"/>
      <c r="D309" s="4"/>
      <c r="E309" s="4"/>
      <c r="F309" s="4"/>
      <c r="G309" s="85">
        <f>IFERROR(__xludf.DUMMYFUNCTION("""COMPUTED_VALUE"""),45330.728472222225)</f>
        <v>45330.72847</v>
      </c>
      <c r="H309" s="85" t="str">
        <f>IFERROR(__xludf.DUMMYFUNCTION("""COMPUTED_VALUE"""),"Enquire &amp; Coordinate with client")</f>
        <v>Enquire &amp; Coordinate with client</v>
      </c>
      <c r="I309" s="4" t="str">
        <f>IFERROR(__xludf.DUMMYFUNCTION("""COMPUTED_VALUE"""),"sales person - first shivani")</f>
        <v>sales person - first shivani</v>
      </c>
    </row>
    <row r="310">
      <c r="A310" s="85">
        <f>IFERROR(__xludf.DUMMYFUNCTION("""COMPUTED_VALUE"""),45329.72926583333)</f>
        <v>45329.72927</v>
      </c>
      <c r="B310" s="4"/>
      <c r="C310" s="4"/>
      <c r="D310" s="4"/>
      <c r="E310" s="4"/>
      <c r="F310" s="4"/>
      <c r="G310" s="85">
        <f>IFERROR(__xludf.DUMMYFUNCTION("""COMPUTED_VALUE"""),45330.72916666667)</f>
        <v>45330.72917</v>
      </c>
      <c r="H310" s="85" t="str">
        <f>IFERROR(__xludf.DUMMYFUNCTION("""COMPUTED_VALUE"""),"Enquire &amp; Coordinate with client")</f>
        <v>Enquire &amp; Coordinate with client</v>
      </c>
      <c r="I310" s="4" t="str">
        <f>IFERROR(__xludf.DUMMYFUNCTION("""COMPUTED_VALUE"""),"sales person - first shivani")</f>
        <v>sales person - first shivani</v>
      </c>
    </row>
    <row r="311">
      <c r="A311" s="85">
        <f>IFERROR(__xludf.DUMMYFUNCTION("""COMPUTED_VALUE"""),45329.730538020835)</f>
        <v>45329.73054</v>
      </c>
      <c r="B311" s="4"/>
      <c r="C311" s="4"/>
      <c r="D311" s="4"/>
      <c r="E311" s="4"/>
      <c r="F311" s="4"/>
      <c r="G311" s="85">
        <f>IFERROR(__xludf.DUMMYFUNCTION("""COMPUTED_VALUE"""),45330.72986111111)</f>
        <v>45330.72986</v>
      </c>
      <c r="H311" s="85" t="str">
        <f>IFERROR(__xludf.DUMMYFUNCTION("""COMPUTED_VALUE"""),"Enquire &amp; Coordinate with client")</f>
        <v>Enquire &amp; Coordinate with client</v>
      </c>
      <c r="I311" s="4" t="str">
        <f>IFERROR(__xludf.DUMMYFUNCTION("""COMPUTED_VALUE"""),"sales person - first shivani")</f>
        <v>sales person - first shivani</v>
      </c>
    </row>
    <row r="312">
      <c r="A312" s="85">
        <f>IFERROR(__xludf.DUMMYFUNCTION("""COMPUTED_VALUE"""),45329.73119560186)</f>
        <v>45329.7312</v>
      </c>
      <c r="B312" s="4"/>
      <c r="C312" s="4"/>
      <c r="D312" s="4"/>
      <c r="E312" s="4"/>
      <c r="F312" s="4"/>
      <c r="G312" s="85">
        <f>IFERROR(__xludf.DUMMYFUNCTION("""COMPUTED_VALUE"""),45330.73055555555)</f>
        <v>45330.73056</v>
      </c>
      <c r="H312" s="85" t="str">
        <f>IFERROR(__xludf.DUMMYFUNCTION("""COMPUTED_VALUE"""),"Enquire &amp; Coordinate with client")</f>
        <v>Enquire &amp; Coordinate with client</v>
      </c>
      <c r="I312" s="4" t="str">
        <f>IFERROR(__xludf.DUMMYFUNCTION("""COMPUTED_VALUE"""),"sales person - first shivani")</f>
        <v>sales person - first shivani</v>
      </c>
    </row>
    <row r="313">
      <c r="A313" s="85">
        <f>IFERROR(__xludf.DUMMYFUNCTION("""COMPUTED_VALUE"""),45329.732004618054)</f>
        <v>45329.732</v>
      </c>
      <c r="B313" s="4"/>
      <c r="C313" s="4"/>
      <c r="D313" s="4"/>
      <c r="E313" s="4"/>
      <c r="F313" s="4"/>
      <c r="G313" s="85">
        <f>IFERROR(__xludf.DUMMYFUNCTION("""COMPUTED_VALUE"""),45330.731944444444)</f>
        <v>45330.73194</v>
      </c>
      <c r="H313" s="85" t="str">
        <f>IFERROR(__xludf.DUMMYFUNCTION("""COMPUTED_VALUE"""),"Enquire &amp; Coordinate with client")</f>
        <v>Enquire &amp; Coordinate with client</v>
      </c>
      <c r="I313" s="4" t="str">
        <f>IFERROR(__xludf.DUMMYFUNCTION("""COMPUTED_VALUE"""),"sales person - first shivani")</f>
        <v>sales person - first shivani</v>
      </c>
    </row>
    <row r="314">
      <c r="A314" s="85">
        <f>IFERROR(__xludf.DUMMYFUNCTION("""COMPUTED_VALUE"""),45329.7331767361)</f>
        <v>45329.73318</v>
      </c>
      <c r="B314" s="4"/>
      <c r="C314" s="4"/>
      <c r="D314" s="4"/>
      <c r="E314" s="4"/>
      <c r="F314" s="4"/>
      <c r="G314" s="85">
        <f>IFERROR(__xludf.DUMMYFUNCTION("""COMPUTED_VALUE"""),45330.73263888889)</f>
        <v>45330.73264</v>
      </c>
      <c r="H314" s="85" t="str">
        <f>IFERROR(__xludf.DUMMYFUNCTION("""COMPUTED_VALUE"""),"Enquire &amp; Coordinate with client")</f>
        <v>Enquire &amp; Coordinate with client</v>
      </c>
      <c r="I314" s="4" t="str">
        <f>IFERROR(__xludf.DUMMYFUNCTION("""COMPUTED_VALUE"""),"sales person - first shivani")</f>
        <v>sales person - first shivani</v>
      </c>
    </row>
    <row r="315">
      <c r="A315" s="85">
        <f>IFERROR(__xludf.DUMMYFUNCTION("""COMPUTED_VALUE"""),45329.73443783565)</f>
        <v>45329.73444</v>
      </c>
      <c r="B315" s="4"/>
      <c r="C315" s="4"/>
      <c r="D315" s="4"/>
      <c r="E315" s="4"/>
      <c r="F315" s="4"/>
      <c r="G315" s="85">
        <f>IFERROR(__xludf.DUMMYFUNCTION("""COMPUTED_VALUE"""),45330.73402777778)</f>
        <v>45330.73403</v>
      </c>
      <c r="H315" s="85" t="str">
        <f>IFERROR(__xludf.DUMMYFUNCTION("""COMPUTED_VALUE"""),"Enquire &amp; Coordinate with client")</f>
        <v>Enquire &amp; Coordinate with client</v>
      </c>
      <c r="I315" s="4" t="str">
        <f>IFERROR(__xludf.DUMMYFUNCTION("""COMPUTED_VALUE"""),"sales person - first shivani")</f>
        <v>sales person - first shivani</v>
      </c>
    </row>
    <row r="316">
      <c r="A316" s="85">
        <f>IFERROR(__xludf.DUMMYFUNCTION("""COMPUTED_VALUE"""),45329.735504282406)</f>
        <v>45329.7355</v>
      </c>
      <c r="B316" s="4"/>
      <c r="C316" s="4"/>
      <c r="D316" s="4"/>
      <c r="E316" s="4"/>
      <c r="F316" s="4"/>
      <c r="G316" s="85">
        <f>IFERROR(__xludf.DUMMYFUNCTION("""COMPUTED_VALUE"""),45330.73541666666)</f>
        <v>45330.73542</v>
      </c>
      <c r="H316" s="85" t="str">
        <f>IFERROR(__xludf.DUMMYFUNCTION("""COMPUTED_VALUE"""),"Enquire &amp; Coordinate with client")</f>
        <v>Enquire &amp; Coordinate with client</v>
      </c>
      <c r="I316" s="4" t="str">
        <f>IFERROR(__xludf.DUMMYFUNCTION("""COMPUTED_VALUE"""),"sales person - first shivani")</f>
        <v>sales person - first shivani</v>
      </c>
    </row>
    <row r="317">
      <c r="A317" s="85">
        <f>IFERROR(__xludf.DUMMYFUNCTION("""COMPUTED_VALUE"""),45329.736409537036)</f>
        <v>45329.73641</v>
      </c>
      <c r="B317" s="4"/>
      <c r="C317" s="4"/>
      <c r="D317" s="4"/>
      <c r="E317" s="4"/>
      <c r="F317" s="4"/>
      <c r="G317" s="85">
        <f>IFERROR(__xludf.DUMMYFUNCTION("""COMPUTED_VALUE"""),45330.73611111111)</f>
        <v>45330.73611</v>
      </c>
      <c r="H317" s="85" t="str">
        <f>IFERROR(__xludf.DUMMYFUNCTION("""COMPUTED_VALUE"""),"Enquire &amp; Coordinate with client")</f>
        <v>Enquire &amp; Coordinate with client</v>
      </c>
      <c r="I317" s="4" t="str">
        <f>IFERROR(__xludf.DUMMYFUNCTION("""COMPUTED_VALUE"""),"sales person - first shivani")</f>
        <v>sales person - first shivani</v>
      </c>
    </row>
    <row r="318">
      <c r="A318" s="85">
        <f>IFERROR(__xludf.DUMMYFUNCTION("""COMPUTED_VALUE"""),45329.73729864583)</f>
        <v>45329.7373</v>
      </c>
      <c r="B318" s="4"/>
      <c r="C318" s="4"/>
      <c r="D318" s="4"/>
      <c r="E318" s="4"/>
      <c r="F318" s="4"/>
      <c r="G318" s="85">
        <f>IFERROR(__xludf.DUMMYFUNCTION("""COMPUTED_VALUE"""),45330.736805555556)</f>
        <v>45330.73681</v>
      </c>
      <c r="H318" s="85" t="str">
        <f>IFERROR(__xludf.DUMMYFUNCTION("""COMPUTED_VALUE"""),"Enquire &amp; Coordinate with client")</f>
        <v>Enquire &amp; Coordinate with client</v>
      </c>
      <c r="I318" s="4" t="str">
        <f>IFERROR(__xludf.DUMMYFUNCTION("""COMPUTED_VALUE"""),"sales person - first shivani")</f>
        <v>sales person - first shivani</v>
      </c>
    </row>
    <row r="319">
      <c r="A319" s="85">
        <f>IFERROR(__xludf.DUMMYFUNCTION("""COMPUTED_VALUE"""),45329.74287449074)</f>
        <v>45329.74287</v>
      </c>
      <c r="B319" s="4"/>
      <c r="C319" s="4"/>
      <c r="D319" s="4"/>
      <c r="E319" s="4"/>
      <c r="F319" s="4"/>
      <c r="G319" s="85">
        <f>IFERROR(__xludf.DUMMYFUNCTION("""COMPUTED_VALUE"""),45330.742361111115)</f>
        <v>45330.74236</v>
      </c>
      <c r="H319" s="85" t="str">
        <f>IFERROR(__xludf.DUMMYFUNCTION("""COMPUTED_VALUE"""),"Enquire &amp; Coordinate with client")</f>
        <v>Enquire &amp; Coordinate with client</v>
      </c>
      <c r="I319" s="4" t="str">
        <f>IFERROR(__xludf.DUMMYFUNCTION("""COMPUTED_VALUE"""),"sales person - first shivani")</f>
        <v>sales person - first shivani</v>
      </c>
    </row>
    <row r="320">
      <c r="A320" s="85">
        <f>IFERROR(__xludf.DUMMYFUNCTION("""COMPUTED_VALUE"""),45329.744584837965)</f>
        <v>45329.74458</v>
      </c>
      <c r="B320" s="4"/>
      <c r="C320" s="4"/>
      <c r="D320" s="4"/>
      <c r="E320" s="4"/>
      <c r="F320" s="4"/>
      <c r="G320" s="85">
        <f>IFERROR(__xludf.DUMMYFUNCTION("""COMPUTED_VALUE"""),45330.74444444444)</f>
        <v>45330.74444</v>
      </c>
      <c r="H320" s="85" t="str">
        <f>IFERROR(__xludf.DUMMYFUNCTION("""COMPUTED_VALUE"""),"Enquire &amp; Coordinate with client")</f>
        <v>Enquire &amp; Coordinate with client</v>
      </c>
      <c r="I320" s="4" t="str">
        <f>IFERROR(__xludf.DUMMYFUNCTION("""COMPUTED_VALUE"""),"sales person - first shivani")</f>
        <v>sales person - first shivani</v>
      </c>
    </row>
    <row r="321">
      <c r="A321" s="85">
        <f>IFERROR(__xludf.DUMMYFUNCTION("""COMPUTED_VALUE"""),45329.745304386575)</f>
        <v>45329.7453</v>
      </c>
      <c r="B321" s="4"/>
      <c r="C321" s="4"/>
      <c r="D321" s="4"/>
      <c r="E321" s="4"/>
      <c r="F321" s="4"/>
      <c r="G321" s="85">
        <f>IFERROR(__xludf.DUMMYFUNCTION("""COMPUTED_VALUE"""),45330.74513888889)</f>
        <v>45330.74514</v>
      </c>
      <c r="H321" s="85" t="str">
        <f>IFERROR(__xludf.DUMMYFUNCTION("""COMPUTED_VALUE"""),"Enquire &amp; Coordinate with client")</f>
        <v>Enquire &amp; Coordinate with client</v>
      </c>
      <c r="I321" s="4" t="str">
        <f>IFERROR(__xludf.DUMMYFUNCTION("""COMPUTED_VALUE"""),"sales person - first shivani")</f>
        <v>sales person - first shivani</v>
      </c>
    </row>
    <row r="322">
      <c r="A322" s="85">
        <f>IFERROR(__xludf.DUMMYFUNCTION("""COMPUTED_VALUE"""),45329.74689015046)</f>
        <v>45329.74689</v>
      </c>
      <c r="B322" s="4"/>
      <c r="C322" s="4"/>
      <c r="D322" s="4"/>
      <c r="E322" s="4"/>
      <c r="F322" s="4"/>
      <c r="G322" s="85">
        <f>IFERROR(__xludf.DUMMYFUNCTION("""COMPUTED_VALUE"""),45330.74652777778)</f>
        <v>45330.74653</v>
      </c>
      <c r="H322" s="85" t="str">
        <f>IFERROR(__xludf.DUMMYFUNCTION("""COMPUTED_VALUE"""),"Enquire &amp; Coordinate with client")</f>
        <v>Enquire &amp; Coordinate with client</v>
      </c>
      <c r="I322" s="4" t="str">
        <f>IFERROR(__xludf.DUMMYFUNCTION("""COMPUTED_VALUE"""),"sales person - first shivani")</f>
        <v>sales person - first shivani</v>
      </c>
    </row>
    <row r="323">
      <c r="A323" s="85">
        <f>IFERROR(__xludf.DUMMYFUNCTION("""COMPUTED_VALUE"""),45329.74918725695)</f>
        <v>45329.74919</v>
      </c>
      <c r="B323" s="4"/>
      <c r="C323" s="4"/>
      <c r="D323" s="4"/>
      <c r="E323" s="4"/>
      <c r="F323" s="4"/>
      <c r="G323" s="85">
        <f>IFERROR(__xludf.DUMMYFUNCTION("""COMPUTED_VALUE"""),45330.74861111111)</f>
        <v>45330.74861</v>
      </c>
      <c r="H323" s="85" t="str">
        <f>IFERROR(__xludf.DUMMYFUNCTION("""COMPUTED_VALUE"""),"Enquire &amp; Coordinate with client")</f>
        <v>Enquire &amp; Coordinate with client</v>
      </c>
      <c r="I323" s="4" t="str">
        <f>IFERROR(__xludf.DUMMYFUNCTION("""COMPUTED_VALUE"""),"sales person - first shivani")</f>
        <v>sales person - first shivani</v>
      </c>
    </row>
    <row r="324">
      <c r="A324" s="85">
        <f>IFERROR(__xludf.DUMMYFUNCTION("""COMPUTED_VALUE"""),45329.7499762963)</f>
        <v>45329.74998</v>
      </c>
      <c r="B324" s="4"/>
      <c r="C324" s="4"/>
      <c r="D324" s="4"/>
      <c r="E324" s="4"/>
      <c r="F324" s="4"/>
      <c r="G324" s="85">
        <f>IFERROR(__xludf.DUMMYFUNCTION("""COMPUTED_VALUE"""),45330.74930555555)</f>
        <v>45330.74931</v>
      </c>
      <c r="H324" s="85" t="str">
        <f>IFERROR(__xludf.DUMMYFUNCTION("""COMPUTED_VALUE"""),"Enquire &amp; Coordinate with client")</f>
        <v>Enquire &amp; Coordinate with client</v>
      </c>
      <c r="I324" s="4" t="str">
        <f>IFERROR(__xludf.DUMMYFUNCTION("""COMPUTED_VALUE"""),"sales person - first shivani")</f>
        <v>sales person - first shivani</v>
      </c>
    </row>
    <row r="325">
      <c r="A325" s="85">
        <f>IFERROR(__xludf.DUMMYFUNCTION("""COMPUTED_VALUE"""),45329.751687372685)</f>
        <v>45329.75169</v>
      </c>
      <c r="B325" s="4"/>
      <c r="C325" s="4"/>
      <c r="D325" s="4"/>
      <c r="E325" s="4"/>
      <c r="F325" s="4"/>
      <c r="G325" s="85">
        <f>IFERROR(__xludf.DUMMYFUNCTION("""COMPUTED_VALUE"""),45330.75138888889)</f>
        <v>45330.75139</v>
      </c>
      <c r="H325" s="85" t="str">
        <f>IFERROR(__xludf.DUMMYFUNCTION("""COMPUTED_VALUE"""),"Enquire &amp; Coordinate with client")</f>
        <v>Enquire &amp; Coordinate with client</v>
      </c>
      <c r="I325" s="4" t="str">
        <f>IFERROR(__xludf.DUMMYFUNCTION("""COMPUTED_VALUE"""),"sales person - first shivani")</f>
        <v>sales person - first shivani</v>
      </c>
    </row>
    <row r="326">
      <c r="A326" s="85">
        <f>IFERROR(__xludf.DUMMYFUNCTION("""COMPUTED_VALUE"""),45329.75281954861)</f>
        <v>45329.75282</v>
      </c>
      <c r="B326" s="4"/>
      <c r="C326" s="4"/>
      <c r="D326" s="4"/>
      <c r="E326" s="4"/>
      <c r="F326" s="4"/>
      <c r="G326" s="85">
        <f>IFERROR(__xludf.DUMMYFUNCTION("""COMPUTED_VALUE"""),45330.75277777778)</f>
        <v>45330.75278</v>
      </c>
      <c r="H326" s="85" t="str">
        <f>IFERROR(__xludf.DUMMYFUNCTION("""COMPUTED_VALUE"""),"Enquire &amp; Coordinate with client")</f>
        <v>Enquire &amp; Coordinate with client</v>
      </c>
      <c r="I326" s="4" t="str">
        <f>IFERROR(__xludf.DUMMYFUNCTION("""COMPUTED_VALUE"""),"sales person - first shivani")</f>
        <v>sales person - first shivani</v>
      </c>
    </row>
    <row r="327">
      <c r="A327" s="85">
        <f>IFERROR(__xludf.DUMMYFUNCTION("""COMPUTED_VALUE"""),45329.754193611116)</f>
        <v>45329.75419</v>
      </c>
      <c r="B327" s="4"/>
      <c r="C327" s="4"/>
      <c r="D327" s="4"/>
      <c r="E327" s="4"/>
      <c r="F327" s="4"/>
      <c r="G327" s="85">
        <f>IFERROR(__xludf.DUMMYFUNCTION("""COMPUTED_VALUE"""),45330.754166666666)</f>
        <v>45330.75417</v>
      </c>
      <c r="H327" s="85" t="str">
        <f>IFERROR(__xludf.DUMMYFUNCTION("""COMPUTED_VALUE"""),"Enquire &amp; Coordinate with client")</f>
        <v>Enquire &amp; Coordinate with client</v>
      </c>
      <c r="I327" s="4" t="str">
        <f>IFERROR(__xludf.DUMMYFUNCTION("""COMPUTED_VALUE"""),"sales person - first shivani")</f>
        <v>sales person - first shivani</v>
      </c>
    </row>
    <row r="328">
      <c r="A328" s="85">
        <f>IFERROR(__xludf.DUMMYFUNCTION("""COMPUTED_VALUE"""),45329.754961736115)</f>
        <v>45329.75496</v>
      </c>
      <c r="B328" s="4"/>
      <c r="C328" s="4"/>
      <c r="D328" s="4"/>
      <c r="E328" s="4"/>
      <c r="F328" s="4"/>
      <c r="G328" s="85">
        <f>IFERROR(__xludf.DUMMYFUNCTION("""COMPUTED_VALUE"""),45330.75486111111)</f>
        <v>45330.75486</v>
      </c>
      <c r="H328" s="85" t="str">
        <f>IFERROR(__xludf.DUMMYFUNCTION("""COMPUTED_VALUE"""),"Enquire &amp; Coordinate with client")</f>
        <v>Enquire &amp; Coordinate with client</v>
      </c>
      <c r="I328" s="4" t="str">
        <f>IFERROR(__xludf.DUMMYFUNCTION("""COMPUTED_VALUE"""),"sales person - first shivani")</f>
        <v>sales person - first shivani</v>
      </c>
    </row>
    <row r="329">
      <c r="A329" s="85">
        <f>IFERROR(__xludf.DUMMYFUNCTION("""COMPUTED_VALUE"""),45329.75657665509)</f>
        <v>45329.75658</v>
      </c>
      <c r="B329" s="4"/>
      <c r="C329" s="4"/>
      <c r="D329" s="4"/>
      <c r="E329" s="4"/>
      <c r="F329" s="4"/>
      <c r="G329" s="85">
        <f>IFERROR(__xludf.DUMMYFUNCTION("""COMPUTED_VALUE"""),45330.75625)</f>
        <v>45330.75625</v>
      </c>
      <c r="H329" s="85" t="str">
        <f>IFERROR(__xludf.DUMMYFUNCTION("""COMPUTED_VALUE"""),"Enquire &amp; Coordinate with client")</f>
        <v>Enquire &amp; Coordinate with client</v>
      </c>
      <c r="I329" s="4" t="str">
        <f>IFERROR(__xludf.DUMMYFUNCTION("""COMPUTED_VALUE"""),"sales person - first shivani")</f>
        <v>sales person - first shivani</v>
      </c>
    </row>
    <row r="330">
      <c r="A330" s="85">
        <f>IFERROR(__xludf.DUMMYFUNCTION("""COMPUTED_VALUE"""),45329.75724960648)</f>
        <v>45329.75725</v>
      </c>
      <c r="B330" s="4"/>
      <c r="C330" s="4"/>
      <c r="D330" s="4"/>
      <c r="E330" s="4"/>
      <c r="F330" s="4"/>
      <c r="G330" s="85">
        <f>IFERROR(__xludf.DUMMYFUNCTION("""COMPUTED_VALUE"""),45330.756944444445)</f>
        <v>45330.75694</v>
      </c>
      <c r="H330" s="85" t="str">
        <f>IFERROR(__xludf.DUMMYFUNCTION("""COMPUTED_VALUE"""),"Enquire &amp; Coordinate with client")</f>
        <v>Enquire &amp; Coordinate with client</v>
      </c>
      <c r="I330" s="4" t="str">
        <f>IFERROR(__xludf.DUMMYFUNCTION("""COMPUTED_VALUE"""),"sales person - first shivani")</f>
        <v>sales person - first shivani</v>
      </c>
    </row>
    <row r="331">
      <c r="A331" s="85">
        <f>IFERROR(__xludf.DUMMYFUNCTION("""COMPUTED_VALUE"""),45329.75795326389)</f>
        <v>45329.75795</v>
      </c>
      <c r="B331" s="4"/>
      <c r="C331" s="4"/>
      <c r="D331" s="4"/>
      <c r="E331" s="4"/>
      <c r="F331" s="4"/>
      <c r="G331" s="85">
        <f>IFERROR(__xludf.DUMMYFUNCTION("""COMPUTED_VALUE"""),45330.757638888885)</f>
        <v>45330.75764</v>
      </c>
      <c r="H331" s="85" t="str">
        <f>IFERROR(__xludf.DUMMYFUNCTION("""COMPUTED_VALUE"""),"Enquire &amp; Coordinate with client")</f>
        <v>Enquire &amp; Coordinate with client</v>
      </c>
      <c r="I331" s="4" t="str">
        <f>IFERROR(__xludf.DUMMYFUNCTION("""COMPUTED_VALUE"""),"sales person - first shivani")</f>
        <v>sales person - first shivani</v>
      </c>
    </row>
    <row r="332">
      <c r="A332" s="85">
        <f>IFERROR(__xludf.DUMMYFUNCTION("""COMPUTED_VALUE"""),45329.75854381945)</f>
        <v>45329.75854</v>
      </c>
      <c r="B332" s="4"/>
      <c r="C332" s="4"/>
      <c r="D332" s="4"/>
      <c r="E332" s="4"/>
      <c r="F332" s="4"/>
      <c r="G332" s="85">
        <f>IFERROR(__xludf.DUMMYFUNCTION("""COMPUTED_VALUE"""),45330.75833333333)</f>
        <v>45330.75833</v>
      </c>
      <c r="H332" s="85" t="str">
        <f>IFERROR(__xludf.DUMMYFUNCTION("""COMPUTED_VALUE"""),"Enquire &amp; Coordinate with client")</f>
        <v>Enquire &amp; Coordinate with client</v>
      </c>
      <c r="I332" s="4" t="str">
        <f>IFERROR(__xludf.DUMMYFUNCTION("""COMPUTED_VALUE"""),"sales person - first shivani")</f>
        <v>sales person - first shivani</v>
      </c>
    </row>
    <row r="333">
      <c r="A333" s="85">
        <f>IFERROR(__xludf.DUMMYFUNCTION("""COMPUTED_VALUE"""),45330.58246019676)</f>
        <v>45330.58246</v>
      </c>
      <c r="B333" s="4"/>
      <c r="C333" s="4"/>
      <c r="D333" s="4"/>
      <c r="E333" s="4"/>
      <c r="F333" s="4"/>
      <c r="G333" s="85">
        <f>IFERROR(__xludf.DUMMYFUNCTION("""COMPUTED_VALUE"""),45331.58194444445)</f>
        <v>45331.58194</v>
      </c>
      <c r="H333" s="85" t="str">
        <f>IFERROR(__xludf.DUMMYFUNCTION("""COMPUTED_VALUE"""),"Enquire &amp; Coordinate with client")</f>
        <v>Enquire &amp; Coordinate with client</v>
      </c>
      <c r="I333" s="4" t="str">
        <f>IFERROR(__xludf.DUMMYFUNCTION("""COMPUTED_VALUE"""),"sales person - first shivani")</f>
        <v>sales person - first shivani</v>
      </c>
    </row>
    <row r="334">
      <c r="A334" s="85">
        <f>IFERROR(__xludf.DUMMYFUNCTION("""COMPUTED_VALUE"""),45330.58393171296)</f>
        <v>45330.58393</v>
      </c>
      <c r="B334" s="4"/>
      <c r="C334" s="4"/>
      <c r="D334" s="4"/>
      <c r="E334" s="4"/>
      <c r="F334" s="4"/>
      <c r="G334" s="85">
        <f>IFERROR(__xludf.DUMMYFUNCTION("""COMPUTED_VALUE"""),45331.58333333333)</f>
        <v>45331.58333</v>
      </c>
      <c r="H334" s="85" t="str">
        <f>IFERROR(__xludf.DUMMYFUNCTION("""COMPUTED_VALUE"""),"Enquire &amp; Coordinate with client")</f>
        <v>Enquire &amp; Coordinate with client</v>
      </c>
      <c r="I334" s="4" t="str">
        <f>IFERROR(__xludf.DUMMYFUNCTION("""COMPUTED_VALUE"""),"sales person - first shivani")</f>
        <v>sales person - first shivani</v>
      </c>
    </row>
    <row r="335">
      <c r="A335" s="85">
        <f>IFERROR(__xludf.DUMMYFUNCTION("""COMPUTED_VALUE"""),45330.585372407404)</f>
        <v>45330.58537</v>
      </c>
      <c r="B335" s="4"/>
      <c r="C335" s="4"/>
      <c r="D335" s="4"/>
      <c r="E335" s="4"/>
      <c r="F335" s="4"/>
      <c r="G335" s="85">
        <f>IFERROR(__xludf.DUMMYFUNCTION("""COMPUTED_VALUE"""),45331.58472222222)</f>
        <v>45331.58472</v>
      </c>
      <c r="H335" s="85" t="str">
        <f>IFERROR(__xludf.DUMMYFUNCTION("""COMPUTED_VALUE"""),"Enquire &amp; Coordinate with client")</f>
        <v>Enquire &amp; Coordinate with client</v>
      </c>
      <c r="I335" s="4" t="str">
        <f>IFERROR(__xludf.DUMMYFUNCTION("""COMPUTED_VALUE"""),"sales person - first shivani")</f>
        <v>sales person - first shivani</v>
      </c>
    </row>
    <row r="336">
      <c r="A336" s="85">
        <f>IFERROR(__xludf.DUMMYFUNCTION("""COMPUTED_VALUE"""),45330.58719605324)</f>
        <v>45330.5872</v>
      </c>
      <c r="B336" s="4"/>
      <c r="C336" s="4"/>
      <c r="D336" s="4"/>
      <c r="E336" s="4"/>
      <c r="F336" s="4"/>
      <c r="G336" s="85">
        <f>IFERROR(__xludf.DUMMYFUNCTION("""COMPUTED_VALUE"""),45331.586805555555)</f>
        <v>45331.58681</v>
      </c>
      <c r="H336" s="85" t="str">
        <f>IFERROR(__xludf.DUMMYFUNCTION("""COMPUTED_VALUE"""),"Enquire &amp; Coordinate with client")</f>
        <v>Enquire &amp; Coordinate with client</v>
      </c>
      <c r="I336" s="4" t="str">
        <f>IFERROR(__xludf.DUMMYFUNCTION("""COMPUTED_VALUE"""),"sales person - first shivani")</f>
        <v>sales person - first shivani</v>
      </c>
    </row>
    <row r="337">
      <c r="A337" s="85">
        <f>IFERROR(__xludf.DUMMYFUNCTION("""COMPUTED_VALUE"""),45330.60603285879)</f>
        <v>45330.60603</v>
      </c>
      <c r="B337" s="4"/>
      <c r="C337" s="4"/>
      <c r="D337" s="4"/>
      <c r="E337" s="4"/>
      <c r="F337" s="4"/>
      <c r="G337" s="85">
        <f>IFERROR(__xludf.DUMMYFUNCTION("""COMPUTED_VALUE"""),45331.60555555555)</f>
        <v>45331.60556</v>
      </c>
      <c r="H337" s="85" t="str">
        <f>IFERROR(__xludf.DUMMYFUNCTION("""COMPUTED_VALUE"""),"Enquire &amp; Coordinate with client")</f>
        <v>Enquire &amp; Coordinate with client</v>
      </c>
      <c r="I337" s="4" t="str">
        <f>IFERROR(__xludf.DUMMYFUNCTION("""COMPUTED_VALUE"""),"sales person - first shivani")</f>
        <v>sales person - first shivani</v>
      </c>
    </row>
    <row r="338">
      <c r="A338" s="85">
        <f>IFERROR(__xludf.DUMMYFUNCTION("""COMPUTED_VALUE"""),45330.60722706019)</f>
        <v>45330.60723</v>
      </c>
      <c r="B338" s="4"/>
      <c r="C338" s="4"/>
      <c r="D338" s="4"/>
      <c r="E338" s="4"/>
      <c r="F338" s="4"/>
      <c r="G338" s="85">
        <f>IFERROR(__xludf.DUMMYFUNCTION("""COMPUTED_VALUE"""),45331.606944444444)</f>
        <v>45331.60694</v>
      </c>
      <c r="H338" s="85" t="str">
        <f>IFERROR(__xludf.DUMMYFUNCTION("""COMPUTED_VALUE"""),"Enquire &amp; Coordinate with client")</f>
        <v>Enquire &amp; Coordinate with client</v>
      </c>
      <c r="I338" s="4" t="str">
        <f>IFERROR(__xludf.DUMMYFUNCTION("""COMPUTED_VALUE"""),"sales person - first shivani")</f>
        <v>sales person - first shivani</v>
      </c>
    </row>
    <row r="339">
      <c r="A339" s="85">
        <f>IFERROR(__xludf.DUMMYFUNCTION("""COMPUTED_VALUE"""),45330.608416539355)</f>
        <v>45330.60842</v>
      </c>
      <c r="B339" s="4"/>
      <c r="C339" s="4"/>
      <c r="D339" s="4"/>
      <c r="E339" s="4"/>
      <c r="F339" s="4"/>
      <c r="G339" s="85">
        <f>IFERROR(__xludf.DUMMYFUNCTION("""COMPUTED_VALUE"""),45331.60833333334)</f>
        <v>45331.60833</v>
      </c>
      <c r="H339" s="85" t="str">
        <f>IFERROR(__xludf.DUMMYFUNCTION("""COMPUTED_VALUE"""),"Enquire &amp; Coordinate with client")</f>
        <v>Enquire &amp; Coordinate with client</v>
      </c>
      <c r="I339" s="4" t="str">
        <f>IFERROR(__xludf.DUMMYFUNCTION("""COMPUTED_VALUE"""),"sales person - first shivani")</f>
        <v>sales person - first shivani</v>
      </c>
    </row>
    <row r="340">
      <c r="A340" s="85">
        <f>IFERROR(__xludf.DUMMYFUNCTION("""COMPUTED_VALUE"""),45330.609684814815)</f>
        <v>45330.60968</v>
      </c>
      <c r="B340" s="4"/>
      <c r="C340" s="4"/>
      <c r="D340" s="4"/>
      <c r="E340" s="4"/>
      <c r="F340" s="4"/>
      <c r="G340" s="85">
        <f>IFERROR(__xludf.DUMMYFUNCTION("""COMPUTED_VALUE"""),45331.60902777778)</f>
        <v>45331.60903</v>
      </c>
      <c r="H340" s="85" t="str">
        <f>IFERROR(__xludf.DUMMYFUNCTION("""COMPUTED_VALUE"""),"Enquire &amp; Coordinate with client")</f>
        <v>Enquire &amp; Coordinate with client</v>
      </c>
      <c r="I340" s="4" t="str">
        <f>IFERROR(__xludf.DUMMYFUNCTION("""COMPUTED_VALUE"""),"sales person - first shivani")</f>
        <v>sales person - first shivani</v>
      </c>
    </row>
    <row r="341">
      <c r="A341" s="85">
        <f>IFERROR(__xludf.DUMMYFUNCTION("""COMPUTED_VALUE"""),45330.61564618056)</f>
        <v>45330.61565</v>
      </c>
      <c r="B341" s="4"/>
      <c r="C341" s="4"/>
      <c r="D341" s="4"/>
      <c r="E341" s="4"/>
      <c r="F341" s="4"/>
      <c r="G341" s="85">
        <f>IFERROR(__xludf.DUMMYFUNCTION("""COMPUTED_VALUE"""),45331.615277777775)</f>
        <v>45331.61528</v>
      </c>
      <c r="H341" s="85" t="str">
        <f>IFERROR(__xludf.DUMMYFUNCTION("""COMPUTED_VALUE"""),"Enquire &amp; Coordinate with client")</f>
        <v>Enquire &amp; Coordinate with client</v>
      </c>
      <c r="I341" s="4" t="str">
        <f>IFERROR(__xludf.DUMMYFUNCTION("""COMPUTED_VALUE"""),"sales person - first shivani")</f>
        <v>sales person - first shivani</v>
      </c>
    </row>
    <row r="342">
      <c r="A342" s="85">
        <f>IFERROR(__xludf.DUMMYFUNCTION("""COMPUTED_VALUE"""),45330.61679424768)</f>
        <v>45330.61679</v>
      </c>
      <c r="B342" s="4"/>
      <c r="C342" s="4"/>
      <c r="D342" s="4"/>
      <c r="E342" s="4"/>
      <c r="F342" s="4"/>
      <c r="G342" s="85">
        <f>IFERROR(__xludf.DUMMYFUNCTION("""COMPUTED_VALUE"""),45331.61666666667)</f>
        <v>45331.61667</v>
      </c>
      <c r="H342" s="85" t="str">
        <f>IFERROR(__xludf.DUMMYFUNCTION("""COMPUTED_VALUE"""),"Enquire &amp; Coordinate with client")</f>
        <v>Enquire &amp; Coordinate with client</v>
      </c>
      <c r="I342" s="4" t="str">
        <f>IFERROR(__xludf.DUMMYFUNCTION("""COMPUTED_VALUE"""),"sales person - first shivani")</f>
        <v>sales person - first shivani</v>
      </c>
    </row>
    <row r="343">
      <c r="A343" s="85">
        <f>IFERROR(__xludf.DUMMYFUNCTION("""COMPUTED_VALUE"""),45330.61771597222)</f>
        <v>45330.61772</v>
      </c>
      <c r="B343" s="4"/>
      <c r="C343" s="4"/>
      <c r="D343" s="4"/>
      <c r="E343" s="4"/>
      <c r="F343" s="4"/>
      <c r="G343" s="85">
        <f>IFERROR(__xludf.DUMMYFUNCTION("""COMPUTED_VALUE"""),45331.617361111115)</f>
        <v>45331.61736</v>
      </c>
      <c r="H343" s="85" t="str">
        <f>IFERROR(__xludf.DUMMYFUNCTION("""COMPUTED_VALUE"""),"Enquire &amp; Coordinate with client")</f>
        <v>Enquire &amp; Coordinate with client</v>
      </c>
      <c r="I343" s="4" t="str">
        <f>IFERROR(__xludf.DUMMYFUNCTION("""COMPUTED_VALUE"""),"sales person - first shivani")</f>
        <v>sales person - first shivani</v>
      </c>
    </row>
    <row r="344">
      <c r="A344" s="85">
        <f>IFERROR(__xludf.DUMMYFUNCTION("""COMPUTED_VALUE"""),45330.61862431713)</f>
        <v>45330.61862</v>
      </c>
      <c r="B344" s="4"/>
      <c r="C344" s="4"/>
      <c r="D344" s="4"/>
      <c r="E344" s="4"/>
      <c r="F344" s="4"/>
      <c r="G344" s="85">
        <f>IFERROR(__xludf.DUMMYFUNCTION("""COMPUTED_VALUE"""),45331.618055555555)</f>
        <v>45331.61806</v>
      </c>
      <c r="H344" s="85" t="str">
        <f>IFERROR(__xludf.DUMMYFUNCTION("""COMPUTED_VALUE"""),"Enquire &amp; Coordinate with client")</f>
        <v>Enquire &amp; Coordinate with client</v>
      </c>
      <c r="I344" s="4" t="str">
        <f>IFERROR(__xludf.DUMMYFUNCTION("""COMPUTED_VALUE"""),"sales person - first shivani")</f>
        <v>sales person - first shivani</v>
      </c>
    </row>
    <row r="345">
      <c r="A345" s="85">
        <f>IFERROR(__xludf.DUMMYFUNCTION("""COMPUTED_VALUE"""),45330.61945034722)</f>
        <v>45330.61945</v>
      </c>
      <c r="B345" s="4"/>
      <c r="C345" s="4"/>
      <c r="D345" s="4"/>
      <c r="E345" s="4"/>
      <c r="F345" s="4"/>
      <c r="G345" s="85">
        <f>IFERROR(__xludf.DUMMYFUNCTION("""COMPUTED_VALUE"""),45331.61944444444)</f>
        <v>45331.61944</v>
      </c>
      <c r="H345" s="85" t="str">
        <f>IFERROR(__xludf.DUMMYFUNCTION("""COMPUTED_VALUE"""),"Enquire &amp; Coordinate with client")</f>
        <v>Enquire &amp; Coordinate with client</v>
      </c>
      <c r="I345" s="4" t="str">
        <f>IFERROR(__xludf.DUMMYFUNCTION("""COMPUTED_VALUE"""),"sales person - first shivani")</f>
        <v>sales person - first shivani</v>
      </c>
    </row>
    <row r="346">
      <c r="A346" s="85">
        <f>IFERROR(__xludf.DUMMYFUNCTION("""COMPUTED_VALUE"""),45330.621879398146)</f>
        <v>45330.62188</v>
      </c>
      <c r="B346" s="4"/>
      <c r="C346" s="4"/>
      <c r="D346" s="4"/>
      <c r="E346" s="4"/>
      <c r="F346" s="4"/>
      <c r="G346" s="85">
        <f>IFERROR(__xludf.DUMMYFUNCTION("""COMPUTED_VALUE"""),45331.62152777778)</f>
        <v>45331.62153</v>
      </c>
      <c r="H346" s="85" t="str">
        <f>IFERROR(__xludf.DUMMYFUNCTION("""COMPUTED_VALUE"""),"Enquire &amp; Coordinate with client")</f>
        <v>Enquire &amp; Coordinate with client</v>
      </c>
      <c r="I346" s="4" t="str">
        <f>IFERROR(__xludf.DUMMYFUNCTION("""COMPUTED_VALUE"""),"sales person - first shivani")</f>
        <v>sales person - first shivani</v>
      </c>
    </row>
    <row r="347">
      <c r="A347" s="85">
        <f>IFERROR(__xludf.DUMMYFUNCTION("""COMPUTED_VALUE"""),45330.65968019676)</f>
        <v>45330.65968</v>
      </c>
      <c r="B347" s="4"/>
      <c r="C347" s="4"/>
      <c r="D347" s="4"/>
      <c r="E347" s="4"/>
      <c r="F347" s="4"/>
      <c r="G347" s="85">
        <f>IFERROR(__xludf.DUMMYFUNCTION("""COMPUTED_VALUE"""),45331.65902777778)</f>
        <v>45331.65903</v>
      </c>
      <c r="H347" s="85" t="str">
        <f>IFERROR(__xludf.DUMMYFUNCTION("""COMPUTED_VALUE"""),"Enquire &amp; Coordinate with client")</f>
        <v>Enquire &amp; Coordinate with client</v>
      </c>
      <c r="I347" s="4" t="str">
        <f>IFERROR(__xludf.DUMMYFUNCTION("""COMPUTED_VALUE"""),"sales person - first shivani")</f>
        <v>sales person - first shivani</v>
      </c>
    </row>
    <row r="348">
      <c r="A348" s="85">
        <f>IFERROR(__xludf.DUMMYFUNCTION("""COMPUTED_VALUE"""),45330.66071924768)</f>
        <v>45330.66072</v>
      </c>
      <c r="B348" s="4"/>
      <c r="C348" s="4"/>
      <c r="D348" s="4"/>
      <c r="E348" s="4"/>
      <c r="F348" s="4"/>
      <c r="G348" s="85">
        <f>IFERROR(__xludf.DUMMYFUNCTION("""COMPUTED_VALUE"""),45331.660416666666)</f>
        <v>45331.66042</v>
      </c>
      <c r="H348" s="85" t="str">
        <f>IFERROR(__xludf.DUMMYFUNCTION("""COMPUTED_VALUE"""),"Enquire &amp; Coordinate with client")</f>
        <v>Enquire &amp; Coordinate with client</v>
      </c>
      <c r="I348" s="4" t="str">
        <f>IFERROR(__xludf.DUMMYFUNCTION("""COMPUTED_VALUE"""),"sales person - first shivani")</f>
        <v>sales person - first shivani</v>
      </c>
    </row>
    <row r="349">
      <c r="A349" s="85">
        <f>IFERROR(__xludf.DUMMYFUNCTION("""COMPUTED_VALUE"""),45330.66184612269)</f>
        <v>45330.66185</v>
      </c>
      <c r="B349" s="4"/>
      <c r="C349" s="4"/>
      <c r="D349" s="4"/>
      <c r="E349" s="4"/>
      <c r="F349" s="4"/>
      <c r="G349" s="85">
        <f>IFERROR(__xludf.DUMMYFUNCTION("""COMPUTED_VALUE"""),45331.66180555556)</f>
        <v>45331.66181</v>
      </c>
      <c r="H349" s="85" t="str">
        <f>IFERROR(__xludf.DUMMYFUNCTION("""COMPUTED_VALUE"""),"Enquire &amp; Coordinate with client")</f>
        <v>Enquire &amp; Coordinate with client</v>
      </c>
      <c r="I349" s="4" t="str">
        <f>IFERROR(__xludf.DUMMYFUNCTION("""COMPUTED_VALUE"""),"sales person - first shivani")</f>
        <v>sales person - first shivani</v>
      </c>
    </row>
    <row r="350">
      <c r="A350" s="85">
        <f>IFERROR(__xludf.DUMMYFUNCTION("""COMPUTED_VALUE"""),45330.662813020834)</f>
        <v>45330.66281</v>
      </c>
      <c r="B350" s="4"/>
      <c r="C350" s="4"/>
      <c r="D350" s="4"/>
      <c r="E350" s="4"/>
      <c r="F350" s="4"/>
      <c r="G350" s="85">
        <f>IFERROR(__xludf.DUMMYFUNCTION("""COMPUTED_VALUE"""),45331.6625)</f>
        <v>45331.6625</v>
      </c>
      <c r="H350" s="85" t="str">
        <f>IFERROR(__xludf.DUMMYFUNCTION("""COMPUTED_VALUE"""),"Enquire &amp; Coordinate with client")</f>
        <v>Enquire &amp; Coordinate with client</v>
      </c>
      <c r="I350" s="4" t="str">
        <f>IFERROR(__xludf.DUMMYFUNCTION("""COMPUTED_VALUE"""),"sales person - first shivani")</f>
        <v>sales person - first shivani</v>
      </c>
    </row>
    <row r="351">
      <c r="A351" s="85">
        <f>IFERROR(__xludf.DUMMYFUNCTION("""COMPUTED_VALUE"""),45330.66625787036)</f>
        <v>45330.66626</v>
      </c>
      <c r="B351" s="4"/>
      <c r="C351" s="4"/>
      <c r="D351" s="4"/>
      <c r="E351" s="4"/>
      <c r="F351" s="4"/>
      <c r="G351" s="85">
        <f>IFERROR(__xludf.DUMMYFUNCTION("""COMPUTED_VALUE"""),45331.665972222225)</f>
        <v>45331.66597</v>
      </c>
      <c r="H351" s="85" t="str">
        <f>IFERROR(__xludf.DUMMYFUNCTION("""COMPUTED_VALUE"""),"Enquire &amp; Coordinate with client")</f>
        <v>Enquire &amp; Coordinate with client</v>
      </c>
      <c r="I351" s="4" t="str">
        <f>IFERROR(__xludf.DUMMYFUNCTION("""COMPUTED_VALUE"""),"sales person - first shivani")</f>
        <v>sales person - first shivani</v>
      </c>
    </row>
    <row r="352">
      <c r="A352" s="85">
        <f>IFERROR(__xludf.DUMMYFUNCTION("""COMPUTED_VALUE"""),45330.69191104167)</f>
        <v>45330.69191</v>
      </c>
      <c r="B352" s="4"/>
      <c r="C352" s="4"/>
      <c r="D352" s="4"/>
      <c r="E352" s="4"/>
      <c r="F352" s="4"/>
      <c r="G352" s="85">
        <f>IFERROR(__xludf.DUMMYFUNCTION("""COMPUTED_VALUE"""),45331.691666666666)</f>
        <v>45331.69167</v>
      </c>
      <c r="H352" s="85" t="str">
        <f>IFERROR(__xludf.DUMMYFUNCTION("""COMPUTED_VALUE"""),"Enquire &amp; Coordinate with client")</f>
        <v>Enquire &amp; Coordinate with client</v>
      </c>
      <c r="I352" s="4" t="str">
        <f>IFERROR(__xludf.DUMMYFUNCTION("""COMPUTED_VALUE"""),"sales person - first shivani")</f>
        <v>sales person - first shivani</v>
      </c>
    </row>
    <row r="353">
      <c r="A353" s="85">
        <f>IFERROR(__xludf.DUMMYFUNCTION("""COMPUTED_VALUE"""),45330.69322393518)</f>
        <v>45330.69322</v>
      </c>
      <c r="B353" s="4"/>
      <c r="C353" s="4"/>
      <c r="D353" s="4"/>
      <c r="E353" s="4"/>
      <c r="F353" s="4"/>
      <c r="G353" s="85">
        <f>IFERROR(__xludf.DUMMYFUNCTION("""COMPUTED_VALUE"""),45331.69305555556)</f>
        <v>45331.69306</v>
      </c>
      <c r="H353" s="85" t="str">
        <f>IFERROR(__xludf.DUMMYFUNCTION("""COMPUTED_VALUE"""),"Enquire &amp; Coordinate with client")</f>
        <v>Enquire &amp; Coordinate with client</v>
      </c>
      <c r="I353" s="4" t="str">
        <f>IFERROR(__xludf.DUMMYFUNCTION("""COMPUTED_VALUE"""),"sales person - first shivani")</f>
        <v>sales person - first shivani</v>
      </c>
    </row>
    <row r="354">
      <c r="A354" s="85">
        <f>IFERROR(__xludf.DUMMYFUNCTION("""COMPUTED_VALUE"""),45330.69480196759)</f>
        <v>45330.6948</v>
      </c>
      <c r="B354" s="4"/>
      <c r="C354" s="4"/>
      <c r="D354" s="4"/>
      <c r="E354" s="4"/>
      <c r="F354" s="4"/>
      <c r="G354" s="85">
        <f>IFERROR(__xludf.DUMMYFUNCTION("""COMPUTED_VALUE"""),45331.694444444445)</f>
        <v>45331.69444</v>
      </c>
      <c r="H354" s="85" t="str">
        <f>IFERROR(__xludf.DUMMYFUNCTION("""COMPUTED_VALUE"""),"Enquire &amp; Coordinate with client")</f>
        <v>Enquire &amp; Coordinate with client</v>
      </c>
      <c r="I354" s="4" t="str">
        <f>IFERROR(__xludf.DUMMYFUNCTION("""COMPUTED_VALUE"""),"sales person - first shivani")</f>
        <v>sales person - first shivani</v>
      </c>
    </row>
    <row r="355">
      <c r="A355" s="85">
        <f>IFERROR(__xludf.DUMMYFUNCTION("""COMPUTED_VALUE"""),45330.697148796295)</f>
        <v>45330.69715</v>
      </c>
      <c r="B355" s="4"/>
      <c r="C355" s="4"/>
      <c r="D355" s="4"/>
      <c r="E355" s="4"/>
      <c r="F355" s="4"/>
      <c r="G355" s="85">
        <f>IFERROR(__xludf.DUMMYFUNCTION("""COMPUTED_VALUE"""),45331.69652777778)</f>
        <v>45331.69653</v>
      </c>
      <c r="H355" s="85" t="str">
        <f>IFERROR(__xludf.DUMMYFUNCTION("""COMPUTED_VALUE"""),"Enquire &amp; Coordinate with client")</f>
        <v>Enquire &amp; Coordinate with client</v>
      </c>
      <c r="I355" s="4" t="str">
        <f>IFERROR(__xludf.DUMMYFUNCTION("""COMPUTED_VALUE"""),"sales person - first shivani")</f>
        <v>sales person - first shivani</v>
      </c>
    </row>
    <row r="356">
      <c r="A356" s="85">
        <f>IFERROR(__xludf.DUMMYFUNCTION("""COMPUTED_VALUE"""),45330.698297719915)</f>
        <v>45330.6983</v>
      </c>
      <c r="B356" s="4"/>
      <c r="C356" s="4"/>
      <c r="D356" s="4"/>
      <c r="E356" s="4"/>
      <c r="F356" s="4"/>
      <c r="G356" s="85">
        <f>IFERROR(__xludf.DUMMYFUNCTION("""COMPUTED_VALUE"""),45331.69791666667)</f>
        <v>45331.69792</v>
      </c>
      <c r="H356" s="85" t="str">
        <f>IFERROR(__xludf.DUMMYFUNCTION("""COMPUTED_VALUE"""),"Enquire &amp; Coordinate with client")</f>
        <v>Enquire &amp; Coordinate with client</v>
      </c>
      <c r="I356" s="4" t="str">
        <f>IFERROR(__xludf.DUMMYFUNCTION("""COMPUTED_VALUE"""),"sales person - first shivani")</f>
        <v>sales person - first shivani</v>
      </c>
    </row>
    <row r="357">
      <c r="A357" s="85">
        <f>IFERROR(__xludf.DUMMYFUNCTION("""COMPUTED_VALUE"""),45330.69922614583)</f>
        <v>45330.69923</v>
      </c>
      <c r="B357" s="4"/>
      <c r="C357" s="4"/>
      <c r="D357" s="4"/>
      <c r="E357" s="4"/>
      <c r="F357" s="4"/>
      <c r="G357" s="85">
        <f>IFERROR(__xludf.DUMMYFUNCTION("""COMPUTED_VALUE"""),45331.69861111111)</f>
        <v>45331.69861</v>
      </c>
      <c r="H357" s="85" t="str">
        <f>IFERROR(__xludf.DUMMYFUNCTION("""COMPUTED_VALUE"""),"Enquire &amp; Coordinate with client")</f>
        <v>Enquire &amp; Coordinate with client</v>
      </c>
      <c r="I357" s="4" t="str">
        <f>IFERROR(__xludf.DUMMYFUNCTION("""COMPUTED_VALUE"""),"sales person - first shivani")</f>
        <v>sales person - first shivani</v>
      </c>
    </row>
    <row r="358">
      <c r="A358" s="85">
        <f>IFERROR(__xludf.DUMMYFUNCTION("""COMPUTED_VALUE"""),45330.701600555556)</f>
        <v>45330.7016</v>
      </c>
      <c r="B358" s="4"/>
      <c r="C358" s="4"/>
      <c r="D358" s="4"/>
      <c r="E358" s="4"/>
      <c r="F358" s="4"/>
      <c r="G358" s="85">
        <f>IFERROR(__xludf.DUMMYFUNCTION("""COMPUTED_VALUE"""),45331.70138888889)</f>
        <v>45331.70139</v>
      </c>
      <c r="H358" s="85" t="str">
        <f>IFERROR(__xludf.DUMMYFUNCTION("""COMPUTED_VALUE"""),"Enquire &amp; Coordinate with client")</f>
        <v>Enquire &amp; Coordinate with client</v>
      </c>
      <c r="I358" s="4" t="str">
        <f>IFERROR(__xludf.DUMMYFUNCTION("""COMPUTED_VALUE"""),"sales person - first shivani")</f>
        <v>sales person - first shivani</v>
      </c>
    </row>
    <row r="359">
      <c r="A359" s="85">
        <f>IFERROR(__xludf.DUMMYFUNCTION("""COMPUTED_VALUE"""),45330.702638807874)</f>
        <v>45330.70264</v>
      </c>
      <c r="B359" s="4"/>
      <c r="C359" s="4"/>
      <c r="D359" s="4"/>
      <c r="E359" s="4"/>
      <c r="F359" s="4"/>
      <c r="G359" s="85">
        <f>IFERROR(__xludf.DUMMYFUNCTION("""COMPUTED_VALUE"""),45331.70208333334)</f>
        <v>45331.70208</v>
      </c>
      <c r="H359" s="85" t="str">
        <f>IFERROR(__xludf.DUMMYFUNCTION("""COMPUTED_VALUE"""),"Enquire &amp; Coordinate with client")</f>
        <v>Enquire &amp; Coordinate with client</v>
      </c>
      <c r="I359" s="4" t="str">
        <f>IFERROR(__xludf.DUMMYFUNCTION("""COMPUTED_VALUE"""),"sales person - first shivani")</f>
        <v>sales person - first shivani</v>
      </c>
    </row>
    <row r="360">
      <c r="A360" s="85">
        <f>IFERROR(__xludf.DUMMYFUNCTION("""COMPUTED_VALUE"""),45330.703516331014)</f>
        <v>45330.70352</v>
      </c>
      <c r="B360" s="4"/>
      <c r="C360" s="4"/>
      <c r="D360" s="4"/>
      <c r="E360" s="4"/>
      <c r="F360" s="4"/>
      <c r="G360" s="85">
        <f>IFERROR(__xludf.DUMMYFUNCTION("""COMPUTED_VALUE"""),45331.70347222222)</f>
        <v>45331.70347</v>
      </c>
      <c r="H360" s="85" t="str">
        <f>IFERROR(__xludf.DUMMYFUNCTION("""COMPUTED_VALUE"""),"Enquire &amp; Coordinate with client")</f>
        <v>Enquire &amp; Coordinate with client</v>
      </c>
      <c r="I360" s="4" t="str">
        <f>IFERROR(__xludf.DUMMYFUNCTION("""COMPUTED_VALUE"""),"sales person - first shivani")</f>
        <v>sales person - first shivani</v>
      </c>
    </row>
    <row r="361">
      <c r="A361" s="85">
        <f>IFERROR(__xludf.DUMMYFUNCTION("""COMPUTED_VALUE"""),45331.55923497685)</f>
        <v>45331.55923</v>
      </c>
      <c r="B361" s="4"/>
      <c r="C361" s="4"/>
      <c r="D361" s="4"/>
      <c r="E361" s="4"/>
      <c r="F361" s="4"/>
      <c r="G361" s="85">
        <f>IFERROR(__xludf.DUMMYFUNCTION("""COMPUTED_VALUE"""),45332.55902777778)</f>
        <v>45332.55903</v>
      </c>
      <c r="H361" s="85" t="str">
        <f>IFERROR(__xludf.DUMMYFUNCTION("""COMPUTED_VALUE"""),"Enquire &amp; Coordinate with client")</f>
        <v>Enquire &amp; Coordinate with client</v>
      </c>
      <c r="I361" s="4" t="str">
        <f>IFERROR(__xludf.DUMMYFUNCTION("""COMPUTED_VALUE"""),"sales person - first shivani")</f>
        <v>sales person - first shivani</v>
      </c>
    </row>
    <row r="362">
      <c r="A362" s="85">
        <f>IFERROR(__xludf.DUMMYFUNCTION("""COMPUTED_VALUE"""),45331.56000277778)</f>
        <v>45331.56</v>
      </c>
      <c r="B362" s="4"/>
      <c r="C362" s="4"/>
      <c r="D362" s="4"/>
      <c r="E362" s="4"/>
      <c r="F362" s="4"/>
      <c r="G362" s="85">
        <f>IFERROR(__xludf.DUMMYFUNCTION("""COMPUTED_VALUE"""),45332.55972222222)</f>
        <v>45332.55972</v>
      </c>
      <c r="H362" s="85" t="str">
        <f>IFERROR(__xludf.DUMMYFUNCTION("""COMPUTED_VALUE"""),"Enquire &amp; Coordinate with client")</f>
        <v>Enquire &amp; Coordinate with client</v>
      </c>
      <c r="I362" s="4" t="str">
        <f>IFERROR(__xludf.DUMMYFUNCTION("""COMPUTED_VALUE"""),"sales person - first shivani")</f>
        <v>sales person - first shivani</v>
      </c>
    </row>
    <row r="363">
      <c r="A363" s="85">
        <f>IFERROR(__xludf.DUMMYFUNCTION("""COMPUTED_VALUE"""),45331.56082331019)</f>
        <v>45331.56082</v>
      </c>
      <c r="B363" s="4"/>
      <c r="C363" s="4"/>
      <c r="D363" s="4"/>
      <c r="E363" s="4"/>
      <c r="F363" s="4"/>
      <c r="G363" s="85">
        <f>IFERROR(__xludf.DUMMYFUNCTION("""COMPUTED_VALUE"""),45332.56041666667)</f>
        <v>45332.56042</v>
      </c>
      <c r="H363" s="85" t="str">
        <f>IFERROR(__xludf.DUMMYFUNCTION("""COMPUTED_VALUE"""),"Enquire &amp; Coordinate with client")</f>
        <v>Enquire &amp; Coordinate with client</v>
      </c>
      <c r="I363" s="4" t="str">
        <f>IFERROR(__xludf.DUMMYFUNCTION("""COMPUTED_VALUE"""),"sales person - first shivani")</f>
        <v>sales person - first shivani</v>
      </c>
    </row>
    <row r="364">
      <c r="A364" s="85">
        <f>IFERROR(__xludf.DUMMYFUNCTION("""COMPUTED_VALUE"""),45331.60312798611)</f>
        <v>45331.60313</v>
      </c>
      <c r="B364" s="4"/>
      <c r="C364" s="4"/>
      <c r="D364" s="4"/>
      <c r="E364" s="4"/>
      <c r="F364" s="4"/>
      <c r="G364" s="85">
        <f>IFERROR(__xludf.DUMMYFUNCTION("""COMPUTED_VALUE"""),45332.60277777778)</f>
        <v>45332.60278</v>
      </c>
      <c r="H364" s="85" t="str">
        <f>IFERROR(__xludf.DUMMYFUNCTION("""COMPUTED_VALUE"""),"Enquire &amp; Coordinate with client")</f>
        <v>Enquire &amp; Coordinate with client</v>
      </c>
      <c r="I364" s="4" t="str">
        <f>IFERROR(__xludf.DUMMYFUNCTION("""COMPUTED_VALUE"""),"sales person - first shivani")</f>
        <v>sales person - first shivani</v>
      </c>
    </row>
    <row r="365">
      <c r="A365" s="85">
        <f>IFERROR(__xludf.DUMMYFUNCTION("""COMPUTED_VALUE"""),45331.60405297454)</f>
        <v>45331.60405</v>
      </c>
      <c r="B365" s="4"/>
      <c r="C365" s="4"/>
      <c r="D365" s="4"/>
      <c r="E365" s="4"/>
      <c r="F365" s="4"/>
      <c r="G365" s="85">
        <f>IFERROR(__xludf.DUMMYFUNCTION("""COMPUTED_VALUE"""),45332.603472222225)</f>
        <v>45332.60347</v>
      </c>
      <c r="H365" s="85" t="str">
        <f>IFERROR(__xludf.DUMMYFUNCTION("""COMPUTED_VALUE"""),"Enquire &amp; Coordinate with client")</f>
        <v>Enquire &amp; Coordinate with client</v>
      </c>
      <c r="I365" s="4" t="str">
        <f>IFERROR(__xludf.DUMMYFUNCTION("""COMPUTED_VALUE"""),"sales person - first shivani")</f>
        <v>sales person - first shivani</v>
      </c>
    </row>
    <row r="366">
      <c r="A366" s="85">
        <f>IFERROR(__xludf.DUMMYFUNCTION("""COMPUTED_VALUE"""),45331.60490045139)</f>
        <v>45331.6049</v>
      </c>
      <c r="B366" s="4"/>
      <c r="C366" s="4"/>
      <c r="D366" s="4"/>
      <c r="E366" s="4"/>
      <c r="F366" s="4"/>
      <c r="G366" s="85">
        <f>IFERROR(__xludf.DUMMYFUNCTION("""COMPUTED_VALUE"""),45332.60486111111)</f>
        <v>45332.60486</v>
      </c>
      <c r="H366" s="85" t="str">
        <f>IFERROR(__xludf.DUMMYFUNCTION("""COMPUTED_VALUE"""),"Enquire &amp; Coordinate with client")</f>
        <v>Enquire &amp; Coordinate with client</v>
      </c>
      <c r="I366" s="4" t="str">
        <f>IFERROR(__xludf.DUMMYFUNCTION("""COMPUTED_VALUE"""),"sales person - first shivani")</f>
        <v>sales person - first shivani</v>
      </c>
    </row>
    <row r="367">
      <c r="A367" s="85">
        <f>IFERROR(__xludf.DUMMYFUNCTION("""COMPUTED_VALUE"""),45331.60783934027)</f>
        <v>45331.60784</v>
      </c>
      <c r="B367" s="4"/>
      <c r="C367" s="4"/>
      <c r="D367" s="4"/>
      <c r="E367" s="4"/>
      <c r="F367" s="4"/>
      <c r="G367" s="85">
        <f>IFERROR(__xludf.DUMMYFUNCTION("""COMPUTED_VALUE"""),45332.60763888889)</f>
        <v>45332.60764</v>
      </c>
      <c r="H367" s="85" t="str">
        <f>IFERROR(__xludf.DUMMYFUNCTION("""COMPUTED_VALUE"""),"Enquire &amp; Coordinate with client")</f>
        <v>Enquire &amp; Coordinate with client</v>
      </c>
      <c r="I367" s="4" t="str">
        <f>IFERROR(__xludf.DUMMYFUNCTION("""COMPUTED_VALUE"""),"sales person - first shivani")</f>
        <v>sales person - first shivani</v>
      </c>
    </row>
    <row r="368">
      <c r="A368" s="85">
        <f>IFERROR(__xludf.DUMMYFUNCTION("""COMPUTED_VALUE"""),45331.60908935185)</f>
        <v>45331.60909</v>
      </c>
      <c r="B368" s="4"/>
      <c r="C368" s="4"/>
      <c r="D368" s="4"/>
      <c r="E368" s="4"/>
      <c r="F368" s="4"/>
      <c r="G368" s="85">
        <f>IFERROR(__xludf.DUMMYFUNCTION("""COMPUTED_VALUE"""),45332.60902777778)</f>
        <v>45332.60903</v>
      </c>
      <c r="H368" s="85" t="str">
        <f>IFERROR(__xludf.DUMMYFUNCTION("""COMPUTED_VALUE"""),"Enquire &amp; Coordinate with client")</f>
        <v>Enquire &amp; Coordinate with client</v>
      </c>
      <c r="I368" s="4" t="str">
        <f>IFERROR(__xludf.DUMMYFUNCTION("""COMPUTED_VALUE"""),"sales person - first shivani")</f>
        <v>sales person - first shivani</v>
      </c>
    </row>
    <row r="369">
      <c r="A369" s="85">
        <f>IFERROR(__xludf.DUMMYFUNCTION("""COMPUTED_VALUE"""),45331.61150387731)</f>
        <v>45331.6115</v>
      </c>
      <c r="B369" s="4"/>
      <c r="C369" s="4"/>
      <c r="D369" s="4"/>
      <c r="E369" s="4"/>
      <c r="F369" s="4"/>
      <c r="G369" s="85">
        <f>IFERROR(__xludf.DUMMYFUNCTION("""COMPUTED_VALUE"""),45332.61111111111)</f>
        <v>45332.61111</v>
      </c>
      <c r="H369" s="85" t="str">
        <f>IFERROR(__xludf.DUMMYFUNCTION("""COMPUTED_VALUE"""),"Enquire &amp; Coordinate with client")</f>
        <v>Enquire &amp; Coordinate with client</v>
      </c>
      <c r="I369" s="4" t="str">
        <f>IFERROR(__xludf.DUMMYFUNCTION("""COMPUTED_VALUE"""),"sales person - first shivani")</f>
        <v>sales person - first shivani</v>
      </c>
    </row>
    <row r="370">
      <c r="A370" s="85">
        <f>IFERROR(__xludf.DUMMYFUNCTION("""COMPUTED_VALUE"""),45331.61295487268)</f>
        <v>45331.61295</v>
      </c>
      <c r="B370" s="4"/>
      <c r="C370" s="4"/>
      <c r="D370" s="4"/>
      <c r="E370" s="4"/>
      <c r="F370" s="4"/>
      <c r="G370" s="85">
        <f>IFERROR(__xludf.DUMMYFUNCTION("""COMPUTED_VALUE"""),45332.6125)</f>
        <v>45332.6125</v>
      </c>
      <c r="H370" s="85" t="str">
        <f>IFERROR(__xludf.DUMMYFUNCTION("""COMPUTED_VALUE"""),"Enquire &amp; Coordinate with client")</f>
        <v>Enquire &amp; Coordinate with client</v>
      </c>
      <c r="I370" s="4" t="str">
        <f>IFERROR(__xludf.DUMMYFUNCTION("""COMPUTED_VALUE"""),"sales person - first shivani")</f>
        <v>sales person - first shivani</v>
      </c>
    </row>
    <row r="371">
      <c r="A371" s="85">
        <f>IFERROR(__xludf.DUMMYFUNCTION("""COMPUTED_VALUE"""),45331.61418395833)</f>
        <v>45331.61418</v>
      </c>
      <c r="B371" s="4"/>
      <c r="C371" s="4"/>
      <c r="D371" s="4"/>
      <c r="E371" s="4"/>
      <c r="F371" s="4"/>
      <c r="G371" s="85">
        <f>IFERROR(__xludf.DUMMYFUNCTION("""COMPUTED_VALUE"""),45332.61388888889)</f>
        <v>45332.61389</v>
      </c>
      <c r="H371" s="85" t="str">
        <f>IFERROR(__xludf.DUMMYFUNCTION("""COMPUTED_VALUE"""),"Enquire &amp; Coordinate with client")</f>
        <v>Enquire &amp; Coordinate with client</v>
      </c>
      <c r="I371" s="4" t="str">
        <f>IFERROR(__xludf.DUMMYFUNCTION("""COMPUTED_VALUE"""),"sales person - first shivani")</f>
        <v>sales person - first shivani</v>
      </c>
    </row>
    <row r="372">
      <c r="A372" s="85">
        <f>IFERROR(__xludf.DUMMYFUNCTION("""COMPUTED_VALUE"""),45331.615502824076)</f>
        <v>45331.6155</v>
      </c>
      <c r="B372" s="4"/>
      <c r="C372" s="4"/>
      <c r="D372" s="4"/>
      <c r="E372" s="4"/>
      <c r="F372" s="4"/>
      <c r="G372" s="85">
        <f>IFERROR(__xludf.DUMMYFUNCTION("""COMPUTED_VALUE"""),45332.615277777775)</f>
        <v>45332.61528</v>
      </c>
      <c r="H372" s="85" t="str">
        <f>IFERROR(__xludf.DUMMYFUNCTION("""COMPUTED_VALUE"""),"Enquire &amp; Coordinate with client")</f>
        <v>Enquire &amp; Coordinate with client</v>
      </c>
      <c r="I372" s="4" t="str">
        <f>IFERROR(__xludf.DUMMYFUNCTION("""COMPUTED_VALUE"""),"sales person - first shivani")</f>
        <v>sales person - first shivani</v>
      </c>
    </row>
    <row r="373">
      <c r="A373" s="85">
        <f>IFERROR(__xludf.DUMMYFUNCTION("""COMPUTED_VALUE"""),45331.61802060185)</f>
        <v>45331.61802</v>
      </c>
      <c r="B373" s="4"/>
      <c r="C373" s="4"/>
      <c r="D373" s="4"/>
      <c r="E373" s="4"/>
      <c r="F373" s="4"/>
      <c r="G373" s="85">
        <f>IFERROR(__xludf.DUMMYFUNCTION("""COMPUTED_VALUE"""),45332.617361111115)</f>
        <v>45332.61736</v>
      </c>
      <c r="H373" s="85" t="str">
        <f>IFERROR(__xludf.DUMMYFUNCTION("""COMPUTED_VALUE"""),"Enquire &amp; Coordinate with client")</f>
        <v>Enquire &amp; Coordinate with client</v>
      </c>
      <c r="I373" s="4" t="str">
        <f>IFERROR(__xludf.DUMMYFUNCTION("""COMPUTED_VALUE"""),"sales person - first shivani")</f>
        <v>sales person - first shivani</v>
      </c>
    </row>
    <row r="374">
      <c r="A374" s="85">
        <f>IFERROR(__xludf.DUMMYFUNCTION("""COMPUTED_VALUE"""),45331.618854594904)</f>
        <v>45331.61885</v>
      </c>
      <c r="B374" s="4"/>
      <c r="C374" s="4"/>
      <c r="D374" s="4"/>
      <c r="E374" s="4"/>
      <c r="F374" s="4"/>
      <c r="G374" s="85">
        <f>IFERROR(__xludf.DUMMYFUNCTION("""COMPUTED_VALUE"""),45332.61875)</f>
        <v>45332.61875</v>
      </c>
      <c r="H374" s="85" t="str">
        <f>IFERROR(__xludf.DUMMYFUNCTION("""COMPUTED_VALUE"""),"Enquire &amp; Coordinate with client")</f>
        <v>Enquire &amp; Coordinate with client</v>
      </c>
      <c r="I374" s="4" t="str">
        <f>IFERROR(__xludf.DUMMYFUNCTION("""COMPUTED_VALUE"""),"sales person - first shivani")</f>
        <v>sales person - first shivani</v>
      </c>
    </row>
    <row r="375">
      <c r="A375" s="85">
        <f>IFERROR(__xludf.DUMMYFUNCTION("""COMPUTED_VALUE"""),45331.61997375)</f>
        <v>45331.61997</v>
      </c>
      <c r="B375" s="4"/>
      <c r="C375" s="4"/>
      <c r="D375" s="4"/>
      <c r="E375" s="4"/>
      <c r="F375" s="4"/>
      <c r="G375" s="85">
        <f>IFERROR(__xludf.DUMMYFUNCTION("""COMPUTED_VALUE"""),45332.61944444444)</f>
        <v>45332.61944</v>
      </c>
      <c r="H375" s="85" t="str">
        <f>IFERROR(__xludf.DUMMYFUNCTION("""COMPUTED_VALUE"""),"Enquire &amp; Coordinate with client")</f>
        <v>Enquire &amp; Coordinate with client</v>
      </c>
      <c r="I375" s="4" t="str">
        <f>IFERROR(__xludf.DUMMYFUNCTION("""COMPUTED_VALUE"""),"sales person - first shivani")</f>
        <v>sales person - first shivani</v>
      </c>
    </row>
    <row r="376">
      <c r="A376" s="85">
        <f>IFERROR(__xludf.DUMMYFUNCTION("""COMPUTED_VALUE"""),45331.62090982639)</f>
        <v>45331.62091</v>
      </c>
      <c r="B376" s="4"/>
      <c r="C376" s="4"/>
      <c r="D376" s="4"/>
      <c r="E376" s="4"/>
      <c r="F376" s="4"/>
      <c r="G376" s="85">
        <f>IFERROR(__xludf.DUMMYFUNCTION("""COMPUTED_VALUE"""),45332.620833333334)</f>
        <v>45332.62083</v>
      </c>
      <c r="H376" s="85" t="str">
        <f>IFERROR(__xludf.DUMMYFUNCTION("""COMPUTED_VALUE"""),"Enquire &amp; Coordinate with client")</f>
        <v>Enquire &amp; Coordinate with client</v>
      </c>
      <c r="I376" s="4" t="str">
        <f>IFERROR(__xludf.DUMMYFUNCTION("""COMPUTED_VALUE"""),"sales person - first shivani")</f>
        <v>sales person - first shivani</v>
      </c>
    </row>
    <row r="377">
      <c r="A377" s="85">
        <f>IFERROR(__xludf.DUMMYFUNCTION("""COMPUTED_VALUE"""),45331.62168418982)</f>
        <v>45331.62168</v>
      </c>
      <c r="B377" s="4"/>
      <c r="C377" s="4"/>
      <c r="D377" s="4"/>
      <c r="E377" s="4"/>
      <c r="F377" s="4"/>
      <c r="G377" s="85">
        <f>IFERROR(__xludf.DUMMYFUNCTION("""COMPUTED_VALUE"""),45332.62152777778)</f>
        <v>45332.62153</v>
      </c>
      <c r="H377" s="85" t="str">
        <f>IFERROR(__xludf.DUMMYFUNCTION("""COMPUTED_VALUE"""),"Enquire &amp; Coordinate with client")</f>
        <v>Enquire &amp; Coordinate with client</v>
      </c>
      <c r="I377" s="4" t="str">
        <f>IFERROR(__xludf.DUMMYFUNCTION("""COMPUTED_VALUE"""),"sales person - first shivani")</f>
        <v>sales person - first shivani</v>
      </c>
    </row>
    <row r="378">
      <c r="A378" s="85">
        <f>IFERROR(__xludf.DUMMYFUNCTION("""COMPUTED_VALUE"""),45331.622585300924)</f>
        <v>45331.62259</v>
      </c>
      <c r="B378" s="4"/>
      <c r="C378" s="4"/>
      <c r="D378" s="4"/>
      <c r="E378" s="4"/>
      <c r="F378" s="4"/>
      <c r="G378" s="85">
        <f>IFERROR(__xludf.DUMMYFUNCTION("""COMPUTED_VALUE"""),45332.62222222222)</f>
        <v>45332.62222</v>
      </c>
      <c r="H378" s="85" t="str">
        <f>IFERROR(__xludf.DUMMYFUNCTION("""COMPUTED_VALUE"""),"Enquire &amp; Coordinate with client")</f>
        <v>Enquire &amp; Coordinate with client</v>
      </c>
      <c r="I378" s="4" t="str">
        <f>IFERROR(__xludf.DUMMYFUNCTION("""COMPUTED_VALUE"""),"sales person - first shivani")</f>
        <v>sales person - first shivani</v>
      </c>
    </row>
    <row r="379">
      <c r="A379" s="85">
        <f>IFERROR(__xludf.DUMMYFUNCTION("""COMPUTED_VALUE"""),45331.624758125)</f>
        <v>45331.62476</v>
      </c>
      <c r="B379" s="4"/>
      <c r="C379" s="4"/>
      <c r="D379" s="4"/>
      <c r="E379" s="4"/>
      <c r="F379" s="4"/>
      <c r="G379" s="85">
        <f>IFERROR(__xludf.DUMMYFUNCTION("""COMPUTED_VALUE"""),45332.62430555555)</f>
        <v>45332.62431</v>
      </c>
      <c r="H379" s="85" t="str">
        <f>IFERROR(__xludf.DUMMYFUNCTION("""COMPUTED_VALUE"""),"Enquire &amp; Coordinate with client")</f>
        <v>Enquire &amp; Coordinate with client</v>
      </c>
      <c r="I379" s="4" t="str">
        <f>IFERROR(__xludf.DUMMYFUNCTION("""COMPUTED_VALUE"""),"sales person - first shivani")</f>
        <v>sales person - first shivani</v>
      </c>
    </row>
    <row r="380">
      <c r="A380" s="85">
        <f>IFERROR(__xludf.DUMMYFUNCTION("""COMPUTED_VALUE"""),45331.627629571754)</f>
        <v>45331.62763</v>
      </c>
      <c r="B380" s="4"/>
      <c r="C380" s="4"/>
      <c r="D380" s="4"/>
      <c r="E380" s="4"/>
      <c r="F380" s="4"/>
      <c r="G380" s="85">
        <f>IFERROR(__xludf.DUMMYFUNCTION("""COMPUTED_VALUE"""),45332.62708333333)</f>
        <v>45332.62708</v>
      </c>
      <c r="H380" s="85" t="str">
        <f>IFERROR(__xludf.DUMMYFUNCTION("""COMPUTED_VALUE"""),"Enquire &amp; Coordinate with client")</f>
        <v>Enquire &amp; Coordinate with client</v>
      </c>
      <c r="I380" s="4" t="str">
        <f>IFERROR(__xludf.DUMMYFUNCTION("""COMPUTED_VALUE"""),"sales person - first shivani")</f>
        <v>sales person - first shivani</v>
      </c>
    </row>
    <row r="381">
      <c r="A381" s="85">
        <f>IFERROR(__xludf.DUMMYFUNCTION("""COMPUTED_VALUE"""),45335.65251262731)</f>
        <v>45335.65251</v>
      </c>
      <c r="B381" s="4"/>
      <c r="C381" s="4"/>
      <c r="D381" s="4"/>
      <c r="E381" s="4"/>
      <c r="F381" s="4"/>
      <c r="G381" s="85">
        <f>IFERROR(__xludf.DUMMYFUNCTION("""COMPUTED_VALUE"""),45336.652083333334)</f>
        <v>45336.65208</v>
      </c>
      <c r="H381" s="85" t="str">
        <f>IFERROR(__xludf.DUMMYFUNCTION("""COMPUTED_VALUE"""),"Enquire &amp; Coordinate with client")</f>
        <v>Enquire &amp; Coordinate with client</v>
      </c>
      <c r="I381" s="4" t="str">
        <f>IFERROR(__xludf.DUMMYFUNCTION("""COMPUTED_VALUE"""),"sales person - first shivani")</f>
        <v>sales person - first shivani</v>
      </c>
    </row>
    <row r="382">
      <c r="A382" s="85">
        <f>IFERROR(__xludf.DUMMYFUNCTION("""COMPUTED_VALUE"""),45335.65360993055)</f>
        <v>45335.65361</v>
      </c>
      <c r="B382" s="4"/>
      <c r="C382" s="4"/>
      <c r="D382" s="4"/>
      <c r="E382" s="4"/>
      <c r="F382" s="4"/>
      <c r="G382" s="85">
        <f>IFERROR(__xludf.DUMMYFUNCTION("""COMPUTED_VALUE"""),45336.65347222222)</f>
        <v>45336.65347</v>
      </c>
      <c r="H382" s="85" t="str">
        <f>IFERROR(__xludf.DUMMYFUNCTION("""COMPUTED_VALUE"""),"Enquire &amp; Coordinate with client")</f>
        <v>Enquire &amp; Coordinate with client</v>
      </c>
      <c r="I382" s="4" t="str">
        <f>IFERROR(__xludf.DUMMYFUNCTION("""COMPUTED_VALUE"""),"sales person - first shivani")</f>
        <v>sales person - first shivani</v>
      </c>
    </row>
    <row r="383">
      <c r="A383" s="85">
        <f>IFERROR(__xludf.DUMMYFUNCTION("""COMPUTED_VALUE"""),45335.65510892361)</f>
        <v>45335.65511</v>
      </c>
      <c r="B383" s="4"/>
      <c r="C383" s="4"/>
      <c r="D383" s="4"/>
      <c r="E383" s="4"/>
      <c r="F383" s="4"/>
      <c r="G383" s="85">
        <f>IFERROR(__xludf.DUMMYFUNCTION("""COMPUTED_VALUE"""),45336.65486111111)</f>
        <v>45336.65486</v>
      </c>
      <c r="H383" s="85" t="str">
        <f>IFERROR(__xludf.DUMMYFUNCTION("""COMPUTED_VALUE"""),"Enquire &amp; Coordinate with client")</f>
        <v>Enquire &amp; Coordinate with client</v>
      </c>
      <c r="I383" s="4" t="str">
        <f>IFERROR(__xludf.DUMMYFUNCTION("""COMPUTED_VALUE"""),"sales person - first shivani")</f>
        <v>sales person - first shivani</v>
      </c>
    </row>
    <row r="384">
      <c r="A384" s="85">
        <f>IFERROR(__xludf.DUMMYFUNCTION("""COMPUTED_VALUE"""),45335.656373136575)</f>
        <v>45335.65637</v>
      </c>
      <c r="B384" s="4"/>
      <c r="C384" s="4"/>
      <c r="D384" s="4"/>
      <c r="E384" s="4"/>
      <c r="F384" s="4"/>
      <c r="G384" s="85">
        <f>IFERROR(__xludf.DUMMYFUNCTION("""COMPUTED_VALUE"""),45336.65625)</f>
        <v>45336.65625</v>
      </c>
      <c r="H384" s="85" t="str">
        <f>IFERROR(__xludf.DUMMYFUNCTION("""COMPUTED_VALUE"""),"Enquire &amp; Coordinate with client")</f>
        <v>Enquire &amp; Coordinate with client</v>
      </c>
      <c r="I384" s="4" t="str">
        <f>IFERROR(__xludf.DUMMYFUNCTION("""COMPUTED_VALUE"""),"sales person - first shivani")</f>
        <v>sales person - first shivani</v>
      </c>
    </row>
    <row r="385">
      <c r="A385" s="85">
        <f>IFERROR(__xludf.DUMMYFUNCTION("""COMPUTED_VALUE"""),45335.65727650464)</f>
        <v>45335.65728</v>
      </c>
      <c r="B385" s="4"/>
      <c r="C385" s="4"/>
      <c r="D385" s="4"/>
      <c r="E385" s="4"/>
      <c r="F385" s="4"/>
      <c r="G385" s="85">
        <f>IFERROR(__xludf.DUMMYFUNCTION("""COMPUTED_VALUE"""),45336.65694444445)</f>
        <v>45336.65694</v>
      </c>
      <c r="H385" s="85" t="str">
        <f>IFERROR(__xludf.DUMMYFUNCTION("""COMPUTED_VALUE"""),"Enquire &amp; Coordinate with client")</f>
        <v>Enquire &amp; Coordinate with client</v>
      </c>
      <c r="I385" s="4" t="str">
        <f>IFERROR(__xludf.DUMMYFUNCTION("""COMPUTED_VALUE"""),"sales person - first shivani")</f>
        <v>sales person - first shivani</v>
      </c>
    </row>
    <row r="386">
      <c r="A386" s="85">
        <f>IFERROR(__xludf.DUMMYFUNCTION("""COMPUTED_VALUE"""),45335.658815324074)</f>
        <v>45335.65882</v>
      </c>
      <c r="B386" s="4"/>
      <c r="C386" s="4"/>
      <c r="D386" s="4"/>
      <c r="E386" s="4"/>
      <c r="F386" s="4"/>
      <c r="G386" s="85">
        <f>IFERROR(__xludf.DUMMYFUNCTION("""COMPUTED_VALUE"""),45336.65833333333)</f>
        <v>45336.65833</v>
      </c>
      <c r="H386" s="85" t="str">
        <f>IFERROR(__xludf.DUMMYFUNCTION("""COMPUTED_VALUE"""),"Enquire &amp; Coordinate with client")</f>
        <v>Enquire &amp; Coordinate with client</v>
      </c>
      <c r="I386" s="4" t="str">
        <f>IFERROR(__xludf.DUMMYFUNCTION("""COMPUTED_VALUE"""),"sales person - first shivani")</f>
        <v>sales person - first shivani</v>
      </c>
    </row>
    <row r="387">
      <c r="A387" s="85">
        <f>IFERROR(__xludf.DUMMYFUNCTION("""COMPUTED_VALUE"""),45335.65975331019)</f>
        <v>45335.65975</v>
      </c>
      <c r="B387" s="4"/>
      <c r="C387" s="4"/>
      <c r="D387" s="4"/>
      <c r="E387" s="4"/>
      <c r="F387" s="4"/>
      <c r="G387" s="85">
        <f>IFERROR(__xludf.DUMMYFUNCTION("""COMPUTED_VALUE"""),45336.65972222222)</f>
        <v>45336.65972</v>
      </c>
      <c r="H387" s="85" t="str">
        <f>IFERROR(__xludf.DUMMYFUNCTION("""COMPUTED_VALUE"""),"Enquire &amp; Coordinate with client")</f>
        <v>Enquire &amp; Coordinate with client</v>
      </c>
      <c r="I387" s="4" t="str">
        <f>IFERROR(__xludf.DUMMYFUNCTION("""COMPUTED_VALUE"""),"sales person - first shivani")</f>
        <v>sales person - first shivani</v>
      </c>
    </row>
    <row r="388">
      <c r="A388" s="85">
        <f>IFERROR(__xludf.DUMMYFUNCTION("""COMPUTED_VALUE"""),45335.660818379634)</f>
        <v>45335.66082</v>
      </c>
      <c r="B388" s="4"/>
      <c r="C388" s="4"/>
      <c r="D388" s="4"/>
      <c r="E388" s="4"/>
      <c r="F388" s="4"/>
      <c r="G388" s="85">
        <f>IFERROR(__xludf.DUMMYFUNCTION("""COMPUTED_VALUE"""),45336.660416666666)</f>
        <v>45336.66042</v>
      </c>
      <c r="H388" s="85" t="str">
        <f>IFERROR(__xludf.DUMMYFUNCTION("""COMPUTED_VALUE"""),"Enquire &amp; Coordinate with client")</f>
        <v>Enquire &amp; Coordinate with client</v>
      </c>
      <c r="I388" s="4" t="str">
        <f>IFERROR(__xludf.DUMMYFUNCTION("""COMPUTED_VALUE"""),"sales person - first shivani")</f>
        <v>sales person - first shivani</v>
      </c>
    </row>
    <row r="389">
      <c r="A389" s="85">
        <f>IFERROR(__xludf.DUMMYFUNCTION("""COMPUTED_VALUE"""),45335.66209481481)</f>
        <v>45335.66209</v>
      </c>
      <c r="B389" s="4"/>
      <c r="C389" s="4"/>
      <c r="D389" s="4"/>
      <c r="E389" s="4"/>
      <c r="F389" s="4"/>
      <c r="G389" s="85">
        <f>IFERROR(__xludf.DUMMYFUNCTION("""COMPUTED_VALUE"""),45336.66180555556)</f>
        <v>45336.66181</v>
      </c>
      <c r="H389" s="85" t="str">
        <f>IFERROR(__xludf.DUMMYFUNCTION("""COMPUTED_VALUE"""),"Enquire &amp; Coordinate with client")</f>
        <v>Enquire &amp; Coordinate with client</v>
      </c>
      <c r="I389" s="4" t="str">
        <f>IFERROR(__xludf.DUMMYFUNCTION("""COMPUTED_VALUE"""),"sales person - first shivani")</f>
        <v>sales person - first shivani</v>
      </c>
    </row>
    <row r="390">
      <c r="A390" s="85">
        <f>IFERROR(__xludf.DUMMYFUNCTION("""COMPUTED_VALUE"""),45335.664103194445)</f>
        <v>45335.6641</v>
      </c>
      <c r="B390" s="4"/>
      <c r="C390" s="4"/>
      <c r="D390" s="4"/>
      <c r="E390" s="4"/>
      <c r="F390" s="4"/>
      <c r="G390" s="85">
        <f>IFERROR(__xludf.DUMMYFUNCTION("""COMPUTED_VALUE"""),45336.663888888885)</f>
        <v>45336.66389</v>
      </c>
      <c r="H390" s="85" t="str">
        <f>IFERROR(__xludf.DUMMYFUNCTION("""COMPUTED_VALUE"""),"Enquire &amp; Coordinate with client")</f>
        <v>Enquire &amp; Coordinate with client</v>
      </c>
      <c r="I390" s="4" t="str">
        <f>IFERROR(__xludf.DUMMYFUNCTION("""COMPUTED_VALUE"""),"sales person - first shivani")</f>
        <v>sales person - first shivani</v>
      </c>
    </row>
    <row r="391">
      <c r="A391" s="85">
        <f>IFERROR(__xludf.DUMMYFUNCTION("""COMPUTED_VALUE"""),45335.6648927662)</f>
        <v>45335.66489</v>
      </c>
      <c r="B391" s="4"/>
      <c r="C391" s="4"/>
      <c r="D391" s="4"/>
      <c r="E391" s="4"/>
      <c r="F391" s="4"/>
      <c r="G391" s="85">
        <f>IFERROR(__xludf.DUMMYFUNCTION("""COMPUTED_VALUE"""),45336.66458333333)</f>
        <v>45336.66458</v>
      </c>
      <c r="H391" s="85" t="str">
        <f>IFERROR(__xludf.DUMMYFUNCTION("""COMPUTED_VALUE"""),"Enquire &amp; Coordinate with client")</f>
        <v>Enquire &amp; Coordinate with client</v>
      </c>
      <c r="I391" s="4" t="str">
        <f>IFERROR(__xludf.DUMMYFUNCTION("""COMPUTED_VALUE"""),"sales person - first shivani")</f>
        <v>sales person - first shivani</v>
      </c>
    </row>
    <row r="392">
      <c r="A392" s="85">
        <f>IFERROR(__xludf.DUMMYFUNCTION("""COMPUTED_VALUE"""),45335.666230601855)</f>
        <v>45335.66623</v>
      </c>
      <c r="B392" s="4"/>
      <c r="C392" s="4"/>
      <c r="D392" s="4"/>
      <c r="E392" s="4"/>
      <c r="F392" s="4"/>
      <c r="G392" s="85">
        <f>IFERROR(__xludf.DUMMYFUNCTION("""COMPUTED_VALUE"""),45336.665972222225)</f>
        <v>45336.66597</v>
      </c>
      <c r="H392" s="85" t="str">
        <f>IFERROR(__xludf.DUMMYFUNCTION("""COMPUTED_VALUE"""),"Enquire &amp; Coordinate with client")</f>
        <v>Enquire &amp; Coordinate with client</v>
      </c>
      <c r="I392" s="4" t="str">
        <f>IFERROR(__xludf.DUMMYFUNCTION("""COMPUTED_VALUE"""),"sales person - first shivani")</f>
        <v>sales person - first shivani</v>
      </c>
    </row>
    <row r="393">
      <c r="A393" s="85">
        <f>IFERROR(__xludf.DUMMYFUNCTION("""COMPUTED_VALUE"""),45335.666931817126)</f>
        <v>45335.66693</v>
      </c>
      <c r="B393" s="4"/>
      <c r="C393" s="4"/>
      <c r="D393" s="4"/>
      <c r="E393" s="4"/>
      <c r="F393" s="4"/>
      <c r="G393" s="85">
        <f>IFERROR(__xludf.DUMMYFUNCTION("""COMPUTED_VALUE"""),45336.66666666667)</f>
        <v>45336.66667</v>
      </c>
      <c r="H393" s="85" t="str">
        <f>IFERROR(__xludf.DUMMYFUNCTION("""COMPUTED_VALUE"""),"Enquire &amp; Coordinate with client")</f>
        <v>Enquire &amp; Coordinate with client</v>
      </c>
      <c r="I393" s="4" t="str">
        <f>IFERROR(__xludf.DUMMYFUNCTION("""COMPUTED_VALUE"""),"sales person - first shivani")</f>
        <v>sales person - first shivani</v>
      </c>
    </row>
    <row r="394">
      <c r="A394" s="85">
        <f>IFERROR(__xludf.DUMMYFUNCTION("""COMPUTED_VALUE"""),45335.66789805556)</f>
        <v>45335.6679</v>
      </c>
      <c r="B394" s="4"/>
      <c r="C394" s="4"/>
      <c r="D394" s="4"/>
      <c r="E394" s="4"/>
      <c r="F394" s="4"/>
      <c r="G394" s="85">
        <f>IFERROR(__xludf.DUMMYFUNCTION("""COMPUTED_VALUE"""),45336.66736111111)</f>
        <v>45336.66736</v>
      </c>
      <c r="H394" s="85" t="str">
        <f>IFERROR(__xludf.DUMMYFUNCTION("""COMPUTED_VALUE"""),"Enquire &amp; Coordinate with client")</f>
        <v>Enquire &amp; Coordinate with client</v>
      </c>
      <c r="I394" s="4" t="str">
        <f>IFERROR(__xludf.DUMMYFUNCTION("""COMPUTED_VALUE"""),"sales person - first shivani")</f>
        <v>sales person - first shivani</v>
      </c>
    </row>
    <row r="395">
      <c r="A395" s="85">
        <f>IFERROR(__xludf.DUMMYFUNCTION("""COMPUTED_VALUE"""),45335.66931670139)</f>
        <v>45335.66932</v>
      </c>
      <c r="B395" s="4"/>
      <c r="C395" s="4"/>
      <c r="D395" s="4"/>
      <c r="E395" s="4"/>
      <c r="F395" s="4"/>
      <c r="G395" s="85">
        <f>IFERROR(__xludf.DUMMYFUNCTION("""COMPUTED_VALUE"""),45336.66875)</f>
        <v>45336.66875</v>
      </c>
      <c r="H395" s="85" t="str">
        <f>IFERROR(__xludf.DUMMYFUNCTION("""COMPUTED_VALUE"""),"Enquire &amp; Coordinate with client")</f>
        <v>Enquire &amp; Coordinate with client</v>
      </c>
      <c r="I395" s="4" t="str">
        <f>IFERROR(__xludf.DUMMYFUNCTION("""COMPUTED_VALUE"""),"sales person - first shivani")</f>
        <v>sales person - first shivani</v>
      </c>
    </row>
    <row r="396">
      <c r="A396" s="85">
        <f>IFERROR(__xludf.DUMMYFUNCTION("""COMPUTED_VALUE"""),45335.670171875)</f>
        <v>45335.67017</v>
      </c>
      <c r="B396" s="4"/>
      <c r="C396" s="4"/>
      <c r="D396" s="4"/>
      <c r="E396" s="4"/>
      <c r="F396" s="4"/>
      <c r="G396" s="85">
        <f>IFERROR(__xludf.DUMMYFUNCTION("""COMPUTED_VALUE"""),45336.67013888889)</f>
        <v>45336.67014</v>
      </c>
      <c r="H396" s="85" t="str">
        <f>IFERROR(__xludf.DUMMYFUNCTION("""COMPUTED_VALUE"""),"Enquire &amp; Coordinate with client")</f>
        <v>Enquire &amp; Coordinate with client</v>
      </c>
      <c r="I396" s="4" t="str">
        <f>IFERROR(__xludf.DUMMYFUNCTION("""COMPUTED_VALUE"""),"sales person - first shivani")</f>
        <v>sales person - first shivani</v>
      </c>
    </row>
    <row r="397">
      <c r="A397" s="85">
        <f>IFERROR(__xludf.DUMMYFUNCTION("""COMPUTED_VALUE"""),45335.6715940625)</f>
        <v>45335.67159</v>
      </c>
      <c r="B397" s="4"/>
      <c r="C397" s="4"/>
      <c r="D397" s="4"/>
      <c r="E397" s="4"/>
      <c r="F397" s="4"/>
      <c r="G397" s="85">
        <f>IFERROR(__xludf.DUMMYFUNCTION("""COMPUTED_VALUE"""),45336.67152777778)</f>
        <v>45336.67153</v>
      </c>
      <c r="H397" s="85" t="str">
        <f>IFERROR(__xludf.DUMMYFUNCTION("""COMPUTED_VALUE"""),"Enquire &amp; Coordinate with client")</f>
        <v>Enquire &amp; Coordinate with client</v>
      </c>
      <c r="I397" s="4" t="str">
        <f>IFERROR(__xludf.DUMMYFUNCTION("""COMPUTED_VALUE"""),"sales person - first shivani")</f>
        <v>sales person - first shivani</v>
      </c>
    </row>
    <row r="398">
      <c r="A398" s="85">
        <f>IFERROR(__xludf.DUMMYFUNCTION("""COMPUTED_VALUE"""),45335.673223715276)</f>
        <v>45335.67322</v>
      </c>
      <c r="B398" s="4"/>
      <c r="C398" s="4"/>
      <c r="D398" s="4"/>
      <c r="E398" s="4"/>
      <c r="F398" s="4"/>
      <c r="G398" s="85">
        <f>IFERROR(__xludf.DUMMYFUNCTION("""COMPUTED_VALUE"""),45336.67291666666)</f>
        <v>45336.67292</v>
      </c>
      <c r="H398" s="85" t="str">
        <f>IFERROR(__xludf.DUMMYFUNCTION("""COMPUTED_VALUE"""),"Enquire &amp; Coordinate with client")</f>
        <v>Enquire &amp; Coordinate with client</v>
      </c>
      <c r="I398" s="4" t="str">
        <f>IFERROR(__xludf.DUMMYFUNCTION("""COMPUTED_VALUE"""),"sales person - first shivani")</f>
        <v>sales person - first shivani</v>
      </c>
    </row>
    <row r="399">
      <c r="A399" s="85">
        <f>IFERROR(__xludf.DUMMYFUNCTION("""COMPUTED_VALUE"""),45335.67439930556)</f>
        <v>45335.6744</v>
      </c>
      <c r="B399" s="4"/>
      <c r="C399" s="4"/>
      <c r="D399" s="4"/>
      <c r="E399" s="4"/>
      <c r="F399" s="4"/>
      <c r="G399" s="85">
        <f>IFERROR(__xludf.DUMMYFUNCTION("""COMPUTED_VALUE"""),45336.674305555556)</f>
        <v>45336.67431</v>
      </c>
      <c r="H399" s="85" t="str">
        <f>IFERROR(__xludf.DUMMYFUNCTION("""COMPUTED_VALUE"""),"Enquire &amp; Coordinate with client")</f>
        <v>Enquire &amp; Coordinate with client</v>
      </c>
      <c r="I399" s="4" t="str">
        <f>IFERROR(__xludf.DUMMYFUNCTION("""COMPUTED_VALUE"""),"sales person - first shivani")</f>
        <v>sales person - first shivani</v>
      </c>
    </row>
    <row r="400">
      <c r="A400" s="85">
        <f>IFERROR(__xludf.DUMMYFUNCTION("""COMPUTED_VALUE"""),45335.67519996528)</f>
        <v>45335.6752</v>
      </c>
      <c r="B400" s="4"/>
      <c r="C400" s="4"/>
      <c r="D400" s="4"/>
      <c r="E400" s="4"/>
      <c r="F400" s="4"/>
      <c r="G400" s="85">
        <f>IFERROR(__xludf.DUMMYFUNCTION("""COMPUTED_VALUE"""),45336.675)</f>
        <v>45336.675</v>
      </c>
      <c r="H400" s="85" t="str">
        <f>IFERROR(__xludf.DUMMYFUNCTION("""COMPUTED_VALUE"""),"Enquire &amp; Coordinate with client")</f>
        <v>Enquire &amp; Coordinate with client</v>
      </c>
      <c r="I400" s="4" t="str">
        <f>IFERROR(__xludf.DUMMYFUNCTION("""COMPUTED_VALUE"""),"sales person - first shivani")</f>
        <v>sales person - first shivani</v>
      </c>
    </row>
    <row r="401">
      <c r="A401" s="85">
        <f>IFERROR(__xludf.DUMMYFUNCTION("""COMPUTED_VALUE"""),45335.67605912037)</f>
        <v>45335.67606</v>
      </c>
      <c r="B401" s="4"/>
      <c r="C401" s="4"/>
      <c r="D401" s="4"/>
      <c r="E401" s="4"/>
      <c r="F401" s="4"/>
      <c r="G401" s="85">
        <f>IFERROR(__xludf.DUMMYFUNCTION("""COMPUTED_VALUE"""),45336.67569444445)</f>
        <v>45336.67569</v>
      </c>
      <c r="H401" s="85" t="str">
        <f>IFERROR(__xludf.DUMMYFUNCTION("""COMPUTED_VALUE"""),"Enquire &amp; Coordinate with client")</f>
        <v>Enquire &amp; Coordinate with client</v>
      </c>
      <c r="I401" s="4" t="str">
        <f>IFERROR(__xludf.DUMMYFUNCTION("""COMPUTED_VALUE"""),"sales person - first shivani")</f>
        <v>sales person - first shivani</v>
      </c>
    </row>
    <row r="402">
      <c r="A402" s="85">
        <f>IFERROR(__xludf.DUMMYFUNCTION("""COMPUTED_VALUE"""),45335.676838113424)</f>
        <v>45335.67684</v>
      </c>
      <c r="B402" s="4"/>
      <c r="C402" s="4"/>
      <c r="D402" s="4"/>
      <c r="E402" s="4"/>
      <c r="F402" s="4"/>
      <c r="G402" s="85">
        <f>IFERROR(__xludf.DUMMYFUNCTION("""COMPUTED_VALUE"""),45336.67638888889)</f>
        <v>45336.67639</v>
      </c>
      <c r="H402" s="85" t="str">
        <f>IFERROR(__xludf.DUMMYFUNCTION("""COMPUTED_VALUE"""),"Enquire &amp; Coordinate with client")</f>
        <v>Enquire &amp; Coordinate with client</v>
      </c>
      <c r="I402" s="4" t="str">
        <f>IFERROR(__xludf.DUMMYFUNCTION("""COMPUTED_VALUE"""),"sales person - first shivani")</f>
        <v>sales person - first shivani</v>
      </c>
    </row>
    <row r="403">
      <c r="A403" s="85">
        <f>IFERROR(__xludf.DUMMYFUNCTION("""COMPUTED_VALUE"""),45335.6778156713)</f>
        <v>45335.67782</v>
      </c>
      <c r="B403" s="4"/>
      <c r="C403" s="4"/>
      <c r="D403" s="4"/>
      <c r="E403" s="4"/>
      <c r="F403" s="4"/>
      <c r="G403" s="85">
        <f>IFERROR(__xludf.DUMMYFUNCTION("""COMPUTED_VALUE"""),45336.677777777775)</f>
        <v>45336.67778</v>
      </c>
      <c r="H403" s="85" t="str">
        <f>IFERROR(__xludf.DUMMYFUNCTION("""COMPUTED_VALUE"""),"Enquire &amp; Coordinate with client")</f>
        <v>Enquire &amp; Coordinate with client</v>
      </c>
      <c r="I403" s="4" t="str">
        <f>IFERROR(__xludf.DUMMYFUNCTION("""COMPUTED_VALUE"""),"sales person - first shivani")</f>
        <v>sales person - first shivani</v>
      </c>
    </row>
    <row r="404">
      <c r="A404" s="85">
        <f>IFERROR(__xludf.DUMMYFUNCTION("""COMPUTED_VALUE"""),45335.67895949074)</f>
        <v>45335.67896</v>
      </c>
      <c r="B404" s="4"/>
      <c r="C404" s="4"/>
      <c r="D404" s="4"/>
      <c r="E404" s="4"/>
      <c r="F404" s="4"/>
      <c r="G404" s="85">
        <f>IFERROR(__xludf.DUMMYFUNCTION("""COMPUTED_VALUE"""),45336.67847222222)</f>
        <v>45336.67847</v>
      </c>
      <c r="H404" s="85" t="str">
        <f>IFERROR(__xludf.DUMMYFUNCTION("""COMPUTED_VALUE"""),"Enquire &amp; Coordinate with client")</f>
        <v>Enquire &amp; Coordinate with client</v>
      </c>
      <c r="I404" s="4" t="str">
        <f>IFERROR(__xludf.DUMMYFUNCTION("""COMPUTED_VALUE"""),"sales person - first shivani")</f>
        <v>sales person - first shivani</v>
      </c>
    </row>
    <row r="405">
      <c r="A405" s="85">
        <f>IFERROR(__xludf.DUMMYFUNCTION("""COMPUTED_VALUE"""),45335.67991057871)</f>
        <v>45335.67991</v>
      </c>
      <c r="B405" s="4"/>
      <c r="C405" s="4"/>
      <c r="D405" s="4"/>
      <c r="E405" s="4"/>
      <c r="F405" s="4"/>
      <c r="G405" s="85">
        <f>IFERROR(__xludf.DUMMYFUNCTION("""COMPUTED_VALUE"""),45336.679861111115)</f>
        <v>45336.67986</v>
      </c>
      <c r="H405" s="85" t="str">
        <f>IFERROR(__xludf.DUMMYFUNCTION("""COMPUTED_VALUE"""),"Enquire &amp; Coordinate with client")</f>
        <v>Enquire &amp; Coordinate with client</v>
      </c>
      <c r="I405" s="4" t="str">
        <f>IFERROR(__xludf.DUMMYFUNCTION("""COMPUTED_VALUE"""),"sales person - first shivani")</f>
        <v>sales person - first shivani</v>
      </c>
    </row>
    <row r="406">
      <c r="A406" s="85">
        <f>IFERROR(__xludf.DUMMYFUNCTION("""COMPUTED_VALUE"""),45335.68152438657)</f>
        <v>45335.68152</v>
      </c>
      <c r="B406" s="4"/>
      <c r="C406" s="4"/>
      <c r="D406" s="4"/>
      <c r="E406" s="4"/>
      <c r="F406" s="4"/>
      <c r="G406" s="85">
        <f>IFERROR(__xludf.DUMMYFUNCTION("""COMPUTED_VALUE"""),45336.68125)</f>
        <v>45336.68125</v>
      </c>
      <c r="H406" s="85" t="str">
        <f>IFERROR(__xludf.DUMMYFUNCTION("""COMPUTED_VALUE"""),"Enquire &amp; Coordinate with client")</f>
        <v>Enquire &amp; Coordinate with client</v>
      </c>
      <c r="I406" s="4" t="str">
        <f>IFERROR(__xludf.DUMMYFUNCTION("""COMPUTED_VALUE"""),"sales person - first shivani")</f>
        <v>sales person - first shivani</v>
      </c>
    </row>
    <row r="407">
      <c r="A407" s="85">
        <f>IFERROR(__xludf.DUMMYFUNCTION("""COMPUTED_VALUE"""),45335.683187476854)</f>
        <v>45335.68319</v>
      </c>
      <c r="B407" s="4"/>
      <c r="C407" s="4"/>
      <c r="D407" s="4"/>
      <c r="E407" s="4"/>
      <c r="F407" s="4"/>
      <c r="G407" s="85">
        <f>IFERROR(__xludf.DUMMYFUNCTION("""COMPUTED_VALUE"""),45336.68263888889)</f>
        <v>45336.68264</v>
      </c>
      <c r="H407" s="85" t="str">
        <f>IFERROR(__xludf.DUMMYFUNCTION("""COMPUTED_VALUE"""),"Enquire &amp; Coordinate with client")</f>
        <v>Enquire &amp; Coordinate with client</v>
      </c>
      <c r="I407" s="4" t="str">
        <f>IFERROR(__xludf.DUMMYFUNCTION("""COMPUTED_VALUE"""),"sales person - first shivani")</f>
        <v>sales person - first shivani</v>
      </c>
    </row>
    <row r="408">
      <c r="A408" s="85">
        <f>IFERROR(__xludf.DUMMYFUNCTION("""COMPUTED_VALUE"""),45335.68395047454)</f>
        <v>45335.68395</v>
      </c>
      <c r="B408" s="4"/>
      <c r="C408" s="4"/>
      <c r="D408" s="4"/>
      <c r="E408" s="4"/>
      <c r="F408" s="4"/>
      <c r="G408" s="85">
        <f>IFERROR(__xludf.DUMMYFUNCTION("""COMPUTED_VALUE"""),45336.683333333334)</f>
        <v>45336.68333</v>
      </c>
      <c r="H408" s="85" t="str">
        <f>IFERROR(__xludf.DUMMYFUNCTION("""COMPUTED_VALUE"""),"Enquire &amp; Coordinate with client")</f>
        <v>Enquire &amp; Coordinate with client</v>
      </c>
      <c r="I408" s="4" t="str">
        <f>IFERROR(__xludf.DUMMYFUNCTION("""COMPUTED_VALUE"""),"sales person - first shivani")</f>
        <v>sales person - first shivani</v>
      </c>
    </row>
    <row r="409">
      <c r="A409" s="85">
        <f>IFERROR(__xludf.DUMMYFUNCTION("""COMPUTED_VALUE"""),45335.6846907176)</f>
        <v>45335.68469</v>
      </c>
      <c r="B409" s="4"/>
      <c r="C409" s="4"/>
      <c r="D409" s="4"/>
      <c r="E409" s="4"/>
      <c r="F409" s="4"/>
      <c r="G409" s="85">
        <f>IFERROR(__xludf.DUMMYFUNCTION("""COMPUTED_VALUE"""),45336.68402777778)</f>
        <v>45336.68403</v>
      </c>
      <c r="H409" s="85" t="str">
        <f>IFERROR(__xludf.DUMMYFUNCTION("""COMPUTED_VALUE"""),"Enquire &amp; Coordinate with client")</f>
        <v>Enquire &amp; Coordinate with client</v>
      </c>
      <c r="I409" s="4" t="str">
        <f>IFERROR(__xludf.DUMMYFUNCTION("""COMPUTED_VALUE"""),"sales person - first shivani")</f>
        <v>sales person - first shivani</v>
      </c>
    </row>
    <row r="410">
      <c r="A410" s="85">
        <f>IFERROR(__xludf.DUMMYFUNCTION("""COMPUTED_VALUE"""),45490.53777440973)</f>
        <v>45490.53777</v>
      </c>
      <c r="B410" s="4"/>
      <c r="C410" s="4"/>
      <c r="D410" s="4"/>
      <c r="E410" s="4"/>
      <c r="F410" s="4"/>
      <c r="G410" s="85">
        <f>IFERROR(__xludf.DUMMYFUNCTION("""COMPUTED_VALUE"""),45491.5375)</f>
        <v>45491.5375</v>
      </c>
      <c r="H410" s="85" t="str">
        <f>IFERROR(__xludf.DUMMYFUNCTION("""COMPUTED_VALUE"""),"Enquire &amp; Coordinate with client")</f>
        <v>Enquire &amp; Coordinate with client</v>
      </c>
      <c r="I410" s="4" t="str">
        <f>IFERROR(__xludf.DUMMYFUNCTION("""COMPUTED_VALUE"""),"sales person - first shivani")</f>
        <v>sales person - first shivani</v>
      </c>
    </row>
    <row r="411">
      <c r="A411" s="85">
        <f>IFERROR(__xludf.DUMMYFUNCTION("""COMPUTED_VALUE"""),45490.53908756945)</f>
        <v>45490.53909</v>
      </c>
      <c r="B411" s="4"/>
      <c r="C411" s="4"/>
      <c r="D411" s="4"/>
      <c r="E411" s="4"/>
      <c r="F411" s="4"/>
      <c r="G411" s="85">
        <f>IFERROR(__xludf.DUMMYFUNCTION("""COMPUTED_VALUE"""),45491.538888888885)</f>
        <v>45491.53889</v>
      </c>
      <c r="H411" s="85" t="str">
        <f>IFERROR(__xludf.DUMMYFUNCTION("""COMPUTED_VALUE"""),"Enquire &amp; Coordinate with client")</f>
        <v>Enquire &amp; Coordinate with client</v>
      </c>
      <c r="I411" s="4" t="str">
        <f>IFERROR(__xludf.DUMMYFUNCTION("""COMPUTED_VALUE"""),"sales person - first shivani")</f>
        <v>sales person - first shivani</v>
      </c>
    </row>
    <row r="412">
      <c r="A412" s="85">
        <f>IFERROR(__xludf.DUMMYFUNCTION("""COMPUTED_VALUE"""),45490.540123506944)</f>
        <v>45490.54012</v>
      </c>
      <c r="B412" s="4"/>
      <c r="C412" s="4"/>
      <c r="D412" s="4"/>
      <c r="E412" s="4"/>
      <c r="F412" s="4"/>
      <c r="G412" s="85">
        <f>IFERROR(__xludf.DUMMYFUNCTION("""COMPUTED_VALUE"""),45491.53958333333)</f>
        <v>45491.53958</v>
      </c>
      <c r="H412" s="85" t="str">
        <f>IFERROR(__xludf.DUMMYFUNCTION("""COMPUTED_VALUE"""),"Enquire &amp; Coordinate with client")</f>
        <v>Enquire &amp; Coordinate with client</v>
      </c>
      <c r="I412" s="4" t="str">
        <f>IFERROR(__xludf.DUMMYFUNCTION("""COMPUTED_VALUE"""),"sales person - first shivani")</f>
        <v>sales person - first shivani</v>
      </c>
    </row>
    <row r="413">
      <c r="A413" s="85">
        <f>IFERROR(__xludf.DUMMYFUNCTION("""COMPUTED_VALUE"""),45490.542025532406)</f>
        <v>45490.54203</v>
      </c>
      <c r="B413" s="4"/>
      <c r="C413" s="4"/>
      <c r="D413" s="4"/>
      <c r="E413" s="4"/>
      <c r="F413" s="4"/>
      <c r="G413" s="85">
        <f>IFERROR(__xludf.DUMMYFUNCTION("""COMPUTED_VALUE"""),45491.54166666667)</f>
        <v>45491.54167</v>
      </c>
      <c r="H413" s="85" t="str">
        <f>IFERROR(__xludf.DUMMYFUNCTION("""COMPUTED_VALUE"""),"Enquire &amp; Coordinate with client")</f>
        <v>Enquire &amp; Coordinate with client</v>
      </c>
      <c r="I413" s="4" t="str">
        <f>IFERROR(__xludf.DUMMYFUNCTION("""COMPUTED_VALUE"""),"sales person - first shivani")</f>
        <v>sales person - first shivani</v>
      </c>
    </row>
    <row r="414">
      <c r="A414" s="85">
        <f>IFERROR(__xludf.DUMMYFUNCTION("""COMPUTED_VALUE"""),45490.54294141204)</f>
        <v>45490.54294</v>
      </c>
      <c r="B414" s="4"/>
      <c r="C414" s="4"/>
      <c r="D414" s="4"/>
      <c r="E414" s="4"/>
      <c r="F414" s="4"/>
      <c r="G414" s="85">
        <f>IFERROR(__xludf.DUMMYFUNCTION("""COMPUTED_VALUE"""),45491.54236111111)</f>
        <v>45491.54236</v>
      </c>
      <c r="H414" s="85" t="str">
        <f>IFERROR(__xludf.DUMMYFUNCTION("""COMPUTED_VALUE"""),"Enquire &amp; Coordinate with client")</f>
        <v>Enquire &amp; Coordinate with client</v>
      </c>
      <c r="I414" s="4" t="str">
        <f>IFERROR(__xludf.DUMMYFUNCTION("""COMPUTED_VALUE"""),"sales person - first shivani")</f>
        <v>sales person - first shivani</v>
      </c>
    </row>
    <row r="415">
      <c r="A415" s="85">
        <f>IFERROR(__xludf.DUMMYFUNCTION("""COMPUTED_VALUE"""),45496.51453450231)</f>
        <v>45496.51453</v>
      </c>
      <c r="B415" s="4"/>
      <c r="C415" s="4"/>
      <c r="D415" s="4"/>
      <c r="E415" s="4"/>
      <c r="F415" s="4"/>
      <c r="G415" s="85">
        <f>IFERROR(__xludf.DUMMYFUNCTION("""COMPUTED_VALUE"""),45497.51388888889)</f>
        <v>45497.51389</v>
      </c>
      <c r="H415" s="85" t="str">
        <f>IFERROR(__xludf.DUMMYFUNCTION("""COMPUTED_VALUE"""),"Enquire &amp; Coordinate with client")</f>
        <v>Enquire &amp; Coordinate with client</v>
      </c>
      <c r="I415" s="4" t="str">
        <f>IFERROR(__xludf.DUMMYFUNCTION("""COMPUTED_VALUE"""),"sales person - first shivani")</f>
        <v>sales person - first shivani</v>
      </c>
    </row>
    <row r="416">
      <c r="A416" s="85">
        <f>IFERROR(__xludf.DUMMYFUNCTION("""COMPUTED_VALUE"""),45496.527811851854)</f>
        <v>45496.52781</v>
      </c>
      <c r="B416" s="4"/>
      <c r="C416" s="4"/>
      <c r="D416" s="4"/>
      <c r="E416" s="4"/>
      <c r="F416" s="4"/>
      <c r="G416" s="85">
        <f>IFERROR(__xludf.DUMMYFUNCTION("""COMPUTED_VALUE"""),45497.52777777778)</f>
        <v>45497.52778</v>
      </c>
      <c r="H416" s="85" t="str">
        <f>IFERROR(__xludf.DUMMYFUNCTION("""COMPUTED_VALUE"""),"Enquire &amp; Coordinate with client")</f>
        <v>Enquire &amp; Coordinate with client</v>
      </c>
      <c r="I416" s="4" t="str">
        <f>IFERROR(__xludf.DUMMYFUNCTION("""COMPUTED_VALUE"""),"sales person - first shivani")</f>
        <v>sales person - first shivani</v>
      </c>
    </row>
    <row r="417">
      <c r="A417" s="85">
        <f>IFERROR(__xludf.DUMMYFUNCTION("""COMPUTED_VALUE"""),45499.78636366898)</f>
        <v>45499.78636</v>
      </c>
      <c r="B417" s="4"/>
      <c r="C417" s="4"/>
      <c r="D417" s="4"/>
      <c r="E417" s="4"/>
      <c r="F417" s="4"/>
      <c r="G417" s="85">
        <f>IFERROR(__xludf.DUMMYFUNCTION("""COMPUTED_VALUE"""),45500.78611111111)</f>
        <v>45500.78611</v>
      </c>
      <c r="H417" s="85" t="str">
        <f>IFERROR(__xludf.DUMMYFUNCTION("""COMPUTED_VALUE"""),"Enquire &amp; Coordinate with client")</f>
        <v>Enquire &amp; Coordinate with client</v>
      </c>
      <c r="I417" s="4" t="str">
        <f>IFERROR(__xludf.DUMMYFUNCTION("""COMPUTED_VALUE"""),"sales person - first shivani")</f>
        <v>sales person - first shivani</v>
      </c>
    </row>
    <row r="418">
      <c r="A418" s="85">
        <f>IFERROR(__xludf.DUMMYFUNCTION("""COMPUTED_VALUE"""),45501.61146274306)</f>
        <v>45501.61146</v>
      </c>
      <c r="B418" s="4"/>
      <c r="C418" s="4"/>
      <c r="D418" s="4"/>
      <c r="E418" s="4"/>
      <c r="F418" s="4"/>
      <c r="G418" s="85">
        <f>IFERROR(__xludf.DUMMYFUNCTION("""COMPUTED_VALUE"""),45503.61111111111)</f>
        <v>45503.61111</v>
      </c>
      <c r="H418" s="85" t="str">
        <f>IFERROR(__xludf.DUMMYFUNCTION("""COMPUTED_VALUE"""),"Enquire &amp; Coordinate with client")</f>
        <v>Enquire &amp; Coordinate with client</v>
      </c>
      <c r="I418" s="4" t="str">
        <f>IFERROR(__xludf.DUMMYFUNCTION("""COMPUTED_VALUE"""),"sales person - first shivani")</f>
        <v>sales person - first shivani</v>
      </c>
    </row>
    <row r="419">
      <c r="A419" s="85">
        <f>IFERROR(__xludf.DUMMYFUNCTION("""COMPUTED_VALUE"""),45504.55864546296)</f>
        <v>45504.55865</v>
      </c>
      <c r="B419" s="4"/>
      <c r="C419" s="4"/>
      <c r="D419" s="4"/>
      <c r="E419" s="4"/>
      <c r="F419" s="4"/>
      <c r="G419" s="85">
        <f>IFERROR(__xludf.DUMMYFUNCTION("""COMPUTED_VALUE"""),45505.558333333334)</f>
        <v>45505.55833</v>
      </c>
      <c r="H419" s="85" t="str">
        <f>IFERROR(__xludf.DUMMYFUNCTION("""COMPUTED_VALUE"""),"Enquire &amp; Coordinate with client")</f>
        <v>Enquire &amp; Coordinate with client</v>
      </c>
      <c r="I419" s="4" t="str">
        <f>IFERROR(__xludf.DUMMYFUNCTION("""COMPUTED_VALUE"""),"sales person - first shivani")</f>
        <v>sales person - first shivani</v>
      </c>
    </row>
    <row r="420">
      <c r="A420" s="85">
        <f>IFERROR(__xludf.DUMMYFUNCTION("""COMPUTED_VALUE"""),45504.56551927084)</f>
        <v>45504.56552</v>
      </c>
      <c r="B420" s="4"/>
      <c r="C420" s="4"/>
      <c r="D420" s="4"/>
      <c r="E420" s="4"/>
      <c r="F420" s="4"/>
      <c r="G420" s="85">
        <f>IFERROR(__xludf.DUMMYFUNCTION("""COMPUTED_VALUE"""),45505.56527777778)</f>
        <v>45505.56528</v>
      </c>
      <c r="H420" s="85" t="str">
        <f>IFERROR(__xludf.DUMMYFUNCTION("""COMPUTED_VALUE"""),"Enquire &amp; Coordinate with client")</f>
        <v>Enquire &amp; Coordinate with client</v>
      </c>
      <c r="I420" s="4" t="str">
        <f>IFERROR(__xludf.DUMMYFUNCTION("""COMPUTED_VALUE"""),"sales person - first shivani")</f>
        <v>sales person - first shivani</v>
      </c>
    </row>
    <row r="421">
      <c r="A421" s="85">
        <f>IFERROR(__xludf.DUMMYFUNCTION("""COMPUTED_VALUE"""),45512.56613047453)</f>
        <v>45512.56613</v>
      </c>
      <c r="B421" s="4"/>
      <c r="C421" s="4"/>
      <c r="D421" s="4"/>
      <c r="E421" s="4"/>
      <c r="F421" s="4"/>
      <c r="G421" s="85">
        <f>IFERROR(__xludf.DUMMYFUNCTION("""COMPUTED_VALUE"""),45513.56597222222)</f>
        <v>45513.56597</v>
      </c>
      <c r="H421" s="85" t="str">
        <f>IFERROR(__xludf.DUMMYFUNCTION("""COMPUTED_VALUE"""),"Enquire &amp; Coordinate with client")</f>
        <v>Enquire &amp; Coordinate with client</v>
      </c>
      <c r="I421" s="4" t="str">
        <f>IFERROR(__xludf.DUMMYFUNCTION("""COMPUTED_VALUE"""),"sales person - first shivani")</f>
        <v>sales person - first shivani</v>
      </c>
    </row>
    <row r="422">
      <c r="A422" s="85">
        <f>IFERROR(__xludf.DUMMYFUNCTION("""COMPUTED_VALUE"""),45512.78827247685)</f>
        <v>45512.78827</v>
      </c>
      <c r="B422" s="4"/>
      <c r="C422" s="4"/>
      <c r="D422" s="4"/>
      <c r="E422" s="4"/>
      <c r="F422" s="4"/>
      <c r="G422" s="85">
        <f>IFERROR(__xludf.DUMMYFUNCTION("""COMPUTED_VALUE"""),45513.788194444445)</f>
        <v>45513.78819</v>
      </c>
      <c r="H422" s="85" t="str">
        <f>IFERROR(__xludf.DUMMYFUNCTION("""COMPUTED_VALUE"""),"Enquire &amp; Coordinate with client")</f>
        <v>Enquire &amp; Coordinate with client</v>
      </c>
      <c r="I422" s="4" t="str">
        <f>IFERROR(__xludf.DUMMYFUNCTION("""COMPUTED_VALUE"""),"sales person - first shivani")</f>
        <v>sales person - first shivani</v>
      </c>
    </row>
    <row r="423">
      <c r="A423" s="85">
        <f>IFERROR(__xludf.DUMMYFUNCTION("""COMPUTED_VALUE"""),45525.57375875)</f>
        <v>45525.57376</v>
      </c>
      <c r="B423" s="4"/>
      <c r="C423" s="4"/>
      <c r="D423" s="4"/>
      <c r="E423" s="4"/>
      <c r="F423" s="4"/>
      <c r="G423" s="85">
        <f>IFERROR(__xludf.DUMMYFUNCTION("""COMPUTED_VALUE"""),45526.57361111111)</f>
        <v>45526.57361</v>
      </c>
      <c r="H423" s="85" t="str">
        <f>IFERROR(__xludf.DUMMYFUNCTION("""COMPUTED_VALUE"""),"Enquire &amp; Coordinate with client")</f>
        <v>Enquire &amp; Coordinate with client</v>
      </c>
      <c r="I423" s="4" t="str">
        <f>IFERROR(__xludf.DUMMYFUNCTION("""COMPUTED_VALUE"""),"sales person - first shivani")</f>
        <v>sales person - first shivani</v>
      </c>
    </row>
    <row r="424">
      <c r="A424" s="85">
        <f>IFERROR(__xludf.DUMMYFUNCTION("""COMPUTED_VALUE"""),45536.69539365741)</f>
        <v>45536.69539</v>
      </c>
      <c r="B424" s="4"/>
      <c r="C424" s="4"/>
      <c r="D424" s="4"/>
      <c r="E424" s="4"/>
      <c r="F424" s="4"/>
      <c r="G424" s="85">
        <f>IFERROR(__xludf.DUMMYFUNCTION("""COMPUTED_VALUE"""),45538.695138888885)</f>
        <v>45538.69514</v>
      </c>
      <c r="H424" s="85" t="str">
        <f>IFERROR(__xludf.DUMMYFUNCTION("""COMPUTED_VALUE"""),"Enquire &amp; Coordinate with client")</f>
        <v>Enquire &amp; Coordinate with client</v>
      </c>
      <c r="I424" s="4" t="str">
        <f>IFERROR(__xludf.DUMMYFUNCTION("""COMPUTED_VALUE"""),"sales person - first shivani")</f>
        <v>sales person - first shivani</v>
      </c>
    </row>
    <row r="425">
      <c r="A425" s="85">
        <f>IFERROR(__xludf.DUMMYFUNCTION("""COMPUTED_VALUE"""),45536.69820811343)</f>
        <v>45536.69821</v>
      </c>
      <c r="B425" s="4"/>
      <c r="C425" s="4"/>
      <c r="D425" s="4"/>
      <c r="E425" s="4"/>
      <c r="F425" s="4"/>
      <c r="G425" s="85">
        <f>IFERROR(__xludf.DUMMYFUNCTION("""COMPUTED_VALUE"""),45538.69791666667)</f>
        <v>45538.69792</v>
      </c>
      <c r="H425" s="85" t="str">
        <f>IFERROR(__xludf.DUMMYFUNCTION("""COMPUTED_VALUE"""),"Enquire &amp; Coordinate with client")</f>
        <v>Enquire &amp; Coordinate with client</v>
      </c>
      <c r="I425" s="4" t="str">
        <f>IFERROR(__xludf.DUMMYFUNCTION("""COMPUTED_VALUE"""),"sales person - first shivani")</f>
        <v>sales person - first shivani</v>
      </c>
    </row>
    <row r="426">
      <c r="A426" s="85">
        <f>IFERROR(__xludf.DUMMYFUNCTION("""COMPUTED_VALUE"""),45536.6994552199)</f>
        <v>45536.69946</v>
      </c>
      <c r="B426" s="4"/>
      <c r="C426" s="4"/>
      <c r="D426" s="4"/>
      <c r="E426" s="4"/>
      <c r="F426" s="4"/>
      <c r="G426" s="85">
        <f>IFERROR(__xludf.DUMMYFUNCTION("""COMPUTED_VALUE"""),45538.69930555555)</f>
        <v>45538.69931</v>
      </c>
      <c r="H426" s="85" t="str">
        <f>IFERROR(__xludf.DUMMYFUNCTION("""COMPUTED_VALUE"""),"Enquire &amp; Coordinate with client")</f>
        <v>Enquire &amp; Coordinate with client</v>
      </c>
      <c r="I426" s="4" t="str">
        <f>IFERROR(__xludf.DUMMYFUNCTION("""COMPUTED_VALUE"""),"sales person - first shivani")</f>
        <v>sales person - first shivani</v>
      </c>
    </row>
    <row r="427">
      <c r="A427" s="85">
        <f>IFERROR(__xludf.DUMMYFUNCTION("""COMPUTED_VALUE"""),45536.701630393516)</f>
        <v>45536.70163</v>
      </c>
      <c r="B427" s="4"/>
      <c r="C427" s="4"/>
      <c r="D427" s="4"/>
      <c r="E427" s="4"/>
      <c r="F427" s="4"/>
      <c r="G427" s="85">
        <f>IFERROR(__xludf.DUMMYFUNCTION("""COMPUTED_VALUE"""),45538.70138888889)</f>
        <v>45538.70139</v>
      </c>
      <c r="H427" s="85" t="str">
        <f>IFERROR(__xludf.DUMMYFUNCTION("""COMPUTED_VALUE"""),"Enquire &amp; Coordinate with client")</f>
        <v>Enquire &amp; Coordinate with client</v>
      </c>
      <c r="I427" s="4" t="str">
        <f>IFERROR(__xludf.DUMMYFUNCTION("""COMPUTED_VALUE"""),"sales person - first shivani")</f>
        <v>sales person - first shivani</v>
      </c>
    </row>
    <row r="428">
      <c r="A428" s="85">
        <f>IFERROR(__xludf.DUMMYFUNCTION("""COMPUTED_VALUE"""),45541.49722269676)</f>
        <v>45541.49722</v>
      </c>
      <c r="B428" s="4"/>
      <c r="C428" s="4"/>
      <c r="D428" s="4"/>
      <c r="E428" s="4"/>
      <c r="F428" s="4"/>
      <c r="G428" s="85">
        <f>IFERROR(__xludf.DUMMYFUNCTION("""COMPUTED_VALUE"""),45542.49722222222)</f>
        <v>45542.49722</v>
      </c>
      <c r="H428" s="85" t="str">
        <f>IFERROR(__xludf.DUMMYFUNCTION("""COMPUTED_VALUE"""),"Enquire &amp; Coordinate with client")</f>
        <v>Enquire &amp; Coordinate with client</v>
      </c>
      <c r="I428" s="4" t="str">
        <f>IFERROR(__xludf.DUMMYFUNCTION("""COMPUTED_VALUE"""),"sales person - first shivani")</f>
        <v>sales person - first shivani</v>
      </c>
    </row>
    <row r="429">
      <c r="A429" s="85">
        <f>IFERROR(__xludf.DUMMYFUNCTION("""COMPUTED_VALUE"""),45541.499944675925)</f>
        <v>45541.49994</v>
      </c>
      <c r="B429" s="4"/>
      <c r="C429" s="4"/>
      <c r="D429" s="4"/>
      <c r="E429" s="4"/>
      <c r="F429" s="4"/>
      <c r="G429" s="85">
        <f>IFERROR(__xludf.DUMMYFUNCTION("""COMPUTED_VALUE"""),45542.49930555555)</f>
        <v>45542.49931</v>
      </c>
      <c r="H429" s="85" t="str">
        <f>IFERROR(__xludf.DUMMYFUNCTION("""COMPUTED_VALUE"""),"Enquire &amp; Coordinate with client")</f>
        <v>Enquire &amp; Coordinate with client</v>
      </c>
      <c r="I429" s="4" t="str">
        <f>IFERROR(__xludf.DUMMYFUNCTION("""COMPUTED_VALUE"""),"sales person - first shivani")</f>
        <v>sales person - first shivani</v>
      </c>
    </row>
    <row r="430">
      <c r="A430" s="85">
        <f>IFERROR(__xludf.DUMMYFUNCTION("""COMPUTED_VALUE"""),45556.62494822917)</f>
        <v>45556.62495</v>
      </c>
      <c r="B430" s="4"/>
      <c r="C430" s="4"/>
      <c r="D430" s="4"/>
      <c r="E430" s="4"/>
      <c r="F430" s="4"/>
      <c r="G430" s="85">
        <f>IFERROR(__xludf.DUMMYFUNCTION("""COMPUTED_VALUE"""),45557.62430555555)</f>
        <v>45557.62431</v>
      </c>
      <c r="H430" s="85" t="str">
        <f>IFERROR(__xludf.DUMMYFUNCTION("""COMPUTED_VALUE"""),"Enquire &amp; Coordinate with client")</f>
        <v>Enquire &amp; Coordinate with client</v>
      </c>
      <c r="I430" s="4" t="str">
        <f>IFERROR(__xludf.DUMMYFUNCTION("""COMPUTED_VALUE"""),"sales person - first shivani")</f>
        <v>sales person - first shivani</v>
      </c>
    </row>
    <row r="431">
      <c r="A431" s="85">
        <f>IFERROR(__xludf.DUMMYFUNCTION("""COMPUTED_VALUE"""),45556.62787509259)</f>
        <v>45556.62788</v>
      </c>
      <c r="B431" s="4"/>
      <c r="C431" s="4"/>
      <c r="D431" s="4"/>
      <c r="E431" s="4"/>
      <c r="F431" s="4"/>
      <c r="G431" s="85">
        <f>IFERROR(__xludf.DUMMYFUNCTION("""COMPUTED_VALUE"""),45557.62777777778)</f>
        <v>45557.62778</v>
      </c>
      <c r="H431" s="85" t="str">
        <f>IFERROR(__xludf.DUMMYFUNCTION("""COMPUTED_VALUE"""),"Enquire &amp; Coordinate with client")</f>
        <v>Enquire &amp; Coordinate with client</v>
      </c>
      <c r="I431" s="4" t="str">
        <f>IFERROR(__xludf.DUMMYFUNCTION("""COMPUTED_VALUE"""),"sales person - first shivani")</f>
        <v>sales person - first shivani</v>
      </c>
    </row>
    <row r="432">
      <c r="A432" s="85">
        <f>IFERROR(__xludf.DUMMYFUNCTION("""COMPUTED_VALUE"""),45556.630143622686)</f>
        <v>45556.63014</v>
      </c>
      <c r="B432" s="4"/>
      <c r="C432" s="4"/>
      <c r="D432" s="4"/>
      <c r="E432" s="4"/>
      <c r="F432" s="4"/>
      <c r="G432" s="85">
        <f>IFERROR(__xludf.DUMMYFUNCTION("""COMPUTED_VALUE"""),45557.62986111111)</f>
        <v>45557.62986</v>
      </c>
      <c r="H432" s="85" t="str">
        <f>IFERROR(__xludf.DUMMYFUNCTION("""COMPUTED_VALUE"""),"Enquire &amp; Coordinate with client")</f>
        <v>Enquire &amp; Coordinate with client</v>
      </c>
      <c r="I432" s="4" t="str">
        <f>IFERROR(__xludf.DUMMYFUNCTION("""COMPUTED_VALUE"""),"sales person - first shivani")</f>
        <v>sales person - first shivani</v>
      </c>
    </row>
    <row r="433">
      <c r="A433" s="85">
        <f>IFERROR(__xludf.DUMMYFUNCTION("""COMPUTED_VALUE"""),45556.6362168287)</f>
        <v>45556.63622</v>
      </c>
      <c r="B433" s="4"/>
      <c r="C433" s="4"/>
      <c r="D433" s="4"/>
      <c r="E433" s="4"/>
      <c r="F433" s="4"/>
      <c r="G433" s="85">
        <f>IFERROR(__xludf.DUMMYFUNCTION("""COMPUTED_VALUE"""),45557.63611111111)</f>
        <v>45557.63611</v>
      </c>
      <c r="H433" s="85" t="str">
        <f>IFERROR(__xludf.DUMMYFUNCTION("""COMPUTED_VALUE"""),"Enquire &amp; Coordinate with client")</f>
        <v>Enquire &amp; Coordinate with client</v>
      </c>
      <c r="I433" s="4" t="str">
        <f>IFERROR(__xludf.DUMMYFUNCTION("""COMPUTED_VALUE"""),"sales person - first shivani")</f>
        <v>sales person - first shivani</v>
      </c>
    </row>
    <row r="434">
      <c r="A434" s="85">
        <f>IFERROR(__xludf.DUMMYFUNCTION("""COMPUTED_VALUE"""),45560.5151296412)</f>
        <v>45560.51513</v>
      </c>
      <c r="B434" s="4"/>
      <c r="C434" s="4"/>
      <c r="D434" s="4"/>
      <c r="E434" s="4"/>
      <c r="F434" s="4"/>
      <c r="G434" s="85">
        <f>IFERROR(__xludf.DUMMYFUNCTION("""COMPUTED_VALUE"""),45561.51458333334)</f>
        <v>45561.51458</v>
      </c>
      <c r="H434" s="85" t="str">
        <f>IFERROR(__xludf.DUMMYFUNCTION("""COMPUTED_VALUE"""),"Enquire &amp; Coordinate with client")</f>
        <v>Enquire &amp; Coordinate with client</v>
      </c>
      <c r="I434" s="4" t="str">
        <f>IFERROR(__xludf.DUMMYFUNCTION("""COMPUTED_VALUE"""),"sales person - first shivani")</f>
        <v>sales person - first shivani</v>
      </c>
    </row>
    <row r="435">
      <c r="A435" s="85">
        <f>IFERROR(__xludf.DUMMYFUNCTION("""COMPUTED_VALUE"""),45561.66120125)</f>
        <v>45561.6612</v>
      </c>
      <c r="B435" s="4"/>
      <c r="C435" s="4"/>
      <c r="D435" s="4"/>
      <c r="E435" s="4"/>
      <c r="F435" s="4"/>
      <c r="G435" s="85">
        <f>IFERROR(__xludf.DUMMYFUNCTION("""COMPUTED_VALUE"""),45562.66111111111)</f>
        <v>45562.66111</v>
      </c>
      <c r="H435" s="85" t="str">
        <f>IFERROR(__xludf.DUMMYFUNCTION("""COMPUTED_VALUE"""),"Enquire &amp; Coordinate with client")</f>
        <v>Enquire &amp; Coordinate with client</v>
      </c>
      <c r="I435" s="4" t="str">
        <f>IFERROR(__xludf.DUMMYFUNCTION("""COMPUTED_VALUE"""),"sales person - first shivani")</f>
        <v>sales person - first shivani</v>
      </c>
    </row>
    <row r="436">
      <c r="A436" s="85">
        <f>IFERROR(__xludf.DUMMYFUNCTION("""COMPUTED_VALUE"""),45563.64611533565)</f>
        <v>45563.64612</v>
      </c>
      <c r="B436" s="4"/>
      <c r="C436" s="4"/>
      <c r="D436" s="4"/>
      <c r="E436" s="4"/>
      <c r="F436" s="4"/>
      <c r="G436" s="85">
        <f>IFERROR(__xludf.DUMMYFUNCTION("""COMPUTED_VALUE"""),45564.64583333333)</f>
        <v>45564.64583</v>
      </c>
      <c r="H436" s="85" t="str">
        <f>IFERROR(__xludf.DUMMYFUNCTION("""COMPUTED_VALUE"""),"Enquire &amp; Coordinate with client")</f>
        <v>Enquire &amp; Coordinate with client</v>
      </c>
      <c r="I436" s="4" t="str">
        <f>IFERROR(__xludf.DUMMYFUNCTION("""COMPUTED_VALUE"""),"sales person - first shivani")</f>
        <v>sales person - first shivani</v>
      </c>
    </row>
    <row r="437">
      <c r="A437" s="85">
        <f>IFERROR(__xludf.DUMMYFUNCTION("""COMPUTED_VALUE"""),45563.71384561343)</f>
        <v>45563.71385</v>
      </c>
      <c r="B437" s="4"/>
      <c r="C437" s="4"/>
      <c r="D437" s="4"/>
      <c r="E437" s="4"/>
      <c r="F437" s="4"/>
      <c r="G437" s="85">
        <f>IFERROR(__xludf.DUMMYFUNCTION("""COMPUTED_VALUE"""),45564.71319444444)</f>
        <v>45564.71319</v>
      </c>
      <c r="H437" s="85" t="str">
        <f>IFERROR(__xludf.DUMMYFUNCTION("""COMPUTED_VALUE"""),"Enquire &amp; Coordinate with client")</f>
        <v>Enquire &amp; Coordinate with client</v>
      </c>
      <c r="I437" s="4" t="str">
        <f>IFERROR(__xludf.DUMMYFUNCTION("""COMPUTED_VALUE"""),"sales person - first shivani")</f>
        <v>sales person - first shivani</v>
      </c>
    </row>
    <row r="438">
      <c r="A438" s="85">
        <f>IFERROR(__xludf.DUMMYFUNCTION("""COMPUTED_VALUE"""),45563.75472326389)</f>
        <v>45563.75472</v>
      </c>
      <c r="B438" s="4"/>
      <c r="C438" s="4"/>
      <c r="D438" s="4"/>
      <c r="E438" s="4"/>
      <c r="F438" s="4"/>
      <c r="G438" s="85">
        <f>IFERROR(__xludf.DUMMYFUNCTION("""COMPUTED_VALUE"""),45564.754166666666)</f>
        <v>45564.75417</v>
      </c>
      <c r="H438" s="85" t="str">
        <f>IFERROR(__xludf.DUMMYFUNCTION("""COMPUTED_VALUE"""),"Enquire &amp; Coordinate with client")</f>
        <v>Enquire &amp; Coordinate with client</v>
      </c>
      <c r="I438" s="4" t="str">
        <f>IFERROR(__xludf.DUMMYFUNCTION("""COMPUTED_VALUE"""),"sales person - first shivani")</f>
        <v>sales person - first shivani</v>
      </c>
    </row>
    <row r="439">
      <c r="A439" s="85">
        <f>IFERROR(__xludf.DUMMYFUNCTION("""COMPUTED_VALUE"""),45563.77998452546)</f>
        <v>45563.77998</v>
      </c>
      <c r="B439" s="4"/>
      <c r="C439" s="4"/>
      <c r="D439" s="4"/>
      <c r="E439" s="4"/>
      <c r="F439" s="4"/>
      <c r="G439" s="85">
        <f>IFERROR(__xludf.DUMMYFUNCTION("""COMPUTED_VALUE"""),45564.77986111111)</f>
        <v>45564.77986</v>
      </c>
      <c r="H439" s="85" t="str">
        <f>IFERROR(__xludf.DUMMYFUNCTION("""COMPUTED_VALUE"""),"Enquire &amp; Coordinate with client")</f>
        <v>Enquire &amp; Coordinate with client</v>
      </c>
      <c r="I439" s="4" t="str">
        <f>IFERROR(__xludf.DUMMYFUNCTION("""COMPUTED_VALUE"""),"sales person - first shivani")</f>
        <v>sales person - first shivani</v>
      </c>
    </row>
    <row r="440">
      <c r="A440" s="85">
        <f>IFERROR(__xludf.DUMMYFUNCTION("""COMPUTED_VALUE"""),45566.77695196759)</f>
        <v>45566.77695</v>
      </c>
      <c r="B440" s="4"/>
      <c r="C440" s="4"/>
      <c r="D440" s="4"/>
      <c r="E440" s="4"/>
      <c r="F440" s="4"/>
      <c r="G440" s="85">
        <f>IFERROR(__xludf.DUMMYFUNCTION("""COMPUTED_VALUE"""),45567.77638888889)</f>
        <v>45567.77639</v>
      </c>
      <c r="H440" s="85" t="str">
        <f>IFERROR(__xludf.DUMMYFUNCTION("""COMPUTED_VALUE"""),"Enquire &amp; Coordinate with client")</f>
        <v>Enquire &amp; Coordinate with client</v>
      </c>
      <c r="I440" s="4" t="str">
        <f>IFERROR(__xludf.DUMMYFUNCTION("""COMPUTED_VALUE"""),"sales person - first shivani")</f>
        <v>sales person - first shivani</v>
      </c>
    </row>
    <row r="441">
      <c r="A441" s="85">
        <f>IFERROR(__xludf.DUMMYFUNCTION("""COMPUTED_VALUE"""),45573.64941116898)</f>
        <v>45573.64941</v>
      </c>
      <c r="B441" s="4"/>
      <c r="C441" s="4"/>
      <c r="D441" s="4"/>
      <c r="E441" s="4"/>
      <c r="F441" s="4"/>
      <c r="G441" s="85">
        <f>IFERROR(__xludf.DUMMYFUNCTION("""COMPUTED_VALUE"""),45574.649305555555)</f>
        <v>45574.64931</v>
      </c>
      <c r="H441" s="85" t="str">
        <f>IFERROR(__xludf.DUMMYFUNCTION("""COMPUTED_VALUE"""),"Enquire &amp; Coordinate with client")</f>
        <v>Enquire &amp; Coordinate with client</v>
      </c>
      <c r="I441" s="4" t="str">
        <f>IFERROR(__xludf.DUMMYFUNCTION("""COMPUTED_VALUE"""),"sales person - first shivani")</f>
        <v>sales person - first shivani</v>
      </c>
    </row>
    <row r="442">
      <c r="A442" s="85">
        <f>IFERROR(__xludf.DUMMYFUNCTION("""COMPUTED_VALUE"""),45573.652469085646)</f>
        <v>45573.65247</v>
      </c>
      <c r="B442" s="4"/>
      <c r="C442" s="4"/>
      <c r="D442" s="4"/>
      <c r="E442" s="4"/>
      <c r="F442" s="4"/>
      <c r="G442" s="85">
        <f>IFERROR(__xludf.DUMMYFUNCTION("""COMPUTED_VALUE"""),45574.652083333334)</f>
        <v>45574.65208</v>
      </c>
      <c r="H442" s="85" t="str">
        <f>IFERROR(__xludf.DUMMYFUNCTION("""COMPUTED_VALUE"""),"Enquire &amp; Coordinate with client")</f>
        <v>Enquire &amp; Coordinate with client</v>
      </c>
      <c r="I442" s="4" t="str">
        <f>IFERROR(__xludf.DUMMYFUNCTION("""COMPUTED_VALUE"""),"sales person - first shivani")</f>
        <v>sales person - first shivani</v>
      </c>
    </row>
    <row r="443">
      <c r="A443" s="85">
        <f>IFERROR(__xludf.DUMMYFUNCTION("""COMPUTED_VALUE"""),45573.653374837966)</f>
        <v>45573.65337</v>
      </c>
      <c r="B443" s="4"/>
      <c r="C443" s="4"/>
      <c r="D443" s="4"/>
      <c r="E443" s="4"/>
      <c r="F443" s="4"/>
      <c r="G443" s="85">
        <f>IFERROR(__xludf.DUMMYFUNCTION("""COMPUTED_VALUE"""),45574.65277777778)</f>
        <v>45574.65278</v>
      </c>
      <c r="H443" s="85" t="str">
        <f>IFERROR(__xludf.DUMMYFUNCTION("""COMPUTED_VALUE"""),"Enquire &amp; Coordinate with client")</f>
        <v>Enquire &amp; Coordinate with client</v>
      </c>
      <c r="I443" s="4" t="str">
        <f>IFERROR(__xludf.DUMMYFUNCTION("""COMPUTED_VALUE"""),"sales person - first shivani")</f>
        <v>sales person - first shivani</v>
      </c>
    </row>
    <row r="444">
      <c r="A444" s="85">
        <f>IFERROR(__xludf.DUMMYFUNCTION("""COMPUTED_VALUE"""),45581.706928402775)</f>
        <v>45581.70693</v>
      </c>
      <c r="B444" s="4"/>
      <c r="C444" s="4"/>
      <c r="D444" s="4"/>
      <c r="E444" s="4"/>
      <c r="F444" s="4"/>
      <c r="G444" s="85">
        <f>IFERROR(__xludf.DUMMYFUNCTION("""COMPUTED_VALUE"""),45582.70625)</f>
        <v>45582.70625</v>
      </c>
      <c r="H444" s="85" t="str">
        <f>IFERROR(__xludf.DUMMYFUNCTION("""COMPUTED_VALUE"""),"Enquire &amp; Coordinate with client")</f>
        <v>Enquire &amp; Coordinate with client</v>
      </c>
      <c r="I444" s="4" t="str">
        <f>IFERROR(__xludf.DUMMYFUNCTION("""COMPUTED_VALUE"""),"sales person - first shivani")</f>
        <v>sales person - first shivani</v>
      </c>
    </row>
    <row r="445">
      <c r="A445" s="85">
        <f>IFERROR(__xludf.DUMMYFUNCTION("""COMPUTED_VALUE"""),45581.71528358797)</f>
        <v>45581.71528</v>
      </c>
      <c r="B445" s="4"/>
      <c r="C445" s="4"/>
      <c r="D445" s="4"/>
      <c r="E445" s="4"/>
      <c r="F445" s="4"/>
      <c r="G445" s="85">
        <f>IFERROR(__xludf.DUMMYFUNCTION("""COMPUTED_VALUE"""),45582.71527777778)</f>
        <v>45582.71528</v>
      </c>
      <c r="H445" s="85" t="str">
        <f>IFERROR(__xludf.DUMMYFUNCTION("""COMPUTED_VALUE"""),"Enquire &amp; Coordinate with client")</f>
        <v>Enquire &amp; Coordinate with client</v>
      </c>
      <c r="I445" s="4" t="str">
        <f>IFERROR(__xludf.DUMMYFUNCTION("""COMPUTED_VALUE"""),"sales person - first shivani")</f>
        <v>sales person - first shivani</v>
      </c>
    </row>
    <row r="446">
      <c r="A446" s="85">
        <f>IFERROR(__xludf.DUMMYFUNCTION("""COMPUTED_VALUE"""),45586.628311134264)</f>
        <v>45586.62831</v>
      </c>
      <c r="B446" s="4"/>
      <c r="C446" s="4"/>
      <c r="D446" s="4"/>
      <c r="E446" s="4"/>
      <c r="F446" s="4"/>
      <c r="G446" s="85">
        <f>IFERROR(__xludf.DUMMYFUNCTION("""COMPUTED_VALUE"""),45587.62777777778)</f>
        <v>45587.62778</v>
      </c>
      <c r="H446" s="85" t="str">
        <f>IFERROR(__xludf.DUMMYFUNCTION("""COMPUTED_VALUE"""),"Enquire &amp; Coordinate with client")</f>
        <v>Enquire &amp; Coordinate with client</v>
      </c>
      <c r="I446" s="4" t="str">
        <f>IFERROR(__xludf.DUMMYFUNCTION("""COMPUTED_VALUE"""),"sales person - first shivani")</f>
        <v>sales person - first shivani</v>
      </c>
    </row>
    <row r="447">
      <c r="A447" s="85">
        <f>IFERROR(__xludf.DUMMYFUNCTION("""COMPUTED_VALUE"""),45586.63013628472)</f>
        <v>45586.63014</v>
      </c>
      <c r="B447" s="4"/>
      <c r="C447" s="4"/>
      <c r="D447" s="4"/>
      <c r="E447" s="4"/>
      <c r="F447" s="4"/>
      <c r="G447" s="85">
        <f>IFERROR(__xludf.DUMMYFUNCTION("""COMPUTED_VALUE"""),45587.62986111111)</f>
        <v>45587.62986</v>
      </c>
      <c r="H447" s="85" t="str">
        <f>IFERROR(__xludf.DUMMYFUNCTION("""COMPUTED_VALUE"""),"Enquire &amp; Coordinate with client")</f>
        <v>Enquire &amp; Coordinate with client</v>
      </c>
      <c r="I447" s="4" t="str">
        <f>IFERROR(__xludf.DUMMYFUNCTION("""COMPUTED_VALUE"""),"sales person - first shivani")</f>
        <v>sales person - first shivani</v>
      </c>
    </row>
    <row r="448">
      <c r="A448" s="85">
        <f>IFERROR(__xludf.DUMMYFUNCTION("""COMPUTED_VALUE"""),45586.632364930556)</f>
        <v>45586.63236</v>
      </c>
      <c r="B448" s="4"/>
      <c r="C448" s="4"/>
      <c r="D448" s="4"/>
      <c r="E448" s="4"/>
      <c r="F448" s="4"/>
      <c r="G448" s="85">
        <f>IFERROR(__xludf.DUMMYFUNCTION("""COMPUTED_VALUE"""),45587.631944444445)</f>
        <v>45587.63194</v>
      </c>
      <c r="H448" s="85" t="str">
        <f>IFERROR(__xludf.DUMMYFUNCTION("""COMPUTED_VALUE"""),"Enquire &amp; Coordinate with client")</f>
        <v>Enquire &amp; Coordinate with client</v>
      </c>
      <c r="I448" s="4" t="str">
        <f>IFERROR(__xludf.DUMMYFUNCTION("""COMPUTED_VALUE"""),"sales person - first shivani")</f>
        <v>sales person - first shivani</v>
      </c>
    </row>
    <row r="449">
      <c r="A449" s="85">
        <f>IFERROR(__xludf.DUMMYFUNCTION("""COMPUTED_VALUE"""),45586.6910837037)</f>
        <v>45586.69108</v>
      </c>
      <c r="B449" s="4"/>
      <c r="C449" s="4"/>
      <c r="D449" s="4"/>
      <c r="E449" s="4"/>
      <c r="F449" s="4"/>
      <c r="G449" s="85">
        <f>IFERROR(__xludf.DUMMYFUNCTION("""COMPUTED_VALUE"""),45587.69097222222)</f>
        <v>45587.69097</v>
      </c>
      <c r="H449" s="85" t="str">
        <f>IFERROR(__xludf.DUMMYFUNCTION("""COMPUTED_VALUE"""),"Enquire &amp; Coordinate with client")</f>
        <v>Enquire &amp; Coordinate with client</v>
      </c>
      <c r="I449" s="4" t="str">
        <f>IFERROR(__xludf.DUMMYFUNCTION("""COMPUTED_VALUE"""),"sales person - first shivani")</f>
        <v>sales person - first shivani</v>
      </c>
    </row>
    <row r="450">
      <c r="A450" s="85">
        <f>IFERROR(__xludf.DUMMYFUNCTION("""COMPUTED_VALUE"""),45586.695186261575)</f>
        <v>45586.69519</v>
      </c>
      <c r="B450" s="4"/>
      <c r="C450" s="4"/>
      <c r="D450" s="4"/>
      <c r="E450" s="4"/>
      <c r="F450" s="4"/>
      <c r="G450" s="85">
        <f>IFERROR(__xludf.DUMMYFUNCTION("""COMPUTED_VALUE"""),45587.695138888885)</f>
        <v>45587.69514</v>
      </c>
      <c r="H450" s="85" t="str">
        <f>IFERROR(__xludf.DUMMYFUNCTION("""COMPUTED_VALUE"""),"Enquire &amp; Coordinate with client")</f>
        <v>Enquire &amp; Coordinate with client</v>
      </c>
      <c r="I450" s="4" t="str">
        <f>IFERROR(__xludf.DUMMYFUNCTION("""COMPUTED_VALUE"""),"sales person - first shivani")</f>
        <v>sales person - first shivani</v>
      </c>
    </row>
    <row r="451">
      <c r="A451" s="85">
        <f>IFERROR(__xludf.DUMMYFUNCTION("""COMPUTED_VALUE"""),45586.696716527775)</f>
        <v>45586.69672</v>
      </c>
      <c r="B451" s="4"/>
      <c r="C451" s="4"/>
      <c r="D451" s="4"/>
      <c r="E451" s="4"/>
      <c r="F451" s="4"/>
      <c r="G451" s="85">
        <f>IFERROR(__xludf.DUMMYFUNCTION("""COMPUTED_VALUE"""),45587.69652777778)</f>
        <v>45587.69653</v>
      </c>
      <c r="H451" s="85" t="str">
        <f>IFERROR(__xludf.DUMMYFUNCTION("""COMPUTED_VALUE"""),"Enquire &amp; Coordinate with client")</f>
        <v>Enquire &amp; Coordinate with client</v>
      </c>
      <c r="I451" s="4" t="str">
        <f>IFERROR(__xludf.DUMMYFUNCTION("""COMPUTED_VALUE"""),"sales person - first shivani")</f>
        <v>sales person - first shivani</v>
      </c>
    </row>
    <row r="452">
      <c r="A452" s="85">
        <f>IFERROR(__xludf.DUMMYFUNCTION("""COMPUTED_VALUE"""),45586.7001267824)</f>
        <v>45586.70013</v>
      </c>
      <c r="B452" s="4"/>
      <c r="C452" s="4"/>
      <c r="D452" s="4"/>
      <c r="E452" s="4"/>
      <c r="F452" s="4"/>
      <c r="G452" s="85">
        <f>IFERROR(__xludf.DUMMYFUNCTION("""COMPUTED_VALUE"""),45587.7)</f>
        <v>45587.7</v>
      </c>
      <c r="H452" s="85" t="str">
        <f>IFERROR(__xludf.DUMMYFUNCTION("""COMPUTED_VALUE"""),"Enquire &amp; Coordinate with client")</f>
        <v>Enquire &amp; Coordinate with client</v>
      </c>
      <c r="I452" s="4" t="str">
        <f>IFERROR(__xludf.DUMMYFUNCTION("""COMPUTED_VALUE"""),"sales person - first shivani")</f>
        <v>sales person - first shivani</v>
      </c>
    </row>
    <row r="453">
      <c r="A453" s="85">
        <f>IFERROR(__xludf.DUMMYFUNCTION("""COMPUTED_VALUE"""),45587.6282334838)</f>
        <v>45587.62823</v>
      </c>
      <c r="B453" s="4"/>
      <c r="C453" s="4"/>
      <c r="D453" s="4"/>
      <c r="E453" s="4"/>
      <c r="F453" s="4"/>
      <c r="G453" s="85">
        <f>IFERROR(__xludf.DUMMYFUNCTION("""COMPUTED_VALUE"""),45588.62777777778)</f>
        <v>45588.62778</v>
      </c>
      <c r="H453" s="85" t="str">
        <f>IFERROR(__xludf.DUMMYFUNCTION("""COMPUTED_VALUE"""),"Enquire &amp; Coordinate with client")</f>
        <v>Enquire &amp; Coordinate with client</v>
      </c>
      <c r="I453" s="4" t="str">
        <f>IFERROR(__xludf.DUMMYFUNCTION("""COMPUTED_VALUE"""),"sales person - first shivani")</f>
        <v>sales person - first shivani</v>
      </c>
    </row>
    <row r="454">
      <c r="A454" s="85">
        <f>IFERROR(__xludf.DUMMYFUNCTION("""COMPUTED_VALUE"""),45589.66779212963)</f>
        <v>45589.66779</v>
      </c>
      <c r="B454" s="4"/>
      <c r="C454" s="4"/>
      <c r="D454" s="4"/>
      <c r="E454" s="4"/>
      <c r="F454" s="4"/>
      <c r="G454" s="85">
        <f>IFERROR(__xludf.DUMMYFUNCTION("""COMPUTED_VALUE"""),45590.66736111111)</f>
        <v>45590.66736</v>
      </c>
      <c r="H454" s="85" t="str">
        <f>IFERROR(__xludf.DUMMYFUNCTION("""COMPUTED_VALUE"""),"Enquire &amp; Coordinate with client")</f>
        <v>Enquire &amp; Coordinate with client</v>
      </c>
      <c r="I454" s="4" t="str">
        <f>IFERROR(__xludf.DUMMYFUNCTION("""COMPUTED_VALUE"""),"sales person - first shivani")</f>
        <v>sales person - first shivani</v>
      </c>
    </row>
    <row r="455">
      <c r="A455" s="85">
        <f>IFERROR(__xludf.DUMMYFUNCTION("""COMPUTED_VALUE"""),45591.61053747685)</f>
        <v>45591.61054</v>
      </c>
      <c r="B455" s="4"/>
      <c r="C455" s="4"/>
      <c r="D455" s="4"/>
      <c r="E455" s="4"/>
      <c r="F455" s="4"/>
      <c r="G455" s="85">
        <f>IFERROR(__xludf.DUMMYFUNCTION("""COMPUTED_VALUE"""),45592.61041666666)</f>
        <v>45592.61042</v>
      </c>
      <c r="H455" s="85" t="str">
        <f>IFERROR(__xludf.DUMMYFUNCTION("""COMPUTED_VALUE"""),"Enquire &amp; Coordinate with client")</f>
        <v>Enquire &amp; Coordinate with client</v>
      </c>
      <c r="I455" s="4" t="str">
        <f>IFERROR(__xludf.DUMMYFUNCTION("""COMPUTED_VALUE"""),"sales person - first shivani")</f>
        <v>sales person - first shivani</v>
      </c>
    </row>
    <row r="456">
      <c r="A456" s="85">
        <f>IFERROR(__xludf.DUMMYFUNCTION("""COMPUTED_VALUE"""),45591.767281168984)</f>
        <v>45591.76728</v>
      </c>
      <c r="B456" s="4"/>
      <c r="C456" s="4"/>
      <c r="D456" s="4"/>
      <c r="E456" s="4"/>
      <c r="F456" s="4"/>
      <c r="G456" s="85">
        <f>IFERROR(__xludf.DUMMYFUNCTION("""COMPUTED_VALUE"""),45592.76666666666)</f>
        <v>45592.76667</v>
      </c>
      <c r="H456" s="85" t="str">
        <f>IFERROR(__xludf.DUMMYFUNCTION("""COMPUTED_VALUE"""),"Enquire &amp; Coordinate with client")</f>
        <v>Enquire &amp; Coordinate with client</v>
      </c>
      <c r="I456" s="4" t="str">
        <f>IFERROR(__xludf.DUMMYFUNCTION("""COMPUTED_VALUE"""),"sales person - first shivani")</f>
        <v>sales person - first shivani</v>
      </c>
    </row>
    <row r="457">
      <c r="A457" s="85">
        <f>IFERROR(__xludf.DUMMYFUNCTION("""COMPUTED_VALUE"""),45591.768888576386)</f>
        <v>45591.76889</v>
      </c>
      <c r="B457" s="4"/>
      <c r="C457" s="4"/>
      <c r="D457" s="4"/>
      <c r="E457" s="4"/>
      <c r="F457" s="4"/>
      <c r="G457" s="85">
        <f>IFERROR(__xludf.DUMMYFUNCTION("""COMPUTED_VALUE"""),45592.76875)</f>
        <v>45592.76875</v>
      </c>
      <c r="H457" s="85" t="str">
        <f>IFERROR(__xludf.DUMMYFUNCTION("""COMPUTED_VALUE"""),"Enquire &amp; Coordinate with client")</f>
        <v>Enquire &amp; Coordinate with client</v>
      </c>
      <c r="I457" s="4" t="str">
        <f>IFERROR(__xludf.DUMMYFUNCTION("""COMPUTED_VALUE"""),"sales person - first shivani")</f>
        <v>sales person - first shivani</v>
      </c>
    </row>
    <row r="458">
      <c r="A458" s="85">
        <f>IFERROR(__xludf.DUMMYFUNCTION("""COMPUTED_VALUE"""),45591.769745046295)</f>
        <v>45591.76975</v>
      </c>
      <c r="B458" s="4"/>
      <c r="C458" s="4"/>
      <c r="D458" s="4"/>
      <c r="E458" s="4"/>
      <c r="F458" s="4"/>
      <c r="G458" s="85">
        <f>IFERROR(__xludf.DUMMYFUNCTION("""COMPUTED_VALUE"""),45592.76944444445)</f>
        <v>45592.76944</v>
      </c>
      <c r="H458" s="85" t="str">
        <f>IFERROR(__xludf.DUMMYFUNCTION("""COMPUTED_VALUE"""),"Enquire &amp; Coordinate with client")</f>
        <v>Enquire &amp; Coordinate with client</v>
      </c>
      <c r="I458" s="4" t="str">
        <f>IFERROR(__xludf.DUMMYFUNCTION("""COMPUTED_VALUE"""),"sales person - first shivani")</f>
        <v>sales person - first shivani</v>
      </c>
    </row>
    <row r="459">
      <c r="A459" s="85">
        <f>IFERROR(__xludf.DUMMYFUNCTION("""COMPUTED_VALUE"""),45591.77109319444)</f>
        <v>45591.77109</v>
      </c>
      <c r="B459" s="4"/>
      <c r="C459" s="4"/>
      <c r="D459" s="4"/>
      <c r="E459" s="4"/>
      <c r="F459" s="4"/>
      <c r="G459" s="85">
        <f>IFERROR(__xludf.DUMMYFUNCTION("""COMPUTED_VALUE"""),45592.77083333333)</f>
        <v>45592.77083</v>
      </c>
      <c r="H459" s="85" t="str">
        <f>IFERROR(__xludf.DUMMYFUNCTION("""COMPUTED_VALUE"""),"Enquire &amp; Coordinate with client")</f>
        <v>Enquire &amp; Coordinate with client</v>
      </c>
      <c r="I459" s="4" t="str">
        <f>IFERROR(__xludf.DUMMYFUNCTION("""COMPUTED_VALUE"""),"sales person - first shivani")</f>
        <v>sales person - first shivani</v>
      </c>
    </row>
    <row r="460">
      <c r="A460" s="85">
        <f>IFERROR(__xludf.DUMMYFUNCTION("""COMPUTED_VALUE"""),45591.77307539352)</f>
        <v>45591.77308</v>
      </c>
      <c r="B460" s="4"/>
      <c r="C460" s="4"/>
      <c r="D460" s="4"/>
      <c r="E460" s="4"/>
      <c r="F460" s="4"/>
      <c r="G460" s="85">
        <f>IFERROR(__xludf.DUMMYFUNCTION("""COMPUTED_VALUE"""),45592.77291666667)</f>
        <v>45592.77292</v>
      </c>
      <c r="H460" s="85" t="str">
        <f>IFERROR(__xludf.DUMMYFUNCTION("""COMPUTED_VALUE"""),"Enquire &amp; Coordinate with client")</f>
        <v>Enquire &amp; Coordinate with client</v>
      </c>
      <c r="I460" s="4" t="str">
        <f>IFERROR(__xludf.DUMMYFUNCTION("""COMPUTED_VALUE"""),"sales person - first shivani")</f>
        <v>sales person - first shivani</v>
      </c>
    </row>
    <row r="461">
      <c r="A461" s="85">
        <f>IFERROR(__xludf.DUMMYFUNCTION("""COMPUTED_VALUE"""),45591.77453643519)</f>
        <v>45591.77454</v>
      </c>
      <c r="B461" s="4"/>
      <c r="C461" s="4"/>
      <c r="D461" s="4"/>
      <c r="E461" s="4"/>
      <c r="F461" s="4"/>
      <c r="G461" s="85">
        <f>IFERROR(__xludf.DUMMYFUNCTION("""COMPUTED_VALUE"""),45592.774305555555)</f>
        <v>45592.77431</v>
      </c>
      <c r="H461" s="85" t="str">
        <f>IFERROR(__xludf.DUMMYFUNCTION("""COMPUTED_VALUE"""),"Enquire &amp; Coordinate with client")</f>
        <v>Enquire &amp; Coordinate with client</v>
      </c>
      <c r="I461" s="4" t="str">
        <f>IFERROR(__xludf.DUMMYFUNCTION("""COMPUTED_VALUE"""),"sales person - first shivani")</f>
        <v>sales person - first shivani</v>
      </c>
    </row>
    <row r="462">
      <c r="A462" s="85">
        <f>IFERROR(__xludf.DUMMYFUNCTION("""COMPUTED_VALUE"""),45591.776446701384)</f>
        <v>45591.77645</v>
      </c>
      <c r="B462" s="4"/>
      <c r="C462" s="4"/>
      <c r="D462" s="4"/>
      <c r="E462" s="4"/>
      <c r="F462" s="4"/>
      <c r="G462" s="85">
        <f>IFERROR(__xludf.DUMMYFUNCTION("""COMPUTED_VALUE"""),45592.77638888889)</f>
        <v>45592.77639</v>
      </c>
      <c r="H462" s="85" t="str">
        <f>IFERROR(__xludf.DUMMYFUNCTION("""COMPUTED_VALUE"""),"Enquire &amp; Coordinate with client")</f>
        <v>Enquire &amp; Coordinate with client</v>
      </c>
      <c r="I462" s="4" t="str">
        <f>IFERROR(__xludf.DUMMYFUNCTION("""COMPUTED_VALUE"""),"sales person - first shivani")</f>
        <v>sales person - first shivani</v>
      </c>
    </row>
    <row r="463">
      <c r="A463" s="85">
        <f>IFERROR(__xludf.DUMMYFUNCTION("""COMPUTED_VALUE"""),45591.77843561342)</f>
        <v>45591.77844</v>
      </c>
      <c r="B463" s="4"/>
      <c r="C463" s="4"/>
      <c r="D463" s="4"/>
      <c r="E463" s="4"/>
      <c r="F463" s="4"/>
      <c r="G463" s="85">
        <f>IFERROR(__xludf.DUMMYFUNCTION("""COMPUTED_VALUE"""),45592.77777777778)</f>
        <v>45592.77778</v>
      </c>
      <c r="H463" s="85" t="str">
        <f>IFERROR(__xludf.DUMMYFUNCTION("""COMPUTED_VALUE"""),"Enquire &amp; Coordinate with client")</f>
        <v>Enquire &amp; Coordinate with client</v>
      </c>
      <c r="I463" s="4" t="str">
        <f>IFERROR(__xludf.DUMMYFUNCTION("""COMPUTED_VALUE"""),"sales person - first shivani")</f>
        <v>sales person - first shivani</v>
      </c>
    </row>
    <row r="464">
      <c r="A464" s="85">
        <f>IFERROR(__xludf.DUMMYFUNCTION("""COMPUTED_VALUE"""),45591.78135652778)</f>
        <v>45591.78136</v>
      </c>
      <c r="B464" s="4"/>
      <c r="C464" s="4"/>
      <c r="D464" s="4"/>
      <c r="E464" s="4"/>
      <c r="F464" s="4"/>
      <c r="G464" s="85">
        <f>IFERROR(__xludf.DUMMYFUNCTION("""COMPUTED_VALUE"""),45592.78125)</f>
        <v>45592.78125</v>
      </c>
      <c r="H464" s="85" t="str">
        <f>IFERROR(__xludf.DUMMYFUNCTION("""COMPUTED_VALUE"""),"Enquire &amp; Coordinate with client")</f>
        <v>Enquire &amp; Coordinate with client</v>
      </c>
      <c r="I464" s="4" t="str">
        <f>IFERROR(__xludf.DUMMYFUNCTION("""COMPUTED_VALUE"""),"sales person - first shivani")</f>
        <v>sales person - first shivani</v>
      </c>
    </row>
    <row r="465">
      <c r="A465" s="85">
        <f>IFERROR(__xludf.DUMMYFUNCTION("""COMPUTED_VALUE"""),45601.68034673611)</f>
        <v>45601.68035</v>
      </c>
      <c r="B465" s="4"/>
      <c r="C465" s="4"/>
      <c r="D465" s="4"/>
      <c r="E465" s="4"/>
      <c r="F465" s="4"/>
      <c r="G465" s="85">
        <f>IFERROR(__xludf.DUMMYFUNCTION("""COMPUTED_VALUE"""),45602.679861111115)</f>
        <v>45602.67986</v>
      </c>
      <c r="H465" s="85" t="str">
        <f>IFERROR(__xludf.DUMMYFUNCTION("""COMPUTED_VALUE"""),"Enquire &amp; Coordinate with client")</f>
        <v>Enquire &amp; Coordinate with client</v>
      </c>
      <c r="I465" s="4" t="str">
        <f>IFERROR(__xludf.DUMMYFUNCTION("""COMPUTED_VALUE"""),"sales person - first shivani")</f>
        <v>sales person - first shivani</v>
      </c>
    </row>
    <row r="466">
      <c r="A466" s="85">
        <f>IFERROR(__xludf.DUMMYFUNCTION("""COMPUTED_VALUE"""),45601.685212372686)</f>
        <v>45601.68521</v>
      </c>
      <c r="B466" s="4"/>
      <c r="C466" s="4"/>
      <c r="D466" s="4"/>
      <c r="E466" s="4"/>
      <c r="F466" s="4"/>
      <c r="G466" s="85">
        <f>IFERROR(__xludf.DUMMYFUNCTION("""COMPUTED_VALUE"""),45602.68472222222)</f>
        <v>45602.68472</v>
      </c>
      <c r="H466" s="85" t="str">
        <f>IFERROR(__xludf.DUMMYFUNCTION("""COMPUTED_VALUE"""),"Enquire &amp; Coordinate with client")</f>
        <v>Enquire &amp; Coordinate with client</v>
      </c>
      <c r="I466" s="4" t="str">
        <f>IFERROR(__xludf.DUMMYFUNCTION("""COMPUTED_VALUE"""),"sales person - first shivani")</f>
        <v>sales person - first shivani</v>
      </c>
    </row>
    <row r="467">
      <c r="A467" s="85">
        <f>IFERROR(__xludf.DUMMYFUNCTION("""COMPUTED_VALUE"""),45601.68688935185)</f>
        <v>45601.68689</v>
      </c>
      <c r="B467" s="4"/>
      <c r="C467" s="4"/>
      <c r="D467" s="4"/>
      <c r="E467" s="4"/>
      <c r="F467" s="4"/>
      <c r="G467" s="85">
        <f>IFERROR(__xludf.DUMMYFUNCTION("""COMPUTED_VALUE"""),45602.68680555555)</f>
        <v>45602.68681</v>
      </c>
      <c r="H467" s="85" t="str">
        <f>IFERROR(__xludf.DUMMYFUNCTION("""COMPUTED_VALUE"""),"Enquire &amp; Coordinate with client")</f>
        <v>Enquire &amp; Coordinate with client</v>
      </c>
      <c r="I467" s="4" t="str">
        <f>IFERROR(__xludf.DUMMYFUNCTION("""COMPUTED_VALUE"""),"sales person - first shivani")</f>
        <v>sales person - first shivani</v>
      </c>
    </row>
    <row r="468">
      <c r="A468" s="85">
        <f>IFERROR(__xludf.DUMMYFUNCTION("""COMPUTED_VALUE"""),45601.690735960656)</f>
        <v>45601.69074</v>
      </c>
      <c r="B468" s="4"/>
      <c r="C468" s="4"/>
      <c r="D468" s="4"/>
      <c r="E468" s="4"/>
      <c r="F468" s="4"/>
      <c r="G468" s="85">
        <f>IFERROR(__xludf.DUMMYFUNCTION("""COMPUTED_VALUE"""),45602.69027777778)</f>
        <v>45602.69028</v>
      </c>
      <c r="H468" s="85" t="str">
        <f>IFERROR(__xludf.DUMMYFUNCTION("""COMPUTED_VALUE"""),"Enquire &amp; Coordinate with client")</f>
        <v>Enquire &amp; Coordinate with client</v>
      </c>
      <c r="I468" s="4" t="str">
        <f>IFERROR(__xludf.DUMMYFUNCTION("""COMPUTED_VALUE"""),"sales person - first shivani")</f>
        <v>sales person - first shivani</v>
      </c>
    </row>
    <row r="469">
      <c r="A469" s="85">
        <f>IFERROR(__xludf.DUMMYFUNCTION("""COMPUTED_VALUE"""),45601.697074456024)</f>
        <v>45601.69707</v>
      </c>
      <c r="B469" s="4"/>
      <c r="C469" s="4"/>
      <c r="D469" s="4"/>
      <c r="E469" s="4"/>
      <c r="F469" s="4"/>
      <c r="G469" s="85">
        <f>IFERROR(__xludf.DUMMYFUNCTION("""COMPUTED_VALUE"""),45602.69652777778)</f>
        <v>45602.69653</v>
      </c>
      <c r="H469" s="85" t="str">
        <f>IFERROR(__xludf.DUMMYFUNCTION("""COMPUTED_VALUE"""),"Enquire &amp; Coordinate with client")</f>
        <v>Enquire &amp; Coordinate with client</v>
      </c>
      <c r="I469" s="4" t="str">
        <f>IFERROR(__xludf.DUMMYFUNCTION("""COMPUTED_VALUE"""),"sales person - first shivani")</f>
        <v>sales person - first shivani</v>
      </c>
    </row>
    <row r="470">
      <c r="A470" s="85">
        <f>IFERROR(__xludf.DUMMYFUNCTION("""COMPUTED_VALUE"""),45601.69980938658)</f>
        <v>45601.69981</v>
      </c>
      <c r="B470" s="4"/>
      <c r="C470" s="4"/>
      <c r="D470" s="4"/>
      <c r="E470" s="4"/>
      <c r="F470" s="4"/>
      <c r="G470" s="85">
        <f>IFERROR(__xludf.DUMMYFUNCTION("""COMPUTED_VALUE"""),45602.69930555555)</f>
        <v>45602.69931</v>
      </c>
      <c r="H470" s="85" t="str">
        <f>IFERROR(__xludf.DUMMYFUNCTION("""COMPUTED_VALUE"""),"Enquire &amp; Coordinate with client")</f>
        <v>Enquire &amp; Coordinate with client</v>
      </c>
      <c r="I470" s="4" t="str">
        <f>IFERROR(__xludf.DUMMYFUNCTION("""COMPUTED_VALUE"""),"sales person - first shivani")</f>
        <v>sales person - first shivani</v>
      </c>
    </row>
    <row r="471">
      <c r="A471" s="85">
        <f>IFERROR(__xludf.DUMMYFUNCTION("""COMPUTED_VALUE"""),45601.70118047454)</f>
        <v>45601.70118</v>
      </c>
      <c r="B471" s="4"/>
      <c r="C471" s="4"/>
      <c r="D471" s="4"/>
      <c r="E471" s="4"/>
      <c r="F471" s="4"/>
      <c r="G471" s="85">
        <f>IFERROR(__xludf.DUMMYFUNCTION("""COMPUTED_VALUE"""),45602.700694444444)</f>
        <v>45602.70069</v>
      </c>
      <c r="H471" s="85" t="str">
        <f>IFERROR(__xludf.DUMMYFUNCTION("""COMPUTED_VALUE"""),"Enquire &amp; Coordinate with client")</f>
        <v>Enquire &amp; Coordinate with client</v>
      </c>
      <c r="I471" s="4" t="str">
        <f>IFERROR(__xludf.DUMMYFUNCTION("""COMPUTED_VALUE"""),"sales person - first shivani")</f>
        <v>sales person - first shivani</v>
      </c>
    </row>
    <row r="472">
      <c r="A472" s="85">
        <f>IFERROR(__xludf.DUMMYFUNCTION("""COMPUTED_VALUE"""),45602.54024030093)</f>
        <v>45602.54024</v>
      </c>
      <c r="B472" s="4"/>
      <c r="C472" s="4"/>
      <c r="D472" s="4"/>
      <c r="E472" s="4"/>
      <c r="F472" s="4"/>
      <c r="G472" s="85">
        <f>IFERROR(__xludf.DUMMYFUNCTION("""COMPUTED_VALUE"""),45603.53958333333)</f>
        <v>45603.53958</v>
      </c>
      <c r="H472" s="85" t="str">
        <f>IFERROR(__xludf.DUMMYFUNCTION("""COMPUTED_VALUE"""),"Enquire &amp; Coordinate with client")</f>
        <v>Enquire &amp; Coordinate with client</v>
      </c>
      <c r="I472" s="4" t="str">
        <f>IFERROR(__xludf.DUMMYFUNCTION("""COMPUTED_VALUE"""),"sales person - first shivani")</f>
        <v>sales person - first shivani</v>
      </c>
    </row>
    <row r="473">
      <c r="A473" s="85">
        <f>IFERROR(__xludf.DUMMYFUNCTION("""COMPUTED_VALUE"""),45603.630199363426)</f>
        <v>45603.6302</v>
      </c>
      <c r="B473" s="4"/>
      <c r="C473" s="4"/>
      <c r="D473" s="4"/>
      <c r="E473" s="4"/>
      <c r="F473" s="4"/>
      <c r="G473" s="85">
        <f>IFERROR(__xludf.DUMMYFUNCTION("""COMPUTED_VALUE"""),45604.62986111111)</f>
        <v>45604.62986</v>
      </c>
      <c r="H473" s="85" t="str">
        <f>IFERROR(__xludf.DUMMYFUNCTION("""COMPUTED_VALUE"""),"Enquire &amp; Coordinate with client")</f>
        <v>Enquire &amp; Coordinate with client</v>
      </c>
      <c r="I473" s="4" t="str">
        <f>IFERROR(__xludf.DUMMYFUNCTION("""COMPUTED_VALUE"""),"sales person - first shivani")</f>
        <v>sales person - first shivani</v>
      </c>
    </row>
    <row r="474">
      <c r="A474" s="85">
        <f>IFERROR(__xludf.DUMMYFUNCTION("""COMPUTED_VALUE"""),45609.7025406713)</f>
        <v>45609.70254</v>
      </c>
      <c r="B474" s="4"/>
      <c r="C474" s="4"/>
      <c r="D474" s="4"/>
      <c r="E474" s="4"/>
      <c r="F474" s="4"/>
      <c r="G474" s="85">
        <f>IFERROR(__xludf.DUMMYFUNCTION("""COMPUTED_VALUE"""),45610.70208333334)</f>
        <v>45610.70208</v>
      </c>
      <c r="H474" s="85" t="str">
        <f>IFERROR(__xludf.DUMMYFUNCTION("""COMPUTED_VALUE"""),"Enquire &amp; Coordinate with client")</f>
        <v>Enquire &amp; Coordinate with client</v>
      </c>
      <c r="I474" s="4" t="str">
        <f>IFERROR(__xludf.DUMMYFUNCTION("""COMPUTED_VALUE"""),"sales person - first shivani")</f>
        <v>sales person - first shivani</v>
      </c>
    </row>
    <row r="475">
      <c r="A475" s="85">
        <f>IFERROR(__xludf.DUMMYFUNCTION("""COMPUTED_VALUE"""),45609.705399768514)</f>
        <v>45609.7054</v>
      </c>
      <c r="B475" s="4"/>
      <c r="C475" s="4"/>
      <c r="D475" s="4"/>
      <c r="E475" s="4"/>
      <c r="F475" s="4"/>
      <c r="G475" s="85">
        <f>IFERROR(__xludf.DUMMYFUNCTION("""COMPUTED_VALUE"""),45610.70486111111)</f>
        <v>45610.70486</v>
      </c>
      <c r="H475" s="85" t="str">
        <f>IFERROR(__xludf.DUMMYFUNCTION("""COMPUTED_VALUE"""),"Enquire &amp; Coordinate with client")</f>
        <v>Enquire &amp; Coordinate with client</v>
      </c>
      <c r="I475" s="4" t="str">
        <f>IFERROR(__xludf.DUMMYFUNCTION("""COMPUTED_VALUE"""),"sales person - first shivani")</f>
        <v>sales person - first shivani</v>
      </c>
    </row>
    <row r="476">
      <c r="A476" s="85">
        <f>IFERROR(__xludf.DUMMYFUNCTION("""COMPUTED_VALUE"""),45609.709468877314)</f>
        <v>45609.70947</v>
      </c>
      <c r="B476" s="4"/>
      <c r="C476" s="4"/>
      <c r="D476" s="4"/>
      <c r="E476" s="4"/>
      <c r="F476" s="4"/>
      <c r="G476" s="85">
        <f>IFERROR(__xludf.DUMMYFUNCTION("""COMPUTED_VALUE"""),45610.709027777775)</f>
        <v>45610.70903</v>
      </c>
      <c r="H476" s="85" t="str">
        <f>IFERROR(__xludf.DUMMYFUNCTION("""COMPUTED_VALUE"""),"Enquire &amp; Coordinate with client")</f>
        <v>Enquire &amp; Coordinate with client</v>
      </c>
      <c r="I476" s="4" t="str">
        <f>IFERROR(__xludf.DUMMYFUNCTION("""COMPUTED_VALUE"""),"sales person - first shivani")</f>
        <v>sales person - first shivani</v>
      </c>
    </row>
    <row r="477">
      <c r="A477" s="85">
        <f>IFERROR(__xludf.DUMMYFUNCTION("""COMPUTED_VALUE"""),45609.71834503472)</f>
        <v>45609.71835</v>
      </c>
      <c r="B477" s="4"/>
      <c r="C477" s="4"/>
      <c r="D477" s="4"/>
      <c r="E477" s="4"/>
      <c r="F477" s="4"/>
      <c r="G477" s="85">
        <f>IFERROR(__xludf.DUMMYFUNCTION("""COMPUTED_VALUE"""),45610.71805555555)</f>
        <v>45610.71806</v>
      </c>
      <c r="H477" s="85" t="str">
        <f>IFERROR(__xludf.DUMMYFUNCTION("""COMPUTED_VALUE"""),"Enquire &amp; Coordinate with client")</f>
        <v>Enquire &amp; Coordinate with client</v>
      </c>
      <c r="I477" s="4" t="str">
        <f>IFERROR(__xludf.DUMMYFUNCTION("""COMPUTED_VALUE"""),"sales person - first shivani")</f>
        <v>sales person - first shivani</v>
      </c>
    </row>
    <row r="478">
      <c r="A478" s="85">
        <f>IFERROR(__xludf.DUMMYFUNCTION("""COMPUTED_VALUE"""),45609.72139946759)</f>
        <v>45609.7214</v>
      </c>
      <c r="B478" s="4"/>
      <c r="C478" s="4"/>
      <c r="D478" s="4"/>
      <c r="E478" s="4"/>
      <c r="F478" s="4"/>
      <c r="G478" s="85">
        <f>IFERROR(__xludf.DUMMYFUNCTION("""COMPUTED_VALUE"""),45610.72083333333)</f>
        <v>45610.72083</v>
      </c>
      <c r="H478" s="85" t="str">
        <f>IFERROR(__xludf.DUMMYFUNCTION("""COMPUTED_VALUE"""),"Enquire &amp; Coordinate with client")</f>
        <v>Enquire &amp; Coordinate with client</v>
      </c>
      <c r="I478" s="4" t="str">
        <f>IFERROR(__xludf.DUMMYFUNCTION("""COMPUTED_VALUE"""),"sales person - first shivani")</f>
        <v>sales person - first shivani</v>
      </c>
    </row>
    <row r="479">
      <c r="A479" s="85">
        <f>IFERROR(__xludf.DUMMYFUNCTION("""COMPUTED_VALUE"""),45609.72432230324)</f>
        <v>45609.72432</v>
      </c>
      <c r="B479" s="4"/>
      <c r="C479" s="4"/>
      <c r="D479" s="4"/>
      <c r="E479" s="4"/>
      <c r="F479" s="4"/>
      <c r="G479" s="85">
        <f>IFERROR(__xludf.DUMMYFUNCTION("""COMPUTED_VALUE"""),45610.72430555556)</f>
        <v>45610.72431</v>
      </c>
      <c r="H479" s="85" t="str">
        <f>IFERROR(__xludf.DUMMYFUNCTION("""COMPUTED_VALUE"""),"Enquire &amp; Coordinate with client")</f>
        <v>Enquire &amp; Coordinate with client</v>
      </c>
      <c r="I479" s="4" t="str">
        <f>IFERROR(__xludf.DUMMYFUNCTION("""COMPUTED_VALUE"""),"sales person - first shivani")</f>
        <v>sales person - first shivani</v>
      </c>
    </row>
    <row r="480">
      <c r="A480" s="85">
        <f>IFERROR(__xludf.DUMMYFUNCTION("""COMPUTED_VALUE"""),45611.69938417824)</f>
        <v>45611.69938</v>
      </c>
      <c r="B480" s="4"/>
      <c r="C480" s="4"/>
      <c r="D480" s="4"/>
      <c r="E480" s="4"/>
      <c r="F480" s="4"/>
      <c r="G480" s="85">
        <f>IFERROR(__xludf.DUMMYFUNCTION("""COMPUTED_VALUE"""),45612.69930555555)</f>
        <v>45612.69931</v>
      </c>
      <c r="H480" s="85" t="str">
        <f>IFERROR(__xludf.DUMMYFUNCTION("""COMPUTED_VALUE"""),"Enquire &amp; Coordinate with client")</f>
        <v>Enquire &amp; Coordinate with client</v>
      </c>
      <c r="I480" s="4" t="str">
        <f>IFERROR(__xludf.DUMMYFUNCTION("""COMPUTED_VALUE"""),"sales person - first shivani")</f>
        <v>sales person - first shivani</v>
      </c>
    </row>
    <row r="481">
      <c r="A481" s="85">
        <f>IFERROR(__xludf.DUMMYFUNCTION("""COMPUTED_VALUE"""),45611.716393622686)</f>
        <v>45611.71639</v>
      </c>
      <c r="B481" s="4"/>
      <c r="C481" s="4"/>
      <c r="D481" s="4"/>
      <c r="E481" s="4"/>
      <c r="F481" s="4"/>
      <c r="G481" s="85">
        <f>IFERROR(__xludf.DUMMYFUNCTION("""COMPUTED_VALUE"""),45612.71597222222)</f>
        <v>45612.71597</v>
      </c>
      <c r="H481" s="85" t="str">
        <f>IFERROR(__xludf.DUMMYFUNCTION("""COMPUTED_VALUE"""),"Enquire &amp; Coordinate with client")</f>
        <v>Enquire &amp; Coordinate with client</v>
      </c>
      <c r="I481" s="4" t="str">
        <f>IFERROR(__xludf.DUMMYFUNCTION("""COMPUTED_VALUE"""),"sales person - first shivani")</f>
        <v>sales person - first shivani</v>
      </c>
    </row>
    <row r="482">
      <c r="A482" s="85">
        <f>IFERROR(__xludf.DUMMYFUNCTION("""COMPUTED_VALUE"""),45611.72499856481)</f>
        <v>45611.725</v>
      </c>
      <c r="B482" s="4"/>
      <c r="C482" s="4"/>
      <c r="D482" s="4"/>
      <c r="E482" s="4"/>
      <c r="F482" s="4"/>
      <c r="G482" s="85">
        <f>IFERROR(__xludf.DUMMYFUNCTION("""COMPUTED_VALUE"""),45612.725)</f>
        <v>45612.725</v>
      </c>
      <c r="H482" s="85" t="str">
        <f>IFERROR(__xludf.DUMMYFUNCTION("""COMPUTED_VALUE"""),"Enquire &amp; Coordinate with client")</f>
        <v>Enquire &amp; Coordinate with client</v>
      </c>
      <c r="I482" s="4" t="str">
        <f>IFERROR(__xludf.DUMMYFUNCTION("""COMPUTED_VALUE"""),"sales person - first shivani")</f>
        <v>sales person - first shivani</v>
      </c>
    </row>
    <row r="483">
      <c r="A483" s="85">
        <f>IFERROR(__xludf.DUMMYFUNCTION("""COMPUTED_VALUE"""),45611.72602415509)</f>
        <v>45611.72602</v>
      </c>
      <c r="B483" s="4"/>
      <c r="C483" s="4"/>
      <c r="D483" s="4"/>
      <c r="E483" s="4"/>
      <c r="F483" s="4"/>
      <c r="G483" s="85">
        <f>IFERROR(__xludf.DUMMYFUNCTION("""COMPUTED_VALUE"""),45612.725694444445)</f>
        <v>45612.72569</v>
      </c>
      <c r="H483" s="85" t="str">
        <f>IFERROR(__xludf.DUMMYFUNCTION("""COMPUTED_VALUE"""),"Enquire &amp; Coordinate with client")</f>
        <v>Enquire &amp; Coordinate with client</v>
      </c>
      <c r="I483" s="4" t="str">
        <f>IFERROR(__xludf.DUMMYFUNCTION("""COMPUTED_VALUE"""),"sales person - first shivani")</f>
        <v>sales person - first shivani</v>
      </c>
    </row>
    <row r="484">
      <c r="A484" s="85">
        <f>IFERROR(__xludf.DUMMYFUNCTION("""COMPUTED_VALUE"""),45611.72720094907)</f>
        <v>45611.7272</v>
      </c>
      <c r="B484" s="4"/>
      <c r="C484" s="4"/>
      <c r="D484" s="4"/>
      <c r="E484" s="4"/>
      <c r="F484" s="4"/>
      <c r="G484" s="85">
        <f>IFERROR(__xludf.DUMMYFUNCTION("""COMPUTED_VALUE"""),45612.72708333333)</f>
        <v>45612.72708</v>
      </c>
      <c r="H484" s="85" t="str">
        <f>IFERROR(__xludf.DUMMYFUNCTION("""COMPUTED_VALUE"""),"Enquire &amp; Coordinate with client")</f>
        <v>Enquire &amp; Coordinate with client</v>
      </c>
      <c r="I484" s="4" t="str">
        <f>IFERROR(__xludf.DUMMYFUNCTION("""COMPUTED_VALUE"""),"sales person - first shivani")</f>
        <v>sales person - first shivani</v>
      </c>
    </row>
    <row r="485">
      <c r="A485" s="85">
        <f>IFERROR(__xludf.DUMMYFUNCTION("""COMPUTED_VALUE"""),45611.72843216435)</f>
        <v>45611.72843</v>
      </c>
      <c r="B485" s="4"/>
      <c r="C485" s="4"/>
      <c r="D485" s="4"/>
      <c r="E485" s="4"/>
      <c r="F485" s="4"/>
      <c r="G485" s="85">
        <f>IFERROR(__xludf.DUMMYFUNCTION("""COMPUTED_VALUE"""),45612.72777777778)</f>
        <v>45612.72778</v>
      </c>
      <c r="H485" s="85" t="str">
        <f>IFERROR(__xludf.DUMMYFUNCTION("""COMPUTED_VALUE"""),"Enquire &amp; Coordinate with client")</f>
        <v>Enquire &amp; Coordinate with client</v>
      </c>
      <c r="I485" s="4" t="str">
        <f>IFERROR(__xludf.DUMMYFUNCTION("""COMPUTED_VALUE"""),"sales person - first shivani")</f>
        <v>sales person - first shivani</v>
      </c>
    </row>
    <row r="486">
      <c r="A486" s="85">
        <f>IFERROR(__xludf.DUMMYFUNCTION("""COMPUTED_VALUE"""),45612.67533467592)</f>
        <v>45612.67533</v>
      </c>
      <c r="B486" s="4"/>
      <c r="C486" s="4"/>
      <c r="D486" s="4"/>
      <c r="E486" s="4"/>
      <c r="F486" s="4"/>
      <c r="G486" s="85">
        <f>IFERROR(__xludf.DUMMYFUNCTION("""COMPUTED_VALUE"""),45613.675)</f>
        <v>45613.675</v>
      </c>
      <c r="H486" s="85" t="str">
        <f>IFERROR(__xludf.DUMMYFUNCTION("""COMPUTED_VALUE"""),"Enquire &amp; Coordinate with client")</f>
        <v>Enquire &amp; Coordinate with client</v>
      </c>
      <c r="I486" s="4" t="str">
        <f>IFERROR(__xludf.DUMMYFUNCTION("""COMPUTED_VALUE"""),"sales person - first shivani")</f>
        <v>sales person - first shivani</v>
      </c>
    </row>
    <row r="487">
      <c r="A487" s="85">
        <f>IFERROR(__xludf.DUMMYFUNCTION("""COMPUTED_VALUE"""),45612.73374935186)</f>
        <v>45612.73375</v>
      </c>
      <c r="B487" s="4"/>
      <c r="C487" s="4"/>
      <c r="D487" s="4"/>
      <c r="E487" s="4"/>
      <c r="F487" s="4"/>
      <c r="G487" s="85">
        <f>IFERROR(__xludf.DUMMYFUNCTION("""COMPUTED_VALUE"""),45613.73333333334)</f>
        <v>45613.73333</v>
      </c>
      <c r="H487" s="85" t="str">
        <f>IFERROR(__xludf.DUMMYFUNCTION("""COMPUTED_VALUE"""),"Enquire &amp; Coordinate with client")</f>
        <v>Enquire &amp; Coordinate with client</v>
      </c>
      <c r="I487" s="4" t="str">
        <f>IFERROR(__xludf.DUMMYFUNCTION("""COMPUTED_VALUE"""),"sales person - first shivani")</f>
        <v>sales person - first shivani</v>
      </c>
    </row>
    <row r="488">
      <c r="A488" s="85">
        <f>IFERROR(__xludf.DUMMYFUNCTION("""COMPUTED_VALUE"""),45617.70137001157)</f>
        <v>45617.70137</v>
      </c>
      <c r="B488" s="4"/>
      <c r="C488" s="4"/>
      <c r="D488" s="4"/>
      <c r="E488" s="4"/>
      <c r="F488" s="4"/>
      <c r="G488" s="85">
        <f>IFERROR(__xludf.DUMMYFUNCTION("""COMPUTED_VALUE"""),45618.700694444444)</f>
        <v>45618.70069</v>
      </c>
      <c r="H488" s="85" t="str">
        <f>IFERROR(__xludf.DUMMYFUNCTION("""COMPUTED_VALUE"""),"Enquire &amp; Coordinate with client")</f>
        <v>Enquire &amp; Coordinate with client</v>
      </c>
      <c r="I488" s="4" t="str">
        <f>IFERROR(__xludf.DUMMYFUNCTION("""COMPUTED_VALUE"""),"sales person - first shivani")</f>
        <v>sales person - first shivani</v>
      </c>
    </row>
    <row r="489">
      <c r="A489" s="85">
        <f>IFERROR(__xludf.DUMMYFUNCTION("""COMPUTED_VALUE"""),45617.70756703703)</f>
        <v>45617.70757</v>
      </c>
      <c r="B489" s="4"/>
      <c r="C489" s="4"/>
      <c r="D489" s="4"/>
      <c r="E489" s="4"/>
      <c r="F489" s="4"/>
      <c r="G489" s="85">
        <f>IFERROR(__xludf.DUMMYFUNCTION("""COMPUTED_VALUE"""),45618.70694444445)</f>
        <v>45618.70694</v>
      </c>
      <c r="H489" s="85" t="str">
        <f>IFERROR(__xludf.DUMMYFUNCTION("""COMPUTED_VALUE"""),"Enquire &amp; Coordinate with client")</f>
        <v>Enquire &amp; Coordinate with client</v>
      </c>
      <c r="I489" s="4" t="str">
        <f>IFERROR(__xludf.DUMMYFUNCTION("""COMPUTED_VALUE"""),"sales person - first shivani")</f>
        <v>sales person - first shivani</v>
      </c>
    </row>
    <row r="490">
      <c r="A490" s="85">
        <f>IFERROR(__xludf.DUMMYFUNCTION("""COMPUTED_VALUE"""),45618.768173819444)</f>
        <v>45618.76817</v>
      </c>
      <c r="B490" s="4"/>
      <c r="C490" s="4"/>
      <c r="D490" s="4"/>
      <c r="E490" s="4"/>
      <c r="F490" s="4"/>
      <c r="G490" s="85">
        <f>IFERROR(__xludf.DUMMYFUNCTION("""COMPUTED_VALUE"""),45619.768055555556)</f>
        <v>45619.76806</v>
      </c>
      <c r="H490" s="85" t="str">
        <f>IFERROR(__xludf.DUMMYFUNCTION("""COMPUTED_VALUE"""),"Enquire &amp; Coordinate with client")</f>
        <v>Enquire &amp; Coordinate with client</v>
      </c>
      <c r="I490" s="4" t="str">
        <f>IFERROR(__xludf.DUMMYFUNCTION("""COMPUTED_VALUE"""),"sales person - first shivani")</f>
        <v>sales person - first shivani</v>
      </c>
    </row>
    <row r="491">
      <c r="A491" s="85">
        <f>IFERROR(__xludf.DUMMYFUNCTION("""COMPUTED_VALUE"""),45619.67263444445)</f>
        <v>45619.67263</v>
      </c>
      <c r="B491" s="4"/>
      <c r="C491" s="4"/>
      <c r="D491" s="4"/>
      <c r="E491" s="4"/>
      <c r="F491" s="4"/>
      <c r="G491" s="85">
        <f>IFERROR(__xludf.DUMMYFUNCTION("""COMPUTED_VALUE"""),45620.67222222222)</f>
        <v>45620.67222</v>
      </c>
      <c r="H491" s="85" t="str">
        <f>IFERROR(__xludf.DUMMYFUNCTION("""COMPUTED_VALUE"""),"Enquire &amp; Coordinate with client")</f>
        <v>Enquire &amp; Coordinate with client</v>
      </c>
      <c r="I491" s="4" t="str">
        <f>IFERROR(__xludf.DUMMYFUNCTION("""COMPUTED_VALUE"""),"sales person - first shivani")</f>
        <v>sales person - first shivani</v>
      </c>
    </row>
    <row r="492">
      <c r="A492" s="85">
        <f>IFERROR(__xludf.DUMMYFUNCTION("""COMPUTED_VALUE"""),45624.71567738426)</f>
        <v>45624.71568</v>
      </c>
      <c r="B492" s="4"/>
      <c r="C492" s="4"/>
      <c r="D492" s="4"/>
      <c r="E492" s="4"/>
      <c r="F492" s="4"/>
      <c r="G492" s="85">
        <f>IFERROR(__xludf.DUMMYFUNCTION("""COMPUTED_VALUE"""),45625.71527777778)</f>
        <v>45625.71528</v>
      </c>
      <c r="H492" s="85" t="str">
        <f>IFERROR(__xludf.DUMMYFUNCTION("""COMPUTED_VALUE"""),"Enquire &amp; Coordinate with client")</f>
        <v>Enquire &amp; Coordinate with client</v>
      </c>
      <c r="I492" s="4" t="str">
        <f>IFERROR(__xludf.DUMMYFUNCTION("""COMPUTED_VALUE"""),"sales person - first shivani")</f>
        <v>sales person - first shivani</v>
      </c>
    </row>
    <row r="493">
      <c r="A493" s="85">
        <f>IFERROR(__xludf.DUMMYFUNCTION("""COMPUTED_VALUE"""),45625.66311248843)</f>
        <v>45625.66311</v>
      </c>
      <c r="B493" s="4"/>
      <c r="C493" s="4"/>
      <c r="D493" s="4"/>
      <c r="E493" s="4"/>
      <c r="F493" s="4"/>
      <c r="G493" s="85">
        <f>IFERROR(__xludf.DUMMYFUNCTION("""COMPUTED_VALUE"""),45626.6625)</f>
        <v>45626.6625</v>
      </c>
      <c r="H493" s="85" t="str">
        <f>IFERROR(__xludf.DUMMYFUNCTION("""COMPUTED_VALUE"""),"Enquire &amp; Coordinate with client")</f>
        <v>Enquire &amp; Coordinate with client</v>
      </c>
      <c r="I493" s="4" t="str">
        <f>IFERROR(__xludf.DUMMYFUNCTION("""COMPUTED_VALUE"""),"sales person - first shivani")</f>
        <v>sales person - first shivani</v>
      </c>
    </row>
    <row r="494">
      <c r="A494" s="85">
        <f>IFERROR(__xludf.DUMMYFUNCTION("""COMPUTED_VALUE"""),45626.77135793982)</f>
        <v>45626.77136</v>
      </c>
      <c r="B494" s="4"/>
      <c r="C494" s="4"/>
      <c r="D494" s="4"/>
      <c r="E494" s="4"/>
      <c r="F494" s="4"/>
      <c r="G494" s="85">
        <f>IFERROR(__xludf.DUMMYFUNCTION("""COMPUTED_VALUE"""),45627.77083333333)</f>
        <v>45627.77083</v>
      </c>
      <c r="H494" s="85" t="str">
        <f>IFERROR(__xludf.DUMMYFUNCTION("""COMPUTED_VALUE"""),"Enquire &amp; Coordinate with client")</f>
        <v>Enquire &amp; Coordinate with client</v>
      </c>
      <c r="I494" s="4" t="str">
        <f>IFERROR(__xludf.DUMMYFUNCTION("""COMPUTED_VALUE"""),"sales person - first shivani")</f>
        <v>sales person - first shivani</v>
      </c>
    </row>
    <row r="495">
      <c r="A495" s="85">
        <f>IFERROR(__xludf.DUMMYFUNCTION("""COMPUTED_VALUE"""),45630.67738761574)</f>
        <v>45630.67739</v>
      </c>
      <c r="B495" s="4"/>
      <c r="C495" s="4"/>
      <c r="D495" s="4"/>
      <c r="E495" s="4"/>
      <c r="F495" s="4"/>
      <c r="G495" s="85">
        <f>IFERROR(__xludf.DUMMYFUNCTION("""COMPUTED_VALUE"""),45631.67708333333)</f>
        <v>45631.67708</v>
      </c>
      <c r="H495" s="85" t="str">
        <f>IFERROR(__xludf.DUMMYFUNCTION("""COMPUTED_VALUE"""),"Enquire &amp; Coordinate with client")</f>
        <v>Enquire &amp; Coordinate with client</v>
      </c>
      <c r="I495" s="4" t="str">
        <f>IFERROR(__xludf.DUMMYFUNCTION("""COMPUTED_VALUE"""),"sales person - first shivani")</f>
        <v>sales person - first shivani</v>
      </c>
    </row>
    <row r="496">
      <c r="A496" s="85">
        <f>IFERROR(__xludf.DUMMYFUNCTION("""COMPUTED_VALUE"""),45630.68613288195)</f>
        <v>45630.68613</v>
      </c>
      <c r="B496" s="4"/>
      <c r="C496" s="4"/>
      <c r="D496" s="4"/>
      <c r="E496" s="4"/>
      <c r="F496" s="4"/>
      <c r="G496" s="85">
        <f>IFERROR(__xludf.DUMMYFUNCTION("""COMPUTED_VALUE"""),45631.68611111111)</f>
        <v>45631.68611</v>
      </c>
      <c r="H496" s="85" t="str">
        <f>IFERROR(__xludf.DUMMYFUNCTION("""COMPUTED_VALUE"""),"Enquire &amp; Coordinate with client")</f>
        <v>Enquire &amp; Coordinate with client</v>
      </c>
      <c r="I496" s="4" t="str">
        <f>IFERROR(__xludf.DUMMYFUNCTION("""COMPUTED_VALUE"""),"sales person - first shivani")</f>
        <v>sales person - first shivani</v>
      </c>
    </row>
    <row r="497">
      <c r="A497" s="85">
        <f>IFERROR(__xludf.DUMMYFUNCTION("""COMPUTED_VALUE"""),45630.690677997685)</f>
        <v>45630.69068</v>
      </c>
      <c r="B497" s="4"/>
      <c r="C497" s="4"/>
      <c r="D497" s="4"/>
      <c r="E497" s="4"/>
      <c r="F497" s="4"/>
      <c r="G497" s="85">
        <f>IFERROR(__xludf.DUMMYFUNCTION("""COMPUTED_VALUE"""),45631.69027777778)</f>
        <v>45631.69028</v>
      </c>
      <c r="H497" s="85" t="str">
        <f>IFERROR(__xludf.DUMMYFUNCTION("""COMPUTED_VALUE"""),"Enquire &amp; Coordinate with client")</f>
        <v>Enquire &amp; Coordinate with client</v>
      </c>
      <c r="I497" s="4" t="str">
        <f>IFERROR(__xludf.DUMMYFUNCTION("""COMPUTED_VALUE"""),"sales person - first shivani")</f>
        <v>sales person - first shivani</v>
      </c>
    </row>
    <row r="498">
      <c r="A498" s="85">
        <f>IFERROR(__xludf.DUMMYFUNCTION("""COMPUTED_VALUE"""),45630.69297643518)</f>
        <v>45630.69298</v>
      </c>
      <c r="B498" s="4"/>
      <c r="C498" s="4"/>
      <c r="D498" s="4"/>
      <c r="E498" s="4"/>
      <c r="F498" s="4"/>
      <c r="G498" s="85">
        <f>IFERROR(__xludf.DUMMYFUNCTION("""COMPUTED_VALUE"""),45631.69236111111)</f>
        <v>45631.69236</v>
      </c>
      <c r="H498" s="85" t="str">
        <f>IFERROR(__xludf.DUMMYFUNCTION("""COMPUTED_VALUE"""),"Enquire &amp; Coordinate with client")</f>
        <v>Enquire &amp; Coordinate with client</v>
      </c>
      <c r="I498" s="4" t="str">
        <f>IFERROR(__xludf.DUMMYFUNCTION("""COMPUTED_VALUE"""),"sales person - first shivani")</f>
        <v>sales person - first shivani</v>
      </c>
    </row>
    <row r="499">
      <c r="A499" s="85">
        <f>IFERROR(__xludf.DUMMYFUNCTION("""COMPUTED_VALUE"""),45630.69673940973)</f>
        <v>45630.69674</v>
      </c>
      <c r="B499" s="4"/>
      <c r="C499" s="4"/>
      <c r="D499" s="4"/>
      <c r="E499" s="4"/>
      <c r="F499" s="4"/>
      <c r="G499" s="85">
        <f>IFERROR(__xludf.DUMMYFUNCTION("""COMPUTED_VALUE"""),45631.69652777778)</f>
        <v>45631.69653</v>
      </c>
      <c r="H499" s="85" t="str">
        <f>IFERROR(__xludf.DUMMYFUNCTION("""COMPUTED_VALUE"""),"Enquire &amp; Coordinate with client")</f>
        <v>Enquire &amp; Coordinate with client</v>
      </c>
      <c r="I499" s="4" t="str">
        <f>IFERROR(__xludf.DUMMYFUNCTION("""COMPUTED_VALUE"""),"sales person - first shivani")</f>
        <v>sales person - first shivani</v>
      </c>
    </row>
    <row r="500">
      <c r="A500" s="85">
        <f>IFERROR(__xludf.DUMMYFUNCTION("""COMPUTED_VALUE"""),45634.801441793985)</f>
        <v>45634.80144</v>
      </c>
      <c r="B500" s="4"/>
      <c r="C500" s="4"/>
      <c r="D500" s="4"/>
      <c r="E500" s="4"/>
      <c r="F500" s="4"/>
      <c r="G500" s="85">
        <f>IFERROR(__xludf.DUMMYFUNCTION("""COMPUTED_VALUE"""),45636.80138888889)</f>
        <v>45636.80139</v>
      </c>
      <c r="H500" s="85" t="str">
        <f>IFERROR(__xludf.DUMMYFUNCTION("""COMPUTED_VALUE"""),"Enquire &amp; Coordinate with client")</f>
        <v>Enquire &amp; Coordinate with client</v>
      </c>
      <c r="I500" s="4" t="str">
        <f>IFERROR(__xludf.DUMMYFUNCTION("""COMPUTED_VALUE"""),"sales person - first shivani")</f>
        <v>sales person - first shivani</v>
      </c>
    </row>
    <row r="501">
      <c r="A501" s="85">
        <f>IFERROR(__xludf.DUMMYFUNCTION("""COMPUTED_VALUE"""),45636.66005820601)</f>
        <v>45636.66006</v>
      </c>
      <c r="B501" s="4"/>
      <c r="C501" s="4"/>
      <c r="D501" s="4"/>
      <c r="E501" s="4"/>
      <c r="F501" s="4"/>
      <c r="G501" s="85">
        <f>IFERROR(__xludf.DUMMYFUNCTION("""COMPUTED_VALUE"""),45637.65972222222)</f>
        <v>45637.65972</v>
      </c>
      <c r="H501" s="85" t="str">
        <f>IFERROR(__xludf.DUMMYFUNCTION("""COMPUTED_VALUE"""),"Enquire &amp; Coordinate with client")</f>
        <v>Enquire &amp; Coordinate with client</v>
      </c>
      <c r="I501" s="4" t="str">
        <f>IFERROR(__xludf.DUMMYFUNCTION("""COMPUTED_VALUE"""),"sales person - first shivani")</f>
        <v>sales person - first shivani</v>
      </c>
    </row>
    <row r="502">
      <c r="A502" s="85">
        <f>IFERROR(__xludf.DUMMYFUNCTION("""COMPUTED_VALUE"""),45636.66197480324)</f>
        <v>45636.66197</v>
      </c>
      <c r="B502" s="4"/>
      <c r="C502" s="4"/>
      <c r="D502" s="4"/>
      <c r="E502" s="4"/>
      <c r="F502" s="4"/>
      <c r="G502" s="85">
        <f>IFERROR(__xludf.DUMMYFUNCTION("""COMPUTED_VALUE"""),45637.66180555556)</f>
        <v>45637.66181</v>
      </c>
      <c r="H502" s="85" t="str">
        <f>IFERROR(__xludf.DUMMYFUNCTION("""COMPUTED_VALUE"""),"Enquire &amp; Coordinate with client")</f>
        <v>Enquire &amp; Coordinate with client</v>
      </c>
      <c r="I502" s="4" t="str">
        <f>IFERROR(__xludf.DUMMYFUNCTION("""COMPUTED_VALUE"""),"sales person - first shivani")</f>
        <v>sales person - first shivani</v>
      </c>
    </row>
    <row r="503">
      <c r="A503" s="85">
        <f>IFERROR(__xludf.DUMMYFUNCTION("""COMPUTED_VALUE"""),45636.663293425925)</f>
        <v>45636.66329</v>
      </c>
      <c r="B503" s="4"/>
      <c r="C503" s="4"/>
      <c r="D503" s="4"/>
      <c r="E503" s="4"/>
      <c r="F503" s="4"/>
      <c r="G503" s="85">
        <f>IFERROR(__xludf.DUMMYFUNCTION("""COMPUTED_VALUE"""),45637.663194444445)</f>
        <v>45637.66319</v>
      </c>
      <c r="H503" s="85" t="str">
        <f>IFERROR(__xludf.DUMMYFUNCTION("""COMPUTED_VALUE"""),"Enquire &amp; Coordinate with client")</f>
        <v>Enquire &amp; Coordinate with client</v>
      </c>
      <c r="I503" s="4" t="str">
        <f>IFERROR(__xludf.DUMMYFUNCTION("""COMPUTED_VALUE"""),"sales person - first shivani")</f>
        <v>sales person - first shivani</v>
      </c>
    </row>
    <row r="504">
      <c r="A504" s="85">
        <f>IFERROR(__xludf.DUMMYFUNCTION("""COMPUTED_VALUE"""),45655.709603599535)</f>
        <v>45655.7096</v>
      </c>
      <c r="B504" s="4"/>
      <c r="C504" s="4"/>
      <c r="D504" s="4"/>
      <c r="E504" s="4"/>
      <c r="F504" s="4"/>
      <c r="G504" s="85">
        <f>IFERROR(__xludf.DUMMYFUNCTION("""COMPUTED_VALUE"""),45657.709027777775)</f>
        <v>45657.70903</v>
      </c>
      <c r="H504" s="85" t="str">
        <f>IFERROR(__xludf.DUMMYFUNCTION("""COMPUTED_VALUE"""),"Enquire &amp; Coordinate with client")</f>
        <v>Enquire &amp; Coordinate with client</v>
      </c>
      <c r="I504" s="4" t="str">
        <f>IFERROR(__xludf.DUMMYFUNCTION("""COMPUTED_VALUE"""),"sales person - first shivani")</f>
        <v>sales person - first shivani</v>
      </c>
    </row>
    <row r="505">
      <c r="A505" s="85">
        <f>IFERROR(__xludf.DUMMYFUNCTION("""COMPUTED_VALUE"""),45655.710649479166)</f>
        <v>45655.71065</v>
      </c>
      <c r="B505" s="4"/>
      <c r="C505" s="4"/>
      <c r="D505" s="4"/>
      <c r="E505" s="4"/>
      <c r="F505" s="4"/>
      <c r="G505" s="85">
        <f>IFERROR(__xludf.DUMMYFUNCTION("""COMPUTED_VALUE"""),45657.71041666667)</f>
        <v>45657.71042</v>
      </c>
      <c r="H505" s="85" t="str">
        <f>IFERROR(__xludf.DUMMYFUNCTION("""COMPUTED_VALUE"""),"Enquire &amp; Coordinate with client")</f>
        <v>Enquire &amp; Coordinate with client</v>
      </c>
      <c r="I505" s="4" t="str">
        <f>IFERROR(__xludf.DUMMYFUNCTION("""COMPUTED_VALUE"""),"sales person - first shivani")</f>
        <v>sales person - first shivani</v>
      </c>
    </row>
    <row r="506">
      <c r="A506" s="85">
        <f>IFERROR(__xludf.DUMMYFUNCTION("""COMPUTED_VALUE"""),45704.599190567125)</f>
        <v>45704.59919</v>
      </c>
      <c r="B506" s="4"/>
      <c r="C506" s="4"/>
      <c r="D506" s="4"/>
      <c r="E506" s="4"/>
      <c r="F506" s="4"/>
      <c r="G506" s="85">
        <f>IFERROR(__xludf.DUMMYFUNCTION("""COMPUTED_VALUE"""),45706.59861111111)</f>
        <v>45706.59861</v>
      </c>
      <c r="H506" s="85" t="str">
        <f>IFERROR(__xludf.DUMMYFUNCTION("""COMPUTED_VALUE"""),"Enquire &amp; Coordinate with client")</f>
        <v>Enquire &amp; Coordinate with client</v>
      </c>
      <c r="I506" s="4" t="str">
        <f>IFERROR(__xludf.DUMMYFUNCTION("""COMPUTED_VALUE"""),"sales person - first shivani")</f>
        <v>sales person - first shivani</v>
      </c>
    </row>
    <row r="507">
      <c r="A507" s="85">
        <f>IFERROR(__xludf.DUMMYFUNCTION("""COMPUTED_VALUE"""),45711.77508305555)</f>
        <v>45711.77508</v>
      </c>
      <c r="B507" s="4"/>
      <c r="C507" s="4"/>
      <c r="D507" s="4"/>
      <c r="E507" s="4"/>
      <c r="F507" s="4"/>
      <c r="G507" s="85">
        <f>IFERROR(__xludf.DUMMYFUNCTION("""COMPUTED_VALUE"""),45713.775)</f>
        <v>45713.775</v>
      </c>
      <c r="H507" s="85" t="str">
        <f>IFERROR(__xludf.DUMMYFUNCTION("""COMPUTED_VALUE"""),"Enquire &amp; Coordinate with client")</f>
        <v>Enquire &amp; Coordinate with client</v>
      </c>
      <c r="I507" s="4" t="str">
        <f>IFERROR(__xludf.DUMMYFUNCTION("""COMPUTED_VALUE"""),"sales person - first shivani")</f>
        <v>sales person - first shivani</v>
      </c>
    </row>
    <row r="508">
      <c r="A508" s="85">
        <f>IFERROR(__xludf.DUMMYFUNCTION("""COMPUTED_VALUE"""),45711.77634748843)</f>
        <v>45711.77635</v>
      </c>
      <c r="B508" s="4"/>
      <c r="C508" s="4"/>
      <c r="D508" s="4"/>
      <c r="E508" s="4"/>
      <c r="F508" s="4"/>
      <c r="G508" s="85">
        <f>IFERROR(__xludf.DUMMYFUNCTION("""COMPUTED_VALUE"""),45713.77569444444)</f>
        <v>45713.77569</v>
      </c>
      <c r="H508" s="85" t="str">
        <f>IFERROR(__xludf.DUMMYFUNCTION("""COMPUTED_VALUE"""),"Enquire &amp; Coordinate with client")</f>
        <v>Enquire &amp; Coordinate with client</v>
      </c>
      <c r="I508" s="4" t="str">
        <f>IFERROR(__xludf.DUMMYFUNCTION("""COMPUTED_VALUE"""),"sales person - first shivani")</f>
        <v>sales person - first shivani</v>
      </c>
    </row>
    <row r="509">
      <c r="A509" s="85">
        <f>IFERROR(__xludf.DUMMYFUNCTION("""COMPUTED_VALUE"""),45711.77793788195)</f>
        <v>45711.77794</v>
      </c>
      <c r="B509" s="4"/>
      <c r="C509" s="4"/>
      <c r="D509" s="4"/>
      <c r="E509" s="4"/>
      <c r="F509" s="4"/>
      <c r="G509" s="85">
        <f>IFERROR(__xludf.DUMMYFUNCTION("""COMPUTED_VALUE"""),45713.77777777778)</f>
        <v>45713.77778</v>
      </c>
      <c r="H509" s="85" t="str">
        <f>IFERROR(__xludf.DUMMYFUNCTION("""COMPUTED_VALUE"""),"Enquire &amp; Coordinate with client")</f>
        <v>Enquire &amp; Coordinate with client</v>
      </c>
      <c r="I509" s="4" t="str">
        <f>IFERROR(__xludf.DUMMYFUNCTION("""COMPUTED_VALUE"""),"sales person - first shivani")</f>
        <v>sales person - first shivani</v>
      </c>
    </row>
    <row r="510">
      <c r="A510" s="85">
        <f>IFERROR(__xludf.DUMMYFUNCTION("""COMPUTED_VALUE"""),45711.7798912963)</f>
        <v>45711.77989</v>
      </c>
      <c r="B510" s="4"/>
      <c r="C510" s="4"/>
      <c r="D510" s="4"/>
      <c r="E510" s="4"/>
      <c r="F510" s="4"/>
      <c r="G510" s="85">
        <f>IFERROR(__xludf.DUMMYFUNCTION("""COMPUTED_VALUE"""),45713.77986111111)</f>
        <v>45713.77986</v>
      </c>
      <c r="H510" s="85" t="str">
        <f>IFERROR(__xludf.DUMMYFUNCTION("""COMPUTED_VALUE"""),"Enquire &amp; Coordinate with client")</f>
        <v>Enquire &amp; Coordinate with client</v>
      </c>
      <c r="I510" s="4" t="str">
        <f>IFERROR(__xludf.DUMMYFUNCTION("""COMPUTED_VALUE"""),"sales person - first shivani")</f>
        <v>sales person - first shivani</v>
      </c>
    </row>
    <row r="511">
      <c r="A511" s="85">
        <f>IFERROR(__xludf.DUMMYFUNCTION("""COMPUTED_VALUE"""),45711.78377572916)</f>
        <v>45711.78378</v>
      </c>
      <c r="B511" s="4"/>
      <c r="C511" s="4"/>
      <c r="D511" s="4"/>
      <c r="E511" s="4"/>
      <c r="F511" s="4"/>
      <c r="G511" s="85">
        <f>IFERROR(__xludf.DUMMYFUNCTION("""COMPUTED_VALUE"""),45713.78333333333)</f>
        <v>45713.78333</v>
      </c>
      <c r="H511" s="85" t="str">
        <f>IFERROR(__xludf.DUMMYFUNCTION("""COMPUTED_VALUE"""),"Enquire &amp; Coordinate with client")</f>
        <v>Enquire &amp; Coordinate with client</v>
      </c>
      <c r="I511" s="4" t="str">
        <f>IFERROR(__xludf.DUMMYFUNCTION("""COMPUTED_VALUE"""),"sales person - first shivani")</f>
        <v>sales person - first shivani</v>
      </c>
    </row>
    <row r="512">
      <c r="A512" s="85">
        <f>IFERROR(__xludf.DUMMYFUNCTION("""COMPUTED_VALUE"""),45715.67185819444)</f>
        <v>45715.67186</v>
      </c>
      <c r="B512" s="4"/>
      <c r="C512" s="4"/>
      <c r="D512" s="4"/>
      <c r="E512" s="4"/>
      <c r="F512" s="4"/>
      <c r="G512" s="85">
        <f>IFERROR(__xludf.DUMMYFUNCTION("""COMPUTED_VALUE"""),45716.67152777778)</f>
        <v>45716.67153</v>
      </c>
      <c r="H512" s="85" t="str">
        <f>IFERROR(__xludf.DUMMYFUNCTION("""COMPUTED_VALUE"""),"Enquire &amp; Coordinate with client")</f>
        <v>Enquire &amp; Coordinate with client</v>
      </c>
      <c r="I512" s="4" t="str">
        <f>IFERROR(__xludf.DUMMYFUNCTION("""COMPUTED_VALUE"""),"sales person - first shivani")</f>
        <v>sales person - first shivani</v>
      </c>
    </row>
    <row r="513">
      <c r="A513" s="85">
        <f>IFERROR(__xludf.DUMMYFUNCTION("""COMPUTED_VALUE"""),45715.67656490741)</f>
        <v>45715.67656</v>
      </c>
      <c r="B513" s="4"/>
      <c r="C513" s="4"/>
      <c r="D513" s="4"/>
      <c r="E513" s="4"/>
      <c r="F513" s="4"/>
      <c r="G513" s="85">
        <f>IFERROR(__xludf.DUMMYFUNCTION("""COMPUTED_VALUE"""),45716.67638888889)</f>
        <v>45716.67639</v>
      </c>
      <c r="H513" s="85" t="str">
        <f>IFERROR(__xludf.DUMMYFUNCTION("""COMPUTED_VALUE"""),"Enquire &amp; Coordinate with client")</f>
        <v>Enquire &amp; Coordinate with client</v>
      </c>
      <c r="I513" s="4" t="str">
        <f>IFERROR(__xludf.DUMMYFUNCTION("""COMPUTED_VALUE"""),"sales person - first shivani")</f>
        <v>sales person - first shivani</v>
      </c>
    </row>
    <row r="514">
      <c r="A514" s="85">
        <f>IFERROR(__xludf.DUMMYFUNCTION("""COMPUTED_VALUE"""),45721.70481887732)</f>
        <v>45721.70482</v>
      </c>
      <c r="B514" s="4"/>
      <c r="C514" s="4"/>
      <c r="D514" s="4"/>
      <c r="E514" s="4"/>
      <c r="F514" s="4"/>
      <c r="G514" s="85">
        <f>IFERROR(__xludf.DUMMYFUNCTION("""COMPUTED_VALUE"""),45722.70416666666)</f>
        <v>45722.70417</v>
      </c>
      <c r="H514" s="85" t="str">
        <f>IFERROR(__xludf.DUMMYFUNCTION("""COMPUTED_VALUE"""),"Enquire &amp; Coordinate with client")</f>
        <v>Enquire &amp; Coordinate with client</v>
      </c>
      <c r="I514" s="4" t="str">
        <f>IFERROR(__xludf.DUMMYFUNCTION("""COMPUTED_VALUE"""),"sales person - first shivani")</f>
        <v>sales person - first shivani</v>
      </c>
    </row>
    <row r="515">
      <c r="A515" s="85">
        <f>IFERROR(__xludf.DUMMYFUNCTION("""COMPUTED_VALUE"""),45723.69785721065)</f>
        <v>45723.69786</v>
      </c>
      <c r="B515" s="4"/>
      <c r="C515" s="4"/>
      <c r="D515" s="4"/>
      <c r="E515" s="4"/>
      <c r="F515" s="4"/>
      <c r="G515" s="85">
        <f>IFERROR(__xludf.DUMMYFUNCTION("""COMPUTED_VALUE"""),45724.697222222225)</f>
        <v>45724.69722</v>
      </c>
      <c r="H515" s="85" t="str">
        <f>IFERROR(__xludf.DUMMYFUNCTION("""COMPUTED_VALUE"""),"Enquire &amp; Coordinate with client")</f>
        <v>Enquire &amp; Coordinate with client</v>
      </c>
      <c r="I515" s="4" t="str">
        <f>IFERROR(__xludf.DUMMYFUNCTION("""COMPUTED_VALUE"""),"sales person - first shivani")</f>
        <v>sales person - first shivani</v>
      </c>
    </row>
    <row r="516">
      <c r="A516" s="85">
        <f>IFERROR(__xludf.DUMMYFUNCTION("""COMPUTED_VALUE"""),45723.70490146991)</f>
        <v>45723.7049</v>
      </c>
      <c r="B516" s="4"/>
      <c r="C516" s="4"/>
      <c r="D516" s="4"/>
      <c r="E516" s="4"/>
      <c r="F516" s="4"/>
      <c r="G516" s="85">
        <f>IFERROR(__xludf.DUMMYFUNCTION("""COMPUTED_VALUE"""),45724.70486111111)</f>
        <v>45724.70486</v>
      </c>
      <c r="H516" s="85" t="str">
        <f>IFERROR(__xludf.DUMMYFUNCTION("""COMPUTED_VALUE"""),"Enquire &amp; Coordinate with client")</f>
        <v>Enquire &amp; Coordinate with client</v>
      </c>
      <c r="I516" s="4" t="str">
        <f>IFERROR(__xludf.DUMMYFUNCTION("""COMPUTED_VALUE"""),"sales person - first shivani")</f>
        <v>sales person - first shivani</v>
      </c>
    </row>
    <row r="517">
      <c r="A517" s="85">
        <f>IFERROR(__xludf.DUMMYFUNCTION("""COMPUTED_VALUE"""),45727.7316980787)</f>
        <v>45727.7317</v>
      </c>
      <c r="B517" s="4"/>
      <c r="C517" s="4"/>
      <c r="D517" s="4"/>
      <c r="E517" s="4"/>
      <c r="F517" s="4"/>
      <c r="G517" s="85">
        <f>IFERROR(__xludf.DUMMYFUNCTION("""COMPUTED_VALUE"""),45728.73125)</f>
        <v>45728.73125</v>
      </c>
      <c r="H517" s="85" t="str">
        <f>IFERROR(__xludf.DUMMYFUNCTION("""COMPUTED_VALUE"""),"Enquire &amp; Coordinate with client")</f>
        <v>Enquire &amp; Coordinate with client</v>
      </c>
      <c r="I517" s="4" t="str">
        <f>IFERROR(__xludf.DUMMYFUNCTION("""COMPUTED_VALUE"""),"sales person - first shivani")</f>
        <v>sales person - first shivani</v>
      </c>
    </row>
    <row r="518">
      <c r="A518" s="85">
        <f>IFERROR(__xludf.DUMMYFUNCTION("""COMPUTED_VALUE"""),45727.74250353009)</f>
        <v>45727.7425</v>
      </c>
      <c r="B518" s="4"/>
      <c r="C518" s="4"/>
      <c r="D518" s="4"/>
      <c r="E518" s="4"/>
      <c r="F518" s="4"/>
      <c r="G518" s="85">
        <f>IFERROR(__xludf.DUMMYFUNCTION("""COMPUTED_VALUE"""),45728.742361111115)</f>
        <v>45728.74236</v>
      </c>
      <c r="H518" s="85" t="str">
        <f>IFERROR(__xludf.DUMMYFUNCTION("""COMPUTED_VALUE"""),"Enquire &amp; Coordinate with client")</f>
        <v>Enquire &amp; Coordinate with client</v>
      </c>
      <c r="I518" s="4" t="str">
        <f>IFERROR(__xludf.DUMMYFUNCTION("""COMPUTED_VALUE"""),"sales person - first shivani")</f>
        <v>sales person - first shivani</v>
      </c>
    </row>
    <row r="519">
      <c r="A519" s="85">
        <f>IFERROR(__xludf.DUMMYFUNCTION("""COMPUTED_VALUE"""),45729.535630694445)</f>
        <v>45729.53563</v>
      </c>
      <c r="B519" s="4"/>
      <c r="C519" s="4"/>
      <c r="D519" s="4"/>
      <c r="E519" s="4"/>
      <c r="F519" s="4"/>
      <c r="G519" s="85">
        <f>IFERROR(__xludf.DUMMYFUNCTION("""COMPUTED_VALUE"""),45730.535416666666)</f>
        <v>45730.53542</v>
      </c>
      <c r="H519" s="85" t="str">
        <f>IFERROR(__xludf.DUMMYFUNCTION("""COMPUTED_VALUE"""),"Enquire &amp; Coordinate with client")</f>
        <v>Enquire &amp; Coordinate with client</v>
      </c>
      <c r="I519" s="4" t="str">
        <f>IFERROR(__xludf.DUMMYFUNCTION("""COMPUTED_VALUE"""),"sales person - first shivani")</f>
        <v>sales person - first shivani</v>
      </c>
    </row>
    <row r="520">
      <c r="A520" s="85">
        <f>IFERROR(__xludf.DUMMYFUNCTION("""COMPUTED_VALUE"""),45737.507457291664)</f>
        <v>45737.50746</v>
      </c>
      <c r="B520" s="4"/>
      <c r="C520" s="4"/>
      <c r="D520" s="4"/>
      <c r="E520" s="4"/>
      <c r="F520" s="4"/>
      <c r="G520" s="85">
        <f>IFERROR(__xludf.DUMMYFUNCTION("""COMPUTED_VALUE"""),45738.506944444445)</f>
        <v>45738.50694</v>
      </c>
      <c r="H520" s="85" t="str">
        <f>IFERROR(__xludf.DUMMYFUNCTION("""COMPUTED_VALUE"""),"Enquire &amp; Coordinate with client")</f>
        <v>Enquire &amp; Coordinate with client</v>
      </c>
      <c r="I520" s="4" t="str">
        <f>IFERROR(__xludf.DUMMYFUNCTION("""COMPUTED_VALUE"""),"sales person - first shivani")</f>
        <v>sales person - first shivani</v>
      </c>
    </row>
    <row r="521">
      <c r="A521" s="85">
        <f>IFERROR(__xludf.DUMMYFUNCTION("""COMPUTED_VALUE"""),45737.63729546296)</f>
        <v>45737.6373</v>
      </c>
      <c r="B521" s="4"/>
      <c r="C521" s="4"/>
      <c r="D521" s="4"/>
      <c r="E521" s="4"/>
      <c r="F521" s="4"/>
      <c r="G521" s="85">
        <f>IFERROR(__xludf.DUMMYFUNCTION("""COMPUTED_VALUE"""),45738.63680555555)</f>
        <v>45738.63681</v>
      </c>
      <c r="H521" s="85" t="str">
        <f>IFERROR(__xludf.DUMMYFUNCTION("""COMPUTED_VALUE"""),"Enquire &amp; Coordinate with client")</f>
        <v>Enquire &amp; Coordinate with client</v>
      </c>
      <c r="I521" s="4" t="str">
        <f>IFERROR(__xludf.DUMMYFUNCTION("""COMPUTED_VALUE"""),"sales person - first shivani")</f>
        <v>sales person - first shivani</v>
      </c>
    </row>
    <row r="522">
      <c r="A522" s="85">
        <f>IFERROR(__xludf.DUMMYFUNCTION("""COMPUTED_VALUE"""),45742.60968710648)</f>
        <v>45742.60969</v>
      </c>
      <c r="B522" s="4"/>
      <c r="C522" s="4"/>
      <c r="D522" s="4"/>
      <c r="E522" s="4"/>
      <c r="F522" s="4"/>
      <c r="G522" s="85">
        <f>IFERROR(__xludf.DUMMYFUNCTION("""COMPUTED_VALUE"""),45743.60902777778)</f>
        <v>45743.60903</v>
      </c>
      <c r="H522" s="85" t="str">
        <f>IFERROR(__xludf.DUMMYFUNCTION("""COMPUTED_VALUE"""),"Enquire &amp; Coordinate with client")</f>
        <v>Enquire &amp; Coordinate with client</v>
      </c>
      <c r="I522" s="4" t="str">
        <f>IFERROR(__xludf.DUMMYFUNCTION("""COMPUTED_VALUE"""),"sales person - first shivani")</f>
        <v>sales person - first shivani</v>
      </c>
    </row>
    <row r="523">
      <c r="A523" s="85">
        <f>IFERROR(__xludf.DUMMYFUNCTION("""COMPUTED_VALUE"""),45742.62317315972)</f>
        <v>45742.62317</v>
      </c>
      <c r="B523" s="4"/>
      <c r="C523" s="4"/>
      <c r="D523" s="4"/>
      <c r="E523" s="4"/>
      <c r="F523" s="4"/>
      <c r="G523" s="85">
        <f>IFERROR(__xludf.DUMMYFUNCTION("""COMPUTED_VALUE"""),45743.62291666667)</f>
        <v>45743.62292</v>
      </c>
      <c r="H523" s="85" t="str">
        <f>IFERROR(__xludf.DUMMYFUNCTION("""COMPUTED_VALUE"""),"Enquire &amp; Coordinate with client")</f>
        <v>Enquire &amp; Coordinate with client</v>
      </c>
      <c r="I523" s="4" t="str">
        <f>IFERROR(__xludf.DUMMYFUNCTION("""COMPUTED_VALUE"""),"sales person - first shivani")</f>
        <v>sales person - first shivani</v>
      </c>
    </row>
    <row r="524">
      <c r="A524" s="85">
        <f>IFERROR(__xludf.DUMMYFUNCTION("""COMPUTED_VALUE"""),45742.62734488426)</f>
        <v>45742.62734</v>
      </c>
      <c r="B524" s="4"/>
      <c r="C524" s="4"/>
      <c r="D524" s="4"/>
      <c r="E524" s="4"/>
      <c r="F524" s="4"/>
      <c r="G524" s="85">
        <f>IFERROR(__xludf.DUMMYFUNCTION("""COMPUTED_VALUE"""),45743.62708333333)</f>
        <v>45743.62708</v>
      </c>
      <c r="H524" s="85" t="str">
        <f>IFERROR(__xludf.DUMMYFUNCTION("""COMPUTED_VALUE"""),"Enquire &amp; Coordinate with client")</f>
        <v>Enquire &amp; Coordinate with client</v>
      </c>
      <c r="I524" s="4" t="str">
        <f>IFERROR(__xludf.DUMMYFUNCTION("""COMPUTED_VALUE"""),"sales person - first shivani")</f>
        <v>sales person - first shivani</v>
      </c>
    </row>
    <row r="525">
      <c r="A525" s="85">
        <f>IFERROR(__xludf.DUMMYFUNCTION("""COMPUTED_VALUE"""),45745.80031135416)</f>
        <v>45745.80031</v>
      </c>
      <c r="B525" s="4"/>
      <c r="C525" s="4"/>
      <c r="D525" s="4"/>
      <c r="E525" s="4"/>
      <c r="F525" s="4"/>
      <c r="G525" s="85">
        <f>IFERROR(__xludf.DUMMYFUNCTION("""COMPUTED_VALUE"""),45746.8)</f>
        <v>45746.8</v>
      </c>
      <c r="H525" s="85" t="str">
        <f>IFERROR(__xludf.DUMMYFUNCTION("""COMPUTED_VALUE"""),"Enquire &amp; Coordinate with client")</f>
        <v>Enquire &amp; Coordinate with client</v>
      </c>
      <c r="I525" s="4" t="str">
        <f>IFERROR(__xludf.DUMMYFUNCTION("""COMPUTED_VALUE"""),"sales person - first shivani")</f>
        <v>sales person - first shivani</v>
      </c>
    </row>
    <row r="526">
      <c r="A526" s="85">
        <f>IFERROR(__xludf.DUMMYFUNCTION("""COMPUTED_VALUE"""),45746.78644425926)</f>
        <v>45746.78644</v>
      </c>
      <c r="B526" s="4"/>
      <c r="C526" s="4"/>
      <c r="D526" s="4"/>
      <c r="E526" s="4"/>
      <c r="F526" s="4"/>
      <c r="G526" s="85">
        <f>IFERROR(__xludf.DUMMYFUNCTION("""COMPUTED_VALUE"""),45748.78611111111)</f>
        <v>45748.78611</v>
      </c>
      <c r="H526" s="85" t="str">
        <f>IFERROR(__xludf.DUMMYFUNCTION("""COMPUTED_VALUE"""),"Enquire &amp; Coordinate with client")</f>
        <v>Enquire &amp; Coordinate with client</v>
      </c>
      <c r="I526" s="4" t="str">
        <f>IFERROR(__xludf.DUMMYFUNCTION("""COMPUTED_VALUE"""),"sales person - first shivani")</f>
        <v>sales person - first shivani</v>
      </c>
    </row>
    <row r="527">
      <c r="A527" s="85">
        <f>IFERROR(__xludf.DUMMYFUNCTION("""COMPUTED_VALUE"""),45756.56836965278)</f>
        <v>45756.56837</v>
      </c>
      <c r="B527" s="4"/>
      <c r="C527" s="4"/>
      <c r="D527" s="4"/>
      <c r="E527" s="4"/>
      <c r="F527" s="4"/>
      <c r="G527" s="85">
        <f>IFERROR(__xludf.DUMMYFUNCTION("""COMPUTED_VALUE"""),45757.56805555556)</f>
        <v>45757.56806</v>
      </c>
      <c r="H527" s="85" t="str">
        <f>IFERROR(__xludf.DUMMYFUNCTION("""COMPUTED_VALUE"""),"Enquire &amp; Coordinate with client")</f>
        <v>Enquire &amp; Coordinate with client</v>
      </c>
      <c r="I527" s="4" t="str">
        <f>IFERROR(__xludf.DUMMYFUNCTION("""COMPUTED_VALUE"""),"sales person - first shivani")</f>
        <v>sales person - first shivani</v>
      </c>
    </row>
    <row r="528">
      <c r="A528" s="85">
        <f>IFERROR(__xludf.DUMMYFUNCTION("""COMPUTED_VALUE"""),45756.67019167824)</f>
        <v>45756.67019</v>
      </c>
      <c r="B528" s="4"/>
      <c r="C528" s="4"/>
      <c r="D528" s="4"/>
      <c r="E528" s="4"/>
      <c r="F528" s="4"/>
      <c r="G528" s="85">
        <f>IFERROR(__xludf.DUMMYFUNCTION("""COMPUTED_VALUE"""),45757.67013888889)</f>
        <v>45757.67014</v>
      </c>
      <c r="H528" s="85" t="str">
        <f>IFERROR(__xludf.DUMMYFUNCTION("""COMPUTED_VALUE"""),"Enquire &amp; Coordinate with client")</f>
        <v>Enquire &amp; Coordinate with client</v>
      </c>
      <c r="I528" s="4" t="str">
        <f>IFERROR(__xludf.DUMMYFUNCTION("""COMPUTED_VALUE"""),"sales person - first shivani")</f>
        <v>sales person - first shivani</v>
      </c>
    </row>
    <row r="529">
      <c r="A529" s="85">
        <f>IFERROR(__xludf.DUMMYFUNCTION("""COMPUTED_VALUE"""),45756.67329765046)</f>
        <v>45756.6733</v>
      </c>
      <c r="B529" s="4"/>
      <c r="C529" s="4"/>
      <c r="D529" s="4"/>
      <c r="E529" s="4"/>
      <c r="F529" s="4"/>
      <c r="G529" s="85">
        <f>IFERROR(__xludf.DUMMYFUNCTION("""COMPUTED_VALUE"""),45757.67291666666)</f>
        <v>45757.67292</v>
      </c>
      <c r="H529" s="85" t="str">
        <f>IFERROR(__xludf.DUMMYFUNCTION("""COMPUTED_VALUE"""),"Enquire &amp; Coordinate with client")</f>
        <v>Enquire &amp; Coordinate with client</v>
      </c>
      <c r="I529" s="4" t="str">
        <f>IFERROR(__xludf.DUMMYFUNCTION("""COMPUTED_VALUE"""),"sales person - first shivani")</f>
        <v>sales person - first shivani</v>
      </c>
    </row>
    <row r="530">
      <c r="A530" s="85">
        <f>IFERROR(__xludf.DUMMYFUNCTION("""COMPUTED_VALUE"""),45756.67577902778)</f>
        <v>45756.67578</v>
      </c>
      <c r="B530" s="4"/>
      <c r="C530" s="4"/>
      <c r="D530" s="4"/>
      <c r="E530" s="4"/>
      <c r="F530" s="4"/>
      <c r="G530" s="85">
        <f>IFERROR(__xludf.DUMMYFUNCTION("""COMPUTED_VALUE"""),45757.67569444445)</f>
        <v>45757.67569</v>
      </c>
      <c r="H530" s="85" t="str">
        <f>IFERROR(__xludf.DUMMYFUNCTION("""COMPUTED_VALUE"""),"Enquire &amp; Coordinate with client")</f>
        <v>Enquire &amp; Coordinate with client</v>
      </c>
      <c r="I530" s="4" t="str">
        <f>IFERROR(__xludf.DUMMYFUNCTION("""COMPUTED_VALUE"""),"sales person - first shivani")</f>
        <v>sales person - first shivani</v>
      </c>
    </row>
    <row r="531">
      <c r="A531" s="85">
        <f>IFERROR(__xludf.DUMMYFUNCTION("""COMPUTED_VALUE"""),45756.67919015046)</f>
        <v>45756.67919</v>
      </c>
      <c r="B531" s="4"/>
      <c r="C531" s="4"/>
      <c r="D531" s="4"/>
      <c r="E531" s="4"/>
      <c r="F531" s="4"/>
      <c r="G531" s="85">
        <f>IFERROR(__xludf.DUMMYFUNCTION("""COMPUTED_VALUE"""),45757.67916666667)</f>
        <v>45757.67917</v>
      </c>
      <c r="H531" s="85" t="str">
        <f>IFERROR(__xludf.DUMMYFUNCTION("""COMPUTED_VALUE"""),"Enquire &amp; Coordinate with client")</f>
        <v>Enquire &amp; Coordinate with client</v>
      </c>
      <c r="I531" s="4" t="str">
        <f>IFERROR(__xludf.DUMMYFUNCTION("""COMPUTED_VALUE"""),"sales person - first shivani")</f>
        <v>sales person - first shivani</v>
      </c>
    </row>
    <row r="532">
      <c r="A532" s="85">
        <f>IFERROR(__xludf.DUMMYFUNCTION("""COMPUTED_VALUE"""),45756.68123456019)</f>
        <v>45756.68123</v>
      </c>
      <c r="B532" s="4"/>
      <c r="C532" s="4"/>
      <c r="D532" s="4"/>
      <c r="E532" s="4"/>
      <c r="F532" s="4"/>
      <c r="G532" s="85">
        <f>IFERROR(__xludf.DUMMYFUNCTION("""COMPUTED_VALUE"""),45757.680555555555)</f>
        <v>45757.68056</v>
      </c>
      <c r="H532" s="85" t="str">
        <f>IFERROR(__xludf.DUMMYFUNCTION("""COMPUTED_VALUE"""),"Enquire &amp; Coordinate with client")</f>
        <v>Enquire &amp; Coordinate with client</v>
      </c>
      <c r="I532" s="4" t="str">
        <f>IFERROR(__xludf.DUMMYFUNCTION("""COMPUTED_VALUE"""),"sales person - first shivani")</f>
        <v>sales person - first shivani</v>
      </c>
    </row>
    <row r="533">
      <c r="A533" s="85">
        <f>IFERROR(__xludf.DUMMYFUNCTION("""COMPUTED_VALUE"""),45758.77180792824)</f>
        <v>45758.77181</v>
      </c>
      <c r="B533" s="4"/>
      <c r="C533" s="4"/>
      <c r="D533" s="4"/>
      <c r="E533" s="4"/>
      <c r="F533" s="4"/>
      <c r="G533" s="85">
        <f>IFERROR(__xludf.DUMMYFUNCTION("""COMPUTED_VALUE"""),45759.771527777775)</f>
        <v>45759.77153</v>
      </c>
      <c r="H533" s="85" t="str">
        <f>IFERROR(__xludf.DUMMYFUNCTION("""COMPUTED_VALUE"""),"Enquire &amp; Coordinate with client")</f>
        <v>Enquire &amp; Coordinate with client</v>
      </c>
      <c r="I533" s="4" t="str">
        <f>IFERROR(__xludf.DUMMYFUNCTION("""COMPUTED_VALUE"""),"sales person - first shivani")</f>
        <v>sales person - first shivani</v>
      </c>
    </row>
    <row r="534">
      <c r="A534" s="85">
        <f>IFERROR(__xludf.DUMMYFUNCTION("""COMPUTED_VALUE"""),45758.77701493056)</f>
        <v>45758.77701</v>
      </c>
      <c r="B534" s="4"/>
      <c r="C534" s="4"/>
      <c r="D534" s="4"/>
      <c r="E534" s="4"/>
      <c r="F534" s="4"/>
      <c r="G534" s="85">
        <f>IFERROR(__xludf.DUMMYFUNCTION("""COMPUTED_VALUE"""),45759.77638888889)</f>
        <v>45759.77639</v>
      </c>
      <c r="H534" s="85" t="str">
        <f>IFERROR(__xludf.DUMMYFUNCTION("""COMPUTED_VALUE"""),"Enquire &amp; Coordinate with client")</f>
        <v>Enquire &amp; Coordinate with client</v>
      </c>
      <c r="I534" s="4" t="str">
        <f>IFERROR(__xludf.DUMMYFUNCTION("""COMPUTED_VALUE"""),"sales person - first shivani")</f>
        <v>sales person - first shivani</v>
      </c>
    </row>
    <row r="535">
      <c r="A535" s="85">
        <f>IFERROR(__xludf.DUMMYFUNCTION("""COMPUTED_VALUE"""),45760.744818263884)</f>
        <v>45760.74482</v>
      </c>
      <c r="B535" s="4"/>
      <c r="C535" s="4"/>
      <c r="D535" s="4"/>
      <c r="E535" s="4"/>
      <c r="F535" s="4"/>
      <c r="G535" s="85">
        <f>IFERROR(__xludf.DUMMYFUNCTION("""COMPUTED_VALUE"""),45762.74444444444)</f>
        <v>45762.74444</v>
      </c>
      <c r="H535" s="85" t="str">
        <f>IFERROR(__xludf.DUMMYFUNCTION("""COMPUTED_VALUE"""),"Enquire &amp; Coordinate with client")</f>
        <v>Enquire &amp; Coordinate with client</v>
      </c>
      <c r="I535" s="4" t="str">
        <f>IFERROR(__xludf.DUMMYFUNCTION("""COMPUTED_VALUE"""),"sales person - first shivani")</f>
        <v>sales person - first shivani</v>
      </c>
    </row>
    <row r="536">
      <c r="A536" s="85">
        <f>IFERROR(__xludf.DUMMYFUNCTION("""COMPUTED_VALUE"""),45774.6604670949)</f>
        <v>45774.66047</v>
      </c>
      <c r="B536" s="4"/>
      <c r="C536" s="4"/>
      <c r="D536" s="4"/>
      <c r="E536" s="4"/>
      <c r="F536" s="4"/>
      <c r="G536" s="85">
        <f>IFERROR(__xludf.DUMMYFUNCTION("""COMPUTED_VALUE"""),45776.660416666666)</f>
        <v>45776.66042</v>
      </c>
      <c r="H536" s="85" t="str">
        <f>IFERROR(__xludf.DUMMYFUNCTION("""COMPUTED_VALUE"""),"Enquire &amp; Coordinate with client")</f>
        <v>Enquire &amp; Coordinate with client</v>
      </c>
      <c r="I536" s="4" t="str">
        <f>IFERROR(__xludf.DUMMYFUNCTION("""COMPUTED_VALUE"""),"sales person - first shivani")</f>
        <v>sales person - first shivani</v>
      </c>
    </row>
    <row r="537">
      <c r="A537" s="85">
        <f>IFERROR(__xludf.DUMMYFUNCTION("""COMPUTED_VALUE"""),45774.662177673614)</f>
        <v>45774.66218</v>
      </c>
      <c r="B537" s="4"/>
      <c r="C537" s="4"/>
      <c r="D537" s="4"/>
      <c r="E537" s="4"/>
      <c r="F537" s="4"/>
      <c r="G537" s="85">
        <f>IFERROR(__xludf.DUMMYFUNCTION("""COMPUTED_VALUE"""),45776.66180555556)</f>
        <v>45776.66181</v>
      </c>
      <c r="H537" s="85" t="str">
        <f>IFERROR(__xludf.DUMMYFUNCTION("""COMPUTED_VALUE"""),"Enquire &amp; Coordinate with client")</f>
        <v>Enquire &amp; Coordinate with client</v>
      </c>
      <c r="I537" s="4" t="str">
        <f>IFERROR(__xludf.DUMMYFUNCTION("""COMPUTED_VALUE"""),"sales person - first shivani")</f>
        <v>sales person - first shivani</v>
      </c>
    </row>
    <row r="538">
      <c r="A538" s="85">
        <f>IFERROR(__xludf.DUMMYFUNCTION("""COMPUTED_VALUE"""),45777.62821949073)</f>
        <v>45777.62822</v>
      </c>
      <c r="B538" s="4"/>
      <c r="C538" s="4"/>
      <c r="D538" s="4"/>
      <c r="E538" s="4"/>
      <c r="F538" s="4"/>
      <c r="G538" s="85">
        <f>IFERROR(__xludf.DUMMYFUNCTION("""COMPUTED_VALUE"""),45778.62777777778)</f>
        <v>45778.62778</v>
      </c>
      <c r="H538" s="85" t="str">
        <f>IFERROR(__xludf.DUMMYFUNCTION("""COMPUTED_VALUE"""),"Enquire &amp; Coordinate with client")</f>
        <v>Enquire &amp; Coordinate with client</v>
      </c>
      <c r="I538" s="4" t="str">
        <f>IFERROR(__xludf.DUMMYFUNCTION("""COMPUTED_VALUE"""),"sales person - first shivani")</f>
        <v>sales person - first shivani</v>
      </c>
    </row>
    <row r="539">
      <c r="A539" s="85">
        <f>IFERROR(__xludf.DUMMYFUNCTION("""COMPUTED_VALUE"""),45777.63249319444)</f>
        <v>45777.63249</v>
      </c>
      <c r="B539" s="4"/>
      <c r="C539" s="4"/>
      <c r="D539" s="4"/>
      <c r="E539" s="4"/>
      <c r="F539" s="4"/>
      <c r="G539" s="85">
        <f>IFERROR(__xludf.DUMMYFUNCTION("""COMPUTED_VALUE"""),45778.631944444445)</f>
        <v>45778.63194</v>
      </c>
      <c r="H539" s="85" t="str">
        <f>IFERROR(__xludf.DUMMYFUNCTION("""COMPUTED_VALUE"""),"Enquire &amp; Coordinate with client")</f>
        <v>Enquire &amp; Coordinate with client</v>
      </c>
      <c r="I539" s="4" t="str">
        <f>IFERROR(__xludf.DUMMYFUNCTION("""COMPUTED_VALUE"""),"sales person - first shivani")</f>
        <v>sales person - first shivani</v>
      </c>
    </row>
    <row r="540">
      <c r="A540" s="85">
        <f>IFERROR(__xludf.DUMMYFUNCTION("""COMPUTED_VALUE"""),45791.59425136574)</f>
        <v>45791.59425</v>
      </c>
      <c r="B540" s="4"/>
      <c r="C540" s="4"/>
      <c r="D540" s="4"/>
      <c r="E540" s="4"/>
      <c r="F540" s="4"/>
      <c r="G540" s="85">
        <f>IFERROR(__xludf.DUMMYFUNCTION("""COMPUTED_VALUE"""),45792.59375)</f>
        <v>45792.59375</v>
      </c>
      <c r="H540" s="85" t="str">
        <f>IFERROR(__xludf.DUMMYFUNCTION("""COMPUTED_VALUE"""),"Enquire &amp; Coordinate with client")</f>
        <v>Enquire &amp; Coordinate with client</v>
      </c>
      <c r="I540" s="4" t="str">
        <f>IFERROR(__xludf.DUMMYFUNCTION("""COMPUTED_VALUE"""),"sales person - first shivani")</f>
        <v>sales person - first shivani</v>
      </c>
    </row>
    <row r="541">
      <c r="A541" s="85">
        <f>IFERROR(__xludf.DUMMYFUNCTION("""COMPUTED_VALUE"""),45792.62288746528)</f>
        <v>45792.62289</v>
      </c>
      <c r="B541" s="4"/>
      <c r="C541" s="4"/>
      <c r="D541" s="4"/>
      <c r="E541" s="4"/>
      <c r="F541" s="4"/>
      <c r="G541" s="85">
        <f>IFERROR(__xludf.DUMMYFUNCTION("""COMPUTED_VALUE"""),45793.62222222222)</f>
        <v>45793.62222</v>
      </c>
      <c r="H541" s="85" t="str">
        <f>IFERROR(__xludf.DUMMYFUNCTION("""COMPUTED_VALUE"""),"Enquire &amp; Coordinate with client")</f>
        <v>Enquire &amp; Coordinate with client</v>
      </c>
      <c r="I541" s="4" t="str">
        <f>IFERROR(__xludf.DUMMYFUNCTION("""COMPUTED_VALUE"""),"sales person - first shivani")</f>
        <v>sales person - first shivani</v>
      </c>
    </row>
    <row r="542">
      <c r="A542" s="85">
        <f>IFERROR(__xludf.DUMMYFUNCTION("""COMPUTED_VALUE"""),45792.642919004626)</f>
        <v>45792.64292</v>
      </c>
      <c r="B542" s="4"/>
      <c r="C542" s="4"/>
      <c r="D542" s="4"/>
      <c r="E542" s="4"/>
      <c r="F542" s="4"/>
      <c r="G542" s="85">
        <f>IFERROR(__xludf.DUMMYFUNCTION("""COMPUTED_VALUE"""),45793.64236111111)</f>
        <v>45793.64236</v>
      </c>
      <c r="H542" s="85" t="str">
        <f>IFERROR(__xludf.DUMMYFUNCTION("""COMPUTED_VALUE"""),"Enquire &amp; Coordinate with client")</f>
        <v>Enquire &amp; Coordinate with client</v>
      </c>
      <c r="I542" s="4" t="str">
        <f>IFERROR(__xludf.DUMMYFUNCTION("""COMPUTED_VALUE"""),"sales person - first shivani")</f>
        <v>sales person - first shivani</v>
      </c>
    </row>
    <row r="543">
      <c r="A543" s="85">
        <f>IFERROR(__xludf.DUMMYFUNCTION("""COMPUTED_VALUE"""),45792.69952434028)</f>
        <v>45792.69952</v>
      </c>
      <c r="B543" s="4"/>
      <c r="C543" s="4"/>
      <c r="D543" s="4"/>
      <c r="E543" s="4"/>
      <c r="F543" s="4"/>
      <c r="G543" s="85">
        <f>IFERROR(__xludf.DUMMYFUNCTION("""COMPUTED_VALUE"""),45793.69930555555)</f>
        <v>45793.69931</v>
      </c>
      <c r="H543" s="85" t="str">
        <f>IFERROR(__xludf.DUMMYFUNCTION("""COMPUTED_VALUE"""),"Enquire &amp; Coordinate with client")</f>
        <v>Enquire &amp; Coordinate with client</v>
      </c>
      <c r="I543" s="4" t="str">
        <f>IFERROR(__xludf.DUMMYFUNCTION("""COMPUTED_VALUE"""),"sales person - first shivani")</f>
        <v>sales person - first shivani</v>
      </c>
    </row>
    <row r="544">
      <c r="A544" s="85">
        <f>IFERROR(__xludf.DUMMYFUNCTION("""COMPUTED_VALUE"""),45797.69882071759)</f>
        <v>45797.69882</v>
      </c>
      <c r="B544" s="4"/>
      <c r="C544" s="4"/>
      <c r="D544" s="4"/>
      <c r="E544" s="4"/>
      <c r="F544" s="4"/>
      <c r="G544" s="85">
        <f>IFERROR(__xludf.DUMMYFUNCTION("""COMPUTED_VALUE"""),45798.69861111111)</f>
        <v>45798.69861</v>
      </c>
      <c r="H544" s="85" t="str">
        <f>IFERROR(__xludf.DUMMYFUNCTION("""COMPUTED_VALUE"""),"Enquire &amp; Coordinate with client")</f>
        <v>Enquire &amp; Coordinate with client</v>
      </c>
      <c r="I544" s="4" t="str">
        <f>IFERROR(__xludf.DUMMYFUNCTION("""COMPUTED_VALUE"""),"sales person - first shivani")</f>
        <v>sales person - first shivani</v>
      </c>
    </row>
    <row r="545">
      <c r="A545" s="85">
        <f>IFERROR(__xludf.DUMMYFUNCTION("""COMPUTED_VALUE"""),45797.707489120374)</f>
        <v>45797.70749</v>
      </c>
      <c r="B545" s="4"/>
      <c r="C545" s="4"/>
      <c r="D545" s="4"/>
      <c r="E545" s="4"/>
      <c r="F545" s="4"/>
      <c r="G545" s="85">
        <f>IFERROR(__xludf.DUMMYFUNCTION("""COMPUTED_VALUE"""),45798.70694444445)</f>
        <v>45798.70694</v>
      </c>
      <c r="H545" s="85" t="str">
        <f>IFERROR(__xludf.DUMMYFUNCTION("""COMPUTED_VALUE"""),"Enquire &amp; Coordinate with client")</f>
        <v>Enquire &amp; Coordinate with client</v>
      </c>
      <c r="I545" s="4" t="str">
        <f>IFERROR(__xludf.DUMMYFUNCTION("""COMPUTED_VALUE"""),"sales person - first shivani")</f>
        <v>sales person - first shivani</v>
      </c>
    </row>
    <row r="546">
      <c r="A546" s="85">
        <f>IFERROR(__xludf.DUMMYFUNCTION("""COMPUTED_VALUE"""),45799.651090046296)</f>
        <v>45799.65109</v>
      </c>
      <c r="B546" s="4"/>
      <c r="C546" s="4"/>
      <c r="D546" s="4"/>
      <c r="E546" s="4"/>
      <c r="F546" s="4"/>
      <c r="G546" s="85">
        <f>IFERROR(__xludf.DUMMYFUNCTION("""COMPUTED_VALUE"""),45800.65069444444)</f>
        <v>45800.65069</v>
      </c>
      <c r="H546" s="85" t="str">
        <f>IFERROR(__xludf.DUMMYFUNCTION("""COMPUTED_VALUE"""),"Enquire &amp; Coordinate with client")</f>
        <v>Enquire &amp; Coordinate with client</v>
      </c>
      <c r="I546" s="4" t="str">
        <f>IFERROR(__xludf.DUMMYFUNCTION("""COMPUTED_VALUE"""),"sales person - first shivani")</f>
        <v>sales person - first shivani</v>
      </c>
    </row>
    <row r="547">
      <c r="A547" s="85">
        <f>IFERROR(__xludf.DUMMYFUNCTION("""COMPUTED_VALUE"""),45807.476224074075)</f>
        <v>45807.47622</v>
      </c>
      <c r="B547" s="4"/>
      <c r="C547" s="4"/>
      <c r="D547" s="4"/>
      <c r="E547" s="4"/>
      <c r="F547" s="4"/>
      <c r="G547" s="85">
        <f>IFERROR(__xludf.DUMMYFUNCTION("""COMPUTED_VALUE"""),45808.475694444445)</f>
        <v>45808.47569</v>
      </c>
      <c r="H547" s="85" t="str">
        <f>IFERROR(__xludf.DUMMYFUNCTION("""COMPUTED_VALUE"""),"Enquire &amp; Coordinate with client")</f>
        <v>Enquire &amp; Coordinate with client</v>
      </c>
      <c r="I547" s="4" t="str">
        <f>IFERROR(__xludf.DUMMYFUNCTION("""COMPUTED_VALUE"""),"sales person - first shivani")</f>
        <v>sales person - first shivani</v>
      </c>
    </row>
    <row r="548">
      <c r="A548" s="85">
        <f>IFERROR(__xludf.DUMMYFUNCTION("""COMPUTED_VALUE"""),45811.57417144676)</f>
        <v>45811.57417</v>
      </c>
      <c r="B548" s="4"/>
      <c r="C548" s="4"/>
      <c r="D548" s="4"/>
      <c r="E548" s="4"/>
      <c r="F548" s="4"/>
      <c r="G548" s="85">
        <f>IFERROR(__xludf.DUMMYFUNCTION("""COMPUTED_VALUE"""),45812.57361111111)</f>
        <v>45812.57361</v>
      </c>
      <c r="H548" s="85" t="str">
        <f>IFERROR(__xludf.DUMMYFUNCTION("""COMPUTED_VALUE"""),"Enquire &amp; Coordinate with client")</f>
        <v>Enquire &amp; Coordinate with client</v>
      </c>
      <c r="I548" s="4" t="str">
        <f>IFERROR(__xludf.DUMMYFUNCTION("""COMPUTED_VALUE"""),"sales person - first shivani")</f>
        <v>sales person - first shivani</v>
      </c>
    </row>
    <row r="549">
      <c r="A549" s="85">
        <f>IFERROR(__xludf.DUMMYFUNCTION("""COMPUTED_VALUE"""),45832.62573857639)</f>
        <v>45832.62574</v>
      </c>
      <c r="B549" s="4"/>
      <c r="C549" s="4"/>
      <c r="D549" s="4"/>
      <c r="E549" s="4"/>
      <c r="F549" s="4"/>
      <c r="G549" s="85">
        <f>IFERROR(__xludf.DUMMYFUNCTION("""COMPUTED_VALUE"""),45833.62569444445)</f>
        <v>45833.62569</v>
      </c>
      <c r="H549" s="85" t="str">
        <f>IFERROR(__xludf.DUMMYFUNCTION("""COMPUTED_VALUE"""),"Enquire &amp; Coordinate with client")</f>
        <v>Enquire &amp; Coordinate with client</v>
      </c>
      <c r="I549" s="4" t="str">
        <f>IFERROR(__xludf.DUMMYFUNCTION("""COMPUTED_VALUE"""),"sales person - first shivani")</f>
        <v>sales person - first shivani</v>
      </c>
    </row>
    <row r="550">
      <c r="A550" s="85">
        <f>IFERROR(__xludf.DUMMYFUNCTION("""COMPUTED_VALUE"""),45832.636312650466)</f>
        <v>45832.63631</v>
      </c>
      <c r="B550" s="4"/>
      <c r="C550" s="4"/>
      <c r="D550" s="4"/>
      <c r="E550" s="4"/>
      <c r="F550" s="4"/>
      <c r="G550" s="85">
        <f>IFERROR(__xludf.DUMMYFUNCTION("""COMPUTED_VALUE"""),45833.63611111111)</f>
        <v>45833.63611</v>
      </c>
      <c r="H550" s="85" t="str">
        <f>IFERROR(__xludf.DUMMYFUNCTION("""COMPUTED_VALUE"""),"Enquire &amp; Coordinate with client")</f>
        <v>Enquire &amp; Coordinate with client</v>
      </c>
      <c r="I550" s="4" t="str">
        <f>IFERROR(__xludf.DUMMYFUNCTION("""COMPUTED_VALUE"""),"sales person - first shivani")</f>
        <v>sales person - first shivani</v>
      </c>
    </row>
    <row r="551">
      <c r="A551" s="85">
        <f>IFERROR(__xludf.DUMMYFUNCTION("""COMPUTED_VALUE"""),45832.63746958333)</f>
        <v>45832.63747</v>
      </c>
      <c r="B551" s="4"/>
      <c r="C551" s="4"/>
      <c r="D551" s="4"/>
      <c r="E551" s="4"/>
      <c r="F551" s="4"/>
      <c r="G551" s="85">
        <f>IFERROR(__xludf.DUMMYFUNCTION("""COMPUTED_VALUE"""),45833.63680555555)</f>
        <v>45833.63681</v>
      </c>
      <c r="H551" s="85" t="str">
        <f>IFERROR(__xludf.DUMMYFUNCTION("""COMPUTED_VALUE"""),"Enquire &amp; Coordinate with client")</f>
        <v>Enquire &amp; Coordinate with client</v>
      </c>
      <c r="I551" s="4" t="str">
        <f>IFERROR(__xludf.DUMMYFUNCTION("""COMPUTED_VALUE"""),"sales person - first shivani")</f>
        <v>sales person - first shivani</v>
      </c>
    </row>
    <row r="552">
      <c r="A552" s="85">
        <f>IFERROR(__xludf.DUMMYFUNCTION("""COMPUTED_VALUE"""),45832.639888935184)</f>
        <v>45832.63989</v>
      </c>
      <c r="B552" s="4"/>
      <c r="C552" s="4"/>
      <c r="D552" s="4"/>
      <c r="E552" s="4"/>
      <c r="F552" s="4"/>
      <c r="G552" s="85">
        <f>IFERROR(__xludf.DUMMYFUNCTION("""COMPUTED_VALUE"""),45833.63958333334)</f>
        <v>45833.63958</v>
      </c>
      <c r="H552" s="85" t="str">
        <f>IFERROR(__xludf.DUMMYFUNCTION("""COMPUTED_VALUE"""),"Enquire &amp; Coordinate with client")</f>
        <v>Enquire &amp; Coordinate with client</v>
      </c>
      <c r="I552" s="4" t="str">
        <f>IFERROR(__xludf.DUMMYFUNCTION("""COMPUTED_VALUE"""),"sales person - first shivani")</f>
        <v>sales person - first shivani</v>
      </c>
    </row>
    <row r="553">
      <c r="A553" s="85">
        <f>IFERROR(__xludf.DUMMYFUNCTION("""COMPUTED_VALUE"""),45839.80263763889)</f>
        <v>45839.80264</v>
      </c>
      <c r="B553" s="4"/>
      <c r="C553" s="4"/>
      <c r="D553" s="4"/>
      <c r="E553" s="4"/>
      <c r="F553" s="4"/>
      <c r="G553" s="85">
        <f>IFERROR(__xludf.DUMMYFUNCTION("""COMPUTED_VALUE"""),45840.80208333333)</f>
        <v>45840.80208</v>
      </c>
      <c r="H553" s="85" t="str">
        <f>IFERROR(__xludf.DUMMYFUNCTION("""COMPUTED_VALUE"""),"Enquire &amp; Coordinate with client")</f>
        <v>Enquire &amp; Coordinate with client</v>
      </c>
      <c r="I553" s="4" t="str">
        <f>IFERROR(__xludf.DUMMYFUNCTION("""COMPUTED_VALUE"""),"sales person - first shivani")</f>
        <v>sales person - first shivani</v>
      </c>
    </row>
    <row r="554">
      <c r="A554" s="85">
        <f>IFERROR(__xludf.DUMMYFUNCTION("""COMPUTED_VALUE"""),45841.47179575231)</f>
        <v>45841.4718</v>
      </c>
      <c r="B554" s="4"/>
      <c r="C554" s="4"/>
      <c r="D554" s="4"/>
      <c r="E554" s="4"/>
      <c r="F554" s="4"/>
      <c r="G554" s="85">
        <f>IFERROR(__xludf.DUMMYFUNCTION("""COMPUTED_VALUE"""),45842.47152777778)</f>
        <v>45842.47153</v>
      </c>
      <c r="H554" s="85" t="str">
        <f>IFERROR(__xludf.DUMMYFUNCTION("""COMPUTED_VALUE"""),"Enquire &amp; Coordinate with client")</f>
        <v>Enquire &amp; Coordinate with client</v>
      </c>
      <c r="I554" s="4" t="str">
        <f>IFERROR(__xludf.DUMMYFUNCTION("""COMPUTED_VALUE"""),"sales person - first shivani")</f>
        <v>sales person - first shivani</v>
      </c>
    </row>
    <row r="555">
      <c r="A555" s="85">
        <f>IFERROR(__xludf.DUMMYFUNCTION("""COMPUTED_VALUE"""),45841.47334086805)</f>
        <v>45841.47334</v>
      </c>
      <c r="B555" s="4"/>
      <c r="C555" s="4"/>
      <c r="D555" s="4"/>
      <c r="E555" s="4"/>
      <c r="F555" s="4"/>
      <c r="G555" s="85">
        <f>IFERROR(__xludf.DUMMYFUNCTION("""COMPUTED_VALUE"""),45842.472916666666)</f>
        <v>45842.47292</v>
      </c>
      <c r="H555" s="85" t="str">
        <f>IFERROR(__xludf.DUMMYFUNCTION("""COMPUTED_VALUE"""),"Enquire &amp; Coordinate with client")</f>
        <v>Enquire &amp; Coordinate with client</v>
      </c>
      <c r="I555" s="4" t="str">
        <f>IFERROR(__xludf.DUMMYFUNCTION("""COMPUTED_VALUE"""),"sales person - first shivani")</f>
        <v>sales person - first shivani</v>
      </c>
    </row>
    <row r="556">
      <c r="A556" s="85">
        <f>IFERROR(__xludf.DUMMYFUNCTION("""COMPUTED_VALUE"""),45849.53481667824)</f>
        <v>45849.53482</v>
      </c>
      <c r="B556" s="4"/>
      <c r="C556" s="4"/>
      <c r="D556" s="4"/>
      <c r="E556" s="4"/>
      <c r="F556" s="4"/>
      <c r="G556" s="85">
        <f>IFERROR(__xludf.DUMMYFUNCTION("""COMPUTED_VALUE"""),45850.53472222222)</f>
        <v>45850.53472</v>
      </c>
      <c r="H556" s="85" t="str">
        <f>IFERROR(__xludf.DUMMYFUNCTION("""COMPUTED_VALUE"""),"Enquire &amp; Coordinate with client")</f>
        <v>Enquire &amp; Coordinate with client</v>
      </c>
      <c r="I556" s="4" t="str">
        <f>IFERROR(__xludf.DUMMYFUNCTION("""COMPUTED_VALUE"""),"sales person - first shivani")</f>
        <v>sales person - first shivani</v>
      </c>
    </row>
    <row r="557">
      <c r="A557" s="85">
        <f>IFERROR(__xludf.DUMMYFUNCTION("""COMPUTED_VALUE"""),45849.62748244213)</f>
        <v>45849.62748</v>
      </c>
      <c r="B557" s="4"/>
      <c r="C557" s="4"/>
      <c r="D557" s="4"/>
      <c r="E557" s="4"/>
      <c r="F557" s="4"/>
      <c r="G557" s="85">
        <f>IFERROR(__xludf.DUMMYFUNCTION("""COMPUTED_VALUE"""),45850.62708333333)</f>
        <v>45850.62708</v>
      </c>
      <c r="H557" s="85" t="str">
        <f>IFERROR(__xludf.DUMMYFUNCTION("""COMPUTED_VALUE"""),"Enquire &amp; Coordinate with client")</f>
        <v>Enquire &amp; Coordinate with client</v>
      </c>
      <c r="I557" s="4" t="str">
        <f>IFERROR(__xludf.DUMMYFUNCTION("""COMPUTED_VALUE"""),"sales person - first shivani")</f>
        <v>sales person - first shivani</v>
      </c>
    </row>
    <row r="558">
      <c r="A558" s="85">
        <f>IFERROR(__xludf.DUMMYFUNCTION("""COMPUTED_VALUE"""),45849.62943394676)</f>
        <v>45849.62943</v>
      </c>
      <c r="B558" s="4"/>
      <c r="C558" s="4"/>
      <c r="D558" s="4"/>
      <c r="E558" s="4"/>
      <c r="F558" s="4"/>
      <c r="G558" s="85">
        <f>IFERROR(__xludf.DUMMYFUNCTION("""COMPUTED_VALUE"""),45850.629166666666)</f>
        <v>45850.62917</v>
      </c>
      <c r="H558" s="85" t="str">
        <f>IFERROR(__xludf.DUMMYFUNCTION("""COMPUTED_VALUE"""),"Enquire &amp; Coordinate with client")</f>
        <v>Enquire &amp; Coordinate with client</v>
      </c>
      <c r="I558" s="4" t="str">
        <f>IFERROR(__xludf.DUMMYFUNCTION("""COMPUTED_VALUE"""),"sales person - first shivani")</f>
        <v>sales person - first shivani</v>
      </c>
    </row>
    <row r="559">
      <c r="A559" s="85">
        <f>IFERROR(__xludf.DUMMYFUNCTION("""COMPUTED_VALUE"""),45862.74334450231)</f>
        <v>45862.74334</v>
      </c>
      <c r="B559" s="4"/>
      <c r="C559" s="4"/>
      <c r="D559" s="4"/>
      <c r="E559" s="4"/>
      <c r="F559" s="4"/>
      <c r="G559" s="85">
        <f>IFERROR(__xludf.DUMMYFUNCTION("""COMPUTED_VALUE"""),45863.743055555555)</f>
        <v>45863.74306</v>
      </c>
      <c r="H559" s="85" t="str">
        <f>IFERROR(__xludf.DUMMYFUNCTION("""COMPUTED_VALUE"""),"Enquire &amp; Coordinate with client")</f>
        <v>Enquire &amp; Coordinate with client</v>
      </c>
      <c r="I559" s="4" t="str">
        <f>IFERROR(__xludf.DUMMYFUNCTION("""COMPUTED_VALUE"""),"sales person - first shivani")</f>
        <v>sales person - first shivani</v>
      </c>
    </row>
    <row r="560">
      <c r="A560" s="85">
        <f>IFERROR(__xludf.DUMMYFUNCTION("""COMPUTED_VALUE"""),45862.749110613426)</f>
        <v>45862.74911</v>
      </c>
      <c r="B560" s="4"/>
      <c r="C560" s="4"/>
      <c r="D560" s="4"/>
      <c r="E560" s="4"/>
      <c r="F560" s="4"/>
      <c r="G560" s="85">
        <f>IFERROR(__xludf.DUMMYFUNCTION("""COMPUTED_VALUE"""),45863.74861111111)</f>
        <v>45863.74861</v>
      </c>
      <c r="H560" s="85" t="str">
        <f>IFERROR(__xludf.DUMMYFUNCTION("""COMPUTED_VALUE"""),"Enquire &amp; Coordinate with client")</f>
        <v>Enquire &amp; Coordinate with client</v>
      </c>
      <c r="I560" s="4" t="str">
        <f>IFERROR(__xludf.DUMMYFUNCTION("""COMPUTED_VALUE"""),"sales person - first shivani")</f>
        <v>sales person - first shivani</v>
      </c>
    </row>
    <row r="561">
      <c r="A561" s="85">
        <f>IFERROR(__xludf.DUMMYFUNCTION("""COMPUTED_VALUE"""),45867.726722708336)</f>
        <v>45867.72672</v>
      </c>
      <c r="B561" s="4"/>
      <c r="C561" s="4"/>
      <c r="D561" s="4"/>
      <c r="E561" s="4"/>
      <c r="F561" s="4"/>
      <c r="G561" s="85">
        <f>IFERROR(__xludf.DUMMYFUNCTION("""COMPUTED_VALUE"""),45868.726388888885)</f>
        <v>45868.72639</v>
      </c>
      <c r="H561" s="85" t="str">
        <f>IFERROR(__xludf.DUMMYFUNCTION("""COMPUTED_VALUE"""),"Enquire &amp; Coordinate with client")</f>
        <v>Enquire &amp; Coordinate with client</v>
      </c>
      <c r="I561" s="4" t="str">
        <f>IFERROR(__xludf.DUMMYFUNCTION("""COMPUTED_VALUE"""),"sales person - first shivani")</f>
        <v>sales person - first shivani</v>
      </c>
    </row>
    <row r="562">
      <c r="A562" s="85">
        <f>IFERROR(__xludf.DUMMYFUNCTION("""COMPUTED_VALUE"""),45867.729114016205)</f>
        <v>45867.72911</v>
      </c>
      <c r="B562" s="4"/>
      <c r="C562" s="4"/>
      <c r="D562" s="4"/>
      <c r="E562" s="4"/>
      <c r="F562" s="4"/>
      <c r="G562" s="85">
        <f>IFERROR(__xludf.DUMMYFUNCTION("""COMPUTED_VALUE"""),45868.728472222225)</f>
        <v>45868.72847</v>
      </c>
      <c r="H562" s="85" t="str">
        <f>IFERROR(__xludf.DUMMYFUNCTION("""COMPUTED_VALUE"""),"Enquire &amp; Coordinate with client")</f>
        <v>Enquire &amp; Coordinate with client</v>
      </c>
      <c r="I562" s="4" t="str">
        <f>IFERROR(__xludf.DUMMYFUNCTION("""COMPUTED_VALUE"""),"sales person - first shivani")</f>
        <v>sales person - first shivani</v>
      </c>
    </row>
    <row r="563">
      <c r="A563" s="85">
        <f>IFERROR(__xludf.DUMMYFUNCTION("""COMPUTED_VALUE"""),45875.69951521991)</f>
        <v>45875.69952</v>
      </c>
      <c r="B563" s="4"/>
      <c r="C563" s="4"/>
      <c r="D563" s="4"/>
      <c r="E563" s="4"/>
      <c r="F563" s="4"/>
      <c r="G563" s="85">
        <f>IFERROR(__xludf.DUMMYFUNCTION("""COMPUTED_VALUE"""),45876.69930555555)</f>
        <v>45876.69931</v>
      </c>
      <c r="H563" s="85" t="str">
        <f>IFERROR(__xludf.DUMMYFUNCTION("""COMPUTED_VALUE"""),"Enquire &amp; Coordinate with client")</f>
        <v>Enquire &amp; Coordinate with client</v>
      </c>
      <c r="I563" s="4" t="str">
        <f>IFERROR(__xludf.DUMMYFUNCTION("""COMPUTED_VALUE"""),"sales person - first shivani")</f>
        <v>sales person - first shivani</v>
      </c>
    </row>
    <row r="564">
      <c r="A564" s="85">
        <f>IFERROR(__xludf.DUMMYFUNCTION("""COMPUTED_VALUE"""),45875.70443155093)</f>
        <v>45875.70443</v>
      </c>
      <c r="B564" s="4"/>
      <c r="C564" s="4"/>
      <c r="D564" s="4"/>
      <c r="E564" s="4"/>
      <c r="F564" s="4"/>
      <c r="G564" s="85">
        <f>IFERROR(__xludf.DUMMYFUNCTION("""COMPUTED_VALUE"""),45876.70416666666)</f>
        <v>45876.70417</v>
      </c>
      <c r="H564" s="85" t="str">
        <f>IFERROR(__xludf.DUMMYFUNCTION("""COMPUTED_VALUE"""),"Enquire &amp; Coordinate with client")</f>
        <v>Enquire &amp; Coordinate with client</v>
      </c>
      <c r="I564" s="4" t="str">
        <f>IFERROR(__xludf.DUMMYFUNCTION("""COMPUTED_VALUE"""),"sales person - first shivani")</f>
        <v>sales person - first shivani</v>
      </c>
    </row>
    <row r="565">
      <c r="A565" s="85">
        <f>IFERROR(__xludf.DUMMYFUNCTION("""COMPUTED_VALUE"""),45875.77540466435)</f>
        <v>45875.7754</v>
      </c>
      <c r="B565" s="4"/>
      <c r="C565" s="4"/>
      <c r="D565" s="4"/>
      <c r="E565" s="4"/>
      <c r="F565" s="4"/>
      <c r="G565" s="85">
        <f>IFERROR(__xludf.DUMMYFUNCTION("""COMPUTED_VALUE"""),45876.775)</f>
        <v>45876.775</v>
      </c>
      <c r="H565" s="85" t="str">
        <f>IFERROR(__xludf.DUMMYFUNCTION("""COMPUTED_VALUE"""),"Enquire &amp; Coordinate with client")</f>
        <v>Enquire &amp; Coordinate with client</v>
      </c>
      <c r="I565" s="4" t="str">
        <f>IFERROR(__xludf.DUMMYFUNCTION("""COMPUTED_VALUE"""),"sales person - first shivani")</f>
        <v>sales person - first shivani</v>
      </c>
    </row>
    <row r="566">
      <c r="A566" s="85">
        <f>IFERROR(__xludf.DUMMYFUNCTION("""COMPUTED_VALUE"""),45875.78489589121)</f>
        <v>45875.7849</v>
      </c>
      <c r="B566" s="4"/>
      <c r="C566" s="4"/>
      <c r="D566" s="4"/>
      <c r="E566" s="4"/>
      <c r="F566" s="4"/>
      <c r="G566" s="85">
        <f>IFERROR(__xludf.DUMMYFUNCTION("""COMPUTED_VALUE"""),45876.78472222222)</f>
        <v>45876.78472</v>
      </c>
      <c r="H566" s="85" t="str">
        <f>IFERROR(__xludf.DUMMYFUNCTION("""COMPUTED_VALUE"""),"Enquire &amp; Coordinate with client")</f>
        <v>Enquire &amp; Coordinate with client</v>
      </c>
      <c r="I566" s="4" t="str">
        <f>IFERROR(__xludf.DUMMYFUNCTION("""COMPUTED_VALUE"""),"sales person - first shivani")</f>
        <v>sales person - first shivani</v>
      </c>
    </row>
    <row r="567">
      <c r="A567" s="85">
        <f>IFERROR(__xludf.DUMMYFUNCTION("""COMPUTED_VALUE"""),45875.78598807871)</f>
        <v>45875.78599</v>
      </c>
      <c r="B567" s="4"/>
      <c r="C567" s="4"/>
      <c r="D567" s="4"/>
      <c r="E567" s="4"/>
      <c r="F567" s="4"/>
      <c r="G567" s="85">
        <f>IFERROR(__xludf.DUMMYFUNCTION("""COMPUTED_VALUE"""),45876.785416666666)</f>
        <v>45876.78542</v>
      </c>
      <c r="H567" s="85" t="str">
        <f>IFERROR(__xludf.DUMMYFUNCTION("""COMPUTED_VALUE"""),"Enquire &amp; Coordinate with client")</f>
        <v>Enquire &amp; Coordinate with client</v>
      </c>
      <c r="I567" s="4" t="str">
        <f>IFERROR(__xludf.DUMMYFUNCTION("""COMPUTED_VALUE"""),"sales person - first shivani")</f>
        <v>sales person - first shivani</v>
      </c>
    </row>
    <row r="568">
      <c r="A568" s="85">
        <f>IFERROR(__xludf.DUMMYFUNCTION("""COMPUTED_VALUE"""),45875.787056469904)</f>
        <v>45875.78706</v>
      </c>
      <c r="B568" s="4"/>
      <c r="C568" s="4"/>
      <c r="D568" s="4"/>
      <c r="E568" s="4"/>
      <c r="F568" s="4"/>
      <c r="G568" s="85">
        <f>IFERROR(__xludf.DUMMYFUNCTION("""COMPUTED_VALUE"""),45876.78680555556)</f>
        <v>45876.78681</v>
      </c>
      <c r="H568" s="85" t="str">
        <f>IFERROR(__xludf.DUMMYFUNCTION("""COMPUTED_VALUE"""),"Enquire &amp; Coordinate with client")</f>
        <v>Enquire &amp; Coordinate with client</v>
      </c>
      <c r="I568" s="4" t="str">
        <f>IFERROR(__xludf.DUMMYFUNCTION("""COMPUTED_VALUE"""),"sales person - first shivani")</f>
        <v>sales person - first shivani</v>
      </c>
    </row>
    <row r="569">
      <c r="A569" s="85">
        <f>IFERROR(__xludf.DUMMYFUNCTION("""COMPUTED_VALUE"""),45875.78962949074)</f>
        <v>45875.78963</v>
      </c>
      <c r="B569" s="4"/>
      <c r="C569" s="4"/>
      <c r="D569" s="4"/>
      <c r="E569" s="4"/>
      <c r="F569" s="4"/>
      <c r="G569" s="85">
        <f>IFERROR(__xludf.DUMMYFUNCTION("""COMPUTED_VALUE"""),45876.78958333333)</f>
        <v>45876.78958</v>
      </c>
      <c r="H569" s="85" t="str">
        <f>IFERROR(__xludf.DUMMYFUNCTION("""COMPUTED_VALUE"""),"Enquire &amp; Coordinate with client")</f>
        <v>Enquire &amp; Coordinate with client</v>
      </c>
      <c r="I569" s="4" t="str">
        <f>IFERROR(__xludf.DUMMYFUNCTION("""COMPUTED_VALUE"""),"sales person - first shivani")</f>
        <v>sales person - first shivani</v>
      </c>
    </row>
    <row r="570">
      <c r="A570" s="85">
        <f>IFERROR(__xludf.DUMMYFUNCTION("""COMPUTED_VALUE"""),45875.79033065972)</f>
        <v>45875.79033</v>
      </c>
      <c r="B570" s="4"/>
      <c r="C570" s="4"/>
      <c r="D570" s="4"/>
      <c r="E570" s="4"/>
      <c r="F570" s="4"/>
      <c r="G570" s="85">
        <f>IFERROR(__xludf.DUMMYFUNCTION("""COMPUTED_VALUE"""),45876.79027777778)</f>
        <v>45876.79028</v>
      </c>
      <c r="H570" s="85" t="str">
        <f>IFERROR(__xludf.DUMMYFUNCTION("""COMPUTED_VALUE"""),"Enquire &amp; Coordinate with client")</f>
        <v>Enquire &amp; Coordinate with client</v>
      </c>
      <c r="I570" s="4" t="str">
        <f>IFERROR(__xludf.DUMMYFUNCTION("""COMPUTED_VALUE"""),"sales person - first shivani")</f>
        <v>sales person - first shivani</v>
      </c>
    </row>
    <row r="571">
      <c r="A571" s="85">
        <f>IFERROR(__xludf.DUMMYFUNCTION("""COMPUTED_VALUE"""),45885.62114478009)</f>
        <v>45885.62114</v>
      </c>
      <c r="B571" s="4"/>
      <c r="C571" s="4"/>
      <c r="D571" s="4"/>
      <c r="E571" s="4"/>
      <c r="F571" s="4"/>
      <c r="G571" s="85">
        <f>IFERROR(__xludf.DUMMYFUNCTION("""COMPUTED_VALUE"""),45886.620833333334)</f>
        <v>45886.62083</v>
      </c>
      <c r="H571" s="85" t="str">
        <f>IFERROR(__xludf.DUMMYFUNCTION("""COMPUTED_VALUE"""),"Enquire &amp; Coordinate with client")</f>
        <v>Enquire &amp; Coordinate with client</v>
      </c>
      <c r="I571" s="4" t="str">
        <f>IFERROR(__xludf.DUMMYFUNCTION("""COMPUTED_VALUE"""),"sales person - first shivani")</f>
        <v>sales person - first shivani</v>
      </c>
    </row>
    <row r="572">
      <c r="A572" s="85">
        <f>IFERROR(__xludf.DUMMYFUNCTION("""COMPUTED_VALUE"""),45891.79784738426)</f>
        <v>45891.79785</v>
      </c>
      <c r="B572" s="4"/>
      <c r="C572" s="4"/>
      <c r="D572" s="4"/>
      <c r="E572" s="4"/>
      <c r="F572" s="4"/>
      <c r="G572" s="85">
        <f>IFERROR(__xludf.DUMMYFUNCTION("""COMPUTED_VALUE"""),45892.79722222222)</f>
        <v>45892.79722</v>
      </c>
      <c r="H572" s="85" t="str">
        <f>IFERROR(__xludf.DUMMYFUNCTION("""COMPUTED_VALUE"""),"Enquire &amp; Coordinate with client")</f>
        <v>Enquire &amp; Coordinate with client</v>
      </c>
      <c r="I572" s="4" t="str">
        <f>IFERROR(__xludf.DUMMYFUNCTION("""COMPUTED_VALUE"""),"sales person - first shivani")</f>
        <v>sales person - first shivani</v>
      </c>
    </row>
    <row r="573">
      <c r="A573" s="85">
        <f>IFERROR(__xludf.DUMMYFUNCTION("""COMPUTED_VALUE"""),45893.73446230324)</f>
        <v>45893.73446</v>
      </c>
      <c r="B573" s="4"/>
      <c r="C573" s="4"/>
      <c r="D573" s="4"/>
      <c r="E573" s="4"/>
      <c r="F573" s="4"/>
      <c r="G573" s="85">
        <f>IFERROR(__xludf.DUMMYFUNCTION("""COMPUTED_VALUE"""),45895.73402777778)</f>
        <v>45895.73403</v>
      </c>
      <c r="H573" s="85" t="str">
        <f>IFERROR(__xludf.DUMMYFUNCTION("""COMPUTED_VALUE"""),"Enquire &amp; Coordinate with client")</f>
        <v>Enquire &amp; Coordinate with client</v>
      </c>
      <c r="I573" s="4" t="str">
        <f>IFERROR(__xludf.DUMMYFUNCTION("""COMPUTED_VALUE"""),"sales person - first shivani")</f>
        <v>sales person - first shivani</v>
      </c>
    </row>
    <row r="574">
      <c r="A574" s="85">
        <f>IFERROR(__xludf.DUMMYFUNCTION("""COMPUTED_VALUE"""),45909.46113246528)</f>
        <v>45909.46113</v>
      </c>
      <c r="B574" s="4"/>
      <c r="C574" s="4"/>
      <c r="D574" s="4"/>
      <c r="E574" s="4"/>
      <c r="F574" s="4"/>
      <c r="G574" s="85">
        <f>IFERROR(__xludf.DUMMYFUNCTION("""COMPUTED_VALUE"""),45910.461111111115)</f>
        <v>45910.46111</v>
      </c>
      <c r="H574" s="85" t="str">
        <f>IFERROR(__xludf.DUMMYFUNCTION("""COMPUTED_VALUE"""),"Enquire &amp; Coordinate with client")</f>
        <v>Enquire &amp; Coordinate with client</v>
      </c>
      <c r="I574" s="4" t="str">
        <f>IFERROR(__xludf.DUMMYFUNCTION("""COMPUTED_VALUE"""),"sales person - first shivani")</f>
        <v>sales person - first shivani</v>
      </c>
    </row>
    <row r="575">
      <c r="A575" s="85">
        <f>IFERROR(__xludf.DUMMYFUNCTION("""COMPUTED_VALUE"""),45920.64054797454)</f>
        <v>45920.64055</v>
      </c>
      <c r="B575" s="4"/>
      <c r="C575" s="4"/>
      <c r="D575" s="4"/>
      <c r="E575" s="4"/>
      <c r="F575" s="4"/>
      <c r="G575" s="85">
        <f>IFERROR(__xludf.DUMMYFUNCTION("""COMPUTED_VALUE"""),45921.64027777778)</f>
        <v>45921.64028</v>
      </c>
      <c r="H575" s="85" t="str">
        <f>IFERROR(__xludf.DUMMYFUNCTION("""COMPUTED_VALUE"""),"Enquire &amp; Coordinate with client")</f>
        <v>Enquire &amp; Coordinate with client</v>
      </c>
      <c r="I575" s="4" t="str">
        <f>IFERROR(__xludf.DUMMYFUNCTION("""COMPUTED_VALUE"""),"sales person - first shivani")</f>
        <v>sales person - first shivani</v>
      </c>
    </row>
    <row r="576">
      <c r="A576" s="85">
        <f>IFERROR(__xludf.DUMMYFUNCTION("""COMPUTED_VALUE"""),45920.64255)</f>
        <v>45920.64255</v>
      </c>
      <c r="B576" s="4"/>
      <c r="C576" s="4"/>
      <c r="D576" s="4"/>
      <c r="E576" s="4"/>
      <c r="F576" s="4"/>
      <c r="G576" s="85">
        <f>IFERROR(__xludf.DUMMYFUNCTION("""COMPUTED_VALUE"""),45921.64236111111)</f>
        <v>45921.64236</v>
      </c>
      <c r="H576" s="85" t="str">
        <f>IFERROR(__xludf.DUMMYFUNCTION("""COMPUTED_VALUE"""),"Enquire &amp; Coordinate with client")</f>
        <v>Enquire &amp; Coordinate with client</v>
      </c>
      <c r="I576" s="4" t="str">
        <f>IFERROR(__xludf.DUMMYFUNCTION("""COMPUTED_VALUE"""),"sales person - first shivani")</f>
        <v>sales person - first shivani</v>
      </c>
    </row>
    <row r="577">
      <c r="A577" s="85">
        <f>IFERROR(__xludf.DUMMYFUNCTION("""COMPUTED_VALUE"""),45920.652943298606)</f>
        <v>45920.65294</v>
      </c>
      <c r="B577" s="4"/>
      <c r="C577" s="4"/>
      <c r="D577" s="4"/>
      <c r="E577" s="4"/>
      <c r="F577" s="4"/>
      <c r="G577" s="85">
        <f>IFERROR(__xludf.DUMMYFUNCTION("""COMPUTED_VALUE"""),45921.65277777778)</f>
        <v>45921.65278</v>
      </c>
      <c r="H577" s="85" t="str">
        <f>IFERROR(__xludf.DUMMYFUNCTION("""COMPUTED_VALUE"""),"Enquire &amp; Coordinate with client")</f>
        <v>Enquire &amp; Coordinate with client</v>
      </c>
      <c r="I577" s="4" t="str">
        <f>IFERROR(__xludf.DUMMYFUNCTION("""COMPUTED_VALUE"""),"sales person - first shivani")</f>
        <v>sales person - first shivani</v>
      </c>
    </row>
    <row r="578">
      <c r="A578" s="85">
        <f>IFERROR(__xludf.DUMMYFUNCTION("""COMPUTED_VALUE"""),45921.45847008102)</f>
        <v>45921.45847</v>
      </c>
      <c r="B578" s="4"/>
      <c r="C578" s="4"/>
      <c r="D578" s="4"/>
      <c r="E578" s="4"/>
      <c r="F578" s="4"/>
      <c r="G578" s="85">
        <f>IFERROR(__xludf.DUMMYFUNCTION("""COMPUTED_VALUE"""),45923.45833333333)</f>
        <v>45923.45833</v>
      </c>
      <c r="H578" s="85" t="str">
        <f>IFERROR(__xludf.DUMMYFUNCTION("""COMPUTED_VALUE"""),"Enquire &amp; Coordinate with client")</f>
        <v>Enquire &amp; Coordinate with client</v>
      </c>
      <c r="I578" s="4" t="str">
        <f>IFERROR(__xludf.DUMMYFUNCTION("""COMPUTED_VALUE"""),"sales person - first shivani")</f>
        <v>sales person - first shivani</v>
      </c>
    </row>
    <row r="579">
      <c r="A579" s="85">
        <f>IFERROR(__xludf.DUMMYFUNCTION("""COMPUTED_VALUE"""),45924.444565150465)</f>
        <v>45924.44457</v>
      </c>
      <c r="B579" s="4"/>
      <c r="C579" s="4"/>
      <c r="D579" s="4"/>
      <c r="E579" s="4"/>
      <c r="F579" s="4"/>
      <c r="G579" s="85">
        <f>IFERROR(__xludf.DUMMYFUNCTION("""COMPUTED_VALUE"""),45925.444444444445)</f>
        <v>45925.44444</v>
      </c>
      <c r="H579" s="85" t="str">
        <f>IFERROR(__xludf.DUMMYFUNCTION("""COMPUTED_VALUE"""),"Enquire &amp; Coordinate with client")</f>
        <v>Enquire &amp; Coordinate with client</v>
      </c>
      <c r="I579" s="4" t="str">
        <f>IFERROR(__xludf.DUMMYFUNCTION("""COMPUTED_VALUE"""),"sales person - first shivani")</f>
        <v>sales person - first shivani</v>
      </c>
    </row>
    <row r="580">
      <c r="A580" s="85">
        <f>IFERROR(__xludf.DUMMYFUNCTION("""COMPUTED_VALUE"""),45924.44895893519)</f>
        <v>45924.44896</v>
      </c>
      <c r="B580" s="4"/>
      <c r="C580" s="4"/>
      <c r="D580" s="4"/>
      <c r="E580" s="4"/>
      <c r="F580" s="4"/>
      <c r="G580" s="85">
        <f>IFERROR(__xludf.DUMMYFUNCTION("""COMPUTED_VALUE"""),45925.44861111111)</f>
        <v>45925.44861</v>
      </c>
      <c r="H580" s="85" t="str">
        <f>IFERROR(__xludf.DUMMYFUNCTION("""COMPUTED_VALUE"""),"Enquire &amp; Coordinate with client")</f>
        <v>Enquire &amp; Coordinate with client</v>
      </c>
      <c r="I580" s="4" t="str">
        <f>IFERROR(__xludf.DUMMYFUNCTION("""COMPUTED_VALUE"""),"sales person - first shivani")</f>
        <v>sales person - first shivani</v>
      </c>
    </row>
    <row r="581">
      <c r="A581" s="85">
        <f>IFERROR(__xludf.DUMMYFUNCTION("""COMPUTED_VALUE"""),45924.449562118054)</f>
        <v>45924.44956</v>
      </c>
      <c r="B581" s="4"/>
      <c r="C581" s="4"/>
      <c r="D581" s="4"/>
      <c r="E581" s="4"/>
      <c r="F581" s="4"/>
      <c r="G581" s="85">
        <f>IFERROR(__xludf.DUMMYFUNCTION("""COMPUTED_VALUE"""),45925.44930555555)</f>
        <v>45925.44931</v>
      </c>
      <c r="H581" s="85" t="str">
        <f>IFERROR(__xludf.DUMMYFUNCTION("""COMPUTED_VALUE"""),"Enquire &amp; Coordinate with client")</f>
        <v>Enquire &amp; Coordinate with client</v>
      </c>
      <c r="I581" s="4" t="str">
        <f>IFERROR(__xludf.DUMMYFUNCTION("""COMPUTED_VALUE"""),"sales person - first shivani")</f>
        <v>sales person - first shivani</v>
      </c>
    </row>
    <row r="582">
      <c r="A582" s="85">
        <f>IFERROR(__xludf.DUMMYFUNCTION("""COMPUTED_VALUE"""),45928.44418310185)</f>
        <v>45928.44418</v>
      </c>
      <c r="B582" s="4"/>
      <c r="C582" s="4"/>
      <c r="D582" s="4"/>
      <c r="E582" s="4"/>
      <c r="F582" s="4"/>
      <c r="G582" s="85">
        <f>IFERROR(__xludf.DUMMYFUNCTION("""COMPUTED_VALUE"""),45930.44375)</f>
        <v>45930.44375</v>
      </c>
      <c r="H582" s="85" t="str">
        <f>IFERROR(__xludf.DUMMYFUNCTION("""COMPUTED_VALUE"""),"Enquire &amp; Coordinate with client")</f>
        <v>Enquire &amp; Coordinate with client</v>
      </c>
      <c r="I582" s="4" t="str">
        <f>IFERROR(__xludf.DUMMYFUNCTION("""COMPUTED_VALUE"""),"sales person - first shivani")</f>
        <v>sales person - first shivani</v>
      </c>
    </row>
    <row r="583">
      <c r="A583" s="85">
        <f>IFERROR(__xludf.DUMMYFUNCTION("""COMPUTED_VALUE"""),45931.451847847224)</f>
        <v>45931.45185</v>
      </c>
      <c r="B583" s="4"/>
      <c r="C583" s="4"/>
      <c r="D583" s="4"/>
      <c r="E583" s="4"/>
      <c r="F583" s="4"/>
      <c r="G583" s="85">
        <f>IFERROR(__xludf.DUMMYFUNCTION("""COMPUTED_VALUE"""),45932.45138888889)</f>
        <v>45932.45139</v>
      </c>
      <c r="H583" s="85" t="str">
        <f>IFERROR(__xludf.DUMMYFUNCTION("""COMPUTED_VALUE"""),"Enquire &amp; Coordinate with client")</f>
        <v>Enquire &amp; Coordinate with client</v>
      </c>
      <c r="I583" s="4" t="str">
        <f>IFERROR(__xludf.DUMMYFUNCTION("""COMPUTED_VALUE"""),"sales person - first shivani")</f>
        <v>sales person - first shivani</v>
      </c>
    </row>
    <row r="584">
      <c r="A584" s="85">
        <f>IFERROR(__xludf.DUMMYFUNCTION("""COMPUTED_VALUE"""),45934.64233290509)</f>
        <v>45934.64233</v>
      </c>
      <c r="B584" s="4"/>
      <c r="C584" s="4"/>
      <c r="D584" s="4"/>
      <c r="E584" s="4"/>
      <c r="F584" s="4"/>
      <c r="G584" s="85">
        <f>IFERROR(__xludf.DUMMYFUNCTION("""COMPUTED_VALUE"""),45935.64166666666)</f>
        <v>45935.64167</v>
      </c>
      <c r="H584" s="85" t="str">
        <f>IFERROR(__xludf.DUMMYFUNCTION("""COMPUTED_VALUE"""),"Enquire &amp; Coordinate with client")</f>
        <v>Enquire &amp; Coordinate with client</v>
      </c>
      <c r="I584" s="4" t="str">
        <f>IFERROR(__xludf.DUMMYFUNCTION("""COMPUTED_VALUE"""),"sales person - first shivani")</f>
        <v>sales person - first shivani</v>
      </c>
    </row>
    <row r="585">
      <c r="A585" s="85">
        <f>IFERROR(__xludf.DUMMYFUNCTION("""COMPUTED_VALUE"""),45935.46206034722)</f>
        <v>45935.46206</v>
      </c>
      <c r="B585" s="4"/>
      <c r="C585" s="4"/>
      <c r="D585" s="4"/>
      <c r="E585" s="4"/>
      <c r="F585" s="4"/>
      <c r="G585" s="85">
        <f>IFERROR(__xludf.DUMMYFUNCTION("""COMPUTED_VALUE"""),45937.461805555555)</f>
        <v>45937.46181</v>
      </c>
      <c r="H585" s="85" t="str">
        <f>IFERROR(__xludf.DUMMYFUNCTION("""COMPUTED_VALUE"""),"Enquire &amp; Coordinate with client")</f>
        <v>Enquire &amp; Coordinate with client</v>
      </c>
      <c r="I585" s="4" t="str">
        <f>IFERROR(__xludf.DUMMYFUNCTION("""COMPUTED_VALUE"""),"sales person - first shivani")</f>
        <v>sales person - first shivani</v>
      </c>
    </row>
    <row r="586">
      <c r="A586" s="85">
        <f>IFERROR(__xludf.DUMMYFUNCTION("""COMPUTED_VALUE"""),45936.69461479167)</f>
        <v>45936.69461</v>
      </c>
      <c r="B586" s="4"/>
      <c r="C586" s="4"/>
      <c r="D586" s="4"/>
      <c r="E586" s="4"/>
      <c r="F586" s="4"/>
      <c r="G586" s="85">
        <f>IFERROR(__xludf.DUMMYFUNCTION("""COMPUTED_VALUE"""),45937.694444444445)</f>
        <v>45937.69444</v>
      </c>
      <c r="H586" s="85" t="str">
        <f>IFERROR(__xludf.DUMMYFUNCTION("""COMPUTED_VALUE"""),"Enquire &amp; Coordinate with client")</f>
        <v>Enquire &amp; Coordinate with client</v>
      </c>
      <c r="I586" s="4" t="str">
        <f>IFERROR(__xludf.DUMMYFUNCTION("""COMPUTED_VALUE"""),"sales person - first shivani")</f>
        <v>sales person - first shivani</v>
      </c>
    </row>
    <row r="587">
      <c r="A587" s="85">
        <f>IFERROR(__xludf.DUMMYFUNCTION("""COMPUTED_VALUE"""),45936.69752415509)</f>
        <v>45936.69752</v>
      </c>
      <c r="B587" s="4"/>
      <c r="C587" s="4"/>
      <c r="D587" s="4"/>
      <c r="E587" s="4"/>
      <c r="F587" s="4"/>
      <c r="G587" s="85">
        <f>IFERROR(__xludf.DUMMYFUNCTION("""COMPUTED_VALUE"""),45937.697222222225)</f>
        <v>45937.69722</v>
      </c>
      <c r="H587" s="85" t="str">
        <f>IFERROR(__xludf.DUMMYFUNCTION("""COMPUTED_VALUE"""),"Enquire &amp; Coordinate with client")</f>
        <v>Enquire &amp; Coordinate with client</v>
      </c>
      <c r="I587" s="4" t="str">
        <f>IFERROR(__xludf.DUMMYFUNCTION("""COMPUTED_VALUE"""),"sales person - first shivani")</f>
        <v>sales person - first shivani</v>
      </c>
    </row>
    <row r="588">
      <c r="A588" s="85">
        <f>IFERROR(__xludf.DUMMYFUNCTION("""COMPUTED_VALUE"""),45936.70209178241)</f>
        <v>45936.70209</v>
      </c>
      <c r="B588" s="4"/>
      <c r="C588" s="4"/>
      <c r="D588" s="4"/>
      <c r="E588" s="4"/>
      <c r="F588" s="4"/>
      <c r="G588" s="85">
        <f>IFERROR(__xludf.DUMMYFUNCTION("""COMPUTED_VALUE"""),45937.70208333334)</f>
        <v>45937.70208</v>
      </c>
      <c r="H588" s="85" t="str">
        <f>IFERROR(__xludf.DUMMYFUNCTION("""COMPUTED_VALUE"""),"Enquire &amp; Coordinate with client")</f>
        <v>Enquire &amp; Coordinate with client</v>
      </c>
      <c r="I588" s="4" t="str">
        <f>IFERROR(__xludf.DUMMYFUNCTION("""COMPUTED_VALUE"""),"sales person - first shivani")</f>
        <v>sales person - first shivani</v>
      </c>
    </row>
    <row r="589">
      <c r="A589" s="85">
        <f>IFERROR(__xludf.DUMMYFUNCTION("""COMPUTED_VALUE"""),45937.6595540625)</f>
        <v>45937.65955</v>
      </c>
      <c r="B589" s="4"/>
      <c r="C589" s="4"/>
      <c r="D589" s="4"/>
      <c r="E589" s="4"/>
      <c r="F589" s="4"/>
      <c r="G589" s="85">
        <f>IFERROR(__xludf.DUMMYFUNCTION("""COMPUTED_VALUE"""),45938.65902777778)</f>
        <v>45938.65903</v>
      </c>
      <c r="H589" s="85" t="str">
        <f>IFERROR(__xludf.DUMMYFUNCTION("""COMPUTED_VALUE"""),"Enquire &amp; Coordinate with client")</f>
        <v>Enquire &amp; Coordinate with client</v>
      </c>
      <c r="I589" s="4" t="str">
        <f>IFERROR(__xludf.DUMMYFUNCTION("""COMPUTED_VALUE"""),"sales person - first shivani")</f>
        <v>sales person - first shivani</v>
      </c>
    </row>
    <row r="590">
      <c r="A590" s="85">
        <f>IFERROR(__xludf.DUMMYFUNCTION("""COMPUTED_VALUE"""),45937.71661416667)</f>
        <v>45937.71661</v>
      </c>
      <c r="B590" s="4"/>
      <c r="C590" s="4"/>
      <c r="D590" s="4"/>
      <c r="E590" s="4"/>
      <c r="F590" s="4"/>
      <c r="G590" s="85">
        <f>IFERROR(__xludf.DUMMYFUNCTION("""COMPUTED_VALUE"""),45938.71597222222)</f>
        <v>45938.71597</v>
      </c>
      <c r="H590" s="85" t="str">
        <f>IFERROR(__xludf.DUMMYFUNCTION("""COMPUTED_VALUE"""),"Enquire &amp; Coordinate with client")</f>
        <v>Enquire &amp; Coordinate with client</v>
      </c>
      <c r="I590" s="4" t="str">
        <f>IFERROR(__xludf.DUMMYFUNCTION("""COMPUTED_VALUE"""),"sales person - first shivani")</f>
        <v>sales person - first shivani</v>
      </c>
    </row>
    <row r="591">
      <c r="A591" s="85">
        <f>IFERROR(__xludf.DUMMYFUNCTION("""COMPUTED_VALUE"""),45940.61953866899)</f>
        <v>45940.61954</v>
      </c>
      <c r="B591" s="4"/>
      <c r="C591" s="4"/>
      <c r="D591" s="4"/>
      <c r="E591" s="4"/>
      <c r="F591" s="4"/>
      <c r="G591" s="85">
        <f>IFERROR(__xludf.DUMMYFUNCTION("""COMPUTED_VALUE"""),45941.61944444444)</f>
        <v>45941.61944</v>
      </c>
      <c r="H591" s="85" t="str">
        <f>IFERROR(__xludf.DUMMYFUNCTION("""COMPUTED_VALUE"""),"Enquire &amp; Coordinate with client")</f>
        <v>Enquire &amp; Coordinate with client</v>
      </c>
      <c r="I591" s="4" t="str">
        <f>IFERROR(__xludf.DUMMYFUNCTION("""COMPUTED_VALUE"""),"sales person - first shivani")</f>
        <v>sales person - first shivani</v>
      </c>
    </row>
    <row r="592">
      <c r="A592" s="85">
        <f>IFERROR(__xludf.DUMMYFUNCTION("""COMPUTED_VALUE"""),45940.621481539354)</f>
        <v>45940.62148</v>
      </c>
      <c r="B592" s="4"/>
      <c r="C592" s="4"/>
      <c r="D592" s="4"/>
      <c r="E592" s="4"/>
      <c r="F592" s="4"/>
      <c r="G592" s="85">
        <f>IFERROR(__xludf.DUMMYFUNCTION("""COMPUTED_VALUE"""),45941.620833333334)</f>
        <v>45941.62083</v>
      </c>
      <c r="H592" s="85" t="str">
        <f>IFERROR(__xludf.DUMMYFUNCTION("""COMPUTED_VALUE"""),"Enquire &amp; Coordinate with client")</f>
        <v>Enquire &amp; Coordinate with client</v>
      </c>
      <c r="I592" s="4" t="str">
        <f>IFERROR(__xludf.DUMMYFUNCTION("""COMPUTED_VALUE"""),"sales person - first shivani")</f>
        <v>sales person - first shivani</v>
      </c>
    </row>
    <row r="593">
      <c r="A593" s="85">
        <f>IFERROR(__xludf.DUMMYFUNCTION("""COMPUTED_VALUE"""),45940.623434375)</f>
        <v>45940.62343</v>
      </c>
      <c r="B593" s="4"/>
      <c r="C593" s="4"/>
      <c r="D593" s="4"/>
      <c r="E593" s="4"/>
      <c r="F593" s="4"/>
      <c r="G593" s="85">
        <f>IFERROR(__xludf.DUMMYFUNCTION("""COMPUTED_VALUE"""),45941.62291666667)</f>
        <v>45941.62292</v>
      </c>
      <c r="H593" s="85" t="str">
        <f>IFERROR(__xludf.DUMMYFUNCTION("""COMPUTED_VALUE"""),"Enquire &amp; Coordinate with client")</f>
        <v>Enquire &amp; Coordinate with client</v>
      </c>
      <c r="I593" s="4" t="str">
        <f>IFERROR(__xludf.DUMMYFUNCTION("""COMPUTED_VALUE"""),"sales person - first shivani")</f>
        <v>sales person - first shivani</v>
      </c>
    </row>
    <row r="594">
      <c r="A594" s="85">
        <f>IFERROR(__xludf.DUMMYFUNCTION("""COMPUTED_VALUE"""),45940.62748594907)</f>
        <v>45940.62749</v>
      </c>
      <c r="B594" s="4"/>
      <c r="C594" s="4"/>
      <c r="D594" s="4"/>
      <c r="E594" s="4"/>
      <c r="F594" s="4"/>
      <c r="G594" s="85">
        <f>IFERROR(__xludf.DUMMYFUNCTION("""COMPUTED_VALUE"""),45941.62708333333)</f>
        <v>45941.62708</v>
      </c>
      <c r="H594" s="85" t="str">
        <f>IFERROR(__xludf.DUMMYFUNCTION("""COMPUTED_VALUE"""),"Enquire &amp; Coordinate with client")</f>
        <v>Enquire &amp; Coordinate with client</v>
      </c>
      <c r="I594" s="4" t="str">
        <f>IFERROR(__xludf.DUMMYFUNCTION("""COMPUTED_VALUE"""),"sales person - first shivani")</f>
        <v>sales person - first shivani</v>
      </c>
    </row>
    <row r="595">
      <c r="A595" s="85">
        <f>IFERROR(__xludf.DUMMYFUNCTION("""COMPUTED_VALUE"""),45943.50451518519)</f>
        <v>45943.50452</v>
      </c>
      <c r="B595" s="4"/>
      <c r="C595" s="4"/>
      <c r="D595" s="4"/>
      <c r="E595" s="4"/>
      <c r="F595" s="4"/>
      <c r="G595" s="85">
        <f>IFERROR(__xludf.DUMMYFUNCTION("""COMPUTED_VALUE"""),45944.504166666666)</f>
        <v>45944.50417</v>
      </c>
      <c r="H595" s="85" t="str">
        <f>IFERROR(__xludf.DUMMYFUNCTION("""COMPUTED_VALUE"""),"Enquire &amp; Coordinate with client")</f>
        <v>Enquire &amp; Coordinate with client</v>
      </c>
      <c r="I595" s="4" t="str">
        <f>IFERROR(__xludf.DUMMYFUNCTION("""COMPUTED_VALUE"""),"sales person - first shivani")</f>
        <v>sales person - first shivani</v>
      </c>
    </row>
    <row r="596">
      <c r="A596" s="85">
        <f>IFERROR(__xludf.DUMMYFUNCTION("""COMPUTED_VALUE"""),45943.505268368055)</f>
        <v>45943.50527</v>
      </c>
      <c r="B596" s="4"/>
      <c r="C596" s="4"/>
      <c r="D596" s="4"/>
      <c r="E596" s="4"/>
      <c r="F596" s="4"/>
      <c r="G596" s="85">
        <f>IFERROR(__xludf.DUMMYFUNCTION("""COMPUTED_VALUE"""),45944.50486111111)</f>
        <v>45944.50486</v>
      </c>
      <c r="H596" s="85" t="str">
        <f>IFERROR(__xludf.DUMMYFUNCTION("""COMPUTED_VALUE"""),"Enquire &amp; Coordinate with client")</f>
        <v>Enquire &amp; Coordinate with client</v>
      </c>
      <c r="I596" s="4" t="str">
        <f>IFERROR(__xludf.DUMMYFUNCTION("""COMPUTED_VALUE"""),"sales person - first shivani")</f>
        <v>sales person - first shivani</v>
      </c>
    </row>
    <row r="597">
      <c r="A597" s="85">
        <f>IFERROR(__xludf.DUMMYFUNCTION("""COMPUTED_VALUE"""),45943.50615736112)</f>
        <v>45943.50616</v>
      </c>
      <c r="B597" s="4"/>
      <c r="C597" s="4"/>
      <c r="D597" s="4"/>
      <c r="E597" s="4"/>
      <c r="F597" s="4"/>
      <c r="G597" s="85">
        <f>IFERROR(__xludf.DUMMYFUNCTION("""COMPUTED_VALUE"""),45944.50555555556)</f>
        <v>45944.50556</v>
      </c>
      <c r="H597" s="85" t="str">
        <f>IFERROR(__xludf.DUMMYFUNCTION("""COMPUTED_VALUE"""),"Enquire &amp; Coordinate with client")</f>
        <v>Enquire &amp; Coordinate with client</v>
      </c>
      <c r="I597" s="4" t="str">
        <f>IFERROR(__xludf.DUMMYFUNCTION("""COMPUTED_VALUE"""),"sales person - first shivani")</f>
        <v>sales person - first shivani</v>
      </c>
    </row>
    <row r="598">
      <c r="A598" s="85">
        <f>IFERROR(__xludf.DUMMYFUNCTION("""COMPUTED_VALUE"""),45943.507548981484)</f>
        <v>45943.50755</v>
      </c>
      <c r="B598" s="4"/>
      <c r="C598" s="4"/>
      <c r="D598" s="4"/>
      <c r="E598" s="4"/>
      <c r="F598" s="4"/>
      <c r="G598" s="85">
        <f>IFERROR(__xludf.DUMMYFUNCTION("""COMPUTED_VALUE"""),45944.506944444445)</f>
        <v>45944.50694</v>
      </c>
      <c r="H598" s="85" t="str">
        <f>IFERROR(__xludf.DUMMYFUNCTION("""COMPUTED_VALUE"""),"Enquire &amp; Coordinate with client")</f>
        <v>Enquire &amp; Coordinate with client</v>
      </c>
      <c r="I598" s="4" t="str">
        <f>IFERROR(__xludf.DUMMYFUNCTION("""COMPUTED_VALUE"""),"sales person - first shivani")</f>
        <v>sales person - first shivani</v>
      </c>
    </row>
    <row r="599">
      <c r="A599" s="85">
        <f>IFERROR(__xludf.DUMMYFUNCTION("""COMPUTED_VALUE"""),45943.50843770833)</f>
        <v>45943.50844</v>
      </c>
      <c r="B599" s="4"/>
      <c r="C599" s="4"/>
      <c r="D599" s="4"/>
      <c r="E599" s="4"/>
      <c r="F599" s="4"/>
      <c r="G599" s="85">
        <f>IFERROR(__xludf.DUMMYFUNCTION("""COMPUTED_VALUE"""),45944.50833333333)</f>
        <v>45944.50833</v>
      </c>
      <c r="H599" s="85" t="str">
        <f>IFERROR(__xludf.DUMMYFUNCTION("""COMPUTED_VALUE"""),"Enquire &amp; Coordinate with client")</f>
        <v>Enquire &amp; Coordinate with client</v>
      </c>
      <c r="I599" s="4" t="str">
        <f>IFERROR(__xludf.DUMMYFUNCTION("""COMPUTED_VALUE"""),"sales person - first shivani")</f>
        <v>sales person - first shivani</v>
      </c>
    </row>
    <row r="600">
      <c r="A600" s="85">
        <f>IFERROR(__xludf.DUMMYFUNCTION("""COMPUTED_VALUE"""),45943.50923506944)</f>
        <v>45943.50924</v>
      </c>
      <c r="B600" s="4"/>
      <c r="C600" s="4"/>
      <c r="D600" s="4"/>
      <c r="E600" s="4"/>
      <c r="F600" s="4"/>
      <c r="G600" s="85">
        <f>IFERROR(__xludf.DUMMYFUNCTION("""COMPUTED_VALUE"""),45944.50902777778)</f>
        <v>45944.50903</v>
      </c>
      <c r="H600" s="85" t="str">
        <f>IFERROR(__xludf.DUMMYFUNCTION("""COMPUTED_VALUE"""),"Enquire &amp; Coordinate with client")</f>
        <v>Enquire &amp; Coordinate with client</v>
      </c>
      <c r="I600" s="4" t="str">
        <f>IFERROR(__xludf.DUMMYFUNCTION("""COMPUTED_VALUE"""),"sales person - first shivani")</f>
        <v>sales person - first shivani</v>
      </c>
    </row>
    <row r="601">
      <c r="A601" s="85">
        <f>IFERROR(__xludf.DUMMYFUNCTION("""COMPUTED_VALUE"""),45943.511449398145)</f>
        <v>45943.51145</v>
      </c>
      <c r="B601" s="4"/>
      <c r="C601" s="4"/>
      <c r="D601" s="4"/>
      <c r="E601" s="4"/>
      <c r="F601" s="4"/>
      <c r="G601" s="85">
        <f>IFERROR(__xludf.DUMMYFUNCTION("""COMPUTED_VALUE"""),45944.51111111111)</f>
        <v>45944.51111</v>
      </c>
      <c r="H601" s="85" t="str">
        <f>IFERROR(__xludf.DUMMYFUNCTION("""COMPUTED_VALUE"""),"Enquire &amp; Coordinate with client")</f>
        <v>Enquire &amp; Coordinate with client</v>
      </c>
      <c r="I601" s="4" t="str">
        <f>IFERROR(__xludf.DUMMYFUNCTION("""COMPUTED_VALUE"""),"sales person - first shivani")</f>
        <v>sales person - first shivani</v>
      </c>
    </row>
    <row r="602">
      <c r="A602" s="85">
        <f>IFERROR(__xludf.DUMMYFUNCTION("""COMPUTED_VALUE"""),45943.704364398145)</f>
        <v>45943.70436</v>
      </c>
      <c r="B602" s="4"/>
      <c r="C602" s="4"/>
      <c r="D602" s="4"/>
      <c r="E602" s="4"/>
      <c r="F602" s="4"/>
      <c r="G602" s="85">
        <f>IFERROR(__xludf.DUMMYFUNCTION("""COMPUTED_VALUE"""),45944.70416666666)</f>
        <v>45944.70417</v>
      </c>
      <c r="H602" s="85" t="str">
        <f>IFERROR(__xludf.DUMMYFUNCTION("""COMPUTED_VALUE"""),"Enquire &amp; Coordinate with client")</f>
        <v>Enquire &amp; Coordinate with client</v>
      </c>
      <c r="I602" s="4" t="str">
        <f>IFERROR(__xludf.DUMMYFUNCTION("""COMPUTED_VALUE"""),"sales person - first shivani")</f>
        <v>sales person - first shivani</v>
      </c>
    </row>
    <row r="603">
      <c r="A603" s="85">
        <f>IFERROR(__xludf.DUMMYFUNCTION("""COMPUTED_VALUE"""),45953.61774033565)</f>
        <v>45953.61774</v>
      </c>
      <c r="B603" s="4"/>
      <c r="C603" s="4"/>
      <c r="D603" s="4"/>
      <c r="E603" s="4"/>
      <c r="F603" s="4"/>
      <c r="G603" s="85">
        <f>IFERROR(__xludf.DUMMYFUNCTION("""COMPUTED_VALUE"""),45954.617361111115)</f>
        <v>45954.61736</v>
      </c>
      <c r="H603" s="85" t="str">
        <f>IFERROR(__xludf.DUMMYFUNCTION("""COMPUTED_VALUE"""),"Enquire &amp; Coordinate with client")</f>
        <v>Enquire &amp; Coordinate with client</v>
      </c>
      <c r="I603" s="4" t="str">
        <f>IFERROR(__xludf.DUMMYFUNCTION("""COMPUTED_VALUE"""),"sales person - first shivani")</f>
        <v>sales person - first shivani</v>
      </c>
    </row>
    <row r="604">
      <c r="A604" s="85">
        <f>IFERROR(__xludf.DUMMYFUNCTION("""COMPUTED_VALUE"""),45953.641726574075)</f>
        <v>45953.64173</v>
      </c>
      <c r="B604" s="4"/>
      <c r="C604" s="4"/>
      <c r="D604" s="4"/>
      <c r="E604" s="4"/>
      <c r="F604" s="4"/>
      <c r="G604" s="85">
        <f>IFERROR(__xludf.DUMMYFUNCTION("""COMPUTED_VALUE"""),45954.64166666666)</f>
        <v>45954.64167</v>
      </c>
      <c r="H604" s="85" t="str">
        <f>IFERROR(__xludf.DUMMYFUNCTION("""COMPUTED_VALUE"""),"Enquire &amp; Coordinate with client")</f>
        <v>Enquire &amp; Coordinate with client</v>
      </c>
      <c r="I604" s="4" t="str">
        <f>IFERROR(__xludf.DUMMYFUNCTION("""COMPUTED_VALUE"""),"sales person - first shivani")</f>
        <v>sales person - first shivani</v>
      </c>
    </row>
    <row r="605">
      <c r="A605" s="85">
        <f>IFERROR(__xludf.DUMMYFUNCTION("""COMPUTED_VALUE"""),45953.65946837963)</f>
        <v>45953.65947</v>
      </c>
      <c r="B605" s="4"/>
      <c r="C605" s="4"/>
      <c r="D605" s="4"/>
      <c r="E605" s="4"/>
      <c r="F605" s="4"/>
      <c r="G605" s="85">
        <f>IFERROR(__xludf.DUMMYFUNCTION("""COMPUTED_VALUE"""),45954.65902777778)</f>
        <v>45954.65903</v>
      </c>
      <c r="H605" s="85" t="str">
        <f>IFERROR(__xludf.DUMMYFUNCTION("""COMPUTED_VALUE"""),"Enquire &amp; Coordinate with client")</f>
        <v>Enquire &amp; Coordinate with client</v>
      </c>
      <c r="I605" s="4" t="str">
        <f>IFERROR(__xludf.DUMMYFUNCTION("""COMPUTED_VALUE"""),"sales person - first shivani")</f>
        <v>sales person - first shivani</v>
      </c>
    </row>
    <row r="606">
      <c r="A606" s="85">
        <f>IFERROR(__xludf.DUMMYFUNCTION("""COMPUTED_VALUE"""),45969.48252637732)</f>
        <v>45969.48253</v>
      </c>
      <c r="B606" s="4"/>
      <c r="C606" s="4"/>
      <c r="D606" s="4"/>
      <c r="E606" s="4"/>
      <c r="F606" s="4"/>
      <c r="G606" s="85">
        <f>IFERROR(__xludf.DUMMYFUNCTION("""COMPUTED_VALUE"""),45970.481944444444)</f>
        <v>45970.48194</v>
      </c>
      <c r="H606" s="85" t="str">
        <f>IFERROR(__xludf.DUMMYFUNCTION("""COMPUTED_VALUE"""),"Enquire &amp; Coordinate with client")</f>
        <v>Enquire &amp; Coordinate with client</v>
      </c>
      <c r="I606" s="4" t="str">
        <f>IFERROR(__xludf.DUMMYFUNCTION("""COMPUTED_VALUE"""),"sales person - first shivani")</f>
        <v>sales person - first shivani</v>
      </c>
    </row>
    <row r="607">
      <c r="A607" s="85">
        <f>IFERROR(__xludf.DUMMYFUNCTION("""COMPUTED_VALUE"""),45969.48671556713)</f>
        <v>45969.48672</v>
      </c>
      <c r="B607" s="4"/>
      <c r="C607" s="4"/>
      <c r="D607" s="4"/>
      <c r="E607" s="4"/>
      <c r="F607" s="4"/>
      <c r="G607" s="85">
        <f>IFERROR(__xludf.DUMMYFUNCTION("""COMPUTED_VALUE"""),45970.48611111111)</f>
        <v>45970.48611</v>
      </c>
      <c r="H607" s="85" t="str">
        <f>IFERROR(__xludf.DUMMYFUNCTION("""COMPUTED_VALUE"""),"Enquire &amp; Coordinate with client")</f>
        <v>Enquire &amp; Coordinate with client</v>
      </c>
      <c r="I607" s="4" t="str">
        <f>IFERROR(__xludf.DUMMYFUNCTION("""COMPUTED_VALUE"""),"sales person - first shivani")</f>
        <v>sales person - first shivani</v>
      </c>
    </row>
    <row r="608">
      <c r="A608" s="85">
        <f>IFERROR(__xludf.DUMMYFUNCTION("""COMPUTED_VALUE"""),45969.489836574074)</f>
        <v>45969.48984</v>
      </c>
      <c r="B608" s="4"/>
      <c r="C608" s="4"/>
      <c r="D608" s="4"/>
      <c r="E608" s="4"/>
      <c r="F608" s="4"/>
      <c r="G608" s="85">
        <f>IFERROR(__xludf.DUMMYFUNCTION("""COMPUTED_VALUE"""),45970.48958333333)</f>
        <v>45970.48958</v>
      </c>
      <c r="H608" s="85" t="str">
        <f>IFERROR(__xludf.DUMMYFUNCTION("""COMPUTED_VALUE"""),"Enquire &amp; Coordinate with client")</f>
        <v>Enquire &amp; Coordinate with client</v>
      </c>
      <c r="I608" s="4" t="str">
        <f>IFERROR(__xludf.DUMMYFUNCTION("""COMPUTED_VALUE"""),"sales person - first shivani")</f>
        <v>sales person - first shivani</v>
      </c>
    </row>
    <row r="609">
      <c r="A609" s="85">
        <f>IFERROR(__xludf.DUMMYFUNCTION("""COMPUTED_VALUE"""),45969.49170528936)</f>
        <v>45969.49171</v>
      </c>
      <c r="B609" s="4"/>
      <c r="C609" s="4"/>
      <c r="D609" s="4"/>
      <c r="E609" s="4"/>
      <c r="F609" s="4"/>
      <c r="G609" s="85">
        <f>IFERROR(__xludf.DUMMYFUNCTION("""COMPUTED_VALUE"""),45970.49166666667)</f>
        <v>45970.49167</v>
      </c>
      <c r="H609" s="85" t="str">
        <f>IFERROR(__xludf.DUMMYFUNCTION("""COMPUTED_VALUE"""),"Enquire &amp; Coordinate with client")</f>
        <v>Enquire &amp; Coordinate with client</v>
      </c>
      <c r="I609" s="4" t="str">
        <f>IFERROR(__xludf.DUMMYFUNCTION("""COMPUTED_VALUE"""),"sales person - first shivani")</f>
        <v>sales person - first shivani</v>
      </c>
    </row>
    <row r="610">
      <c r="A610" s="85">
        <f>IFERROR(__xludf.DUMMYFUNCTION("""COMPUTED_VALUE"""),45969.66087284722)</f>
        <v>45969.66087</v>
      </c>
      <c r="B610" s="4"/>
      <c r="C610" s="4"/>
      <c r="D610" s="4"/>
      <c r="E610" s="4"/>
      <c r="F610" s="4"/>
      <c r="G610" s="85">
        <f>IFERROR(__xludf.DUMMYFUNCTION("""COMPUTED_VALUE"""),45970.660416666666)</f>
        <v>45970.66042</v>
      </c>
      <c r="H610" s="85" t="str">
        <f>IFERROR(__xludf.DUMMYFUNCTION("""COMPUTED_VALUE"""),"Enquire &amp; Coordinate with client")</f>
        <v>Enquire &amp; Coordinate with client</v>
      </c>
      <c r="I610" s="4" t="str">
        <f>IFERROR(__xludf.DUMMYFUNCTION("""COMPUTED_VALUE"""),"sales person - first shivani")</f>
        <v>sales person - first shivani</v>
      </c>
    </row>
    <row r="611">
      <c r="A611" s="85">
        <f>IFERROR(__xludf.DUMMYFUNCTION("""COMPUTED_VALUE"""),45969.66544569444)</f>
        <v>45969.66545</v>
      </c>
      <c r="B611" s="4"/>
      <c r="C611" s="4"/>
      <c r="D611" s="4"/>
      <c r="E611" s="4"/>
      <c r="F611" s="4"/>
      <c r="G611" s="85">
        <f>IFERROR(__xludf.DUMMYFUNCTION("""COMPUTED_VALUE"""),45970.66527777778)</f>
        <v>45970.66528</v>
      </c>
      <c r="H611" s="85" t="str">
        <f>IFERROR(__xludf.DUMMYFUNCTION("""COMPUTED_VALUE"""),"Enquire &amp; Coordinate with client")</f>
        <v>Enquire &amp; Coordinate with client</v>
      </c>
      <c r="I611" s="4" t="str">
        <f>IFERROR(__xludf.DUMMYFUNCTION("""COMPUTED_VALUE"""),"sales person - first shivani")</f>
        <v>sales person - first shivani</v>
      </c>
    </row>
    <row r="612">
      <c r="A612" s="85">
        <f>IFERROR(__xludf.DUMMYFUNCTION("""COMPUTED_VALUE"""),45969.66631677083)</f>
        <v>45969.66632</v>
      </c>
      <c r="B612" s="4"/>
      <c r="C612" s="4"/>
      <c r="D612" s="4"/>
      <c r="E612" s="4"/>
      <c r="F612" s="4"/>
      <c r="G612" s="85">
        <f>IFERROR(__xludf.DUMMYFUNCTION("""COMPUTED_VALUE"""),45970.665972222225)</f>
        <v>45970.66597</v>
      </c>
      <c r="H612" s="85" t="str">
        <f>IFERROR(__xludf.DUMMYFUNCTION("""COMPUTED_VALUE"""),"Enquire &amp; Coordinate with client")</f>
        <v>Enquire &amp; Coordinate with client</v>
      </c>
      <c r="I612" s="4" t="str">
        <f>IFERROR(__xludf.DUMMYFUNCTION("""COMPUTED_VALUE"""),"sales person - first shivani")</f>
        <v>sales person - first shivani</v>
      </c>
    </row>
    <row r="613">
      <c r="A613" s="85">
        <f>IFERROR(__xludf.DUMMYFUNCTION("""COMPUTED_VALUE"""),45969.66752710648)</f>
        <v>45969.66753</v>
      </c>
      <c r="B613" s="4"/>
      <c r="C613" s="4"/>
      <c r="D613" s="4"/>
      <c r="E613" s="4"/>
      <c r="F613" s="4"/>
      <c r="G613" s="85">
        <f>IFERROR(__xludf.DUMMYFUNCTION("""COMPUTED_VALUE"""),45970.66736111111)</f>
        <v>45970.66736</v>
      </c>
      <c r="H613" s="85" t="str">
        <f>IFERROR(__xludf.DUMMYFUNCTION("""COMPUTED_VALUE"""),"Enquire &amp; Coordinate with client")</f>
        <v>Enquire &amp; Coordinate with client</v>
      </c>
      <c r="I613" s="4" t="str">
        <f>IFERROR(__xludf.DUMMYFUNCTION("""COMPUTED_VALUE"""),"sales person - first shivani")</f>
        <v>sales person - first shivani</v>
      </c>
    </row>
    <row r="614">
      <c r="A614" s="85">
        <f>IFERROR(__xludf.DUMMYFUNCTION("""COMPUTED_VALUE"""),45969.66915135417)</f>
        <v>45969.66915</v>
      </c>
      <c r="B614" s="4"/>
      <c r="C614" s="4"/>
      <c r="D614" s="4"/>
      <c r="E614" s="4"/>
      <c r="F614" s="4"/>
      <c r="G614" s="85">
        <f>IFERROR(__xludf.DUMMYFUNCTION("""COMPUTED_VALUE"""),45970.66875)</f>
        <v>45970.66875</v>
      </c>
      <c r="H614" s="85" t="str">
        <f>IFERROR(__xludf.DUMMYFUNCTION("""COMPUTED_VALUE"""),"Enquire &amp; Coordinate with client")</f>
        <v>Enquire &amp; Coordinate with client</v>
      </c>
      <c r="I614" s="4" t="str">
        <f>IFERROR(__xludf.DUMMYFUNCTION("""COMPUTED_VALUE"""),"sales person - first shivani")</f>
        <v>sales person - first shivani</v>
      </c>
    </row>
    <row r="615">
      <c r="A615" s="85">
        <f>IFERROR(__xludf.DUMMYFUNCTION("""COMPUTED_VALUE"""),45972.52396494213)</f>
        <v>45972.52396</v>
      </c>
      <c r="B615" s="4"/>
      <c r="C615" s="4"/>
      <c r="D615" s="4"/>
      <c r="E615" s="4"/>
      <c r="F615" s="4"/>
      <c r="G615" s="85">
        <f>IFERROR(__xludf.DUMMYFUNCTION("""COMPUTED_VALUE"""),45973.523611111115)</f>
        <v>45973.52361</v>
      </c>
      <c r="H615" s="85" t="str">
        <f>IFERROR(__xludf.DUMMYFUNCTION("""COMPUTED_VALUE"""),"Enquire &amp; Coordinate with client")</f>
        <v>Enquire &amp; Coordinate with client</v>
      </c>
      <c r="I615" s="4" t="str">
        <f>IFERROR(__xludf.DUMMYFUNCTION("""COMPUTED_VALUE"""),"sales person - first shivani")</f>
        <v>sales person - first shivani</v>
      </c>
    </row>
    <row r="616">
      <c r="A616" s="85">
        <f>IFERROR(__xludf.DUMMYFUNCTION("""COMPUTED_VALUE"""),45972.55423697917)</f>
        <v>45972.55424</v>
      </c>
      <c r="B616" s="4"/>
      <c r="C616" s="4"/>
      <c r="D616" s="4"/>
      <c r="E616" s="4"/>
      <c r="F616" s="4"/>
      <c r="G616" s="85">
        <f>IFERROR(__xludf.DUMMYFUNCTION("""COMPUTED_VALUE"""),45973.55416666667)</f>
        <v>45973.55417</v>
      </c>
      <c r="H616" s="85" t="str">
        <f>IFERROR(__xludf.DUMMYFUNCTION("""COMPUTED_VALUE"""),"Enquire &amp; Coordinate with client")</f>
        <v>Enquire &amp; Coordinate with client</v>
      </c>
      <c r="I616" s="4" t="str">
        <f>IFERROR(__xludf.DUMMYFUNCTION("""COMPUTED_VALUE"""),"sales person - first shivani")</f>
        <v>sales person - first shivani</v>
      </c>
    </row>
    <row r="617">
      <c r="A617" s="85">
        <f>IFERROR(__xludf.DUMMYFUNCTION("""COMPUTED_VALUE"""),45972.57629430555)</f>
        <v>45972.57629</v>
      </c>
      <c r="B617" s="4"/>
      <c r="C617" s="4"/>
      <c r="D617" s="4"/>
      <c r="E617" s="4"/>
      <c r="F617" s="4"/>
      <c r="G617" s="85">
        <f>IFERROR(__xludf.DUMMYFUNCTION("""COMPUTED_VALUE"""),45973.575694444444)</f>
        <v>45973.57569</v>
      </c>
      <c r="H617" s="85" t="str">
        <f>IFERROR(__xludf.DUMMYFUNCTION("""COMPUTED_VALUE"""),"Enquire &amp; Coordinate with client")</f>
        <v>Enquire &amp; Coordinate with client</v>
      </c>
      <c r="I617" s="4" t="str">
        <f>IFERROR(__xludf.DUMMYFUNCTION("""COMPUTED_VALUE"""),"sales person - first shivani")</f>
        <v>sales person - first shivani</v>
      </c>
    </row>
    <row r="618">
      <c r="A618" s="85">
        <f>IFERROR(__xludf.DUMMYFUNCTION("""COMPUTED_VALUE"""),45972.577502754626)</f>
        <v>45972.5775</v>
      </c>
      <c r="B618" s="4"/>
      <c r="C618" s="4"/>
      <c r="D618" s="4"/>
      <c r="E618" s="4"/>
      <c r="F618" s="4"/>
      <c r="G618" s="85">
        <f>IFERROR(__xludf.DUMMYFUNCTION("""COMPUTED_VALUE"""),45973.57708333334)</f>
        <v>45973.57708</v>
      </c>
      <c r="H618" s="85" t="str">
        <f>IFERROR(__xludf.DUMMYFUNCTION("""COMPUTED_VALUE"""),"Enquire &amp; Coordinate with client")</f>
        <v>Enquire &amp; Coordinate with client</v>
      </c>
      <c r="I618" s="4" t="str">
        <f>IFERROR(__xludf.DUMMYFUNCTION("""COMPUTED_VALUE"""),"sales person - first shivani")</f>
        <v>sales person - first shivani</v>
      </c>
    </row>
    <row r="619">
      <c r="A619" s="85">
        <f>IFERROR(__xludf.DUMMYFUNCTION("""COMPUTED_VALUE"""),45972.57851228009)</f>
        <v>45972.57851</v>
      </c>
      <c r="B619" s="4"/>
      <c r="C619" s="4"/>
      <c r="D619" s="4"/>
      <c r="E619" s="4"/>
      <c r="F619" s="4"/>
      <c r="G619" s="85">
        <f>IFERROR(__xludf.DUMMYFUNCTION("""COMPUTED_VALUE"""),45973.57847222222)</f>
        <v>45973.57847</v>
      </c>
      <c r="H619" s="85" t="str">
        <f>IFERROR(__xludf.DUMMYFUNCTION("""COMPUTED_VALUE"""),"Enquire &amp; Coordinate with client")</f>
        <v>Enquire &amp; Coordinate with client</v>
      </c>
      <c r="I619" s="4" t="str">
        <f>IFERROR(__xludf.DUMMYFUNCTION("""COMPUTED_VALUE"""),"sales person - first shivani")</f>
        <v>sales person - first shivani</v>
      </c>
    </row>
    <row r="620">
      <c r="A620" s="85">
        <f>IFERROR(__xludf.DUMMYFUNCTION("""COMPUTED_VALUE"""),45972.57944231482)</f>
        <v>45972.57944</v>
      </c>
      <c r="B620" s="4"/>
      <c r="C620" s="4"/>
      <c r="D620" s="4"/>
      <c r="E620" s="4"/>
      <c r="F620" s="4"/>
      <c r="G620" s="85">
        <f>IFERROR(__xludf.DUMMYFUNCTION("""COMPUTED_VALUE"""),45973.57916666666)</f>
        <v>45973.57917</v>
      </c>
      <c r="H620" s="85" t="str">
        <f>IFERROR(__xludf.DUMMYFUNCTION("""COMPUTED_VALUE"""),"Enquire &amp; Coordinate with client")</f>
        <v>Enquire &amp; Coordinate with client</v>
      </c>
      <c r="I620" s="4" t="str">
        <f>IFERROR(__xludf.DUMMYFUNCTION("""COMPUTED_VALUE"""),"sales person - first shivani")</f>
        <v>sales person - first shivani</v>
      </c>
    </row>
    <row r="621">
      <c r="A621" s="85">
        <f>IFERROR(__xludf.DUMMYFUNCTION("""COMPUTED_VALUE"""),45977.61698918981)</f>
        <v>45977.61699</v>
      </c>
      <c r="B621" s="4"/>
      <c r="C621" s="4"/>
      <c r="D621" s="4"/>
      <c r="E621" s="4"/>
      <c r="F621" s="4"/>
      <c r="G621" s="85">
        <f>IFERROR(__xludf.DUMMYFUNCTION("""COMPUTED_VALUE"""),45979.61666666667)</f>
        <v>45979.61667</v>
      </c>
      <c r="H621" s="85" t="str">
        <f>IFERROR(__xludf.DUMMYFUNCTION("""COMPUTED_VALUE"""),"Enquire &amp; Coordinate with client")</f>
        <v>Enquire &amp; Coordinate with client</v>
      </c>
      <c r="I621" s="4" t="str">
        <f>IFERROR(__xludf.DUMMYFUNCTION("""COMPUTED_VALUE"""),"sales person - first shivani")</f>
        <v>sales person - first shivani</v>
      </c>
    </row>
    <row r="622">
      <c r="A622" s="85">
        <f>IFERROR(__xludf.DUMMYFUNCTION("""COMPUTED_VALUE"""),45977.619937476855)</f>
        <v>45977.61994</v>
      </c>
      <c r="B622" s="4"/>
      <c r="C622" s="4"/>
      <c r="D622" s="4"/>
      <c r="E622" s="4"/>
      <c r="F622" s="4"/>
      <c r="G622" s="85">
        <f>IFERROR(__xludf.DUMMYFUNCTION("""COMPUTED_VALUE"""),45979.61944444444)</f>
        <v>45979.61944</v>
      </c>
      <c r="H622" s="85" t="str">
        <f>IFERROR(__xludf.DUMMYFUNCTION("""COMPUTED_VALUE"""),"Enquire &amp; Coordinate with client")</f>
        <v>Enquire &amp; Coordinate with client</v>
      </c>
      <c r="I622" s="4" t="str">
        <f>IFERROR(__xludf.DUMMYFUNCTION("""COMPUTED_VALUE"""),"sales person - first shivani")</f>
        <v>sales person - first shivani</v>
      </c>
    </row>
    <row r="623">
      <c r="A623" s="85">
        <f>IFERROR(__xludf.DUMMYFUNCTION("""COMPUTED_VALUE"""),45989.555480034716)</f>
        <v>45989.55548</v>
      </c>
      <c r="B623" s="4"/>
      <c r="C623" s="4"/>
      <c r="D623" s="4"/>
      <c r="E623" s="4"/>
      <c r="F623" s="4"/>
      <c r="G623" s="85">
        <f>IFERROR(__xludf.DUMMYFUNCTION("""COMPUTED_VALUE"""),45990.554861111115)</f>
        <v>45990.55486</v>
      </c>
      <c r="H623" s="85" t="str">
        <f>IFERROR(__xludf.DUMMYFUNCTION("""COMPUTED_VALUE"""),"Enquire &amp; Coordinate with client")</f>
        <v>Enquire &amp; Coordinate with client</v>
      </c>
      <c r="I623" s="4" t="str">
        <f>IFERROR(__xludf.DUMMYFUNCTION("""COMPUTED_VALUE"""),"sales person - first shivani")</f>
        <v>sales person - first shivani</v>
      </c>
    </row>
    <row r="624">
      <c r="A624" s="85">
        <f>IFERROR(__xludf.DUMMYFUNCTION("""COMPUTED_VALUE"""),45989.55688300925)</f>
        <v>45989.55688</v>
      </c>
      <c r="B624" s="4"/>
      <c r="C624" s="4"/>
      <c r="D624" s="4"/>
      <c r="E624" s="4"/>
      <c r="F624" s="4"/>
      <c r="G624" s="85">
        <f>IFERROR(__xludf.DUMMYFUNCTION("""COMPUTED_VALUE"""),45990.55625)</f>
        <v>45990.55625</v>
      </c>
      <c r="H624" s="85" t="str">
        <f>IFERROR(__xludf.DUMMYFUNCTION("""COMPUTED_VALUE"""),"Enquire &amp; Coordinate with client")</f>
        <v>Enquire &amp; Coordinate with client</v>
      </c>
      <c r="I624" s="4" t="str">
        <f>IFERROR(__xludf.DUMMYFUNCTION("""COMPUTED_VALUE"""),"sales person - first shivani")</f>
        <v>sales person - first shivani</v>
      </c>
    </row>
    <row r="625">
      <c r="A625" s="85">
        <f>IFERROR(__xludf.DUMMYFUNCTION("""COMPUTED_VALUE"""),46050.781717488426)</f>
        <v>46050.78172</v>
      </c>
      <c r="B625" s="4"/>
      <c r="C625" s="4"/>
      <c r="D625" s="4"/>
      <c r="E625" s="4"/>
      <c r="F625" s="4"/>
      <c r="G625" s="85">
        <f>IFERROR(__xludf.DUMMYFUNCTION("""COMPUTED_VALUE"""),46051.78125)</f>
        <v>46051.78125</v>
      </c>
      <c r="H625" s="85" t="str">
        <f>IFERROR(__xludf.DUMMYFUNCTION("""COMPUTED_VALUE"""),"Enquire &amp; Coordinate with client")</f>
        <v>Enquire &amp; Coordinate with client</v>
      </c>
      <c r="I625" s="4" t="str">
        <f>IFERROR(__xludf.DUMMYFUNCTION("""COMPUTED_VALUE"""),"sales person - first shivani")</f>
        <v>sales person - first shivani</v>
      </c>
    </row>
    <row r="626">
      <c r="A626" s="85">
        <f>IFERROR(__xludf.DUMMYFUNCTION("""COMPUTED_VALUE"""),46050.79806152778)</f>
        <v>46050.79806</v>
      </c>
      <c r="B626" s="4"/>
      <c r="C626" s="4"/>
      <c r="D626" s="4"/>
      <c r="E626" s="4"/>
      <c r="F626" s="4"/>
      <c r="G626" s="85">
        <f>IFERROR(__xludf.DUMMYFUNCTION("""COMPUTED_VALUE"""),46051.79791666666)</f>
        <v>46051.79792</v>
      </c>
      <c r="H626" s="85" t="str">
        <f>IFERROR(__xludf.DUMMYFUNCTION("""COMPUTED_VALUE"""),"Enquire &amp; Coordinate with client")</f>
        <v>Enquire &amp; Coordinate with client</v>
      </c>
      <c r="I626" s="4" t="str">
        <f>IFERROR(__xludf.DUMMYFUNCTION("""COMPUTED_VALUE"""),"sales person - first shivani")</f>
        <v>sales person - first shivani</v>
      </c>
    </row>
    <row r="627">
      <c r="A627" s="85">
        <f>IFERROR(__xludf.DUMMYFUNCTION("""COMPUTED_VALUE"""),46051.66056063658)</f>
        <v>46051.66056</v>
      </c>
      <c r="B627" s="4"/>
      <c r="C627" s="4"/>
      <c r="D627" s="4"/>
      <c r="E627" s="4"/>
      <c r="F627" s="4"/>
      <c r="G627" s="85">
        <f>IFERROR(__xludf.DUMMYFUNCTION("""COMPUTED_VALUE"""),46052.660416666666)</f>
        <v>46052.66042</v>
      </c>
      <c r="H627" s="85" t="str">
        <f>IFERROR(__xludf.DUMMYFUNCTION("""COMPUTED_VALUE"""),"Enquire &amp; Coordinate with client")</f>
        <v>Enquire &amp; Coordinate with client</v>
      </c>
      <c r="I627" s="4" t="str">
        <f>IFERROR(__xludf.DUMMYFUNCTION("""COMPUTED_VALUE"""),"sales person - first shivani")</f>
        <v>sales person - first shivani</v>
      </c>
    </row>
    <row r="628">
      <c r="A628" s="85">
        <f>IFERROR(__xludf.DUMMYFUNCTION("""COMPUTED_VALUE"""),46051.66212524305)</f>
        <v>46051.66213</v>
      </c>
      <c r="B628" s="4"/>
      <c r="C628" s="4"/>
      <c r="D628" s="4"/>
      <c r="E628" s="4"/>
      <c r="F628" s="4"/>
      <c r="G628" s="85">
        <f>IFERROR(__xludf.DUMMYFUNCTION("""COMPUTED_VALUE"""),46052.66180555556)</f>
        <v>46052.66181</v>
      </c>
      <c r="H628" s="85" t="str">
        <f>IFERROR(__xludf.DUMMYFUNCTION("""COMPUTED_VALUE"""),"Enquire &amp; Coordinate with client")</f>
        <v>Enquire &amp; Coordinate with client</v>
      </c>
      <c r="I628" s="4" t="str">
        <f>IFERROR(__xludf.DUMMYFUNCTION("""COMPUTED_VALUE"""),"sales person - first shivani")</f>
        <v>sales person - first shivani</v>
      </c>
    </row>
    <row r="629">
      <c r="A629" s="85">
        <f>IFERROR(__xludf.DUMMYFUNCTION("""COMPUTED_VALUE"""),46051.699569293974)</f>
        <v>46051.69957</v>
      </c>
      <c r="B629" s="4"/>
      <c r="C629" s="4"/>
      <c r="D629" s="4"/>
      <c r="E629" s="4"/>
      <c r="F629" s="4"/>
      <c r="G629" s="85">
        <f>IFERROR(__xludf.DUMMYFUNCTION("""COMPUTED_VALUE"""),46052.69930555555)</f>
        <v>46052.69931</v>
      </c>
      <c r="H629" s="85" t="str">
        <f>IFERROR(__xludf.DUMMYFUNCTION("""COMPUTED_VALUE"""),"Enquire &amp; Coordinate with client")</f>
        <v>Enquire &amp; Coordinate with client</v>
      </c>
      <c r="I629" s="4" t="str">
        <f>IFERROR(__xludf.DUMMYFUNCTION("""COMPUTED_VALUE"""),"sales person - first shivani")</f>
        <v>sales person - first shivani</v>
      </c>
    </row>
    <row r="630">
      <c r="A630" s="85">
        <f>IFERROR(__xludf.DUMMYFUNCTION("""COMPUTED_VALUE"""),46051.70065262732)</f>
        <v>46051.70065</v>
      </c>
      <c r="B630" s="4"/>
      <c r="C630" s="4"/>
      <c r="D630" s="4"/>
      <c r="E630" s="4"/>
      <c r="F630" s="4"/>
      <c r="G630" s="85">
        <f>IFERROR(__xludf.DUMMYFUNCTION("""COMPUTED_VALUE"""),46052.7)</f>
        <v>46052.7</v>
      </c>
      <c r="H630" s="85" t="str">
        <f>IFERROR(__xludf.DUMMYFUNCTION("""COMPUTED_VALUE"""),"Enquire &amp; Coordinate with client")</f>
        <v>Enquire &amp; Coordinate with client</v>
      </c>
      <c r="I630" s="4" t="str">
        <f>IFERROR(__xludf.DUMMYFUNCTION("""COMPUTED_VALUE"""),"sales person - first shivani")</f>
        <v>sales person - first shivani</v>
      </c>
    </row>
    <row r="631">
      <c r="A631" s="85">
        <f>IFERROR(__xludf.DUMMYFUNCTION("""COMPUTED_VALUE"""),46051.77481296296)</f>
        <v>46051.77481</v>
      </c>
      <c r="B631" s="4"/>
      <c r="C631" s="4"/>
      <c r="D631" s="4"/>
      <c r="E631" s="4"/>
      <c r="F631" s="4"/>
      <c r="G631" s="85">
        <f>IFERROR(__xludf.DUMMYFUNCTION("""COMPUTED_VALUE"""),46052.774305555555)</f>
        <v>46052.77431</v>
      </c>
      <c r="H631" s="85" t="str">
        <f>IFERROR(__xludf.DUMMYFUNCTION("""COMPUTED_VALUE"""),"Enquire &amp; Coordinate with client")</f>
        <v>Enquire &amp; Coordinate with client</v>
      </c>
      <c r="I631" s="4" t="str">
        <f>IFERROR(__xludf.DUMMYFUNCTION("""COMPUTED_VALUE"""),"sales person - first shivani")</f>
        <v>sales person - first shivani</v>
      </c>
    </row>
    <row r="632">
      <c r="A632" s="85">
        <f>IFERROR(__xludf.DUMMYFUNCTION("""COMPUTED_VALUE"""),46051.776015057876)</f>
        <v>46051.77602</v>
      </c>
      <c r="B632" s="4"/>
      <c r="C632" s="4"/>
      <c r="D632" s="4"/>
      <c r="E632" s="4"/>
      <c r="F632" s="4"/>
      <c r="G632" s="85">
        <f>IFERROR(__xludf.DUMMYFUNCTION("""COMPUTED_VALUE"""),46052.77569444444)</f>
        <v>46052.77569</v>
      </c>
      <c r="H632" s="85" t="str">
        <f>IFERROR(__xludf.DUMMYFUNCTION("""COMPUTED_VALUE"""),"Enquire &amp; Coordinate with client")</f>
        <v>Enquire &amp; Coordinate with client</v>
      </c>
      <c r="I632" s="4" t="str">
        <f>IFERROR(__xludf.DUMMYFUNCTION("""COMPUTED_VALUE"""),"sales person - first shivani")</f>
        <v>sales person - first shivani</v>
      </c>
    </row>
    <row r="633">
      <c r="A633" s="85">
        <f>IFERROR(__xludf.DUMMYFUNCTION("""COMPUTED_VALUE"""),46051.785749097224)</f>
        <v>46051.78575</v>
      </c>
      <c r="B633" s="4"/>
      <c r="C633" s="4"/>
      <c r="D633" s="4"/>
      <c r="E633" s="4"/>
      <c r="F633" s="4"/>
      <c r="G633" s="85">
        <f>IFERROR(__xludf.DUMMYFUNCTION("""COMPUTED_VALUE"""),46052.785416666666)</f>
        <v>46052.78542</v>
      </c>
      <c r="H633" s="85" t="str">
        <f>IFERROR(__xludf.DUMMYFUNCTION("""COMPUTED_VALUE"""),"Enquire &amp; Coordinate with client")</f>
        <v>Enquire &amp; Coordinate with client</v>
      </c>
      <c r="I633" s="4" t="str">
        <f>IFERROR(__xludf.DUMMYFUNCTION("""COMPUTED_VALUE"""),"sales person - first shivani")</f>
        <v>sales person - first shivani</v>
      </c>
    </row>
    <row r="634">
      <c r="A634" s="85">
        <f>IFERROR(__xludf.DUMMYFUNCTION("""COMPUTED_VALUE"""),46053.78467376158)</f>
        <v>46053.78467</v>
      </c>
      <c r="B634" s="4"/>
      <c r="C634" s="4"/>
      <c r="D634" s="4"/>
      <c r="E634" s="4"/>
      <c r="F634" s="4"/>
      <c r="G634" s="85">
        <f>IFERROR(__xludf.DUMMYFUNCTION("""COMPUTED_VALUE"""),46054.78402777778)</f>
        <v>46054.78403</v>
      </c>
      <c r="H634" s="85" t="str">
        <f>IFERROR(__xludf.DUMMYFUNCTION("""COMPUTED_VALUE"""),"Enquire &amp; Coordinate with client")</f>
        <v>Enquire &amp; Coordinate with client</v>
      </c>
      <c r="I634" s="4" t="str">
        <f>IFERROR(__xludf.DUMMYFUNCTION("""COMPUTED_VALUE"""),"sales person - first shivani")</f>
        <v>sales person - first shivani</v>
      </c>
    </row>
    <row r="635">
      <c r="A635" s="85">
        <f>IFERROR(__xludf.DUMMYFUNCTION("""COMPUTED_VALUE"""),46053.78603965278)</f>
        <v>46053.78604</v>
      </c>
      <c r="B635" s="4"/>
      <c r="C635" s="4"/>
      <c r="D635" s="4"/>
      <c r="E635" s="4"/>
      <c r="F635" s="4"/>
      <c r="G635" s="85">
        <f>IFERROR(__xludf.DUMMYFUNCTION("""COMPUTED_VALUE"""),46054.785416666666)</f>
        <v>46054.78542</v>
      </c>
      <c r="H635" s="85" t="str">
        <f>IFERROR(__xludf.DUMMYFUNCTION("""COMPUTED_VALUE"""),"Enquire &amp; Coordinate with client")</f>
        <v>Enquire &amp; Coordinate with client</v>
      </c>
      <c r="I635" s="4" t="str">
        <f>IFERROR(__xludf.DUMMYFUNCTION("""COMPUTED_VALUE"""),"sales person - first shivani")</f>
        <v>sales person - first shivani</v>
      </c>
    </row>
    <row r="636">
      <c r="A636" s="85">
        <f>IFERROR(__xludf.DUMMYFUNCTION("""COMPUTED_VALUE"""),46053.789922916665)</f>
        <v>46053.78992</v>
      </c>
      <c r="B636" s="4"/>
      <c r="C636" s="4"/>
      <c r="D636" s="4"/>
      <c r="E636" s="4"/>
      <c r="F636" s="4"/>
      <c r="G636" s="85">
        <f>IFERROR(__xludf.DUMMYFUNCTION("""COMPUTED_VALUE"""),46054.78958333333)</f>
        <v>46054.78958</v>
      </c>
      <c r="H636" s="85" t="str">
        <f>IFERROR(__xludf.DUMMYFUNCTION("""COMPUTED_VALUE"""),"Enquire &amp; Coordinate with client")</f>
        <v>Enquire &amp; Coordinate with client</v>
      </c>
      <c r="I636" s="4" t="str">
        <f>IFERROR(__xludf.DUMMYFUNCTION("""COMPUTED_VALUE"""),"sales person - first shivani")</f>
        <v>sales person - first shivani</v>
      </c>
    </row>
    <row r="637">
      <c r="A637" s="85">
        <f>IFERROR(__xludf.DUMMYFUNCTION("""COMPUTED_VALUE"""),46053.794895694446)</f>
        <v>46053.7949</v>
      </c>
      <c r="B637" s="4"/>
      <c r="C637" s="4"/>
      <c r="D637" s="4"/>
      <c r="E637" s="4"/>
      <c r="F637" s="4"/>
      <c r="G637" s="85">
        <f>IFERROR(__xludf.DUMMYFUNCTION("""COMPUTED_VALUE"""),46054.794444444444)</f>
        <v>46054.79444</v>
      </c>
      <c r="H637" s="85" t="str">
        <f>IFERROR(__xludf.DUMMYFUNCTION("""COMPUTED_VALUE"""),"Enquire &amp; Coordinate with client")</f>
        <v>Enquire &amp; Coordinate with client</v>
      </c>
      <c r="I637" s="4" t="str">
        <f>IFERROR(__xludf.DUMMYFUNCTION("""COMPUTED_VALUE"""),"sales person - first shivani")</f>
        <v>sales person - first shivani</v>
      </c>
    </row>
    <row r="638">
      <c r="A638" s="85">
        <f>IFERROR(__xludf.DUMMYFUNCTION("""COMPUTED_VALUE"""),46054.6703527662)</f>
        <v>46054.67035</v>
      </c>
      <c r="B638" s="4"/>
      <c r="C638" s="4"/>
      <c r="D638" s="4"/>
      <c r="E638" s="4"/>
      <c r="F638" s="4"/>
      <c r="G638" s="85">
        <f>IFERROR(__xludf.DUMMYFUNCTION("""COMPUTED_VALUE"""),46056.67013888889)</f>
        <v>46056.67014</v>
      </c>
      <c r="H638" s="85" t="str">
        <f>IFERROR(__xludf.DUMMYFUNCTION("""COMPUTED_VALUE"""),"Enquire &amp; Coordinate with client")</f>
        <v>Enquire &amp; Coordinate with client</v>
      </c>
      <c r="I638" s="4" t="str">
        <f>IFERROR(__xludf.DUMMYFUNCTION("""COMPUTED_VALUE"""),"sales person - first shivani")</f>
        <v>sales person - first shivani</v>
      </c>
    </row>
    <row r="639">
      <c r="A639" s="85">
        <f>IFERROR(__xludf.DUMMYFUNCTION("""COMPUTED_VALUE"""),46054.69218756944)</f>
        <v>46054.69219</v>
      </c>
      <c r="B639" s="4"/>
      <c r="C639" s="4"/>
      <c r="D639" s="4"/>
      <c r="E639" s="4"/>
      <c r="F639" s="4"/>
      <c r="G639" s="85">
        <f>IFERROR(__xludf.DUMMYFUNCTION("""COMPUTED_VALUE"""),46056.691666666666)</f>
        <v>46056.69167</v>
      </c>
      <c r="H639" s="85" t="str">
        <f>IFERROR(__xludf.DUMMYFUNCTION("""COMPUTED_VALUE"""),"Enquire &amp; Coordinate with client")</f>
        <v>Enquire &amp; Coordinate with client</v>
      </c>
      <c r="I639" s="4" t="str">
        <f>IFERROR(__xludf.DUMMYFUNCTION("""COMPUTED_VALUE"""),"sales person - first shivani")</f>
        <v>sales person - first shivani</v>
      </c>
    </row>
    <row r="640">
      <c r="A640" s="85">
        <f>IFERROR(__xludf.DUMMYFUNCTION("""COMPUTED_VALUE"""),46054.694645717595)</f>
        <v>46054.69465</v>
      </c>
      <c r="B640" s="4"/>
      <c r="C640" s="4"/>
      <c r="D640" s="4"/>
      <c r="E640" s="4"/>
      <c r="F640" s="4"/>
      <c r="G640" s="85">
        <f>IFERROR(__xludf.DUMMYFUNCTION("""COMPUTED_VALUE"""),46056.694444444445)</f>
        <v>46056.69444</v>
      </c>
      <c r="H640" s="85" t="str">
        <f>IFERROR(__xludf.DUMMYFUNCTION("""COMPUTED_VALUE"""),"Enquire &amp; Coordinate with client")</f>
        <v>Enquire &amp; Coordinate with client</v>
      </c>
      <c r="I640" s="4" t="str">
        <f>IFERROR(__xludf.DUMMYFUNCTION("""COMPUTED_VALUE"""),"sales person - first shivani")</f>
        <v>sales person - first shivani</v>
      </c>
    </row>
    <row r="641">
      <c r="A641" s="85">
        <f>IFERROR(__xludf.DUMMYFUNCTION("""COMPUTED_VALUE"""),46056.64485877315)</f>
        <v>46056.64486</v>
      </c>
      <c r="B641" s="4"/>
      <c r="C641" s="4"/>
      <c r="D641" s="4"/>
      <c r="E641" s="4"/>
      <c r="F641" s="4"/>
      <c r="G641" s="85">
        <f>IFERROR(__xludf.DUMMYFUNCTION("""COMPUTED_VALUE"""),46057.64444444445)</f>
        <v>46057.64444</v>
      </c>
      <c r="H641" s="85" t="str">
        <f>IFERROR(__xludf.DUMMYFUNCTION("""COMPUTED_VALUE"""),"Enquire &amp; Coordinate with client")</f>
        <v>Enquire &amp; Coordinate with client</v>
      </c>
      <c r="I641" s="4" t="str">
        <f>IFERROR(__xludf.DUMMYFUNCTION("""COMPUTED_VALUE"""),"sales person - first shivani")</f>
        <v>sales person - first shivani</v>
      </c>
    </row>
    <row r="642">
      <c r="A642" s="85">
        <f>IFERROR(__xludf.DUMMYFUNCTION("""COMPUTED_VALUE"""),46061.69054046296)</f>
        <v>46061.69054</v>
      </c>
      <c r="B642" s="4"/>
      <c r="C642" s="4"/>
      <c r="D642" s="4"/>
      <c r="E642" s="4"/>
      <c r="F642" s="4"/>
      <c r="G642" s="85">
        <f>IFERROR(__xludf.DUMMYFUNCTION("""COMPUTED_VALUE"""),46063.69027777778)</f>
        <v>46063.69028</v>
      </c>
      <c r="H642" s="85" t="str">
        <f>IFERROR(__xludf.DUMMYFUNCTION("""COMPUTED_VALUE"""),"Enquire &amp; Coordinate with client")</f>
        <v>Enquire &amp; Coordinate with client</v>
      </c>
      <c r="I642" s="4" t="str">
        <f>IFERROR(__xludf.DUMMYFUNCTION("""COMPUTED_VALUE"""),"sales person - first shivani")</f>
        <v>sales person - first shivani</v>
      </c>
    </row>
    <row r="643">
      <c r="A643" s="85">
        <f>IFERROR(__xludf.DUMMYFUNCTION("""COMPUTED_VALUE"""),46063.638297210644)</f>
        <v>46063.6383</v>
      </c>
      <c r="B643" s="4"/>
      <c r="C643" s="4"/>
      <c r="D643" s="4"/>
      <c r="E643" s="4"/>
      <c r="F643" s="4"/>
      <c r="G643" s="85">
        <f>IFERROR(__xludf.DUMMYFUNCTION("""COMPUTED_VALUE"""),46064.638194444444)</f>
        <v>46064.63819</v>
      </c>
      <c r="H643" s="85" t="str">
        <f>IFERROR(__xludf.DUMMYFUNCTION("""COMPUTED_VALUE"""),"Enquire &amp; Coordinate with client")</f>
        <v>Enquire &amp; Coordinate with client</v>
      </c>
      <c r="I643" s="4" t="str">
        <f>IFERROR(__xludf.DUMMYFUNCTION("""COMPUTED_VALUE"""),"sales person - first shivani")</f>
        <v>sales person - first shivani</v>
      </c>
    </row>
    <row r="644">
      <c r="A644" s="85">
        <f>IFERROR(__xludf.DUMMYFUNCTION("""COMPUTED_VALUE"""),46063.68215496528)</f>
        <v>46063.68215</v>
      </c>
      <c r="B644" s="4"/>
      <c r="C644" s="4"/>
      <c r="D644" s="4"/>
      <c r="E644" s="4"/>
      <c r="F644" s="4"/>
      <c r="G644" s="85">
        <f>IFERROR(__xludf.DUMMYFUNCTION("""COMPUTED_VALUE"""),46064.68194444444)</f>
        <v>46064.68194</v>
      </c>
      <c r="H644" s="85" t="str">
        <f>IFERROR(__xludf.DUMMYFUNCTION("""COMPUTED_VALUE"""),"Enquire &amp; Coordinate with client")</f>
        <v>Enquire &amp; Coordinate with client</v>
      </c>
      <c r="I644" s="4" t="str">
        <f>IFERROR(__xludf.DUMMYFUNCTION("""COMPUTED_VALUE"""),"sales person - first shivani")</f>
        <v>sales person - first shivani</v>
      </c>
    </row>
    <row r="645">
      <c r="A645" s="85">
        <f>IFERROR(__xludf.DUMMYFUNCTION("""COMPUTED_VALUE"""),46063.68331530092)</f>
        <v>46063.68332</v>
      </c>
      <c r="B645" s="4"/>
      <c r="C645" s="4"/>
      <c r="D645" s="4"/>
      <c r="E645" s="4"/>
      <c r="F645" s="4"/>
      <c r="G645" s="85">
        <f>IFERROR(__xludf.DUMMYFUNCTION("""COMPUTED_VALUE"""),46064.68263888889)</f>
        <v>46064.68264</v>
      </c>
      <c r="H645" s="85" t="str">
        <f>IFERROR(__xludf.DUMMYFUNCTION("""COMPUTED_VALUE"""),"Enquire &amp; Coordinate with client")</f>
        <v>Enquire &amp; Coordinate with client</v>
      </c>
      <c r="I645" s="4" t="str">
        <f>IFERROR(__xludf.DUMMYFUNCTION("""COMPUTED_VALUE"""),"sales person - first shivani")</f>
        <v>sales person - first shivani</v>
      </c>
    </row>
    <row r="646">
      <c r="A646" s="85">
        <f>IFERROR(__xludf.DUMMYFUNCTION("""COMPUTED_VALUE"""),46063.73077907407)</f>
        <v>46063.73078</v>
      </c>
      <c r="B646" s="4"/>
      <c r="C646" s="4"/>
      <c r="D646" s="4"/>
      <c r="E646" s="4"/>
      <c r="F646" s="4"/>
      <c r="G646" s="85">
        <f>IFERROR(__xludf.DUMMYFUNCTION("""COMPUTED_VALUE"""),46064.73055555555)</f>
        <v>46064.73056</v>
      </c>
      <c r="H646" s="85" t="str">
        <f>IFERROR(__xludf.DUMMYFUNCTION("""COMPUTED_VALUE"""),"Enquire &amp; Coordinate with client")</f>
        <v>Enquire &amp; Coordinate with client</v>
      </c>
      <c r="I646" s="4" t="str">
        <f>IFERROR(__xludf.DUMMYFUNCTION("""COMPUTED_VALUE"""),"sales person - first shivani")</f>
        <v>sales person - first shivani</v>
      </c>
    </row>
    <row r="647">
      <c r="A647" s="85">
        <f>IFERROR(__xludf.DUMMYFUNCTION("""COMPUTED_VALUE"""),46063.7380403125)</f>
        <v>46063.73804</v>
      </c>
      <c r="B647" s="4"/>
      <c r="C647" s="4"/>
      <c r="D647" s="4"/>
      <c r="E647" s="4"/>
      <c r="F647" s="4"/>
      <c r="G647" s="85">
        <f>IFERROR(__xludf.DUMMYFUNCTION("""COMPUTED_VALUE"""),46064.7375)</f>
        <v>46064.7375</v>
      </c>
      <c r="H647" s="85" t="str">
        <f>IFERROR(__xludf.DUMMYFUNCTION("""COMPUTED_VALUE"""),"Enquire &amp; Coordinate with client")</f>
        <v>Enquire &amp; Coordinate with client</v>
      </c>
      <c r="I647" s="4" t="str">
        <f>IFERROR(__xludf.DUMMYFUNCTION("""COMPUTED_VALUE"""),"sales person - first shivani")</f>
        <v>sales person - first shivani</v>
      </c>
    </row>
    <row r="648">
      <c r="A648" s="85">
        <f>IFERROR(__xludf.DUMMYFUNCTION("""COMPUTED_VALUE"""),46063.741074212965)</f>
        <v>46063.74107</v>
      </c>
      <c r="B648" s="4"/>
      <c r="C648" s="4"/>
      <c r="D648" s="4"/>
      <c r="E648" s="4"/>
      <c r="F648" s="4"/>
      <c r="G648" s="85">
        <f>IFERROR(__xludf.DUMMYFUNCTION("""COMPUTED_VALUE"""),46064.74097222222)</f>
        <v>46064.74097</v>
      </c>
      <c r="H648" s="85" t="str">
        <f>IFERROR(__xludf.DUMMYFUNCTION("""COMPUTED_VALUE"""),"Enquire &amp; Coordinate with client")</f>
        <v>Enquire &amp; Coordinate with client</v>
      </c>
      <c r="I648" s="4" t="str">
        <f>IFERROR(__xludf.DUMMYFUNCTION("""COMPUTED_VALUE"""),"sales person - first shivani")</f>
        <v>sales person - first shivani</v>
      </c>
    </row>
    <row r="649">
      <c r="A649" s="85">
        <f>IFERROR(__xludf.DUMMYFUNCTION("""COMPUTED_VALUE"""),46065.55628265046)</f>
        <v>46065.55628</v>
      </c>
      <c r="B649" s="4"/>
      <c r="C649" s="4"/>
      <c r="D649" s="4"/>
      <c r="E649" s="4"/>
      <c r="F649" s="4"/>
      <c r="G649" s="85">
        <f>IFERROR(__xludf.DUMMYFUNCTION("""COMPUTED_VALUE"""),46066.55625)</f>
        <v>46066.55625</v>
      </c>
      <c r="H649" s="85" t="str">
        <f>IFERROR(__xludf.DUMMYFUNCTION("""COMPUTED_VALUE"""),"Enquire &amp; Coordinate with client")</f>
        <v>Enquire &amp; Coordinate with client</v>
      </c>
      <c r="I649" s="4" t="str">
        <f>IFERROR(__xludf.DUMMYFUNCTION("""COMPUTED_VALUE"""),"sales person - first shivani")</f>
        <v>sales person - first shivani</v>
      </c>
    </row>
    <row r="650">
      <c r="A650" s="85">
        <f>IFERROR(__xludf.DUMMYFUNCTION("""COMPUTED_VALUE"""),46066.673205983796)</f>
        <v>46066.67321</v>
      </c>
      <c r="B650" s="4"/>
      <c r="C650" s="4"/>
      <c r="D650" s="4"/>
      <c r="E650" s="4"/>
      <c r="F650" s="4"/>
      <c r="G650" s="85">
        <f>IFERROR(__xludf.DUMMYFUNCTION("""COMPUTED_VALUE"""),46067.67291666666)</f>
        <v>46067.67292</v>
      </c>
      <c r="H650" s="85" t="str">
        <f>IFERROR(__xludf.DUMMYFUNCTION("""COMPUTED_VALUE"""),"Enquire &amp; Coordinate with client")</f>
        <v>Enquire &amp; Coordinate with client</v>
      </c>
      <c r="I650" s="4" t="str">
        <f>IFERROR(__xludf.DUMMYFUNCTION("""COMPUTED_VALUE"""),"sales person - first shivani")</f>
        <v>sales person - first shivani</v>
      </c>
    </row>
    <row r="651">
      <c r="A651" s="85">
        <f>IFERROR(__xludf.DUMMYFUNCTION("""COMPUTED_VALUE"""),46071.63034765046)</f>
        <v>46071.63035</v>
      </c>
      <c r="B651" s="4"/>
      <c r="C651" s="4"/>
      <c r="D651" s="4"/>
      <c r="E651" s="4"/>
      <c r="F651" s="4"/>
      <c r="G651" s="85">
        <f>IFERROR(__xludf.DUMMYFUNCTION("""COMPUTED_VALUE"""),46072.62986111111)</f>
        <v>46072.62986</v>
      </c>
      <c r="H651" s="85" t="str">
        <f>IFERROR(__xludf.DUMMYFUNCTION("""COMPUTED_VALUE"""),"Enquire &amp; Coordinate with client")</f>
        <v>Enquire &amp; Coordinate with client</v>
      </c>
      <c r="I651" s="4" t="str">
        <f>IFERROR(__xludf.DUMMYFUNCTION("""COMPUTED_VALUE"""),"sales person - first shivani")</f>
        <v>sales person - first shivani</v>
      </c>
    </row>
    <row r="652">
      <c r="A652" s="85">
        <f>IFERROR(__xludf.DUMMYFUNCTION("""COMPUTED_VALUE"""),46071.63196976852)</f>
        <v>46071.63197</v>
      </c>
      <c r="B652" s="4"/>
      <c r="C652" s="4"/>
      <c r="D652" s="4"/>
      <c r="E652" s="4"/>
      <c r="F652" s="4"/>
      <c r="G652" s="85">
        <f>IFERROR(__xludf.DUMMYFUNCTION("""COMPUTED_VALUE"""),46072.631944444445)</f>
        <v>46072.63194</v>
      </c>
      <c r="H652" s="85" t="str">
        <f>IFERROR(__xludf.DUMMYFUNCTION("""COMPUTED_VALUE"""),"Enquire &amp; Coordinate with client")</f>
        <v>Enquire &amp; Coordinate with client</v>
      </c>
      <c r="I652" s="4" t="str">
        <f>IFERROR(__xludf.DUMMYFUNCTION("""COMPUTED_VALUE"""),"sales person - first shivani")</f>
        <v>sales person - first shivani</v>
      </c>
    </row>
    <row r="653">
      <c r="A653" s="85">
        <f>IFERROR(__xludf.DUMMYFUNCTION("""COMPUTED_VALUE"""),46071.635500185184)</f>
        <v>46071.6355</v>
      </c>
      <c r="B653" s="4"/>
      <c r="C653" s="4"/>
      <c r="D653" s="4"/>
      <c r="E653" s="4"/>
      <c r="F653" s="4"/>
      <c r="G653" s="85">
        <f>IFERROR(__xludf.DUMMYFUNCTION("""COMPUTED_VALUE"""),46072.63541666667)</f>
        <v>46072.63542</v>
      </c>
      <c r="H653" s="85" t="str">
        <f>IFERROR(__xludf.DUMMYFUNCTION("""COMPUTED_VALUE"""),"Enquire &amp; Coordinate with client")</f>
        <v>Enquire &amp; Coordinate with client</v>
      </c>
      <c r="I653" s="4" t="str">
        <f>IFERROR(__xludf.DUMMYFUNCTION("""COMPUTED_VALUE"""),"sales person - first shivani")</f>
        <v>sales person - first shivani</v>
      </c>
    </row>
    <row r="654">
      <c r="A654" s="85">
        <f>IFERROR(__xludf.DUMMYFUNCTION("""COMPUTED_VALUE"""),46071.65129074074)</f>
        <v>46071.65129</v>
      </c>
      <c r="B654" s="4"/>
      <c r="C654" s="4"/>
      <c r="D654" s="4"/>
      <c r="E654" s="4"/>
      <c r="F654" s="4"/>
      <c r="G654" s="85">
        <f>IFERROR(__xludf.DUMMYFUNCTION("""COMPUTED_VALUE"""),46072.65069444444)</f>
        <v>46072.65069</v>
      </c>
      <c r="H654" s="85" t="str">
        <f>IFERROR(__xludf.DUMMYFUNCTION("""COMPUTED_VALUE"""),"Enquire &amp; Coordinate with client")</f>
        <v>Enquire &amp; Coordinate with client</v>
      </c>
      <c r="I654" s="4" t="str">
        <f>IFERROR(__xludf.DUMMYFUNCTION("""COMPUTED_VALUE"""),"sales person - first shivani")</f>
        <v>sales person - first shivani</v>
      </c>
    </row>
    <row r="655">
      <c r="A655" s="85">
        <f>IFERROR(__xludf.DUMMYFUNCTION("""COMPUTED_VALUE"""),46071.68975175926)</f>
        <v>46071.68975</v>
      </c>
      <c r="B655" s="4"/>
      <c r="C655" s="4"/>
      <c r="D655" s="4"/>
      <c r="E655" s="4"/>
      <c r="F655" s="4"/>
      <c r="G655" s="85">
        <f>IFERROR(__xludf.DUMMYFUNCTION("""COMPUTED_VALUE"""),46072.68958333333)</f>
        <v>46072.68958</v>
      </c>
      <c r="H655" s="85" t="str">
        <f>IFERROR(__xludf.DUMMYFUNCTION("""COMPUTED_VALUE"""),"Enquire &amp; Coordinate with client")</f>
        <v>Enquire &amp; Coordinate with client</v>
      </c>
      <c r="I655" s="4" t="str">
        <f>IFERROR(__xludf.DUMMYFUNCTION("""COMPUTED_VALUE"""),"sales person - first shivani")</f>
        <v>sales person - first shivani</v>
      </c>
    </row>
    <row r="656">
      <c r="A656" s="85">
        <f>IFERROR(__xludf.DUMMYFUNCTION("""COMPUTED_VALUE"""),46071.69072321759)</f>
        <v>46071.69072</v>
      </c>
      <c r="B656" s="4"/>
      <c r="C656" s="4"/>
      <c r="D656" s="4"/>
      <c r="E656" s="4"/>
      <c r="F656" s="4"/>
      <c r="G656" s="85">
        <f>IFERROR(__xludf.DUMMYFUNCTION("""COMPUTED_VALUE"""),46072.69027777778)</f>
        <v>46072.69028</v>
      </c>
      <c r="H656" s="85" t="str">
        <f>IFERROR(__xludf.DUMMYFUNCTION("""COMPUTED_VALUE"""),"Enquire &amp; Coordinate with client")</f>
        <v>Enquire &amp; Coordinate with client</v>
      </c>
      <c r="I656" s="4" t="str">
        <f>IFERROR(__xludf.DUMMYFUNCTION("""COMPUTED_VALUE"""),"sales person - first shivani")</f>
        <v>sales person - first shivani</v>
      </c>
    </row>
    <row r="657">
      <c r="A657" s="85">
        <f>IFERROR(__xludf.DUMMYFUNCTION("""COMPUTED_VALUE"""),46071.69227767361)</f>
        <v>46071.69228</v>
      </c>
      <c r="B657" s="4"/>
      <c r="C657" s="4"/>
      <c r="D657" s="4"/>
      <c r="E657" s="4"/>
      <c r="F657" s="4"/>
      <c r="G657" s="85">
        <f>IFERROR(__xludf.DUMMYFUNCTION("""COMPUTED_VALUE"""),46072.691666666666)</f>
        <v>46072.69167</v>
      </c>
      <c r="H657" s="85" t="str">
        <f>IFERROR(__xludf.DUMMYFUNCTION("""COMPUTED_VALUE"""),"Enquire &amp; Coordinate with client")</f>
        <v>Enquire &amp; Coordinate with client</v>
      </c>
      <c r="I657" s="4" t="str">
        <f>IFERROR(__xludf.DUMMYFUNCTION("""COMPUTED_VALUE"""),"sales person - first shivani")</f>
        <v>sales person - first shivani</v>
      </c>
    </row>
    <row r="658">
      <c r="A658" s="85">
        <f>IFERROR(__xludf.DUMMYFUNCTION("""COMPUTED_VALUE"""),46071.69413215278)</f>
        <v>46071.69413</v>
      </c>
      <c r="B658" s="4"/>
      <c r="C658" s="4"/>
      <c r="D658" s="4"/>
      <c r="E658" s="4"/>
      <c r="F658" s="4"/>
      <c r="G658" s="85">
        <f>IFERROR(__xludf.DUMMYFUNCTION("""COMPUTED_VALUE"""),46072.69375)</f>
        <v>46072.69375</v>
      </c>
      <c r="H658" s="85" t="str">
        <f>IFERROR(__xludf.DUMMYFUNCTION("""COMPUTED_VALUE"""),"Enquire &amp; Coordinate with client")</f>
        <v>Enquire &amp; Coordinate with client</v>
      </c>
      <c r="I658" s="4" t="str">
        <f>IFERROR(__xludf.DUMMYFUNCTION("""COMPUTED_VALUE"""),"sales person - first shivani")</f>
        <v>sales person - first shivani</v>
      </c>
    </row>
    <row r="659">
      <c r="A659" s="85">
        <f>IFERROR(__xludf.DUMMYFUNCTION("""COMPUTED_VALUE"""),46071.69669248842)</f>
        <v>46071.69669</v>
      </c>
      <c r="B659" s="4"/>
      <c r="C659" s="4"/>
      <c r="D659" s="4"/>
      <c r="E659" s="4"/>
      <c r="F659" s="4"/>
      <c r="G659" s="85">
        <f>IFERROR(__xludf.DUMMYFUNCTION("""COMPUTED_VALUE"""),46072.69652777778)</f>
        <v>46072.69653</v>
      </c>
      <c r="H659" s="85" t="str">
        <f>IFERROR(__xludf.DUMMYFUNCTION("""COMPUTED_VALUE"""),"Enquire &amp; Coordinate with client")</f>
        <v>Enquire &amp; Coordinate with client</v>
      </c>
      <c r="I659" s="4" t="str">
        <f>IFERROR(__xludf.DUMMYFUNCTION("""COMPUTED_VALUE"""),"sales person - first shivani")</f>
        <v>sales person - first shivani</v>
      </c>
    </row>
    <row r="660">
      <c r="A660" s="85">
        <f>IFERROR(__xludf.DUMMYFUNCTION("""COMPUTED_VALUE"""),46071.69731023148)</f>
        <v>46071.69731</v>
      </c>
      <c r="B660" s="4"/>
      <c r="C660" s="4"/>
      <c r="D660" s="4"/>
      <c r="E660" s="4"/>
      <c r="F660" s="4"/>
      <c r="G660" s="85">
        <f>IFERROR(__xludf.DUMMYFUNCTION("""COMPUTED_VALUE"""),46072.697222222225)</f>
        <v>46072.69722</v>
      </c>
      <c r="H660" s="85" t="str">
        <f>IFERROR(__xludf.DUMMYFUNCTION("""COMPUTED_VALUE"""),"Enquire &amp; Coordinate with client")</f>
        <v>Enquire &amp; Coordinate with client</v>
      </c>
      <c r="I660" s="4" t="str">
        <f>IFERROR(__xludf.DUMMYFUNCTION("""COMPUTED_VALUE"""),"sales person - first shivani")</f>
        <v>sales person - first shivani</v>
      </c>
    </row>
    <row r="661">
      <c r="A661" s="85">
        <f>IFERROR(__xludf.DUMMYFUNCTION("""COMPUTED_VALUE"""),46071.69839883102)</f>
        <v>46071.6984</v>
      </c>
      <c r="B661" s="4"/>
      <c r="C661" s="4"/>
      <c r="D661" s="4"/>
      <c r="E661" s="4"/>
      <c r="F661" s="4"/>
      <c r="G661" s="85">
        <f>IFERROR(__xludf.DUMMYFUNCTION("""COMPUTED_VALUE"""),46072.69791666667)</f>
        <v>46072.69792</v>
      </c>
      <c r="H661" s="85" t="str">
        <f>IFERROR(__xludf.DUMMYFUNCTION("""COMPUTED_VALUE"""),"Enquire &amp; Coordinate with client")</f>
        <v>Enquire &amp; Coordinate with client</v>
      </c>
      <c r="I661" s="4" t="str">
        <f>IFERROR(__xludf.DUMMYFUNCTION("""COMPUTED_VALUE"""),"sales person - first shivani")</f>
        <v>sales person - first shivani</v>
      </c>
    </row>
    <row r="662">
      <c r="A662" s="85">
        <f>IFERROR(__xludf.DUMMYFUNCTION("""COMPUTED_VALUE"""),46071.69970346065)</f>
        <v>46071.6997</v>
      </c>
      <c r="B662" s="4"/>
      <c r="C662" s="4"/>
      <c r="D662" s="4"/>
      <c r="E662" s="4"/>
      <c r="F662" s="4"/>
      <c r="G662" s="85">
        <f>IFERROR(__xludf.DUMMYFUNCTION("""COMPUTED_VALUE"""),46072.69930555555)</f>
        <v>46072.69931</v>
      </c>
      <c r="H662" s="85" t="str">
        <f>IFERROR(__xludf.DUMMYFUNCTION("""COMPUTED_VALUE"""),"Enquire &amp; Coordinate with client")</f>
        <v>Enquire &amp; Coordinate with client</v>
      </c>
      <c r="I662" s="4" t="str">
        <f>IFERROR(__xludf.DUMMYFUNCTION("""COMPUTED_VALUE"""),"sales person - first shivani")</f>
        <v>sales person - first shivani</v>
      </c>
    </row>
    <row r="663">
      <c r="A663" s="85">
        <f>IFERROR(__xludf.DUMMYFUNCTION("""COMPUTED_VALUE"""),46071.725750937505)</f>
        <v>46071.72575</v>
      </c>
      <c r="B663" s="4"/>
      <c r="C663" s="4"/>
      <c r="D663" s="4"/>
      <c r="E663" s="4"/>
      <c r="F663" s="4"/>
      <c r="G663" s="85">
        <f>IFERROR(__xludf.DUMMYFUNCTION("""COMPUTED_VALUE"""),46072.725694444445)</f>
        <v>46072.72569</v>
      </c>
      <c r="H663" s="85" t="str">
        <f>IFERROR(__xludf.DUMMYFUNCTION("""COMPUTED_VALUE"""),"Enquire &amp; Coordinate with client")</f>
        <v>Enquire &amp; Coordinate with client</v>
      </c>
      <c r="I663" s="4" t="str">
        <f>IFERROR(__xludf.DUMMYFUNCTION("""COMPUTED_VALUE"""),"sales person - first shivani")</f>
        <v>sales person - first shivani</v>
      </c>
    </row>
    <row r="664">
      <c r="A664" s="85">
        <f>IFERROR(__xludf.DUMMYFUNCTION("""COMPUTED_VALUE"""),46072.62718079861)</f>
        <v>46072.62718</v>
      </c>
      <c r="B664" s="4"/>
      <c r="C664" s="4"/>
      <c r="D664" s="4"/>
      <c r="E664" s="4"/>
      <c r="F664" s="4"/>
      <c r="G664" s="85">
        <f>IFERROR(__xludf.DUMMYFUNCTION("""COMPUTED_VALUE"""),46073.62708333333)</f>
        <v>46073.62708</v>
      </c>
      <c r="H664" s="85" t="str">
        <f>IFERROR(__xludf.DUMMYFUNCTION("""COMPUTED_VALUE"""),"Enquire &amp; Coordinate with client")</f>
        <v>Enquire &amp; Coordinate with client</v>
      </c>
      <c r="I664" s="4" t="str">
        <f>IFERROR(__xludf.DUMMYFUNCTION("""COMPUTED_VALUE"""),"sales person - first shivani")</f>
        <v>sales person - first shivani</v>
      </c>
    </row>
    <row r="665">
      <c r="A665" s="85">
        <f>IFERROR(__xludf.DUMMYFUNCTION("""COMPUTED_VALUE"""),46073.57575837963)</f>
        <v>46073.57576</v>
      </c>
      <c r="B665" s="4"/>
      <c r="C665" s="4"/>
      <c r="D665" s="4"/>
      <c r="E665" s="4"/>
      <c r="F665" s="4"/>
      <c r="G665" s="85">
        <f>IFERROR(__xludf.DUMMYFUNCTION("""COMPUTED_VALUE"""),46074.575694444444)</f>
        <v>46074.57569</v>
      </c>
      <c r="H665" s="85" t="str">
        <f>IFERROR(__xludf.DUMMYFUNCTION("""COMPUTED_VALUE"""),"Enquire &amp; Coordinate with client")</f>
        <v>Enquire &amp; Coordinate with client</v>
      </c>
      <c r="I665" s="4" t="str">
        <f>IFERROR(__xludf.DUMMYFUNCTION("""COMPUTED_VALUE"""),"sales person - first shivani")</f>
        <v>sales person - first shivani</v>
      </c>
    </row>
    <row r="666">
      <c r="A666" s="85">
        <f>IFERROR(__xludf.DUMMYFUNCTION("""COMPUTED_VALUE"""),46073.57648481482)</f>
        <v>46073.57648</v>
      </c>
      <c r="B666" s="4"/>
      <c r="C666" s="4"/>
      <c r="D666" s="4"/>
      <c r="E666" s="4"/>
      <c r="F666" s="4"/>
      <c r="G666" s="85">
        <f>IFERROR(__xludf.DUMMYFUNCTION("""COMPUTED_VALUE"""),46074.57638888889)</f>
        <v>46074.57639</v>
      </c>
      <c r="H666" s="85" t="str">
        <f>IFERROR(__xludf.DUMMYFUNCTION("""COMPUTED_VALUE"""),"Enquire &amp; Coordinate with client")</f>
        <v>Enquire &amp; Coordinate with client</v>
      </c>
      <c r="I666" s="4" t="str">
        <f>IFERROR(__xludf.DUMMYFUNCTION("""COMPUTED_VALUE"""),"sales person - first shivani")</f>
        <v>sales person - first shivani</v>
      </c>
    </row>
    <row r="667">
      <c r="A667" s="85">
        <f>IFERROR(__xludf.DUMMYFUNCTION("""COMPUTED_VALUE"""),46073.57792833334)</f>
        <v>46073.57793</v>
      </c>
      <c r="B667" s="4"/>
      <c r="C667" s="4"/>
      <c r="D667" s="4"/>
      <c r="E667" s="4"/>
      <c r="F667" s="4"/>
      <c r="G667" s="85">
        <f>IFERROR(__xludf.DUMMYFUNCTION("""COMPUTED_VALUE"""),46074.57777777778)</f>
        <v>46074.57778</v>
      </c>
      <c r="H667" s="85" t="str">
        <f>IFERROR(__xludf.DUMMYFUNCTION("""COMPUTED_VALUE"""),"Enquire &amp; Coordinate with client")</f>
        <v>Enquire &amp; Coordinate with client</v>
      </c>
      <c r="I667" s="4" t="str">
        <f>IFERROR(__xludf.DUMMYFUNCTION("""COMPUTED_VALUE"""),"sales person - first shivani")</f>
        <v>sales person - first shivani</v>
      </c>
    </row>
    <row r="668">
      <c r="A668" s="85">
        <f>IFERROR(__xludf.DUMMYFUNCTION("""COMPUTED_VALUE"""),46073.774147013886)</f>
        <v>46073.77415</v>
      </c>
      <c r="B668" s="4"/>
      <c r="C668" s="4"/>
      <c r="D668" s="4"/>
      <c r="E668" s="4"/>
      <c r="F668" s="4"/>
      <c r="G668" s="85">
        <f>IFERROR(__xludf.DUMMYFUNCTION("""COMPUTED_VALUE"""),46074.773611111115)</f>
        <v>46074.77361</v>
      </c>
      <c r="H668" s="85" t="str">
        <f>IFERROR(__xludf.DUMMYFUNCTION("""COMPUTED_VALUE"""),"Enquire &amp; Coordinate with client")</f>
        <v>Enquire &amp; Coordinate with client</v>
      </c>
      <c r="I668" s="4" t="str">
        <f>IFERROR(__xludf.DUMMYFUNCTION("""COMPUTED_VALUE"""),"sales person - first shivani")</f>
        <v>sales person - first shivani</v>
      </c>
    </row>
    <row r="669">
      <c r="A669" s="85">
        <f>IFERROR(__xludf.DUMMYFUNCTION("""COMPUTED_VALUE"""),46073.775217696755)</f>
        <v>46073.77522</v>
      </c>
      <c r="B669" s="4"/>
      <c r="C669" s="4"/>
      <c r="D669" s="4"/>
      <c r="E669" s="4"/>
      <c r="F669" s="4"/>
      <c r="G669" s="85">
        <f>IFERROR(__xludf.DUMMYFUNCTION("""COMPUTED_VALUE"""),46074.775)</f>
        <v>46074.775</v>
      </c>
      <c r="H669" s="85" t="str">
        <f>IFERROR(__xludf.DUMMYFUNCTION("""COMPUTED_VALUE"""),"Enquire &amp; Coordinate with client")</f>
        <v>Enquire &amp; Coordinate with client</v>
      </c>
      <c r="I669" s="4" t="str">
        <f>IFERROR(__xludf.DUMMYFUNCTION("""COMPUTED_VALUE"""),"sales person - first shivani")</f>
        <v>sales person - first shivani</v>
      </c>
    </row>
    <row r="670">
      <c r="A670" s="85">
        <f>IFERROR(__xludf.DUMMYFUNCTION("""COMPUTED_VALUE"""),46073.776224699075)</f>
        <v>46073.77622</v>
      </c>
      <c r="B670" s="4"/>
      <c r="C670" s="4"/>
      <c r="D670" s="4"/>
      <c r="E670" s="4"/>
      <c r="F670" s="4"/>
      <c r="G670" s="85">
        <f>IFERROR(__xludf.DUMMYFUNCTION("""COMPUTED_VALUE"""),46074.77569444444)</f>
        <v>46074.77569</v>
      </c>
      <c r="H670" s="85" t="str">
        <f>IFERROR(__xludf.DUMMYFUNCTION("""COMPUTED_VALUE"""),"Enquire &amp; Coordinate with client")</f>
        <v>Enquire &amp; Coordinate with client</v>
      </c>
      <c r="I670" s="4" t="str">
        <f>IFERROR(__xludf.DUMMYFUNCTION("""COMPUTED_VALUE"""),"sales person - first shivani")</f>
        <v>sales person - first shivani</v>
      </c>
    </row>
    <row r="671">
      <c r="A671" s="85">
        <f>IFERROR(__xludf.DUMMYFUNCTION("""COMPUTED_VALUE"""),46073.777313645835)</f>
        <v>46073.77731</v>
      </c>
      <c r="B671" s="4"/>
      <c r="C671" s="4"/>
      <c r="D671" s="4"/>
      <c r="E671" s="4"/>
      <c r="F671" s="4"/>
      <c r="G671" s="85">
        <f>IFERROR(__xludf.DUMMYFUNCTION("""COMPUTED_VALUE"""),46074.777083333334)</f>
        <v>46074.77708</v>
      </c>
      <c r="H671" s="85" t="str">
        <f>IFERROR(__xludf.DUMMYFUNCTION("""COMPUTED_VALUE"""),"Enquire &amp; Coordinate with client")</f>
        <v>Enquire &amp; Coordinate with client</v>
      </c>
      <c r="I671" s="4" t="str">
        <f>IFERROR(__xludf.DUMMYFUNCTION("""COMPUTED_VALUE"""),"sales person - first shivani")</f>
        <v>sales person - first shivani</v>
      </c>
    </row>
    <row r="672">
      <c r="A672" s="85">
        <f>IFERROR(__xludf.DUMMYFUNCTION("""COMPUTED_VALUE"""),46073.777905393516)</f>
        <v>46073.77791</v>
      </c>
      <c r="B672" s="4"/>
      <c r="C672" s="4"/>
      <c r="D672" s="4"/>
      <c r="E672" s="4"/>
      <c r="F672" s="4"/>
      <c r="G672" s="85">
        <f>IFERROR(__xludf.DUMMYFUNCTION("""COMPUTED_VALUE"""),46074.77777777778)</f>
        <v>46074.77778</v>
      </c>
      <c r="H672" s="85" t="str">
        <f>IFERROR(__xludf.DUMMYFUNCTION("""COMPUTED_VALUE"""),"Enquire &amp; Coordinate with client")</f>
        <v>Enquire &amp; Coordinate with client</v>
      </c>
      <c r="I672" s="4" t="str">
        <f>IFERROR(__xludf.DUMMYFUNCTION("""COMPUTED_VALUE"""),"sales person - first shivani")</f>
        <v>sales person - first shivani</v>
      </c>
    </row>
    <row r="673">
      <c r="A673" s="85">
        <f>IFERROR(__xludf.DUMMYFUNCTION("""COMPUTED_VALUE"""),46074.75605697916)</f>
        <v>46074.75606</v>
      </c>
      <c r="B673" s="4"/>
      <c r="C673" s="4"/>
      <c r="D673" s="4"/>
      <c r="E673" s="4"/>
      <c r="F673" s="4"/>
      <c r="G673" s="85">
        <f>IFERROR(__xludf.DUMMYFUNCTION("""COMPUTED_VALUE"""),46075.75555555556)</f>
        <v>46075.75556</v>
      </c>
      <c r="H673" s="85" t="str">
        <f>IFERROR(__xludf.DUMMYFUNCTION("""COMPUTED_VALUE"""),"Enquire &amp; Coordinate with client")</f>
        <v>Enquire &amp; Coordinate with client</v>
      </c>
      <c r="I673" s="4" t="str">
        <f>IFERROR(__xludf.DUMMYFUNCTION("""COMPUTED_VALUE"""),"sales person - first shivani")</f>
        <v>sales person - first shivani</v>
      </c>
    </row>
    <row r="674">
      <c r="A674" s="85">
        <f>IFERROR(__xludf.DUMMYFUNCTION("""COMPUTED_VALUE"""),46074.75696460649)</f>
        <v>46074.75696</v>
      </c>
      <c r="B674" s="4"/>
      <c r="C674" s="4"/>
      <c r="D674" s="4"/>
      <c r="E674" s="4"/>
      <c r="F674" s="4"/>
      <c r="G674" s="85">
        <f>IFERROR(__xludf.DUMMYFUNCTION("""COMPUTED_VALUE"""),46075.756944444445)</f>
        <v>46075.75694</v>
      </c>
      <c r="H674" s="85" t="str">
        <f>IFERROR(__xludf.DUMMYFUNCTION("""COMPUTED_VALUE"""),"Enquire &amp; Coordinate with client")</f>
        <v>Enquire &amp; Coordinate with client</v>
      </c>
      <c r="I674" s="4" t="str">
        <f>IFERROR(__xludf.DUMMYFUNCTION("""COMPUTED_VALUE"""),"sales person - first shivani")</f>
        <v>sales person - first shivani</v>
      </c>
    </row>
    <row r="675">
      <c r="A675" s="85">
        <f>IFERROR(__xludf.DUMMYFUNCTION("""COMPUTED_VALUE"""),46077.67712719907)</f>
        <v>46077.67713</v>
      </c>
      <c r="B675" s="4"/>
      <c r="C675" s="4"/>
      <c r="D675" s="4"/>
      <c r="E675" s="4"/>
      <c r="F675" s="4"/>
      <c r="G675" s="85">
        <f>IFERROR(__xludf.DUMMYFUNCTION("""COMPUTED_VALUE"""),46078.67708333333)</f>
        <v>46078.67708</v>
      </c>
      <c r="H675" s="85" t="str">
        <f>IFERROR(__xludf.DUMMYFUNCTION("""COMPUTED_VALUE"""),"Enquire &amp; Coordinate with client")</f>
        <v>Enquire &amp; Coordinate with client</v>
      </c>
      <c r="I675" s="4" t="str">
        <f>IFERROR(__xludf.DUMMYFUNCTION("""COMPUTED_VALUE"""),"sales person - first shivani")</f>
        <v>sales person - first shivani</v>
      </c>
    </row>
    <row r="676">
      <c r="A676" s="85">
        <f>IFERROR(__xludf.DUMMYFUNCTION("""COMPUTED_VALUE"""),46077.67798118055)</f>
        <v>46077.67798</v>
      </c>
      <c r="B676" s="4"/>
      <c r="C676" s="4"/>
      <c r="D676" s="4"/>
      <c r="E676" s="4"/>
      <c r="F676" s="4"/>
      <c r="G676" s="85">
        <f>IFERROR(__xludf.DUMMYFUNCTION("""COMPUTED_VALUE"""),46078.677777777775)</f>
        <v>46078.67778</v>
      </c>
      <c r="H676" s="85" t="str">
        <f>IFERROR(__xludf.DUMMYFUNCTION("""COMPUTED_VALUE"""),"Enquire &amp; Coordinate with client")</f>
        <v>Enquire &amp; Coordinate with client</v>
      </c>
      <c r="I676" s="4" t="str">
        <f>IFERROR(__xludf.DUMMYFUNCTION("""COMPUTED_VALUE"""),"sales person - first shivani")</f>
        <v>sales person - first shivani</v>
      </c>
    </row>
    <row r="677">
      <c r="A677" s="85">
        <f>IFERROR(__xludf.DUMMYFUNCTION("""COMPUTED_VALUE"""),46077.679128703705)</f>
        <v>46077.67913</v>
      </c>
      <c r="B677" s="4"/>
      <c r="C677" s="4"/>
      <c r="D677" s="4"/>
      <c r="E677" s="4"/>
      <c r="F677" s="4"/>
      <c r="G677" s="85">
        <f>IFERROR(__xludf.DUMMYFUNCTION("""COMPUTED_VALUE"""),46078.67847222222)</f>
        <v>46078.67847</v>
      </c>
      <c r="H677" s="85" t="str">
        <f>IFERROR(__xludf.DUMMYFUNCTION("""COMPUTED_VALUE"""),"Enquire &amp; Coordinate with client")</f>
        <v>Enquire &amp; Coordinate with client</v>
      </c>
      <c r="I677" s="4" t="str">
        <f>IFERROR(__xludf.DUMMYFUNCTION("""COMPUTED_VALUE"""),"sales person - first shivani")</f>
        <v>sales person - first shivani</v>
      </c>
    </row>
    <row r="678">
      <c r="A678" s="85">
        <f>IFERROR(__xludf.DUMMYFUNCTION("""COMPUTED_VALUE"""),46077.70127006945)</f>
        <v>46077.70127</v>
      </c>
      <c r="B678" s="4"/>
      <c r="C678" s="4"/>
      <c r="D678" s="4"/>
      <c r="E678" s="4"/>
      <c r="F678" s="4"/>
      <c r="G678" s="85">
        <f>IFERROR(__xludf.DUMMYFUNCTION("""COMPUTED_VALUE"""),46078.700694444444)</f>
        <v>46078.70069</v>
      </c>
      <c r="H678" s="85" t="str">
        <f>IFERROR(__xludf.DUMMYFUNCTION("""COMPUTED_VALUE"""),"Enquire &amp; Coordinate with client")</f>
        <v>Enquire &amp; Coordinate with client</v>
      </c>
      <c r="I678" s="4" t="str">
        <f>IFERROR(__xludf.DUMMYFUNCTION("""COMPUTED_VALUE"""),"sales person - first shivani")</f>
        <v>sales person - first shivani</v>
      </c>
    </row>
    <row r="679">
      <c r="A679" s="85">
        <f>IFERROR(__xludf.DUMMYFUNCTION("""COMPUTED_VALUE"""),46077.70210005787)</f>
        <v>46077.7021</v>
      </c>
      <c r="B679" s="4"/>
      <c r="C679" s="4"/>
      <c r="D679" s="4"/>
      <c r="E679" s="4"/>
      <c r="F679" s="4"/>
      <c r="G679" s="85">
        <f>IFERROR(__xludf.DUMMYFUNCTION("""COMPUTED_VALUE"""),46078.70208333334)</f>
        <v>46078.70208</v>
      </c>
      <c r="H679" s="85" t="str">
        <f>IFERROR(__xludf.DUMMYFUNCTION("""COMPUTED_VALUE"""),"Enquire &amp; Coordinate with client")</f>
        <v>Enquire &amp; Coordinate with client</v>
      </c>
      <c r="I679" s="4" t="str">
        <f>IFERROR(__xludf.DUMMYFUNCTION("""COMPUTED_VALUE"""),"sales person - first shivani")</f>
        <v>sales person - first shivani</v>
      </c>
    </row>
    <row r="680">
      <c r="A680" s="85">
        <f>IFERROR(__xludf.DUMMYFUNCTION("""COMPUTED_VALUE"""),46077.70312690972)</f>
        <v>46077.70313</v>
      </c>
      <c r="B680" s="4"/>
      <c r="C680" s="4"/>
      <c r="D680" s="4"/>
      <c r="E680" s="4"/>
      <c r="F680" s="4"/>
      <c r="G680" s="85">
        <f>IFERROR(__xludf.DUMMYFUNCTION("""COMPUTED_VALUE"""),46078.70277777778)</f>
        <v>46078.70278</v>
      </c>
      <c r="H680" s="85" t="str">
        <f>IFERROR(__xludf.DUMMYFUNCTION("""COMPUTED_VALUE"""),"Enquire &amp; Coordinate with client")</f>
        <v>Enquire &amp; Coordinate with client</v>
      </c>
      <c r="I680" s="4" t="str">
        <f>IFERROR(__xludf.DUMMYFUNCTION("""COMPUTED_VALUE"""),"sales person - first shivani")</f>
        <v>sales person - first shivani</v>
      </c>
    </row>
    <row r="681">
      <c r="A681" s="85">
        <f>IFERROR(__xludf.DUMMYFUNCTION("""COMPUTED_VALUE"""),46077.70426412037)</f>
        <v>46077.70426</v>
      </c>
      <c r="B681" s="4"/>
      <c r="C681" s="4"/>
      <c r="D681" s="4"/>
      <c r="E681" s="4"/>
      <c r="F681" s="4"/>
      <c r="G681" s="85">
        <f>IFERROR(__xludf.DUMMYFUNCTION("""COMPUTED_VALUE"""),46078.70416666666)</f>
        <v>46078.70417</v>
      </c>
      <c r="H681" s="85" t="str">
        <f>IFERROR(__xludf.DUMMYFUNCTION("""COMPUTED_VALUE"""),"Enquire &amp; Coordinate with client")</f>
        <v>Enquire &amp; Coordinate with client</v>
      </c>
      <c r="I681" s="4" t="str">
        <f>IFERROR(__xludf.DUMMYFUNCTION("""COMPUTED_VALUE"""),"sales person - first shivani")</f>
        <v>sales person - first shivani</v>
      </c>
    </row>
    <row r="682">
      <c r="A682" s="85">
        <f>IFERROR(__xludf.DUMMYFUNCTION("""COMPUTED_VALUE"""),46077.71280695602)</f>
        <v>46077.71281</v>
      </c>
      <c r="B682" s="4"/>
      <c r="C682" s="4"/>
      <c r="D682" s="4"/>
      <c r="E682" s="4"/>
      <c r="F682" s="4"/>
      <c r="G682" s="85">
        <f>IFERROR(__xludf.DUMMYFUNCTION("""COMPUTED_VALUE"""),46078.7125)</f>
        <v>46078.7125</v>
      </c>
      <c r="H682" s="85" t="str">
        <f>IFERROR(__xludf.DUMMYFUNCTION("""COMPUTED_VALUE"""),"Enquire &amp; Coordinate with client")</f>
        <v>Enquire &amp; Coordinate with client</v>
      </c>
      <c r="I682" s="4" t="str">
        <f>IFERROR(__xludf.DUMMYFUNCTION("""COMPUTED_VALUE"""),"sales person - first shivani")</f>
        <v>sales person - first shivani</v>
      </c>
    </row>
    <row r="683">
      <c r="A683" s="85">
        <f>IFERROR(__xludf.DUMMYFUNCTION("""COMPUTED_VALUE"""),46080.60648490741)</f>
        <v>46080.60648</v>
      </c>
      <c r="B683" s="4"/>
      <c r="C683" s="4"/>
      <c r="D683" s="4"/>
      <c r="E683" s="4"/>
      <c r="F683" s="4"/>
      <c r="G683" s="85">
        <f>IFERROR(__xludf.DUMMYFUNCTION("""COMPUTED_VALUE"""),46081.60625)</f>
        <v>46081.60625</v>
      </c>
      <c r="H683" s="85" t="str">
        <f>IFERROR(__xludf.DUMMYFUNCTION("""COMPUTED_VALUE"""),"Enquire &amp; Coordinate with client")</f>
        <v>Enquire &amp; Coordinate with client</v>
      </c>
      <c r="I683" s="4" t="str">
        <f>IFERROR(__xludf.DUMMYFUNCTION("""COMPUTED_VALUE"""),"sales person - first shivani")</f>
        <v>sales person - first shivani</v>
      </c>
    </row>
    <row r="684">
      <c r="A684" s="85">
        <f>IFERROR(__xludf.DUMMYFUNCTION("""COMPUTED_VALUE"""),46080.60799247685)</f>
        <v>46080.60799</v>
      </c>
      <c r="B684" s="4"/>
      <c r="C684" s="4"/>
      <c r="D684" s="4"/>
      <c r="E684" s="4"/>
      <c r="F684" s="4"/>
      <c r="G684" s="85">
        <f>IFERROR(__xludf.DUMMYFUNCTION("""COMPUTED_VALUE"""),46081.60763888889)</f>
        <v>46081.60764</v>
      </c>
      <c r="H684" s="85" t="str">
        <f>IFERROR(__xludf.DUMMYFUNCTION("""COMPUTED_VALUE"""),"Enquire &amp; Coordinate with client")</f>
        <v>Enquire &amp; Coordinate with client</v>
      </c>
      <c r="I684" s="4" t="str">
        <f>IFERROR(__xludf.DUMMYFUNCTION("""COMPUTED_VALUE"""),"sales person - first shivani")</f>
        <v>sales person - first shivani</v>
      </c>
    </row>
    <row r="685">
      <c r="A685" s="85">
        <f>IFERROR(__xludf.DUMMYFUNCTION("""COMPUTED_VALUE"""),46080.612097708334)</f>
        <v>46080.6121</v>
      </c>
      <c r="B685" s="4"/>
      <c r="C685" s="4"/>
      <c r="D685" s="4"/>
      <c r="E685" s="4"/>
      <c r="F685" s="4"/>
      <c r="G685" s="85">
        <f>IFERROR(__xludf.DUMMYFUNCTION("""COMPUTED_VALUE"""),46081.611805555556)</f>
        <v>46081.61181</v>
      </c>
      <c r="H685" s="85" t="str">
        <f>IFERROR(__xludf.DUMMYFUNCTION("""COMPUTED_VALUE"""),"Enquire &amp; Coordinate with client")</f>
        <v>Enquire &amp; Coordinate with client</v>
      </c>
      <c r="I685" s="4" t="str">
        <f>IFERROR(__xludf.DUMMYFUNCTION("""COMPUTED_VALUE"""),"sales person - first shivani")</f>
        <v>sales person - first shivani</v>
      </c>
    </row>
    <row r="686">
      <c r="A686" s="85">
        <f>IFERROR(__xludf.DUMMYFUNCTION("""COMPUTED_VALUE"""),46080.613229305556)</f>
        <v>46080.61323</v>
      </c>
      <c r="B686" s="4"/>
      <c r="C686" s="4"/>
      <c r="D686" s="4"/>
      <c r="E686" s="4"/>
      <c r="F686" s="4"/>
      <c r="G686" s="85">
        <f>IFERROR(__xludf.DUMMYFUNCTION("""COMPUTED_VALUE"""),46081.61319444445)</f>
        <v>46081.61319</v>
      </c>
      <c r="H686" s="85" t="str">
        <f>IFERROR(__xludf.DUMMYFUNCTION("""COMPUTED_VALUE"""),"Enquire &amp; Coordinate with client")</f>
        <v>Enquire &amp; Coordinate with client</v>
      </c>
      <c r="I686" s="4" t="str">
        <f>IFERROR(__xludf.DUMMYFUNCTION("""COMPUTED_VALUE"""),"sales person - first shivani")</f>
        <v>sales person - first shivani</v>
      </c>
    </row>
    <row r="687">
      <c r="A687" s="85">
        <f>IFERROR(__xludf.DUMMYFUNCTION("""COMPUTED_VALUE"""),46080.644814189814)</f>
        <v>46080.64481</v>
      </c>
      <c r="B687" s="4"/>
      <c r="C687" s="4"/>
      <c r="D687" s="4"/>
      <c r="E687" s="4"/>
      <c r="F687" s="4"/>
      <c r="G687" s="85">
        <f>IFERROR(__xludf.DUMMYFUNCTION("""COMPUTED_VALUE"""),46081.64444444445)</f>
        <v>46081.64444</v>
      </c>
      <c r="H687" s="85" t="str">
        <f>IFERROR(__xludf.DUMMYFUNCTION("""COMPUTED_VALUE"""),"Enquire &amp; Coordinate with client")</f>
        <v>Enquire &amp; Coordinate with client</v>
      </c>
      <c r="I687" s="4" t="str">
        <f>IFERROR(__xludf.DUMMYFUNCTION("""COMPUTED_VALUE"""),"sales person - first shivani")</f>
        <v>sales person - first shivani</v>
      </c>
    </row>
    <row r="688">
      <c r="A688" s="85">
        <f>IFERROR(__xludf.DUMMYFUNCTION("""COMPUTED_VALUE"""),46080.71246012731)</f>
        <v>46080.71246</v>
      </c>
      <c r="B688" s="4"/>
      <c r="C688" s="4"/>
      <c r="D688" s="4"/>
      <c r="E688" s="4"/>
      <c r="F688" s="4"/>
      <c r="G688" s="85">
        <f>IFERROR(__xludf.DUMMYFUNCTION("""COMPUTED_VALUE"""),46081.711805555555)</f>
        <v>46081.71181</v>
      </c>
      <c r="H688" s="85" t="str">
        <f>IFERROR(__xludf.DUMMYFUNCTION("""COMPUTED_VALUE"""),"Enquire &amp; Coordinate with client")</f>
        <v>Enquire &amp; Coordinate with client</v>
      </c>
      <c r="I688" s="4" t="str">
        <f>IFERROR(__xludf.DUMMYFUNCTION("""COMPUTED_VALUE"""),"sales person - first shivani")</f>
        <v>sales person - first shivani</v>
      </c>
    </row>
    <row r="689">
      <c r="A689" s="85">
        <f>IFERROR(__xludf.DUMMYFUNCTION("""COMPUTED_VALUE"""),46080.71320274305)</f>
        <v>46080.7132</v>
      </c>
      <c r="B689" s="4"/>
      <c r="C689" s="4"/>
      <c r="D689" s="4"/>
      <c r="E689" s="4"/>
      <c r="F689" s="4"/>
      <c r="G689" s="85">
        <f>IFERROR(__xludf.DUMMYFUNCTION("""COMPUTED_VALUE"""),46081.71319444444)</f>
        <v>46081.71319</v>
      </c>
      <c r="H689" s="85" t="str">
        <f>IFERROR(__xludf.DUMMYFUNCTION("""COMPUTED_VALUE"""),"Enquire &amp; Coordinate with client")</f>
        <v>Enquire &amp; Coordinate with client</v>
      </c>
      <c r="I689" s="4" t="str">
        <f>IFERROR(__xludf.DUMMYFUNCTION("""COMPUTED_VALUE"""),"sales person - first shivani")</f>
        <v>sales person - first shivani</v>
      </c>
    </row>
    <row r="690">
      <c r="A690" s="85">
        <f>IFERROR(__xludf.DUMMYFUNCTION("""COMPUTED_VALUE"""),46080.71532631944)</f>
        <v>46080.71533</v>
      </c>
      <c r="B690" s="4"/>
      <c r="C690" s="4"/>
      <c r="D690" s="4"/>
      <c r="E690" s="4"/>
      <c r="F690" s="4"/>
      <c r="G690" s="85">
        <f>IFERROR(__xludf.DUMMYFUNCTION("""COMPUTED_VALUE"""),46081.71527777778)</f>
        <v>46081.71528</v>
      </c>
      <c r="H690" s="85" t="str">
        <f>IFERROR(__xludf.DUMMYFUNCTION("""COMPUTED_VALUE"""),"Enquire &amp; Coordinate with client")</f>
        <v>Enquire &amp; Coordinate with client</v>
      </c>
      <c r="I690" s="4" t="str">
        <f>IFERROR(__xludf.DUMMYFUNCTION("""COMPUTED_VALUE"""),"sales person - first shivani")</f>
        <v>sales person - first shivani</v>
      </c>
    </row>
    <row r="691">
      <c r="A691" s="85">
        <f>IFERROR(__xludf.DUMMYFUNCTION("""COMPUTED_VALUE"""),46101.66062457176)</f>
        <v>46101.66062</v>
      </c>
      <c r="B691" s="4"/>
      <c r="C691" s="4"/>
      <c r="D691" s="4"/>
      <c r="E691" s="4"/>
      <c r="F691" s="4"/>
      <c r="G691" s="85">
        <f>IFERROR(__xludf.DUMMYFUNCTION("""COMPUTED_VALUE"""),46102.660416666666)</f>
        <v>46102.66042</v>
      </c>
      <c r="H691" s="85" t="str">
        <f>IFERROR(__xludf.DUMMYFUNCTION("""COMPUTED_VALUE"""),"Enquire &amp; Coordinate with client")</f>
        <v>Enquire &amp; Coordinate with client</v>
      </c>
      <c r="I691" s="4" t="str">
        <f>IFERROR(__xludf.DUMMYFUNCTION("""COMPUTED_VALUE"""),"sales person - first shivani")</f>
        <v>sales person - first shivani</v>
      </c>
    </row>
    <row r="692">
      <c r="A692" s="85">
        <f>IFERROR(__xludf.DUMMYFUNCTION("""COMPUTED_VALUE"""),46101.66182459491)</f>
        <v>46101.66182</v>
      </c>
      <c r="B692" s="4"/>
      <c r="C692" s="4"/>
      <c r="D692" s="4"/>
      <c r="E692" s="4"/>
      <c r="F692" s="4"/>
      <c r="G692" s="85">
        <f>IFERROR(__xludf.DUMMYFUNCTION("""COMPUTED_VALUE"""),46102.66180555556)</f>
        <v>46102.66181</v>
      </c>
      <c r="H692" s="85" t="str">
        <f>IFERROR(__xludf.DUMMYFUNCTION("""COMPUTED_VALUE"""),"Enquire &amp; Coordinate with client")</f>
        <v>Enquire &amp; Coordinate with client</v>
      </c>
      <c r="I692" s="4" t="str">
        <f>IFERROR(__xludf.DUMMYFUNCTION("""COMPUTED_VALUE"""),"sales person - first shivani")</f>
        <v>sales person - first shivani</v>
      </c>
    </row>
    <row r="693">
      <c r="A693" s="85">
        <f>IFERROR(__xludf.DUMMYFUNCTION("""COMPUTED_VALUE"""),46101.663225034725)</f>
        <v>46101.66323</v>
      </c>
      <c r="B693" s="4"/>
      <c r="C693" s="4"/>
      <c r="D693" s="4"/>
      <c r="E693" s="4"/>
      <c r="F693" s="4"/>
      <c r="G693" s="85">
        <f>IFERROR(__xludf.DUMMYFUNCTION("""COMPUTED_VALUE"""),46102.663194444445)</f>
        <v>46102.66319</v>
      </c>
      <c r="H693" s="85" t="str">
        <f>IFERROR(__xludf.DUMMYFUNCTION("""COMPUTED_VALUE"""),"Enquire &amp; Coordinate with client")</f>
        <v>Enquire &amp; Coordinate with client</v>
      </c>
      <c r="I693" s="4" t="str">
        <f>IFERROR(__xludf.DUMMYFUNCTION("""COMPUTED_VALUE"""),"sales person - first shivani")</f>
        <v>sales person - first shivani</v>
      </c>
    </row>
    <row r="694">
      <c r="A694" s="85">
        <f>IFERROR(__xludf.DUMMYFUNCTION("""COMPUTED_VALUE"""),46101.66571261574)</f>
        <v>46101.66571</v>
      </c>
      <c r="B694" s="4"/>
      <c r="C694" s="4"/>
      <c r="D694" s="4"/>
      <c r="E694" s="4"/>
      <c r="F694" s="4"/>
      <c r="G694" s="85">
        <f>IFERROR(__xludf.DUMMYFUNCTION("""COMPUTED_VALUE"""),46102.66527777778)</f>
        <v>46102.66528</v>
      </c>
      <c r="H694" s="85" t="str">
        <f>IFERROR(__xludf.DUMMYFUNCTION("""COMPUTED_VALUE"""),"Enquire &amp; Coordinate with client")</f>
        <v>Enquire &amp; Coordinate with client</v>
      </c>
      <c r="I694" s="4" t="str">
        <f>IFERROR(__xludf.DUMMYFUNCTION("""COMPUTED_VALUE"""),"sales person - first shivani")</f>
        <v>sales person - first shivani</v>
      </c>
    </row>
    <row r="695">
      <c r="A695" s="85">
        <f>IFERROR(__xludf.DUMMYFUNCTION("""COMPUTED_VALUE"""),46101.66664472222)</f>
        <v>46101.66664</v>
      </c>
      <c r="B695" s="4"/>
      <c r="C695" s="4"/>
      <c r="D695" s="4"/>
      <c r="E695" s="4"/>
      <c r="F695" s="4"/>
      <c r="G695" s="85">
        <f>IFERROR(__xludf.DUMMYFUNCTION("""COMPUTED_VALUE"""),46102.665972222225)</f>
        <v>46102.66597</v>
      </c>
      <c r="H695" s="85" t="str">
        <f>IFERROR(__xludf.DUMMYFUNCTION("""COMPUTED_VALUE"""),"Enquire &amp; Coordinate with client")</f>
        <v>Enquire &amp; Coordinate with client</v>
      </c>
      <c r="I695" s="4" t="str">
        <f>IFERROR(__xludf.DUMMYFUNCTION("""COMPUTED_VALUE"""),"sales person - first shivani")</f>
        <v>sales person - first shivani</v>
      </c>
    </row>
    <row r="696">
      <c r="A696" s="85">
        <f>IFERROR(__xludf.DUMMYFUNCTION("""COMPUTED_VALUE"""),46101.66945747685)</f>
        <v>46101.66946</v>
      </c>
      <c r="B696" s="4"/>
      <c r="C696" s="4"/>
      <c r="D696" s="4"/>
      <c r="E696" s="4"/>
      <c r="F696" s="4"/>
      <c r="G696" s="85">
        <f>IFERROR(__xludf.DUMMYFUNCTION("""COMPUTED_VALUE"""),46102.669444444444)</f>
        <v>46102.66944</v>
      </c>
      <c r="H696" s="85" t="str">
        <f>IFERROR(__xludf.DUMMYFUNCTION("""COMPUTED_VALUE"""),"Enquire &amp; Coordinate with client")</f>
        <v>Enquire &amp; Coordinate with client</v>
      </c>
      <c r="I696" s="4" t="str">
        <f>IFERROR(__xludf.DUMMYFUNCTION("""COMPUTED_VALUE"""),"sales person - first shivani")</f>
        <v>sales person - first shivani</v>
      </c>
    </row>
    <row r="697">
      <c r="A697" s="85">
        <f>IFERROR(__xludf.DUMMYFUNCTION("""COMPUTED_VALUE"""),46101.670473275466)</f>
        <v>46101.67047</v>
      </c>
      <c r="B697" s="4"/>
      <c r="C697" s="4"/>
      <c r="D697" s="4"/>
      <c r="E697" s="4"/>
      <c r="F697" s="4"/>
      <c r="G697" s="85">
        <f>IFERROR(__xludf.DUMMYFUNCTION("""COMPUTED_VALUE"""),46102.67013888889)</f>
        <v>46102.67014</v>
      </c>
      <c r="H697" s="85" t="str">
        <f>IFERROR(__xludf.DUMMYFUNCTION("""COMPUTED_VALUE"""),"Enquire &amp; Coordinate with client")</f>
        <v>Enquire &amp; Coordinate with client</v>
      </c>
      <c r="I697" s="4" t="str">
        <f>IFERROR(__xludf.DUMMYFUNCTION("""COMPUTED_VALUE"""),"sales person - first shivani")</f>
        <v>sales person - first shivani</v>
      </c>
    </row>
    <row r="698">
      <c r="A698" s="85">
        <f>IFERROR(__xludf.DUMMYFUNCTION("""COMPUTED_VALUE"""),46101.672076840274)</f>
        <v>46101.67208</v>
      </c>
      <c r="B698" s="4"/>
      <c r="C698" s="4"/>
      <c r="D698" s="4"/>
      <c r="E698" s="4"/>
      <c r="F698" s="4"/>
      <c r="G698" s="85">
        <f>IFERROR(__xludf.DUMMYFUNCTION("""COMPUTED_VALUE"""),46102.67152777778)</f>
        <v>46102.67153</v>
      </c>
      <c r="H698" s="85" t="str">
        <f>IFERROR(__xludf.DUMMYFUNCTION("""COMPUTED_VALUE"""),"Enquire &amp; Coordinate with client")</f>
        <v>Enquire &amp; Coordinate with client</v>
      </c>
      <c r="I698" s="4" t="str">
        <f>IFERROR(__xludf.DUMMYFUNCTION("""COMPUTED_VALUE"""),"sales person - first shivani")</f>
        <v>sales person - first shivani</v>
      </c>
    </row>
    <row r="699">
      <c r="A699" s="85">
        <f>IFERROR(__xludf.DUMMYFUNCTION("""COMPUTED_VALUE"""),46101.67282074074)</f>
        <v>46101.67282</v>
      </c>
      <c r="B699" s="4"/>
      <c r="C699" s="4"/>
      <c r="D699" s="4"/>
      <c r="E699" s="4"/>
      <c r="F699" s="4"/>
      <c r="G699" s="85">
        <f>IFERROR(__xludf.DUMMYFUNCTION("""COMPUTED_VALUE"""),46102.67222222222)</f>
        <v>46102.67222</v>
      </c>
      <c r="H699" s="85" t="str">
        <f>IFERROR(__xludf.DUMMYFUNCTION("""COMPUTED_VALUE"""),"Enquire &amp; Coordinate with client")</f>
        <v>Enquire &amp; Coordinate with client</v>
      </c>
      <c r="I699" s="4" t="str">
        <f>IFERROR(__xludf.DUMMYFUNCTION("""COMPUTED_VALUE"""),"sales person - first shivani")</f>
        <v>sales person - first shivani</v>
      </c>
    </row>
    <row r="700">
      <c r="A700" s="85">
        <f>IFERROR(__xludf.DUMMYFUNCTION("""COMPUTED_VALUE"""),46101.67404405093)</f>
        <v>46101.67404</v>
      </c>
      <c r="B700" s="4"/>
      <c r="C700" s="4"/>
      <c r="D700" s="4"/>
      <c r="E700" s="4"/>
      <c r="F700" s="4"/>
      <c r="G700" s="85">
        <f>IFERROR(__xludf.DUMMYFUNCTION("""COMPUTED_VALUE"""),46102.67361111111)</f>
        <v>46102.67361</v>
      </c>
      <c r="H700" s="85" t="str">
        <f>IFERROR(__xludf.DUMMYFUNCTION("""COMPUTED_VALUE"""),"Enquire &amp; Coordinate with client")</f>
        <v>Enquire &amp; Coordinate with client</v>
      </c>
      <c r="I700" s="4" t="str">
        <f>IFERROR(__xludf.DUMMYFUNCTION("""COMPUTED_VALUE"""),"sales person - first shivani")</f>
        <v>sales person - first shivani</v>
      </c>
    </row>
    <row r="701">
      <c r="A701" s="85">
        <f>IFERROR(__xludf.DUMMYFUNCTION("""COMPUTED_VALUE"""),46101.68754391204)</f>
        <v>46101.68754</v>
      </c>
      <c r="B701" s="4"/>
      <c r="C701" s="4"/>
      <c r="D701" s="4"/>
      <c r="E701" s="4"/>
      <c r="F701" s="4"/>
      <c r="G701" s="85">
        <f>IFERROR(__xludf.DUMMYFUNCTION("""COMPUTED_VALUE"""),46102.6875)</f>
        <v>46102.6875</v>
      </c>
      <c r="H701" s="85" t="str">
        <f>IFERROR(__xludf.DUMMYFUNCTION("""COMPUTED_VALUE"""),"Enquire &amp; Coordinate with client")</f>
        <v>Enquire &amp; Coordinate with client</v>
      </c>
      <c r="I701" s="4" t="str">
        <f>IFERROR(__xludf.DUMMYFUNCTION("""COMPUTED_VALUE"""),"sales person - first shivani")</f>
        <v>sales person - first shivani</v>
      </c>
    </row>
    <row r="702">
      <c r="A702" s="85">
        <f>IFERROR(__xludf.DUMMYFUNCTION("""COMPUTED_VALUE"""),46101.689569988426)</f>
        <v>46101.68957</v>
      </c>
      <c r="B702" s="4"/>
      <c r="C702" s="4"/>
      <c r="D702" s="4"/>
      <c r="E702" s="4"/>
      <c r="F702" s="4"/>
      <c r="G702" s="85">
        <f>IFERROR(__xludf.DUMMYFUNCTION("""COMPUTED_VALUE"""),46102.68888888889)</f>
        <v>46102.68889</v>
      </c>
      <c r="H702" s="85" t="str">
        <f>IFERROR(__xludf.DUMMYFUNCTION("""COMPUTED_VALUE"""),"Enquire &amp; Coordinate with client")</f>
        <v>Enquire &amp; Coordinate with client</v>
      </c>
      <c r="I702" s="4" t="str">
        <f>IFERROR(__xludf.DUMMYFUNCTION("""COMPUTED_VALUE"""),"sales person - first shivani")</f>
        <v>sales person - first shivani</v>
      </c>
    </row>
    <row r="703">
      <c r="A703" s="85">
        <f>IFERROR(__xludf.DUMMYFUNCTION("""COMPUTED_VALUE"""),46101.69138381944)</f>
        <v>46101.69138</v>
      </c>
      <c r="B703" s="4"/>
      <c r="C703" s="4"/>
      <c r="D703" s="4"/>
      <c r="E703" s="4"/>
      <c r="F703" s="4"/>
      <c r="G703" s="85">
        <f>IFERROR(__xludf.DUMMYFUNCTION("""COMPUTED_VALUE"""),46102.69097222222)</f>
        <v>46102.69097</v>
      </c>
      <c r="H703" s="85" t="str">
        <f>IFERROR(__xludf.DUMMYFUNCTION("""COMPUTED_VALUE"""),"Enquire &amp; Coordinate with client")</f>
        <v>Enquire &amp; Coordinate with client</v>
      </c>
      <c r="I703" s="4" t="str">
        <f>IFERROR(__xludf.DUMMYFUNCTION("""COMPUTED_VALUE"""),"sales person - first shivani")</f>
        <v>sales person - first shivani</v>
      </c>
    </row>
    <row r="704">
      <c r="A704" s="85">
        <f>IFERROR(__xludf.DUMMYFUNCTION("""COMPUTED_VALUE"""),46101.692505648156)</f>
        <v>46101.69251</v>
      </c>
      <c r="B704" s="4"/>
      <c r="C704" s="4"/>
      <c r="D704" s="4"/>
      <c r="E704" s="4"/>
      <c r="F704" s="4"/>
      <c r="G704" s="85">
        <f>IFERROR(__xludf.DUMMYFUNCTION("""COMPUTED_VALUE"""),46102.69236111111)</f>
        <v>46102.69236</v>
      </c>
      <c r="H704" s="85" t="str">
        <f>IFERROR(__xludf.DUMMYFUNCTION("""COMPUTED_VALUE"""),"Enquire &amp; Coordinate with client")</f>
        <v>Enquire &amp; Coordinate with client</v>
      </c>
      <c r="I704" s="4" t="str">
        <f>IFERROR(__xludf.DUMMYFUNCTION("""COMPUTED_VALUE"""),"sales person - first shivani")</f>
        <v>sales person - first shivani</v>
      </c>
    </row>
    <row r="705">
      <c r="A705" s="85">
        <f>IFERROR(__xludf.DUMMYFUNCTION("""COMPUTED_VALUE"""),46101.695504131945)</f>
        <v>46101.6955</v>
      </c>
      <c r="B705" s="4"/>
      <c r="C705" s="4"/>
      <c r="D705" s="4"/>
      <c r="E705" s="4"/>
      <c r="F705" s="4"/>
      <c r="G705" s="85">
        <f>IFERROR(__xludf.DUMMYFUNCTION("""COMPUTED_VALUE"""),46102.695138888885)</f>
        <v>46102.69514</v>
      </c>
      <c r="H705" s="85" t="str">
        <f>IFERROR(__xludf.DUMMYFUNCTION("""COMPUTED_VALUE"""),"Enquire &amp; Coordinate with client")</f>
        <v>Enquire &amp; Coordinate with client</v>
      </c>
      <c r="I705" s="4" t="str">
        <f>IFERROR(__xludf.DUMMYFUNCTION("""COMPUTED_VALUE"""),"sales person - first shivani")</f>
        <v>sales person - first shivani</v>
      </c>
    </row>
    <row r="706">
      <c r="A706" s="85">
        <f>IFERROR(__xludf.DUMMYFUNCTION("""COMPUTED_VALUE"""),46103.54792748842)</f>
        <v>46103.54793</v>
      </c>
      <c r="B706" s="4"/>
      <c r="C706" s="4"/>
      <c r="D706" s="4"/>
      <c r="E706" s="4"/>
      <c r="F706" s="4"/>
      <c r="G706" s="85">
        <f>IFERROR(__xludf.DUMMYFUNCTION("""COMPUTED_VALUE"""),46105.54791666666)</f>
        <v>46105.54792</v>
      </c>
      <c r="H706" s="85" t="str">
        <f>IFERROR(__xludf.DUMMYFUNCTION("""COMPUTED_VALUE"""),"Enquire &amp; Coordinate with client")</f>
        <v>Enquire &amp; Coordinate with client</v>
      </c>
      <c r="I706" s="4" t="str">
        <f>IFERROR(__xludf.DUMMYFUNCTION("""COMPUTED_VALUE"""),"sales person - first shivani")</f>
        <v>sales person - first shivani</v>
      </c>
    </row>
    <row r="707">
      <c r="A707" s="85">
        <f>IFERROR(__xludf.DUMMYFUNCTION("""COMPUTED_VALUE"""),46103.54960123843)</f>
        <v>46103.5496</v>
      </c>
      <c r="B707" s="4"/>
      <c r="C707" s="4"/>
      <c r="D707" s="4"/>
      <c r="E707" s="4"/>
      <c r="F707" s="4"/>
      <c r="G707" s="85">
        <f>IFERROR(__xludf.DUMMYFUNCTION("""COMPUTED_VALUE"""),46105.549305555556)</f>
        <v>46105.54931</v>
      </c>
      <c r="H707" s="85" t="str">
        <f>IFERROR(__xludf.DUMMYFUNCTION("""COMPUTED_VALUE"""),"Enquire &amp; Coordinate with client")</f>
        <v>Enquire &amp; Coordinate with client</v>
      </c>
      <c r="I707" s="4" t="str">
        <f>IFERROR(__xludf.DUMMYFUNCTION("""COMPUTED_VALUE"""),"sales person - first shivani")</f>
        <v>sales person - first shivani</v>
      </c>
    </row>
    <row r="708">
      <c r="A708" s="85">
        <f>IFERROR(__xludf.DUMMYFUNCTION("""COMPUTED_VALUE"""),46103.55085421297)</f>
        <v>46103.55085</v>
      </c>
      <c r="B708" s="4"/>
      <c r="C708" s="4"/>
      <c r="D708" s="4"/>
      <c r="E708" s="4"/>
      <c r="F708" s="4"/>
      <c r="G708" s="85">
        <f>IFERROR(__xludf.DUMMYFUNCTION("""COMPUTED_VALUE"""),46105.55069444445)</f>
        <v>46105.55069</v>
      </c>
      <c r="H708" s="85" t="str">
        <f>IFERROR(__xludf.DUMMYFUNCTION("""COMPUTED_VALUE"""),"Enquire &amp; Coordinate with client")</f>
        <v>Enquire &amp; Coordinate with client</v>
      </c>
      <c r="I708" s="4" t="str">
        <f>IFERROR(__xludf.DUMMYFUNCTION("""COMPUTED_VALUE"""),"sales person - first shivani")</f>
        <v>sales person - first shivani</v>
      </c>
    </row>
    <row r="709">
      <c r="A709" s="85">
        <f>IFERROR(__xludf.DUMMYFUNCTION("""COMPUTED_VALUE"""),46103.55193194444)</f>
        <v>46103.55193</v>
      </c>
      <c r="B709" s="4"/>
      <c r="C709" s="4"/>
      <c r="D709" s="4"/>
      <c r="E709" s="4"/>
      <c r="F709" s="4"/>
      <c r="G709" s="85">
        <f>IFERROR(__xludf.DUMMYFUNCTION("""COMPUTED_VALUE"""),46105.55138888889)</f>
        <v>46105.55139</v>
      </c>
      <c r="H709" s="85" t="str">
        <f>IFERROR(__xludf.DUMMYFUNCTION("""COMPUTED_VALUE"""),"Enquire &amp; Coordinate with client")</f>
        <v>Enquire &amp; Coordinate with client</v>
      </c>
      <c r="I709" s="4" t="str">
        <f>IFERROR(__xludf.DUMMYFUNCTION("""COMPUTED_VALUE"""),"sales person - first shivani")</f>
        <v>sales person - first shivani</v>
      </c>
    </row>
    <row r="710">
      <c r="A710" s="85">
        <f>IFERROR(__xludf.DUMMYFUNCTION("""COMPUTED_VALUE"""),46106.6772397338)</f>
        <v>46106.67724</v>
      </c>
      <c r="B710" s="4"/>
      <c r="C710" s="4"/>
      <c r="D710" s="4"/>
      <c r="E710" s="4"/>
      <c r="F710" s="4"/>
      <c r="G710" s="85">
        <f>IFERROR(__xludf.DUMMYFUNCTION("""COMPUTED_VALUE"""),46107.67708333333)</f>
        <v>46107.67708</v>
      </c>
      <c r="H710" s="85" t="str">
        <f>IFERROR(__xludf.DUMMYFUNCTION("""COMPUTED_VALUE"""),"Enquire &amp; Coordinate with client")</f>
        <v>Enquire &amp; Coordinate with client</v>
      </c>
      <c r="I710" s="4" t="str">
        <f>IFERROR(__xludf.DUMMYFUNCTION("""COMPUTED_VALUE"""),"sales person - first shivani")</f>
        <v>sales person - first shivani</v>
      </c>
    </row>
    <row r="711">
      <c r="A711" s="85">
        <f>IFERROR(__xludf.DUMMYFUNCTION("""COMPUTED_VALUE"""),46106.6805202662)</f>
        <v>46106.68052</v>
      </c>
      <c r="B711" s="4"/>
      <c r="C711" s="4"/>
      <c r="D711" s="4"/>
      <c r="E711" s="4"/>
      <c r="F711" s="4"/>
      <c r="G711" s="85">
        <f>IFERROR(__xludf.DUMMYFUNCTION("""COMPUTED_VALUE"""),46107.679861111115)</f>
        <v>46107.67986</v>
      </c>
      <c r="H711" s="85" t="str">
        <f>IFERROR(__xludf.DUMMYFUNCTION("""COMPUTED_VALUE"""),"Enquire &amp; Coordinate with client")</f>
        <v>Enquire &amp; Coordinate with client</v>
      </c>
      <c r="I711" s="4" t="str">
        <f>IFERROR(__xludf.DUMMYFUNCTION("""COMPUTED_VALUE"""),"sales person - first shivani")</f>
        <v>sales person - first shivani</v>
      </c>
    </row>
    <row r="712">
      <c r="A712" s="85">
        <f>IFERROR(__xludf.DUMMYFUNCTION("""COMPUTED_VALUE"""),46106.68196140046)</f>
        <v>46106.68196</v>
      </c>
      <c r="B712" s="4"/>
      <c r="C712" s="4"/>
      <c r="D712" s="4"/>
      <c r="E712" s="4"/>
      <c r="F712" s="4"/>
      <c r="G712" s="85">
        <f>IFERROR(__xludf.DUMMYFUNCTION("""COMPUTED_VALUE"""),46107.68194444444)</f>
        <v>46107.68194</v>
      </c>
      <c r="H712" s="85" t="str">
        <f>IFERROR(__xludf.DUMMYFUNCTION("""COMPUTED_VALUE"""),"Enquire &amp; Coordinate with client")</f>
        <v>Enquire &amp; Coordinate with client</v>
      </c>
      <c r="I712" s="4" t="str">
        <f>IFERROR(__xludf.DUMMYFUNCTION("""COMPUTED_VALUE"""),"sales person - first shivani")</f>
        <v>sales person - first shivani</v>
      </c>
    </row>
    <row r="713">
      <c r="A713" s="85">
        <f>IFERROR(__xludf.DUMMYFUNCTION("""COMPUTED_VALUE"""),46106.68293159722)</f>
        <v>46106.68293</v>
      </c>
      <c r="B713" s="4"/>
      <c r="C713" s="4"/>
      <c r="D713" s="4"/>
      <c r="E713" s="4"/>
      <c r="F713" s="4"/>
      <c r="G713" s="85">
        <f>IFERROR(__xludf.DUMMYFUNCTION("""COMPUTED_VALUE"""),46107.68263888889)</f>
        <v>46107.68264</v>
      </c>
      <c r="H713" s="85" t="str">
        <f>IFERROR(__xludf.DUMMYFUNCTION("""COMPUTED_VALUE"""),"Enquire &amp; Coordinate with client")</f>
        <v>Enquire &amp; Coordinate with client</v>
      </c>
      <c r="I713" s="4" t="str">
        <f>IFERROR(__xludf.DUMMYFUNCTION("""COMPUTED_VALUE"""),"sales person - first shivani")</f>
        <v>sales person - first shivani</v>
      </c>
    </row>
    <row r="714">
      <c r="A714" s="85">
        <f>IFERROR(__xludf.DUMMYFUNCTION("""COMPUTED_VALUE"""),46106.687812129625)</f>
        <v>46106.68781</v>
      </c>
      <c r="B714" s="4"/>
      <c r="C714" s="4"/>
      <c r="D714" s="4"/>
      <c r="E714" s="4"/>
      <c r="F714" s="4"/>
      <c r="G714" s="85">
        <f>IFERROR(__xludf.DUMMYFUNCTION("""COMPUTED_VALUE"""),46107.6875)</f>
        <v>46107.6875</v>
      </c>
      <c r="H714" s="85" t="str">
        <f>IFERROR(__xludf.DUMMYFUNCTION("""COMPUTED_VALUE"""),"Enquire &amp; Coordinate with client")</f>
        <v>Enquire &amp; Coordinate with client</v>
      </c>
      <c r="I714" s="4" t="str">
        <f>IFERROR(__xludf.DUMMYFUNCTION("""COMPUTED_VALUE"""),"sales person - first shivani")</f>
        <v>sales person - first shivani</v>
      </c>
    </row>
    <row r="715">
      <c r="A715" s="85">
        <f>IFERROR(__xludf.DUMMYFUNCTION("""COMPUTED_VALUE"""),46106.68922125)</f>
        <v>46106.68922</v>
      </c>
      <c r="B715" s="4"/>
      <c r="C715" s="4"/>
      <c r="D715" s="4"/>
      <c r="E715" s="4"/>
      <c r="F715" s="4"/>
      <c r="G715" s="85">
        <f>IFERROR(__xludf.DUMMYFUNCTION("""COMPUTED_VALUE"""),46107.68888888889)</f>
        <v>46107.68889</v>
      </c>
      <c r="H715" s="85" t="str">
        <f>IFERROR(__xludf.DUMMYFUNCTION("""COMPUTED_VALUE"""),"Enquire &amp; Coordinate with client")</f>
        <v>Enquire &amp; Coordinate with client</v>
      </c>
      <c r="I715" s="4" t="str">
        <f>IFERROR(__xludf.DUMMYFUNCTION("""COMPUTED_VALUE"""),"sales person - first shivani")</f>
        <v>sales person - first shivani</v>
      </c>
    </row>
    <row r="716">
      <c r="A716" s="85">
        <f>IFERROR(__xludf.DUMMYFUNCTION("""COMPUTED_VALUE"""),46106.698751226846)</f>
        <v>46106.69875</v>
      </c>
      <c r="B716" s="4"/>
      <c r="C716" s="4"/>
      <c r="D716" s="4"/>
      <c r="E716" s="4"/>
      <c r="F716" s="4"/>
      <c r="G716" s="85">
        <f>IFERROR(__xludf.DUMMYFUNCTION("""COMPUTED_VALUE"""),46107.69861111111)</f>
        <v>46107.69861</v>
      </c>
      <c r="H716" s="85" t="str">
        <f>IFERROR(__xludf.DUMMYFUNCTION("""COMPUTED_VALUE"""),"Enquire &amp; Coordinate with client")</f>
        <v>Enquire &amp; Coordinate with client</v>
      </c>
      <c r="I716" s="4" t="str">
        <f>IFERROR(__xludf.DUMMYFUNCTION("""COMPUTED_VALUE"""),"sales person - first shivani")</f>
        <v>sales person - first shivani</v>
      </c>
    </row>
    <row r="717">
      <c r="A717" s="85">
        <f>IFERROR(__xludf.DUMMYFUNCTION("""COMPUTED_VALUE"""),46106.69948716435)</f>
        <v>46106.69949</v>
      </c>
      <c r="B717" s="4"/>
      <c r="C717" s="4"/>
      <c r="D717" s="4"/>
      <c r="E717" s="4"/>
      <c r="F717" s="4"/>
      <c r="G717" s="85">
        <f>IFERROR(__xludf.DUMMYFUNCTION("""COMPUTED_VALUE"""),46107.69930555555)</f>
        <v>46107.69931</v>
      </c>
      <c r="H717" s="85" t="str">
        <f>IFERROR(__xludf.DUMMYFUNCTION("""COMPUTED_VALUE"""),"Enquire &amp; Coordinate with client")</f>
        <v>Enquire &amp; Coordinate with client</v>
      </c>
      <c r="I717" s="4" t="str">
        <f>IFERROR(__xludf.DUMMYFUNCTION("""COMPUTED_VALUE"""),"sales person - first shivani")</f>
        <v>sales person - first shivani</v>
      </c>
    </row>
    <row r="718">
      <c r="A718" s="85">
        <f>IFERROR(__xludf.DUMMYFUNCTION("""COMPUTED_VALUE"""),46106.702505023146)</f>
        <v>46106.70251</v>
      </c>
      <c r="B718" s="4"/>
      <c r="C718" s="4"/>
      <c r="D718" s="4"/>
      <c r="E718" s="4"/>
      <c r="F718" s="4"/>
      <c r="G718" s="85">
        <f>IFERROR(__xludf.DUMMYFUNCTION("""COMPUTED_VALUE"""),46107.70208333334)</f>
        <v>46107.70208</v>
      </c>
      <c r="H718" s="85" t="str">
        <f>IFERROR(__xludf.DUMMYFUNCTION("""COMPUTED_VALUE"""),"Enquire &amp; Coordinate with client")</f>
        <v>Enquire &amp; Coordinate with client</v>
      </c>
      <c r="I718" s="4" t="str">
        <f>IFERROR(__xludf.DUMMYFUNCTION("""COMPUTED_VALUE"""),"sales person - first shivani")</f>
        <v>sales person - first shivani</v>
      </c>
    </row>
    <row r="719">
      <c r="A719" s="85">
        <f>IFERROR(__xludf.DUMMYFUNCTION("""COMPUTED_VALUE"""),46106.70475030092)</f>
        <v>46106.70475</v>
      </c>
      <c r="B719" s="4"/>
      <c r="C719" s="4"/>
      <c r="D719" s="4"/>
      <c r="E719" s="4"/>
      <c r="F719" s="4"/>
      <c r="G719" s="85">
        <f>IFERROR(__xludf.DUMMYFUNCTION("""COMPUTED_VALUE"""),46107.70416666666)</f>
        <v>46107.70417</v>
      </c>
      <c r="H719" s="85" t="str">
        <f>IFERROR(__xludf.DUMMYFUNCTION("""COMPUTED_VALUE"""),"Enquire &amp; Coordinate with client")</f>
        <v>Enquire &amp; Coordinate with client</v>
      </c>
      <c r="I719" s="4" t="str">
        <f>IFERROR(__xludf.DUMMYFUNCTION("""COMPUTED_VALUE"""),"sales person - first shivani")</f>
        <v>sales person - first shivani</v>
      </c>
    </row>
    <row r="720">
      <c r="A720" s="85">
        <f>IFERROR(__xludf.DUMMYFUNCTION("""COMPUTED_VALUE"""),46106.705356701386)</f>
        <v>46106.70536</v>
      </c>
      <c r="B720" s="4"/>
      <c r="C720" s="4"/>
      <c r="D720" s="4"/>
      <c r="E720" s="4"/>
      <c r="F720" s="4"/>
      <c r="G720" s="85">
        <f>IFERROR(__xludf.DUMMYFUNCTION("""COMPUTED_VALUE"""),46107.70486111111)</f>
        <v>46107.70486</v>
      </c>
      <c r="H720" s="85" t="str">
        <f>IFERROR(__xludf.DUMMYFUNCTION("""COMPUTED_VALUE"""),"Enquire &amp; Coordinate with client")</f>
        <v>Enquire &amp; Coordinate with client</v>
      </c>
      <c r="I720" s="4" t="str">
        <f>IFERROR(__xludf.DUMMYFUNCTION("""COMPUTED_VALUE"""),"sales person - first shivani")</f>
        <v>sales person - first shivani</v>
      </c>
    </row>
    <row r="721">
      <c r="A721" s="85">
        <f>IFERROR(__xludf.DUMMYFUNCTION("""COMPUTED_VALUE"""),46106.70614899306)</f>
        <v>46106.70615</v>
      </c>
      <c r="B721" s="4"/>
      <c r="C721" s="4"/>
      <c r="D721" s="4"/>
      <c r="E721" s="4"/>
      <c r="F721" s="4"/>
      <c r="G721" s="85">
        <f>IFERROR(__xludf.DUMMYFUNCTION("""COMPUTED_VALUE"""),46107.705555555556)</f>
        <v>46107.70556</v>
      </c>
      <c r="H721" s="85" t="str">
        <f>IFERROR(__xludf.DUMMYFUNCTION("""COMPUTED_VALUE"""),"Enquire &amp; Coordinate with client")</f>
        <v>Enquire &amp; Coordinate with client</v>
      </c>
      <c r="I721" s="4" t="str">
        <f>IFERROR(__xludf.DUMMYFUNCTION("""COMPUTED_VALUE"""),"sales person - first shivani")</f>
        <v>sales person - first shivani</v>
      </c>
    </row>
    <row r="722">
      <c r="A722" s="85">
        <f>IFERROR(__xludf.DUMMYFUNCTION("""COMPUTED_VALUE"""),46106.70667568287)</f>
        <v>46106.70668</v>
      </c>
      <c r="B722" s="4"/>
      <c r="C722" s="4"/>
      <c r="D722" s="4"/>
      <c r="E722" s="4"/>
      <c r="F722" s="4"/>
      <c r="G722" s="85">
        <f>IFERROR(__xludf.DUMMYFUNCTION("""COMPUTED_VALUE"""),46107.70625)</f>
        <v>46107.70625</v>
      </c>
      <c r="H722" s="85" t="str">
        <f>IFERROR(__xludf.DUMMYFUNCTION("""COMPUTED_VALUE"""),"Enquire &amp; Coordinate with client")</f>
        <v>Enquire &amp; Coordinate with client</v>
      </c>
      <c r="I722" s="4" t="str">
        <f>IFERROR(__xludf.DUMMYFUNCTION("""COMPUTED_VALUE"""),"sales person - first shivani")</f>
        <v>sales person - first shivani</v>
      </c>
    </row>
    <row r="723">
      <c r="A723" s="85">
        <f>IFERROR(__xludf.DUMMYFUNCTION("""COMPUTED_VALUE"""),46107.51857429399)</f>
        <v>46107.51857</v>
      </c>
      <c r="B723" s="4"/>
      <c r="C723" s="4"/>
      <c r="D723" s="4"/>
      <c r="E723" s="4"/>
      <c r="F723" s="4"/>
      <c r="G723" s="85">
        <f>IFERROR(__xludf.DUMMYFUNCTION("""COMPUTED_VALUE"""),46108.518055555556)</f>
        <v>46108.51806</v>
      </c>
      <c r="H723" s="85" t="str">
        <f>IFERROR(__xludf.DUMMYFUNCTION("""COMPUTED_VALUE"""),"Enquire &amp; Coordinate with client")</f>
        <v>Enquire &amp; Coordinate with client</v>
      </c>
      <c r="I723" s="4" t="str">
        <f>IFERROR(__xludf.DUMMYFUNCTION("""COMPUTED_VALUE"""),"sales person - first shivani")</f>
        <v>sales person - first shivani</v>
      </c>
    </row>
    <row r="724">
      <c r="A724" s="85">
        <f>IFERROR(__xludf.DUMMYFUNCTION("""COMPUTED_VALUE"""),46107.519986238425)</f>
        <v>46107.51999</v>
      </c>
      <c r="B724" s="4"/>
      <c r="C724" s="4"/>
      <c r="D724" s="4"/>
      <c r="E724" s="4"/>
      <c r="F724" s="4"/>
      <c r="G724" s="85">
        <f>IFERROR(__xludf.DUMMYFUNCTION("""COMPUTED_VALUE"""),46108.51944444445)</f>
        <v>46108.51944</v>
      </c>
      <c r="H724" s="85" t="str">
        <f>IFERROR(__xludf.DUMMYFUNCTION("""COMPUTED_VALUE"""),"Enquire &amp; Coordinate with client")</f>
        <v>Enquire &amp; Coordinate with client</v>
      </c>
      <c r="I724" s="4" t="str">
        <f>IFERROR(__xludf.DUMMYFUNCTION("""COMPUTED_VALUE"""),"sales person - first shivani")</f>
        <v>sales person - first shivani</v>
      </c>
    </row>
    <row r="725">
      <c r="A725" s="85">
        <f>IFERROR(__xludf.DUMMYFUNCTION("""COMPUTED_VALUE"""),46107.520765787034)</f>
        <v>46107.52077</v>
      </c>
      <c r="B725" s="4"/>
      <c r="C725" s="4"/>
      <c r="D725" s="4"/>
      <c r="E725" s="4"/>
      <c r="F725" s="4"/>
      <c r="G725" s="85">
        <f>IFERROR(__xludf.DUMMYFUNCTION("""COMPUTED_VALUE"""),46108.52013888889)</f>
        <v>46108.52014</v>
      </c>
      <c r="H725" s="85" t="str">
        <f>IFERROR(__xludf.DUMMYFUNCTION("""COMPUTED_VALUE"""),"Enquire &amp; Coordinate with client")</f>
        <v>Enquire &amp; Coordinate with client</v>
      </c>
      <c r="I725" s="4" t="str">
        <f>IFERROR(__xludf.DUMMYFUNCTION("""COMPUTED_VALUE"""),"sales person - first shivani")</f>
        <v>sales person - first shivani</v>
      </c>
    </row>
    <row r="726">
      <c r="A726" s="85">
        <f>IFERROR(__xludf.DUMMYFUNCTION("""COMPUTED_VALUE"""),46107.52201247685)</f>
        <v>46107.52201</v>
      </c>
      <c r="B726" s="4"/>
      <c r="C726" s="4"/>
      <c r="D726" s="4"/>
      <c r="E726" s="4"/>
      <c r="F726" s="4"/>
      <c r="G726" s="85">
        <f>IFERROR(__xludf.DUMMYFUNCTION("""COMPUTED_VALUE"""),46108.521527777775)</f>
        <v>46108.52153</v>
      </c>
      <c r="H726" s="85" t="str">
        <f>IFERROR(__xludf.DUMMYFUNCTION("""COMPUTED_VALUE"""),"Enquire &amp; Coordinate with client")</f>
        <v>Enquire &amp; Coordinate with client</v>
      </c>
      <c r="I726" s="4" t="str">
        <f>IFERROR(__xludf.DUMMYFUNCTION("""COMPUTED_VALUE"""),"sales person - first shivani")</f>
        <v>sales person - first shivani</v>
      </c>
    </row>
    <row r="727">
      <c r="A727" s="85">
        <f>IFERROR(__xludf.DUMMYFUNCTION("""COMPUTED_VALUE"""),46107.52255375)</f>
        <v>46107.52255</v>
      </c>
      <c r="B727" s="4"/>
      <c r="C727" s="4"/>
      <c r="D727" s="4"/>
      <c r="E727" s="4"/>
      <c r="F727" s="4"/>
      <c r="G727" s="85">
        <f>IFERROR(__xludf.DUMMYFUNCTION("""COMPUTED_VALUE"""),46108.52222222222)</f>
        <v>46108.52222</v>
      </c>
      <c r="H727" s="85" t="str">
        <f>IFERROR(__xludf.DUMMYFUNCTION("""COMPUTED_VALUE"""),"Enquire &amp; Coordinate with client")</f>
        <v>Enquire &amp; Coordinate with client</v>
      </c>
      <c r="I727" s="4" t="str">
        <f>IFERROR(__xludf.DUMMYFUNCTION("""COMPUTED_VALUE"""),"sales person - first shivani")</f>
        <v>sales person - first shivani</v>
      </c>
    </row>
    <row r="728">
      <c r="A728" s="85">
        <f>IFERROR(__xludf.DUMMYFUNCTION("""COMPUTED_VALUE"""),46107.52405850695)</f>
        <v>46107.52406</v>
      </c>
      <c r="B728" s="4"/>
      <c r="C728" s="4"/>
      <c r="D728" s="4"/>
      <c r="E728" s="4"/>
      <c r="F728" s="4"/>
      <c r="G728" s="85">
        <f>IFERROR(__xludf.DUMMYFUNCTION("""COMPUTED_VALUE"""),46108.523611111115)</f>
        <v>46108.52361</v>
      </c>
      <c r="H728" s="85" t="str">
        <f>IFERROR(__xludf.DUMMYFUNCTION("""COMPUTED_VALUE"""),"Enquire &amp; Coordinate with client")</f>
        <v>Enquire &amp; Coordinate with client</v>
      </c>
      <c r="I728" s="4" t="str">
        <f>IFERROR(__xludf.DUMMYFUNCTION("""COMPUTED_VALUE"""),"sales person - first shivani")</f>
        <v>sales person - first shivani</v>
      </c>
    </row>
    <row r="729">
      <c r="A729" s="85">
        <f>IFERROR(__xludf.DUMMYFUNCTION("""COMPUTED_VALUE"""),46107.524771956014)</f>
        <v>46107.52477</v>
      </c>
      <c r="B729" s="4"/>
      <c r="C729" s="4"/>
      <c r="D729" s="4"/>
      <c r="E729" s="4"/>
      <c r="F729" s="4"/>
      <c r="G729" s="85">
        <f>IFERROR(__xludf.DUMMYFUNCTION("""COMPUTED_VALUE"""),46108.524305555555)</f>
        <v>46108.52431</v>
      </c>
      <c r="H729" s="85" t="str">
        <f>IFERROR(__xludf.DUMMYFUNCTION("""COMPUTED_VALUE"""),"Enquire &amp; Coordinate with client")</f>
        <v>Enquire &amp; Coordinate with client</v>
      </c>
      <c r="I729" s="4" t="str">
        <f>IFERROR(__xludf.DUMMYFUNCTION("""COMPUTED_VALUE"""),"sales person - first shivani")</f>
        <v>sales person - first shivani</v>
      </c>
    </row>
    <row r="730">
      <c r="A730" s="85">
        <f>IFERROR(__xludf.DUMMYFUNCTION("""COMPUTED_VALUE"""),46107.527878402776)</f>
        <v>46107.52788</v>
      </c>
      <c r="B730" s="4"/>
      <c r="C730" s="4"/>
      <c r="D730" s="4"/>
      <c r="E730" s="4"/>
      <c r="F730" s="4"/>
      <c r="G730" s="85">
        <f>IFERROR(__xludf.DUMMYFUNCTION("""COMPUTED_VALUE"""),46108.52777777778)</f>
        <v>46108.52778</v>
      </c>
      <c r="H730" s="85" t="str">
        <f>IFERROR(__xludf.DUMMYFUNCTION("""COMPUTED_VALUE"""),"Enquire &amp; Coordinate with client")</f>
        <v>Enquire &amp; Coordinate with client</v>
      </c>
      <c r="I730" s="4" t="str">
        <f>IFERROR(__xludf.DUMMYFUNCTION("""COMPUTED_VALUE"""),"sales person - first shivani")</f>
        <v>sales person - first shivani</v>
      </c>
    </row>
    <row r="731">
      <c r="A731" s="85">
        <f>IFERROR(__xludf.DUMMYFUNCTION("""COMPUTED_VALUE"""),46107.528615613424)</f>
        <v>46107.52862</v>
      </c>
      <c r="B731" s="4"/>
      <c r="C731" s="4"/>
      <c r="D731" s="4"/>
      <c r="E731" s="4"/>
      <c r="F731" s="4"/>
      <c r="G731" s="85">
        <f>IFERROR(__xludf.DUMMYFUNCTION("""COMPUTED_VALUE"""),46108.52847222222)</f>
        <v>46108.52847</v>
      </c>
      <c r="H731" s="85" t="str">
        <f>IFERROR(__xludf.DUMMYFUNCTION("""COMPUTED_VALUE"""),"Enquire &amp; Coordinate with client")</f>
        <v>Enquire &amp; Coordinate with client</v>
      </c>
      <c r="I731" s="4" t="str">
        <f>IFERROR(__xludf.DUMMYFUNCTION("""COMPUTED_VALUE"""),"sales person - first shivani")</f>
        <v>sales person - first shivani</v>
      </c>
    </row>
    <row r="732">
      <c r="A732" s="85">
        <f>IFERROR(__xludf.DUMMYFUNCTION("""COMPUTED_VALUE"""),46107.52926181713)</f>
        <v>46107.52926</v>
      </c>
      <c r="B732" s="4"/>
      <c r="C732" s="4"/>
      <c r="D732" s="4"/>
      <c r="E732" s="4"/>
      <c r="F732" s="4"/>
      <c r="G732" s="85">
        <f>IFERROR(__xludf.DUMMYFUNCTION("""COMPUTED_VALUE"""),46108.52916666667)</f>
        <v>46108.52917</v>
      </c>
      <c r="H732" s="85" t="str">
        <f>IFERROR(__xludf.DUMMYFUNCTION("""COMPUTED_VALUE"""),"Enquire &amp; Coordinate with client")</f>
        <v>Enquire &amp; Coordinate with client</v>
      </c>
      <c r="I732" s="4" t="str">
        <f>IFERROR(__xludf.DUMMYFUNCTION("""COMPUTED_VALUE"""),"sales person - first shivani")</f>
        <v>sales person - first shivani</v>
      </c>
    </row>
    <row r="733">
      <c r="A733" s="85">
        <f>IFERROR(__xludf.DUMMYFUNCTION("""COMPUTED_VALUE"""),46107.530233321755)</f>
        <v>46107.53023</v>
      </c>
      <c r="B733" s="4"/>
      <c r="C733" s="4"/>
      <c r="D733" s="4"/>
      <c r="E733" s="4"/>
      <c r="F733" s="4"/>
      <c r="G733" s="85">
        <f>IFERROR(__xludf.DUMMYFUNCTION("""COMPUTED_VALUE"""),46108.52986111111)</f>
        <v>46108.52986</v>
      </c>
      <c r="H733" s="85" t="str">
        <f>IFERROR(__xludf.DUMMYFUNCTION("""COMPUTED_VALUE"""),"Enquire &amp; Coordinate with client")</f>
        <v>Enquire &amp; Coordinate with client</v>
      </c>
      <c r="I733" s="4" t="str">
        <f>IFERROR(__xludf.DUMMYFUNCTION("""COMPUTED_VALUE"""),"sales person - first shivani")</f>
        <v>sales person - first shivani</v>
      </c>
    </row>
    <row r="734">
      <c r="A734" s="85">
        <f>IFERROR(__xludf.DUMMYFUNCTION("""COMPUTED_VALUE"""),46107.530823437504)</f>
        <v>46107.53082</v>
      </c>
      <c r="B734" s="4"/>
      <c r="C734" s="4"/>
      <c r="D734" s="4"/>
      <c r="E734" s="4"/>
      <c r="F734" s="4"/>
      <c r="G734" s="85">
        <f>IFERROR(__xludf.DUMMYFUNCTION("""COMPUTED_VALUE"""),46108.53055555555)</f>
        <v>46108.53056</v>
      </c>
      <c r="H734" s="85" t="str">
        <f>IFERROR(__xludf.DUMMYFUNCTION("""COMPUTED_VALUE"""),"Enquire &amp; Coordinate with client")</f>
        <v>Enquire &amp; Coordinate with client</v>
      </c>
      <c r="I734" s="4" t="str">
        <f>IFERROR(__xludf.DUMMYFUNCTION("""COMPUTED_VALUE"""),"sales person - first shivani")</f>
        <v>sales person - first shivani</v>
      </c>
    </row>
    <row r="735">
      <c r="A735" s="85">
        <f>IFERROR(__xludf.DUMMYFUNCTION("""COMPUTED_VALUE"""),46108.53716248842)</f>
        <v>46108.53716</v>
      </c>
      <c r="B735" s="4"/>
      <c r="C735" s="4"/>
      <c r="D735" s="4"/>
      <c r="E735" s="4"/>
      <c r="F735" s="4"/>
      <c r="G735" s="85">
        <f>IFERROR(__xludf.DUMMYFUNCTION("""COMPUTED_VALUE"""),46109.53680555556)</f>
        <v>46109.53681</v>
      </c>
      <c r="H735" s="85" t="str">
        <f>IFERROR(__xludf.DUMMYFUNCTION("""COMPUTED_VALUE"""),"Enquire &amp; Coordinate with client")</f>
        <v>Enquire &amp; Coordinate with client</v>
      </c>
      <c r="I735" s="4" t="str">
        <f>IFERROR(__xludf.DUMMYFUNCTION("""COMPUTED_VALUE"""),"sales person - first shivani")</f>
        <v>sales person - first shivani</v>
      </c>
    </row>
    <row r="736">
      <c r="A736" s="85">
        <f>IFERROR(__xludf.DUMMYFUNCTION("""COMPUTED_VALUE"""),46108.53772075231)</f>
        <v>46108.53772</v>
      </c>
      <c r="B736" s="4"/>
      <c r="C736" s="4"/>
      <c r="D736" s="4"/>
      <c r="E736" s="4"/>
      <c r="F736" s="4"/>
      <c r="G736" s="85">
        <f>IFERROR(__xludf.DUMMYFUNCTION("""COMPUTED_VALUE"""),46109.5375)</f>
        <v>46109.5375</v>
      </c>
      <c r="H736" s="85" t="str">
        <f>IFERROR(__xludf.DUMMYFUNCTION("""COMPUTED_VALUE"""),"Enquire &amp; Coordinate with client")</f>
        <v>Enquire &amp; Coordinate with client</v>
      </c>
      <c r="I736" s="4" t="str">
        <f>IFERROR(__xludf.DUMMYFUNCTION("""COMPUTED_VALUE"""),"sales person - first shivani")</f>
        <v>sales person - first shivani</v>
      </c>
    </row>
    <row r="737">
      <c r="A737" s="85">
        <f>IFERROR(__xludf.DUMMYFUNCTION("""COMPUTED_VALUE"""),46108.53833795139)</f>
        <v>46108.53834</v>
      </c>
      <c r="B737" s="4"/>
      <c r="C737" s="4"/>
      <c r="D737" s="4"/>
      <c r="E737" s="4"/>
      <c r="F737" s="4"/>
      <c r="G737" s="85">
        <f>IFERROR(__xludf.DUMMYFUNCTION("""COMPUTED_VALUE"""),46109.538194444445)</f>
        <v>46109.53819</v>
      </c>
      <c r="H737" s="85" t="str">
        <f>IFERROR(__xludf.DUMMYFUNCTION("""COMPUTED_VALUE"""),"Enquire &amp; Coordinate with client")</f>
        <v>Enquire &amp; Coordinate with client</v>
      </c>
      <c r="I737" s="4" t="str">
        <f>IFERROR(__xludf.DUMMYFUNCTION("""COMPUTED_VALUE"""),"sales person - first shivani")</f>
        <v>sales person - first shivani</v>
      </c>
    </row>
    <row r="738">
      <c r="A738" s="85">
        <f>IFERROR(__xludf.DUMMYFUNCTION("""COMPUTED_VALUE"""),46108.70045128472)</f>
        <v>46108.70045</v>
      </c>
      <c r="B738" s="4"/>
      <c r="C738" s="4"/>
      <c r="D738" s="4"/>
      <c r="E738" s="4"/>
      <c r="F738" s="4"/>
      <c r="G738" s="85">
        <f>IFERROR(__xludf.DUMMYFUNCTION("""COMPUTED_VALUE"""),46109.7)</f>
        <v>46109.7</v>
      </c>
      <c r="H738" s="85" t="str">
        <f>IFERROR(__xludf.DUMMYFUNCTION("""COMPUTED_VALUE"""),"Enquire &amp; Coordinate with client")</f>
        <v>Enquire &amp; Coordinate with client</v>
      </c>
      <c r="I738" s="4" t="str">
        <f>IFERROR(__xludf.DUMMYFUNCTION("""COMPUTED_VALUE"""),"sales person - first shivani")</f>
        <v>sales person - first shivani</v>
      </c>
    </row>
    <row r="739">
      <c r="A739" s="85">
        <f>IFERROR(__xludf.DUMMYFUNCTION("""COMPUTED_VALUE"""),46108.70991989583)</f>
        <v>46108.70992</v>
      </c>
      <c r="B739" s="4"/>
      <c r="C739" s="4"/>
      <c r="D739" s="4"/>
      <c r="E739" s="4"/>
      <c r="F739" s="4"/>
      <c r="G739" s="85">
        <f>IFERROR(__xludf.DUMMYFUNCTION("""COMPUTED_VALUE"""),46109.70972222222)</f>
        <v>46109.70972</v>
      </c>
      <c r="H739" s="85" t="str">
        <f>IFERROR(__xludf.DUMMYFUNCTION("""COMPUTED_VALUE"""),"Enquire &amp; Coordinate with client")</f>
        <v>Enquire &amp; Coordinate with client</v>
      </c>
      <c r="I739" s="4" t="str">
        <f>IFERROR(__xludf.DUMMYFUNCTION("""COMPUTED_VALUE"""),"sales person - first shivani")</f>
        <v>sales person - first shivani</v>
      </c>
    </row>
    <row r="740">
      <c r="A740" s="85">
        <f>IFERROR(__xludf.DUMMYFUNCTION("""COMPUTED_VALUE"""),46108.71102711805)</f>
        <v>46108.71103</v>
      </c>
      <c r="B740" s="4"/>
      <c r="C740" s="4"/>
      <c r="D740" s="4"/>
      <c r="E740" s="4"/>
      <c r="F740" s="4"/>
      <c r="G740" s="85">
        <f>IFERROR(__xludf.DUMMYFUNCTION("""COMPUTED_VALUE"""),46109.71041666667)</f>
        <v>46109.71042</v>
      </c>
      <c r="H740" s="85" t="str">
        <f>IFERROR(__xludf.DUMMYFUNCTION("""COMPUTED_VALUE"""),"Enquire &amp; Coordinate with client")</f>
        <v>Enquire &amp; Coordinate with client</v>
      </c>
      <c r="I740" s="4" t="str">
        <f>IFERROR(__xludf.DUMMYFUNCTION("""COMPUTED_VALUE"""),"sales person - first shivani")</f>
        <v>sales person - first shivani</v>
      </c>
    </row>
    <row r="741">
      <c r="A741" s="85">
        <f>IFERROR(__xludf.DUMMYFUNCTION("""COMPUTED_VALUE"""),46108.730359664354)</f>
        <v>46108.73036</v>
      </c>
      <c r="B741" s="4"/>
      <c r="C741" s="4"/>
      <c r="D741" s="4"/>
      <c r="E741" s="4"/>
      <c r="F741" s="4"/>
      <c r="G741" s="85">
        <f>IFERROR(__xludf.DUMMYFUNCTION("""COMPUTED_VALUE"""),46109.72986111111)</f>
        <v>46109.72986</v>
      </c>
      <c r="H741" s="85" t="str">
        <f>IFERROR(__xludf.DUMMYFUNCTION("""COMPUTED_VALUE"""),"Enquire &amp; Coordinate with client")</f>
        <v>Enquire &amp; Coordinate with client</v>
      </c>
      <c r="I741" s="4" t="str">
        <f>IFERROR(__xludf.DUMMYFUNCTION("""COMPUTED_VALUE"""),"sales person - first shivani")</f>
        <v>sales person - first shivani</v>
      </c>
    </row>
    <row r="742">
      <c r="A742" s="85">
        <f>IFERROR(__xludf.DUMMYFUNCTION("""COMPUTED_VALUE"""),46108.753825902786)</f>
        <v>46108.75383</v>
      </c>
      <c r="B742" s="4"/>
      <c r="C742" s="4"/>
      <c r="D742" s="4"/>
      <c r="E742" s="4"/>
      <c r="F742" s="4"/>
      <c r="G742" s="85">
        <f>IFERROR(__xludf.DUMMYFUNCTION("""COMPUTED_VALUE"""),46109.75347222222)</f>
        <v>46109.75347</v>
      </c>
      <c r="H742" s="85" t="str">
        <f>IFERROR(__xludf.DUMMYFUNCTION("""COMPUTED_VALUE"""),"Enquire &amp; Coordinate with client")</f>
        <v>Enquire &amp; Coordinate with client</v>
      </c>
      <c r="I742" s="4" t="str">
        <f>IFERROR(__xludf.DUMMYFUNCTION("""COMPUTED_VALUE"""),"sales person - first shivani")</f>
        <v>sales person - first shivani</v>
      </c>
    </row>
    <row r="743">
      <c r="A743" s="85">
        <f>IFERROR(__xludf.DUMMYFUNCTION("""COMPUTED_VALUE"""),46108.75442907408)</f>
        <v>46108.75443</v>
      </c>
      <c r="B743" s="4"/>
      <c r="C743" s="4"/>
      <c r="D743" s="4"/>
      <c r="E743" s="4"/>
      <c r="F743" s="4"/>
      <c r="G743" s="85">
        <f>IFERROR(__xludf.DUMMYFUNCTION("""COMPUTED_VALUE"""),46109.754166666666)</f>
        <v>46109.75417</v>
      </c>
      <c r="H743" s="85" t="str">
        <f>IFERROR(__xludf.DUMMYFUNCTION("""COMPUTED_VALUE"""),"Enquire &amp; Coordinate with client")</f>
        <v>Enquire &amp; Coordinate with client</v>
      </c>
      <c r="I743" s="4" t="str">
        <f>IFERROR(__xludf.DUMMYFUNCTION("""COMPUTED_VALUE"""),"sales person - first shivani")</f>
        <v>sales person - first shivani</v>
      </c>
    </row>
    <row r="744">
      <c r="A744" s="85">
        <f>IFERROR(__xludf.DUMMYFUNCTION("""COMPUTED_VALUE"""),46108.75516170139)</f>
        <v>46108.75516</v>
      </c>
      <c r="B744" s="4"/>
      <c r="C744" s="4"/>
      <c r="D744" s="4"/>
      <c r="E744" s="4"/>
      <c r="F744" s="4"/>
      <c r="G744" s="85">
        <f>IFERROR(__xludf.DUMMYFUNCTION("""COMPUTED_VALUE"""),46109.75486111111)</f>
        <v>46109.75486</v>
      </c>
      <c r="H744" s="85" t="str">
        <f>IFERROR(__xludf.DUMMYFUNCTION("""COMPUTED_VALUE"""),"Enquire &amp; Coordinate with client")</f>
        <v>Enquire &amp; Coordinate with client</v>
      </c>
      <c r="I744" s="4" t="str">
        <f>IFERROR(__xludf.DUMMYFUNCTION("""COMPUTED_VALUE"""),"sales person - first shivani")</f>
        <v>sales person - first shivani</v>
      </c>
    </row>
    <row r="745">
      <c r="A745" s="85">
        <f>IFERROR(__xludf.DUMMYFUNCTION("""COMPUTED_VALUE"""),46108.75575738426)</f>
        <v>46108.75576</v>
      </c>
      <c r="B745" s="4"/>
      <c r="C745" s="4"/>
      <c r="D745" s="4"/>
      <c r="E745" s="4"/>
      <c r="F745" s="4"/>
      <c r="G745" s="85">
        <f>IFERROR(__xludf.DUMMYFUNCTION("""COMPUTED_VALUE"""),46109.75555555556)</f>
        <v>46109.75556</v>
      </c>
      <c r="H745" s="85" t="str">
        <f>IFERROR(__xludf.DUMMYFUNCTION("""COMPUTED_VALUE"""),"Enquire &amp; Coordinate with client")</f>
        <v>Enquire &amp; Coordinate with client</v>
      </c>
      <c r="I745" s="4" t="str">
        <f>IFERROR(__xludf.DUMMYFUNCTION("""COMPUTED_VALUE"""),"sales person - first shivani")</f>
        <v>sales person - first shivani</v>
      </c>
    </row>
    <row r="746">
      <c r="A746" s="85">
        <f>IFERROR(__xludf.DUMMYFUNCTION("""COMPUTED_VALUE"""),46112.64736521991)</f>
        <v>46112.64737</v>
      </c>
      <c r="B746" s="4"/>
      <c r="C746" s="4"/>
      <c r="D746" s="4"/>
      <c r="E746" s="4"/>
      <c r="F746" s="4"/>
      <c r="G746" s="85">
        <f>IFERROR(__xludf.DUMMYFUNCTION("""COMPUTED_VALUE"""),46113.64722222222)</f>
        <v>46113.64722</v>
      </c>
      <c r="H746" s="85" t="str">
        <f>IFERROR(__xludf.DUMMYFUNCTION("""COMPUTED_VALUE"""),"Enquire &amp; Coordinate with client")</f>
        <v>Enquire &amp; Coordinate with client</v>
      </c>
      <c r="I746" s="4" t="str">
        <f>IFERROR(__xludf.DUMMYFUNCTION("""COMPUTED_VALUE"""),"sales person - first shivani")</f>
        <v>sales person - first shivani</v>
      </c>
    </row>
    <row r="747">
      <c r="A747" s="85">
        <f>IFERROR(__xludf.DUMMYFUNCTION("""COMPUTED_VALUE"""),46113.64407106481)</f>
        <v>46113.64407</v>
      </c>
      <c r="B747" s="4"/>
      <c r="C747" s="4"/>
      <c r="D747" s="4"/>
      <c r="E747" s="4"/>
      <c r="F747" s="4"/>
      <c r="G747" s="85">
        <f>IFERROR(__xludf.DUMMYFUNCTION("""COMPUTED_VALUE"""),46114.64375)</f>
        <v>46114.64375</v>
      </c>
      <c r="H747" s="85" t="str">
        <f>IFERROR(__xludf.DUMMYFUNCTION("""COMPUTED_VALUE"""),"Enquire &amp; Coordinate with client")</f>
        <v>Enquire &amp; Coordinate with client</v>
      </c>
      <c r="I747" s="4" t="str">
        <f>IFERROR(__xludf.DUMMYFUNCTION("""COMPUTED_VALUE"""),"sales person - first shivani")</f>
        <v>sales person - first shivani</v>
      </c>
    </row>
    <row r="748">
      <c r="A748" s="85">
        <f>IFERROR(__xludf.DUMMYFUNCTION("""COMPUTED_VALUE"""),46113.64511704861)</f>
        <v>46113.64512</v>
      </c>
      <c r="B748" s="4"/>
      <c r="C748" s="4"/>
      <c r="D748" s="4"/>
      <c r="E748" s="4"/>
      <c r="F748" s="4"/>
      <c r="G748" s="85">
        <f>IFERROR(__xludf.DUMMYFUNCTION("""COMPUTED_VALUE"""),46114.64444444445)</f>
        <v>46114.64444</v>
      </c>
      <c r="H748" s="85" t="str">
        <f>IFERROR(__xludf.DUMMYFUNCTION("""COMPUTED_VALUE"""),"Enquire &amp; Coordinate with client")</f>
        <v>Enquire &amp; Coordinate with client</v>
      </c>
      <c r="I748" s="4" t="str">
        <f>IFERROR(__xludf.DUMMYFUNCTION("""COMPUTED_VALUE"""),"sales person - first shivani")</f>
        <v>sales person - first shivani</v>
      </c>
    </row>
    <row r="749">
      <c r="A749" s="85">
        <f>IFERROR(__xludf.DUMMYFUNCTION("""COMPUTED_VALUE"""),46114.8094031713)</f>
        <v>46114.8094</v>
      </c>
      <c r="B749" s="4"/>
      <c r="C749" s="4"/>
      <c r="D749" s="4"/>
      <c r="E749" s="4"/>
      <c r="F749" s="4"/>
      <c r="G749" s="85">
        <f>IFERROR(__xludf.DUMMYFUNCTION("""COMPUTED_VALUE"""),46115.80902777778)</f>
        <v>46115.80903</v>
      </c>
      <c r="H749" s="85" t="str">
        <f>IFERROR(__xludf.DUMMYFUNCTION("""COMPUTED_VALUE"""),"Enquire &amp; Coordinate with client")</f>
        <v>Enquire &amp; Coordinate with client</v>
      </c>
      <c r="I749" s="4" t="str">
        <f>IFERROR(__xludf.DUMMYFUNCTION("""COMPUTED_VALUE"""),"sales person - first shivani")</f>
        <v>sales person - first shivani</v>
      </c>
    </row>
    <row r="750">
      <c r="A750" s="85">
        <f>IFERROR(__xludf.DUMMYFUNCTION("""COMPUTED_VALUE"""),46115.51673164352)</f>
        <v>46115.51673</v>
      </c>
      <c r="B750" s="4"/>
      <c r="C750" s="4"/>
      <c r="D750" s="4"/>
      <c r="E750" s="4"/>
      <c r="F750" s="4"/>
      <c r="G750" s="85">
        <f>IFERROR(__xludf.DUMMYFUNCTION("""COMPUTED_VALUE"""),46116.51666666666)</f>
        <v>46116.51667</v>
      </c>
      <c r="H750" s="85" t="str">
        <f>IFERROR(__xludf.DUMMYFUNCTION("""COMPUTED_VALUE"""),"Enquire &amp; Coordinate with client")</f>
        <v>Enquire &amp; Coordinate with client</v>
      </c>
      <c r="I750" s="4" t="str">
        <f>IFERROR(__xludf.DUMMYFUNCTION("""COMPUTED_VALUE"""),"sales person - first shivani")</f>
        <v>sales person - first shivani</v>
      </c>
    </row>
    <row r="751">
      <c r="A751" s="85">
        <f>IFERROR(__xludf.DUMMYFUNCTION("""COMPUTED_VALUE"""),46115.51740684028)</f>
        <v>46115.51741</v>
      </c>
      <c r="B751" s="4"/>
      <c r="C751" s="4"/>
      <c r="D751" s="4"/>
      <c r="E751" s="4"/>
      <c r="F751" s="4"/>
      <c r="G751" s="85">
        <f>IFERROR(__xludf.DUMMYFUNCTION("""COMPUTED_VALUE"""),46116.51736111111)</f>
        <v>46116.51736</v>
      </c>
      <c r="H751" s="85" t="str">
        <f>IFERROR(__xludf.DUMMYFUNCTION("""COMPUTED_VALUE"""),"Enquire &amp; Coordinate with client")</f>
        <v>Enquire &amp; Coordinate with client</v>
      </c>
      <c r="I751" s="4" t="str">
        <f>IFERROR(__xludf.DUMMYFUNCTION("""COMPUTED_VALUE"""),"sales person - first shivani")</f>
        <v>sales person - first shivani</v>
      </c>
    </row>
    <row r="752">
      <c r="A752" s="85">
        <f>IFERROR(__xludf.DUMMYFUNCTION("""COMPUTED_VALUE"""),46115.519392581016)</f>
        <v>46115.51939</v>
      </c>
      <c r="B752" s="4"/>
      <c r="C752" s="4"/>
      <c r="D752" s="4"/>
      <c r="E752" s="4"/>
      <c r="F752" s="4"/>
      <c r="G752" s="85">
        <f>IFERROR(__xludf.DUMMYFUNCTION("""COMPUTED_VALUE"""),46116.51875)</f>
        <v>46116.51875</v>
      </c>
      <c r="H752" s="85" t="str">
        <f>IFERROR(__xludf.DUMMYFUNCTION("""COMPUTED_VALUE"""),"Enquire &amp; Coordinate with client")</f>
        <v>Enquire &amp; Coordinate with client</v>
      </c>
      <c r="I752" s="4" t="str">
        <f>IFERROR(__xludf.DUMMYFUNCTION("""COMPUTED_VALUE"""),"sales person - first shivani")</f>
        <v>sales person - first shivani</v>
      </c>
    </row>
    <row r="753">
      <c r="A753" s="85">
        <f>IFERROR(__xludf.DUMMYFUNCTION("""COMPUTED_VALUE"""),46115.51986914352)</f>
        <v>46115.51987</v>
      </c>
      <c r="B753" s="4"/>
      <c r="C753" s="4"/>
      <c r="D753" s="4"/>
      <c r="E753" s="4"/>
      <c r="F753" s="4"/>
      <c r="G753" s="85">
        <f>IFERROR(__xludf.DUMMYFUNCTION("""COMPUTED_VALUE"""),46116.51944444445)</f>
        <v>46116.51944</v>
      </c>
      <c r="H753" s="85" t="str">
        <f>IFERROR(__xludf.DUMMYFUNCTION("""COMPUTED_VALUE"""),"Enquire &amp; Coordinate with client")</f>
        <v>Enquire &amp; Coordinate with client</v>
      </c>
      <c r="I753" s="4" t="str">
        <f>IFERROR(__xludf.DUMMYFUNCTION("""COMPUTED_VALUE"""),"sales person - first shivani")</f>
        <v>sales person - first shivani</v>
      </c>
    </row>
    <row r="754">
      <c r="A754" s="85">
        <f>IFERROR(__xludf.DUMMYFUNCTION("""COMPUTED_VALUE"""),46115.520818379635)</f>
        <v>46115.52082</v>
      </c>
      <c r="B754" s="4"/>
      <c r="C754" s="4"/>
      <c r="D754" s="4"/>
      <c r="E754" s="4"/>
      <c r="F754" s="4"/>
      <c r="G754" s="85">
        <f>IFERROR(__xludf.DUMMYFUNCTION("""COMPUTED_VALUE"""),46116.52013888889)</f>
        <v>46116.52014</v>
      </c>
      <c r="H754" s="85" t="str">
        <f>IFERROR(__xludf.DUMMYFUNCTION("""COMPUTED_VALUE"""),"Enquire &amp; Coordinate with client")</f>
        <v>Enquire &amp; Coordinate with client</v>
      </c>
      <c r="I754" s="4" t="str">
        <f>IFERROR(__xludf.DUMMYFUNCTION("""COMPUTED_VALUE"""),"sales person - first shivani")</f>
        <v>sales person - first shivani</v>
      </c>
    </row>
    <row r="755">
      <c r="A755" s="85">
        <f>IFERROR(__xludf.DUMMYFUNCTION("""COMPUTED_VALUE"""),46115.52198366898)</f>
        <v>46115.52198</v>
      </c>
      <c r="B755" s="4"/>
      <c r="C755" s="4"/>
      <c r="D755" s="4"/>
      <c r="E755" s="4"/>
      <c r="F755" s="4"/>
      <c r="G755" s="85">
        <f>IFERROR(__xludf.DUMMYFUNCTION("""COMPUTED_VALUE"""),46116.521527777775)</f>
        <v>46116.52153</v>
      </c>
      <c r="H755" s="85" t="str">
        <f>IFERROR(__xludf.DUMMYFUNCTION("""COMPUTED_VALUE"""),"Enquire &amp; Coordinate with client")</f>
        <v>Enquire &amp; Coordinate with client</v>
      </c>
      <c r="I755" s="4" t="str">
        <f>IFERROR(__xludf.DUMMYFUNCTION("""COMPUTED_VALUE"""),"sales person - first shivani")</f>
        <v>sales person - first shivani</v>
      </c>
    </row>
    <row r="756">
      <c r="A756" s="85">
        <f>IFERROR(__xludf.DUMMYFUNCTION("""COMPUTED_VALUE"""),46115.52309693287)</f>
        <v>46115.5231</v>
      </c>
      <c r="B756" s="4"/>
      <c r="C756" s="4"/>
      <c r="D756" s="4"/>
      <c r="E756" s="4"/>
      <c r="F756" s="4"/>
      <c r="G756" s="85">
        <f>IFERROR(__xludf.DUMMYFUNCTION("""COMPUTED_VALUE"""),46116.52291666667)</f>
        <v>46116.52292</v>
      </c>
      <c r="H756" s="85" t="str">
        <f>IFERROR(__xludf.DUMMYFUNCTION("""COMPUTED_VALUE"""),"Enquire &amp; Coordinate with client")</f>
        <v>Enquire &amp; Coordinate with client</v>
      </c>
      <c r="I756" s="4" t="str">
        <f>IFERROR(__xludf.DUMMYFUNCTION("""COMPUTED_VALUE"""),"sales person - first shivani")</f>
        <v>sales person - first shivani</v>
      </c>
    </row>
    <row r="757">
      <c r="A757" s="85">
        <f>IFERROR(__xludf.DUMMYFUNCTION("""COMPUTED_VALUE"""),46115.526960717594)</f>
        <v>46115.52696</v>
      </c>
      <c r="B757" s="4"/>
      <c r="C757" s="4"/>
      <c r="D757" s="4"/>
      <c r="E757" s="4"/>
      <c r="F757" s="4"/>
      <c r="G757" s="85">
        <f>IFERROR(__xludf.DUMMYFUNCTION("""COMPUTED_VALUE"""),46116.52638888889)</f>
        <v>46116.52639</v>
      </c>
      <c r="H757" s="85" t="str">
        <f>IFERROR(__xludf.DUMMYFUNCTION("""COMPUTED_VALUE"""),"Enquire &amp; Coordinate with client")</f>
        <v>Enquire &amp; Coordinate with client</v>
      </c>
      <c r="I757" s="4" t="str">
        <f>IFERROR(__xludf.DUMMYFUNCTION("""COMPUTED_VALUE"""),"sales person - first shivani")</f>
        <v>sales person - first shivani</v>
      </c>
    </row>
    <row r="758">
      <c r="A758" s="85">
        <f>IFERROR(__xludf.DUMMYFUNCTION("""COMPUTED_VALUE"""),46115.52780506945)</f>
        <v>46115.52781</v>
      </c>
      <c r="B758" s="4"/>
      <c r="C758" s="4"/>
      <c r="D758" s="4"/>
      <c r="E758" s="4"/>
      <c r="F758" s="4"/>
      <c r="G758" s="85">
        <f>IFERROR(__xludf.DUMMYFUNCTION("""COMPUTED_VALUE"""),46116.52777777778)</f>
        <v>46116.52778</v>
      </c>
      <c r="H758" s="85" t="str">
        <f>IFERROR(__xludf.DUMMYFUNCTION("""COMPUTED_VALUE"""),"Enquire &amp; Coordinate with client")</f>
        <v>Enquire &amp; Coordinate with client</v>
      </c>
      <c r="I758" s="4" t="str">
        <f>IFERROR(__xludf.DUMMYFUNCTION("""COMPUTED_VALUE"""),"sales person - first shivani")</f>
        <v>sales person - first shivani</v>
      </c>
    </row>
    <row r="759">
      <c r="A759" s="85">
        <f>IFERROR(__xludf.DUMMYFUNCTION("""COMPUTED_VALUE"""),46115.52897767361)</f>
        <v>46115.52898</v>
      </c>
      <c r="B759" s="4"/>
      <c r="C759" s="4"/>
      <c r="D759" s="4"/>
      <c r="E759" s="4"/>
      <c r="F759" s="4"/>
      <c r="G759" s="85">
        <f>IFERROR(__xludf.DUMMYFUNCTION("""COMPUTED_VALUE"""),46116.52847222222)</f>
        <v>46116.52847</v>
      </c>
      <c r="H759" s="85" t="str">
        <f>IFERROR(__xludf.DUMMYFUNCTION("""COMPUTED_VALUE"""),"Enquire &amp; Coordinate with client")</f>
        <v>Enquire &amp; Coordinate with client</v>
      </c>
      <c r="I759" s="4" t="str">
        <f>IFERROR(__xludf.DUMMYFUNCTION("""COMPUTED_VALUE"""),"sales person - first shivani")</f>
        <v>sales person - first shivani</v>
      </c>
    </row>
    <row r="760">
      <c r="A760" s="85">
        <f>IFERROR(__xludf.DUMMYFUNCTION("""COMPUTED_VALUE"""),46115.529598518515)</f>
        <v>46115.5296</v>
      </c>
      <c r="B760" s="4"/>
      <c r="C760" s="4"/>
      <c r="D760" s="4"/>
      <c r="E760" s="4"/>
      <c r="F760" s="4"/>
      <c r="G760" s="85">
        <f>IFERROR(__xludf.DUMMYFUNCTION("""COMPUTED_VALUE"""),46116.52916666667)</f>
        <v>46116.52917</v>
      </c>
      <c r="H760" s="85" t="str">
        <f>IFERROR(__xludf.DUMMYFUNCTION("""COMPUTED_VALUE"""),"Enquire &amp; Coordinate with client")</f>
        <v>Enquire &amp; Coordinate with client</v>
      </c>
      <c r="I760" s="4" t="str">
        <f>IFERROR(__xludf.DUMMYFUNCTION("""COMPUTED_VALUE"""),"sales person - first shivani")</f>
        <v>sales person - first shivani</v>
      </c>
    </row>
    <row r="761">
      <c r="A761" s="85">
        <f>IFERROR(__xludf.DUMMYFUNCTION("""COMPUTED_VALUE"""),46115.53035108796)</f>
        <v>46115.53035</v>
      </c>
      <c r="B761" s="4"/>
      <c r="C761" s="4"/>
      <c r="D761" s="4"/>
      <c r="E761" s="4"/>
      <c r="F761" s="4"/>
      <c r="G761" s="85">
        <f>IFERROR(__xludf.DUMMYFUNCTION("""COMPUTED_VALUE"""),46116.52986111111)</f>
        <v>46116.52986</v>
      </c>
      <c r="H761" s="85" t="str">
        <f>IFERROR(__xludf.DUMMYFUNCTION("""COMPUTED_VALUE"""),"Enquire &amp; Coordinate with client")</f>
        <v>Enquire &amp; Coordinate with client</v>
      </c>
      <c r="I761" s="4" t="str">
        <f>IFERROR(__xludf.DUMMYFUNCTION("""COMPUTED_VALUE"""),"sales person - first shivani")</f>
        <v>sales person - first shivani</v>
      </c>
    </row>
    <row r="762">
      <c r="A762" s="85">
        <f>IFERROR(__xludf.DUMMYFUNCTION("""COMPUTED_VALUE"""),46115.531230601846)</f>
        <v>46115.53123</v>
      </c>
      <c r="B762" s="4"/>
      <c r="C762" s="4"/>
      <c r="D762" s="4"/>
      <c r="E762" s="4"/>
      <c r="F762" s="4"/>
      <c r="G762" s="85">
        <f>IFERROR(__xludf.DUMMYFUNCTION("""COMPUTED_VALUE"""),46116.53055555555)</f>
        <v>46116.53056</v>
      </c>
      <c r="H762" s="85" t="str">
        <f>IFERROR(__xludf.DUMMYFUNCTION("""COMPUTED_VALUE"""),"Enquire &amp; Coordinate with client")</f>
        <v>Enquire &amp; Coordinate with client</v>
      </c>
      <c r="I762" s="4" t="str">
        <f>IFERROR(__xludf.DUMMYFUNCTION("""COMPUTED_VALUE"""),"sales person - first shivani")</f>
        <v>sales person - first shivani</v>
      </c>
    </row>
    <row r="763">
      <c r="A763" s="85">
        <f>IFERROR(__xludf.DUMMYFUNCTION("""COMPUTED_VALUE"""),46115.531987650465)</f>
        <v>46115.53199</v>
      </c>
      <c r="B763" s="4"/>
      <c r="C763" s="4"/>
      <c r="D763" s="4"/>
      <c r="E763" s="4"/>
      <c r="F763" s="4"/>
      <c r="G763" s="85">
        <f>IFERROR(__xludf.DUMMYFUNCTION("""COMPUTED_VALUE"""),46116.53194444445)</f>
        <v>46116.53194</v>
      </c>
      <c r="H763" s="85" t="str">
        <f>IFERROR(__xludf.DUMMYFUNCTION("""COMPUTED_VALUE"""),"Enquire &amp; Coordinate with client")</f>
        <v>Enquire &amp; Coordinate with client</v>
      </c>
      <c r="I763" s="4" t="str">
        <f>IFERROR(__xludf.DUMMYFUNCTION("""COMPUTED_VALUE"""),"sales person - first shivani")</f>
        <v>sales person - first shivani</v>
      </c>
    </row>
    <row r="764">
      <c r="A764" s="85">
        <f>IFERROR(__xludf.DUMMYFUNCTION("""COMPUTED_VALUE"""),46115.53252501157)</f>
        <v>46115.53253</v>
      </c>
      <c r="B764" s="4"/>
      <c r="C764" s="4"/>
      <c r="D764" s="4"/>
      <c r="E764" s="4"/>
      <c r="F764" s="4"/>
      <c r="G764" s="85">
        <f>IFERROR(__xludf.DUMMYFUNCTION("""COMPUTED_VALUE"""),46116.53194444445)</f>
        <v>46116.53194</v>
      </c>
      <c r="H764" s="85" t="str">
        <f>IFERROR(__xludf.DUMMYFUNCTION("""COMPUTED_VALUE"""),"Enquire &amp; Coordinate with client")</f>
        <v>Enquire &amp; Coordinate with client</v>
      </c>
      <c r="I764" s="4" t="str">
        <f>IFERROR(__xludf.DUMMYFUNCTION("""COMPUTED_VALUE"""),"sales person - first shivani")</f>
        <v>sales person - first shivani</v>
      </c>
    </row>
    <row r="765">
      <c r="A765" s="85">
        <f>IFERROR(__xludf.DUMMYFUNCTION("""COMPUTED_VALUE"""),46116.55296075231)</f>
        <v>46116.55296</v>
      </c>
      <c r="B765" s="4"/>
      <c r="C765" s="4"/>
      <c r="D765" s="4"/>
      <c r="E765" s="4"/>
      <c r="F765" s="4"/>
      <c r="G765" s="85">
        <f>IFERROR(__xludf.DUMMYFUNCTION("""COMPUTED_VALUE"""),46117.552777777775)</f>
        <v>46117.55278</v>
      </c>
      <c r="H765" s="85" t="str">
        <f>IFERROR(__xludf.DUMMYFUNCTION("""COMPUTED_VALUE"""),"Enquire &amp; Coordinate with client")</f>
        <v>Enquire &amp; Coordinate with client</v>
      </c>
      <c r="I765" s="4" t="str">
        <f>IFERROR(__xludf.DUMMYFUNCTION("""COMPUTED_VALUE"""),"sales person - first shivani")</f>
        <v>sales person - first shivani</v>
      </c>
    </row>
    <row r="766">
      <c r="A766" s="85">
        <f>IFERROR(__xludf.DUMMYFUNCTION("""COMPUTED_VALUE"""),46116.56805699074)</f>
        <v>46116.56806</v>
      </c>
      <c r="B766" s="4"/>
      <c r="C766" s="4"/>
      <c r="D766" s="4"/>
      <c r="E766" s="4"/>
      <c r="F766" s="4"/>
      <c r="G766" s="85">
        <f>IFERROR(__xludf.DUMMYFUNCTION("""COMPUTED_VALUE"""),46117.56805555556)</f>
        <v>46117.56806</v>
      </c>
      <c r="H766" s="85" t="str">
        <f>IFERROR(__xludf.DUMMYFUNCTION("""COMPUTED_VALUE"""),"Enquire &amp; Coordinate with client")</f>
        <v>Enquire &amp; Coordinate with client</v>
      </c>
      <c r="I766" s="4" t="str">
        <f>IFERROR(__xludf.DUMMYFUNCTION("""COMPUTED_VALUE"""),"sales person - first shivani")</f>
        <v>sales person - first shivani</v>
      </c>
    </row>
    <row r="767">
      <c r="A767" s="85">
        <f>IFERROR(__xludf.DUMMYFUNCTION("""COMPUTED_VALUE"""),46116.763366226856)</f>
        <v>46116.76337</v>
      </c>
      <c r="B767" s="4"/>
      <c r="C767" s="4"/>
      <c r="D767" s="4"/>
      <c r="E767" s="4"/>
      <c r="F767" s="4"/>
      <c r="G767" s="85">
        <f>IFERROR(__xludf.DUMMYFUNCTION("""COMPUTED_VALUE"""),46117.763194444444)</f>
        <v>46117.76319</v>
      </c>
      <c r="H767" s="85" t="str">
        <f>IFERROR(__xludf.DUMMYFUNCTION("""COMPUTED_VALUE"""),"Enquire &amp; Coordinate with client")</f>
        <v>Enquire &amp; Coordinate with client</v>
      </c>
      <c r="I767" s="4" t="str">
        <f>IFERROR(__xludf.DUMMYFUNCTION("""COMPUTED_VALUE"""),"sales person - first shivani")</f>
        <v>sales person - first shivani</v>
      </c>
    </row>
    <row r="768">
      <c r="A768" s="85">
        <f>IFERROR(__xludf.DUMMYFUNCTION("""COMPUTED_VALUE"""),46117.65763002314)</f>
        <v>46117.65763</v>
      </c>
      <c r="B768" s="4"/>
      <c r="C768" s="4"/>
      <c r="D768" s="4"/>
      <c r="E768" s="4"/>
      <c r="F768" s="4"/>
      <c r="G768" s="85">
        <f>IFERROR(__xludf.DUMMYFUNCTION("""COMPUTED_VALUE"""),46119.65694444445)</f>
        <v>46119.65694</v>
      </c>
      <c r="H768" s="85" t="str">
        <f>IFERROR(__xludf.DUMMYFUNCTION("""COMPUTED_VALUE"""),"Enquire &amp; Coordinate with client")</f>
        <v>Enquire &amp; Coordinate with client</v>
      </c>
      <c r="I768" s="4" t="str">
        <f>IFERROR(__xludf.DUMMYFUNCTION("""COMPUTED_VALUE"""),"sales person - first shivani")</f>
        <v>sales person - first shivani</v>
      </c>
    </row>
    <row r="769">
      <c r="A769" s="85">
        <f>IFERROR(__xludf.DUMMYFUNCTION("""COMPUTED_VALUE"""),46119.49787368055)</f>
        <v>46119.49787</v>
      </c>
      <c r="B769" s="4"/>
      <c r="C769" s="4"/>
      <c r="D769" s="4"/>
      <c r="E769" s="4"/>
      <c r="F769" s="4"/>
      <c r="G769" s="85">
        <f>IFERROR(__xludf.DUMMYFUNCTION("""COMPUTED_VALUE"""),46120.49722222222)</f>
        <v>46120.49722</v>
      </c>
      <c r="H769" s="85" t="str">
        <f>IFERROR(__xludf.DUMMYFUNCTION("""COMPUTED_VALUE"""),"Enquire &amp; Coordinate with client")</f>
        <v>Enquire &amp; Coordinate with client</v>
      </c>
      <c r="I769" s="4" t="str">
        <f>IFERROR(__xludf.DUMMYFUNCTION("""COMPUTED_VALUE"""),"sales person - first shivani")</f>
        <v>sales person - first shivani</v>
      </c>
    </row>
    <row r="770">
      <c r="A770" s="85">
        <f>IFERROR(__xludf.DUMMYFUNCTION("""COMPUTED_VALUE"""),46119.49889930556)</f>
        <v>46119.4989</v>
      </c>
      <c r="B770" s="4"/>
      <c r="C770" s="4"/>
      <c r="D770" s="4"/>
      <c r="E770" s="4"/>
      <c r="F770" s="4"/>
      <c r="G770" s="85">
        <f>IFERROR(__xludf.DUMMYFUNCTION("""COMPUTED_VALUE"""),46120.49861111111)</f>
        <v>46120.49861</v>
      </c>
      <c r="H770" s="85" t="str">
        <f>IFERROR(__xludf.DUMMYFUNCTION("""COMPUTED_VALUE"""),"Enquire &amp; Coordinate with client")</f>
        <v>Enquire &amp; Coordinate with client</v>
      </c>
      <c r="I770" s="4" t="str">
        <f>IFERROR(__xludf.DUMMYFUNCTION("""COMPUTED_VALUE"""),"sales person - first shivani")</f>
        <v>sales person - first shivani</v>
      </c>
    </row>
    <row r="771">
      <c r="A771" s="85">
        <f>IFERROR(__xludf.DUMMYFUNCTION("""COMPUTED_VALUE"""),46119.50170731481)</f>
        <v>46119.50171</v>
      </c>
      <c r="B771" s="4"/>
      <c r="C771" s="4"/>
      <c r="D771" s="4"/>
      <c r="E771" s="4"/>
      <c r="F771" s="4"/>
      <c r="G771" s="85">
        <f>IFERROR(__xludf.DUMMYFUNCTION("""COMPUTED_VALUE"""),46120.50138888889)</f>
        <v>46120.50139</v>
      </c>
      <c r="H771" s="85" t="str">
        <f>IFERROR(__xludf.DUMMYFUNCTION("""COMPUTED_VALUE"""),"Enquire &amp; Coordinate with client")</f>
        <v>Enquire &amp; Coordinate with client</v>
      </c>
      <c r="I771" s="4" t="str">
        <f>IFERROR(__xludf.DUMMYFUNCTION("""COMPUTED_VALUE"""),"sales person - first shivani")</f>
        <v>sales person - first shivani</v>
      </c>
    </row>
    <row r="772">
      <c r="A772" s="85">
        <f>IFERROR(__xludf.DUMMYFUNCTION("""COMPUTED_VALUE"""),46119.50968229167)</f>
        <v>46119.50968</v>
      </c>
      <c r="B772" s="4"/>
      <c r="C772" s="4"/>
      <c r="D772" s="4"/>
      <c r="E772" s="4"/>
      <c r="F772" s="4"/>
      <c r="G772" s="85">
        <f>IFERROR(__xludf.DUMMYFUNCTION("""COMPUTED_VALUE"""),46120.50902777778)</f>
        <v>46120.50903</v>
      </c>
      <c r="H772" s="85" t="str">
        <f>IFERROR(__xludf.DUMMYFUNCTION("""COMPUTED_VALUE"""),"Enquire &amp; Coordinate with client")</f>
        <v>Enquire &amp; Coordinate with client</v>
      </c>
      <c r="I772" s="4" t="str">
        <f>IFERROR(__xludf.DUMMYFUNCTION("""COMPUTED_VALUE"""),"sales person - first shivani")</f>
        <v>sales person - first shivani</v>
      </c>
    </row>
    <row r="773">
      <c r="A773" s="85">
        <f>IFERROR(__xludf.DUMMYFUNCTION("""COMPUTED_VALUE"""),46119.510325787036)</f>
        <v>46119.51033</v>
      </c>
      <c r="B773" s="4"/>
      <c r="C773" s="4"/>
      <c r="D773" s="4"/>
      <c r="E773" s="4"/>
      <c r="F773" s="4"/>
      <c r="G773" s="85">
        <f>IFERROR(__xludf.DUMMYFUNCTION("""COMPUTED_VALUE"""),46120.509722222225)</f>
        <v>46120.50972</v>
      </c>
      <c r="H773" s="85" t="str">
        <f>IFERROR(__xludf.DUMMYFUNCTION("""COMPUTED_VALUE"""),"Enquire &amp; Coordinate with client")</f>
        <v>Enquire &amp; Coordinate with client</v>
      </c>
      <c r="I773" s="4" t="str">
        <f>IFERROR(__xludf.DUMMYFUNCTION("""COMPUTED_VALUE"""),"sales person - first shivani")</f>
        <v>sales person - first shivani</v>
      </c>
    </row>
    <row r="774">
      <c r="A774" s="85">
        <f>IFERROR(__xludf.DUMMYFUNCTION("""COMPUTED_VALUE"""),46119.51131421296)</f>
        <v>46119.51131</v>
      </c>
      <c r="B774" s="4"/>
      <c r="C774" s="4"/>
      <c r="D774" s="4"/>
      <c r="E774" s="4"/>
      <c r="F774" s="4"/>
      <c r="G774" s="85">
        <f>IFERROR(__xludf.DUMMYFUNCTION("""COMPUTED_VALUE"""),46120.51111111111)</f>
        <v>46120.51111</v>
      </c>
      <c r="H774" s="85" t="str">
        <f>IFERROR(__xludf.DUMMYFUNCTION("""COMPUTED_VALUE"""),"Enquire &amp; Coordinate with client")</f>
        <v>Enquire &amp; Coordinate with client</v>
      </c>
      <c r="I774" s="4" t="str">
        <f>IFERROR(__xludf.DUMMYFUNCTION("""COMPUTED_VALUE"""),"sales person - first shivani")</f>
        <v>sales person - first shivani</v>
      </c>
    </row>
    <row r="775">
      <c r="A775" s="85">
        <f>IFERROR(__xludf.DUMMYFUNCTION("""COMPUTED_VALUE"""),46119.511862604166)</f>
        <v>46119.51186</v>
      </c>
      <c r="B775" s="4"/>
      <c r="C775" s="4"/>
      <c r="D775" s="4"/>
      <c r="E775" s="4"/>
      <c r="F775" s="4"/>
      <c r="G775" s="85">
        <f>IFERROR(__xludf.DUMMYFUNCTION("""COMPUTED_VALUE"""),46120.51180555555)</f>
        <v>46120.51181</v>
      </c>
      <c r="H775" s="85" t="str">
        <f>IFERROR(__xludf.DUMMYFUNCTION("""COMPUTED_VALUE"""),"Enquire &amp; Coordinate with client")</f>
        <v>Enquire &amp; Coordinate with client</v>
      </c>
      <c r="I775" s="4" t="str">
        <f>IFERROR(__xludf.DUMMYFUNCTION("""COMPUTED_VALUE"""),"sales person - first shivani")</f>
        <v>sales person - first shivani</v>
      </c>
    </row>
    <row r="776">
      <c r="A776" s="85">
        <f>IFERROR(__xludf.DUMMYFUNCTION("""COMPUTED_VALUE"""),46119.512606979166)</f>
        <v>46119.51261</v>
      </c>
      <c r="B776" s="4"/>
      <c r="C776" s="4"/>
      <c r="D776" s="4"/>
      <c r="E776" s="4"/>
      <c r="F776" s="4"/>
      <c r="G776" s="85">
        <f>IFERROR(__xludf.DUMMYFUNCTION("""COMPUTED_VALUE"""),46120.5125)</f>
        <v>46120.5125</v>
      </c>
      <c r="H776" s="85" t="str">
        <f>IFERROR(__xludf.DUMMYFUNCTION("""COMPUTED_VALUE"""),"Enquire &amp; Coordinate with client")</f>
        <v>Enquire &amp; Coordinate with client</v>
      </c>
      <c r="I776" s="4" t="str">
        <f>IFERROR(__xludf.DUMMYFUNCTION("""COMPUTED_VALUE"""),"sales person - first shivani")</f>
        <v>sales person - first shivani</v>
      </c>
    </row>
    <row r="777">
      <c r="A777" s="85">
        <f>IFERROR(__xludf.DUMMYFUNCTION("""COMPUTED_VALUE"""),46119.513964965285)</f>
        <v>46119.51396</v>
      </c>
      <c r="B777" s="4"/>
      <c r="C777" s="4"/>
      <c r="D777" s="4"/>
      <c r="E777" s="4"/>
      <c r="F777" s="4"/>
      <c r="G777" s="85">
        <f>IFERROR(__xludf.DUMMYFUNCTION("""COMPUTED_VALUE"""),46120.51388888889)</f>
        <v>46120.51389</v>
      </c>
      <c r="H777" s="85" t="str">
        <f>IFERROR(__xludf.DUMMYFUNCTION("""COMPUTED_VALUE"""),"Enquire &amp; Coordinate with client")</f>
        <v>Enquire &amp; Coordinate with client</v>
      </c>
      <c r="I777" s="4" t="str">
        <f>IFERROR(__xludf.DUMMYFUNCTION("""COMPUTED_VALUE"""),"sales person - first shivani")</f>
        <v>sales person - first shivani</v>
      </c>
    </row>
    <row r="778">
      <c r="A778" s="85">
        <f>IFERROR(__xludf.DUMMYFUNCTION("""COMPUTED_VALUE"""),46119.515715937494)</f>
        <v>46119.51572</v>
      </c>
      <c r="B778" s="4"/>
      <c r="C778" s="4"/>
      <c r="D778" s="4"/>
      <c r="E778" s="4"/>
      <c r="F778" s="4"/>
      <c r="G778" s="85">
        <f>IFERROR(__xludf.DUMMYFUNCTION("""COMPUTED_VALUE"""),46120.51527777778)</f>
        <v>46120.51528</v>
      </c>
      <c r="H778" s="85" t="str">
        <f>IFERROR(__xludf.DUMMYFUNCTION("""COMPUTED_VALUE"""),"Enquire &amp; Coordinate with client")</f>
        <v>Enquire &amp; Coordinate with client</v>
      </c>
      <c r="I778" s="4" t="str">
        <f>IFERROR(__xludf.DUMMYFUNCTION("""COMPUTED_VALUE"""),"sales person - first shivani")</f>
        <v>sales person - first shivani</v>
      </c>
    </row>
    <row r="779">
      <c r="A779" s="85">
        <f>IFERROR(__xludf.DUMMYFUNCTION("""COMPUTED_VALUE"""),46119.51656490741)</f>
        <v>46119.51656</v>
      </c>
      <c r="B779" s="4"/>
      <c r="C779" s="4"/>
      <c r="D779" s="4"/>
      <c r="E779" s="4"/>
      <c r="F779" s="4"/>
      <c r="G779" s="85">
        <f>IFERROR(__xludf.DUMMYFUNCTION("""COMPUTED_VALUE"""),46120.51597222222)</f>
        <v>46120.51597</v>
      </c>
      <c r="H779" s="85" t="str">
        <f>IFERROR(__xludf.DUMMYFUNCTION("""COMPUTED_VALUE"""),"Enquire &amp; Coordinate with client")</f>
        <v>Enquire &amp; Coordinate with client</v>
      </c>
      <c r="I779" s="4" t="str">
        <f>IFERROR(__xludf.DUMMYFUNCTION("""COMPUTED_VALUE"""),"sales person - first shivani")</f>
        <v>sales person - first shivani</v>
      </c>
    </row>
    <row r="780">
      <c r="A780" s="85">
        <f>IFERROR(__xludf.DUMMYFUNCTION("""COMPUTED_VALUE"""),46119.51868108797)</f>
        <v>46119.51868</v>
      </c>
      <c r="B780" s="4"/>
      <c r="C780" s="4"/>
      <c r="D780" s="4"/>
      <c r="E780" s="4"/>
      <c r="F780" s="4"/>
      <c r="G780" s="85">
        <f>IFERROR(__xludf.DUMMYFUNCTION("""COMPUTED_VALUE"""),46120.518055555556)</f>
        <v>46120.51806</v>
      </c>
      <c r="H780" s="85" t="str">
        <f>IFERROR(__xludf.DUMMYFUNCTION("""COMPUTED_VALUE"""),"Enquire &amp; Coordinate with client")</f>
        <v>Enquire &amp; Coordinate with client</v>
      </c>
      <c r="I780" s="4" t="str">
        <f>IFERROR(__xludf.DUMMYFUNCTION("""COMPUTED_VALUE"""),"sales person - first shivani")</f>
        <v>sales person - first shivani</v>
      </c>
    </row>
    <row r="781">
      <c r="A781" s="85">
        <f>IFERROR(__xludf.DUMMYFUNCTION("""COMPUTED_VALUE"""),46119.522383564814)</f>
        <v>46119.52238</v>
      </c>
      <c r="B781" s="4"/>
      <c r="C781" s="4"/>
      <c r="D781" s="4"/>
      <c r="E781" s="4"/>
      <c r="F781" s="4"/>
      <c r="G781" s="85">
        <f>IFERROR(__xludf.DUMMYFUNCTION("""COMPUTED_VALUE"""),46120.52222222222)</f>
        <v>46120.52222</v>
      </c>
      <c r="H781" s="85" t="str">
        <f>IFERROR(__xludf.DUMMYFUNCTION("""COMPUTED_VALUE"""),"Enquire &amp; Coordinate with client")</f>
        <v>Enquire &amp; Coordinate with client</v>
      </c>
      <c r="I781" s="4" t="str">
        <f>IFERROR(__xludf.DUMMYFUNCTION("""COMPUTED_VALUE"""),"sales person - first shivani")</f>
        <v>sales person - first shivani</v>
      </c>
    </row>
    <row r="782">
      <c r="A782" s="85">
        <f>IFERROR(__xludf.DUMMYFUNCTION("""COMPUTED_VALUE"""),46119.5304121875)</f>
        <v>46119.53041</v>
      </c>
      <c r="B782" s="4"/>
      <c r="C782" s="4"/>
      <c r="D782" s="4"/>
      <c r="E782" s="4"/>
      <c r="F782" s="4"/>
      <c r="G782" s="85">
        <f>IFERROR(__xludf.DUMMYFUNCTION("""COMPUTED_VALUE"""),46120.52986111111)</f>
        <v>46120.52986</v>
      </c>
      <c r="H782" s="85" t="str">
        <f>IFERROR(__xludf.DUMMYFUNCTION("""COMPUTED_VALUE"""),"Enquire &amp; Coordinate with client")</f>
        <v>Enquire &amp; Coordinate with client</v>
      </c>
      <c r="I782" s="4" t="str">
        <f>IFERROR(__xludf.DUMMYFUNCTION("""COMPUTED_VALUE"""),"sales person - first shivani")</f>
        <v>sales person - first shivani</v>
      </c>
    </row>
    <row r="783">
      <c r="A783" s="85">
        <f>IFERROR(__xludf.DUMMYFUNCTION("""COMPUTED_VALUE"""),46119.55873971065)</f>
        <v>46119.55874</v>
      </c>
      <c r="B783" s="4"/>
      <c r="C783" s="4"/>
      <c r="D783" s="4"/>
      <c r="E783" s="4"/>
      <c r="F783" s="4"/>
      <c r="G783" s="85">
        <f>IFERROR(__xludf.DUMMYFUNCTION("""COMPUTED_VALUE"""),46120.558333333334)</f>
        <v>46120.55833</v>
      </c>
      <c r="H783" s="85" t="str">
        <f>IFERROR(__xludf.DUMMYFUNCTION("""COMPUTED_VALUE"""),"Enquire &amp; Coordinate with client")</f>
        <v>Enquire &amp; Coordinate with client</v>
      </c>
      <c r="I783" s="4" t="str">
        <f>IFERROR(__xludf.DUMMYFUNCTION("""COMPUTED_VALUE"""),"sales person - first shivani")</f>
        <v>sales person - first shivani</v>
      </c>
    </row>
    <row r="784">
      <c r="A784" s="85">
        <f>IFERROR(__xludf.DUMMYFUNCTION("""COMPUTED_VALUE"""),46119.560084004625)</f>
        <v>46119.56008</v>
      </c>
      <c r="B784" s="4"/>
      <c r="C784" s="4"/>
      <c r="D784" s="4"/>
      <c r="E784" s="4"/>
      <c r="F784" s="4"/>
      <c r="G784" s="85">
        <f>IFERROR(__xludf.DUMMYFUNCTION("""COMPUTED_VALUE"""),46120.55972222222)</f>
        <v>46120.55972</v>
      </c>
      <c r="H784" s="85" t="str">
        <f>IFERROR(__xludf.DUMMYFUNCTION("""COMPUTED_VALUE"""),"Enquire &amp; Coordinate with client")</f>
        <v>Enquire &amp; Coordinate with client</v>
      </c>
      <c r="I784" s="4" t="str">
        <f>IFERROR(__xludf.DUMMYFUNCTION("""COMPUTED_VALUE"""),"sales person - first shivani")</f>
        <v>sales person - first shivani</v>
      </c>
    </row>
    <row r="785">
      <c r="A785" s="85">
        <f>IFERROR(__xludf.DUMMYFUNCTION("""COMPUTED_VALUE"""),46121.57022552083)</f>
        <v>46121.57023</v>
      </c>
      <c r="B785" s="4"/>
      <c r="C785" s="4"/>
      <c r="D785" s="4"/>
      <c r="E785" s="4"/>
      <c r="F785" s="4"/>
      <c r="G785" s="85">
        <f>IFERROR(__xludf.DUMMYFUNCTION("""COMPUTED_VALUE"""),46122.570138888885)</f>
        <v>46122.57014</v>
      </c>
      <c r="H785" s="85" t="str">
        <f>IFERROR(__xludf.DUMMYFUNCTION("""COMPUTED_VALUE"""),"Enquire &amp; Coordinate with client")</f>
        <v>Enquire &amp; Coordinate with client</v>
      </c>
      <c r="I785" s="4" t="str">
        <f>IFERROR(__xludf.DUMMYFUNCTION("""COMPUTED_VALUE"""),"sales person - first shivani")</f>
        <v>sales person - first shivani</v>
      </c>
    </row>
    <row r="786">
      <c r="A786" s="85">
        <f>IFERROR(__xludf.DUMMYFUNCTION("""COMPUTED_VALUE"""),46121.57366202547)</f>
        <v>46121.57366</v>
      </c>
      <c r="B786" s="4"/>
      <c r="C786" s="4"/>
      <c r="D786" s="4"/>
      <c r="E786" s="4"/>
      <c r="F786" s="4"/>
      <c r="G786" s="85">
        <f>IFERROR(__xludf.DUMMYFUNCTION("""COMPUTED_VALUE"""),46122.57361111111)</f>
        <v>46122.57361</v>
      </c>
      <c r="H786" s="85" t="str">
        <f>IFERROR(__xludf.DUMMYFUNCTION("""COMPUTED_VALUE"""),"Enquire &amp; Coordinate with client")</f>
        <v>Enquire &amp; Coordinate with client</v>
      </c>
      <c r="I786" s="4" t="str">
        <f>IFERROR(__xludf.DUMMYFUNCTION("""COMPUTED_VALUE"""),"sales person - first shivani")</f>
        <v>sales person - first shivani</v>
      </c>
    </row>
    <row r="787">
      <c r="A787" s="85">
        <f>IFERROR(__xludf.DUMMYFUNCTION("""COMPUTED_VALUE"""),46121.5749783912)</f>
        <v>46121.57498</v>
      </c>
      <c r="B787" s="4"/>
      <c r="C787" s="4"/>
      <c r="D787" s="4"/>
      <c r="E787" s="4"/>
      <c r="F787" s="4"/>
      <c r="G787" s="85">
        <f>IFERROR(__xludf.DUMMYFUNCTION("""COMPUTED_VALUE"""),46122.57430555555)</f>
        <v>46122.57431</v>
      </c>
      <c r="H787" s="85" t="str">
        <f>IFERROR(__xludf.DUMMYFUNCTION("""COMPUTED_VALUE"""),"Enquire &amp; Coordinate with client")</f>
        <v>Enquire &amp; Coordinate with client</v>
      </c>
      <c r="I787" s="4" t="str">
        <f>IFERROR(__xludf.DUMMYFUNCTION("""COMPUTED_VALUE"""),"sales person - first shivani")</f>
        <v>sales person - first shivani</v>
      </c>
    </row>
    <row r="788">
      <c r="A788" s="85">
        <f>IFERROR(__xludf.DUMMYFUNCTION("""COMPUTED_VALUE"""),46121.57582097222)</f>
        <v>46121.57582</v>
      </c>
      <c r="B788" s="4"/>
      <c r="C788" s="4"/>
      <c r="D788" s="4"/>
      <c r="E788" s="4"/>
      <c r="F788" s="4"/>
      <c r="G788" s="85">
        <f>IFERROR(__xludf.DUMMYFUNCTION("""COMPUTED_VALUE"""),46122.575694444444)</f>
        <v>46122.57569</v>
      </c>
      <c r="H788" s="85" t="str">
        <f>IFERROR(__xludf.DUMMYFUNCTION("""COMPUTED_VALUE"""),"Enquire &amp; Coordinate with client")</f>
        <v>Enquire &amp; Coordinate with client</v>
      </c>
      <c r="I788" s="4" t="str">
        <f>IFERROR(__xludf.DUMMYFUNCTION("""COMPUTED_VALUE"""),"sales person - first shivani")</f>
        <v>sales person - first shivani</v>
      </c>
    </row>
    <row r="789">
      <c r="A789" s="85">
        <f>IFERROR(__xludf.DUMMYFUNCTION("""COMPUTED_VALUE"""),46121.5768347801)</f>
        <v>46121.57683</v>
      </c>
      <c r="B789" s="4"/>
      <c r="C789" s="4"/>
      <c r="D789" s="4"/>
      <c r="E789" s="4"/>
      <c r="F789" s="4"/>
      <c r="G789" s="85">
        <f>IFERROR(__xludf.DUMMYFUNCTION("""COMPUTED_VALUE"""),46122.57638888889)</f>
        <v>46122.57639</v>
      </c>
      <c r="H789" s="85" t="str">
        <f>IFERROR(__xludf.DUMMYFUNCTION("""COMPUTED_VALUE"""),"Enquire &amp; Coordinate with client")</f>
        <v>Enquire &amp; Coordinate with client</v>
      </c>
      <c r="I789" s="4" t="str">
        <f>IFERROR(__xludf.DUMMYFUNCTION("""COMPUTED_VALUE"""),"sales person - first shivani")</f>
        <v>sales person - first shivani</v>
      </c>
    </row>
    <row r="790">
      <c r="A790" s="85">
        <f>IFERROR(__xludf.DUMMYFUNCTION("""COMPUTED_VALUE"""),46121.57766634259)</f>
        <v>46121.57767</v>
      </c>
      <c r="B790" s="4"/>
      <c r="C790" s="4"/>
      <c r="D790" s="4"/>
      <c r="E790" s="4"/>
      <c r="F790" s="4"/>
      <c r="G790" s="85">
        <f>IFERROR(__xludf.DUMMYFUNCTION("""COMPUTED_VALUE"""),46122.57708333334)</f>
        <v>46122.57708</v>
      </c>
      <c r="H790" s="85" t="str">
        <f>IFERROR(__xludf.DUMMYFUNCTION("""COMPUTED_VALUE"""),"Enquire &amp; Coordinate with client")</f>
        <v>Enquire &amp; Coordinate with client</v>
      </c>
      <c r="I790" s="4" t="str">
        <f>IFERROR(__xludf.DUMMYFUNCTION("""COMPUTED_VALUE"""),"sales person - first shivani")</f>
        <v>sales person - first shivani</v>
      </c>
    </row>
    <row r="791">
      <c r="A791" s="85">
        <f>IFERROR(__xludf.DUMMYFUNCTION("""COMPUTED_VALUE"""),46121.57814700231)</f>
        <v>46121.57815</v>
      </c>
      <c r="B791" s="4"/>
      <c r="C791" s="4"/>
      <c r="D791" s="4"/>
      <c r="E791" s="4"/>
      <c r="F791" s="4"/>
      <c r="G791" s="85">
        <f>IFERROR(__xludf.DUMMYFUNCTION("""COMPUTED_VALUE"""),46122.57777777778)</f>
        <v>46122.57778</v>
      </c>
      <c r="H791" s="85" t="str">
        <f>IFERROR(__xludf.DUMMYFUNCTION("""COMPUTED_VALUE"""),"Enquire &amp; Coordinate with client")</f>
        <v>Enquire &amp; Coordinate with client</v>
      </c>
      <c r="I791" s="4" t="str">
        <f>IFERROR(__xludf.DUMMYFUNCTION("""COMPUTED_VALUE"""),"sales person - first shivani")</f>
        <v>sales person - first shivani</v>
      </c>
    </row>
    <row r="792">
      <c r="A792" s="85">
        <f>IFERROR(__xludf.DUMMYFUNCTION("""COMPUTED_VALUE"""),46121.63955434028)</f>
        <v>46121.63955</v>
      </c>
      <c r="B792" s="4"/>
      <c r="C792" s="4"/>
      <c r="D792" s="4"/>
      <c r="E792" s="4"/>
      <c r="F792" s="4"/>
      <c r="G792" s="85">
        <f>IFERROR(__xludf.DUMMYFUNCTION("""COMPUTED_VALUE"""),46122.63888888889)</f>
        <v>46122.63889</v>
      </c>
      <c r="H792" s="85" t="str">
        <f>IFERROR(__xludf.DUMMYFUNCTION("""COMPUTED_VALUE"""),"Enquire &amp; Coordinate with client")</f>
        <v>Enquire &amp; Coordinate with client</v>
      </c>
      <c r="I792" s="4" t="str">
        <f>IFERROR(__xludf.DUMMYFUNCTION("""COMPUTED_VALUE"""),"sales person - first shivani")</f>
        <v>sales person - first shivani</v>
      </c>
    </row>
    <row r="793">
      <c r="A793" s="85">
        <f>IFERROR(__xludf.DUMMYFUNCTION("""COMPUTED_VALUE"""),46122.738596909716)</f>
        <v>46122.7386</v>
      </c>
      <c r="B793" s="4"/>
      <c r="C793" s="4"/>
      <c r="D793" s="4"/>
      <c r="E793" s="4"/>
      <c r="F793" s="4"/>
      <c r="G793" s="85">
        <f>IFERROR(__xludf.DUMMYFUNCTION("""COMPUTED_VALUE"""),46123.73819444445)</f>
        <v>46123.73819</v>
      </c>
      <c r="H793" s="85" t="str">
        <f>IFERROR(__xludf.DUMMYFUNCTION("""COMPUTED_VALUE"""),"Enquire &amp; Coordinate with client")</f>
        <v>Enquire &amp; Coordinate with client</v>
      </c>
      <c r="I793" s="4" t="str">
        <f>IFERROR(__xludf.DUMMYFUNCTION("""COMPUTED_VALUE"""),"sales person - first shivani")</f>
        <v>sales person - first shivani</v>
      </c>
    </row>
    <row r="794">
      <c r="A794" s="85">
        <f>IFERROR(__xludf.DUMMYFUNCTION("""COMPUTED_VALUE"""),46122.81245434028)</f>
        <v>46122.81245</v>
      </c>
      <c r="B794" s="4"/>
      <c r="C794" s="4"/>
      <c r="D794" s="4"/>
      <c r="E794" s="4"/>
      <c r="F794" s="4"/>
      <c r="G794" s="85">
        <f>IFERROR(__xludf.DUMMYFUNCTION("""COMPUTED_VALUE"""),46123.81180555555)</f>
        <v>46123.81181</v>
      </c>
      <c r="H794" s="85" t="str">
        <f>IFERROR(__xludf.DUMMYFUNCTION("""COMPUTED_VALUE"""),"Enquire &amp; Coordinate with client")</f>
        <v>Enquire &amp; Coordinate with client</v>
      </c>
      <c r="I794" s="4" t="str">
        <f>IFERROR(__xludf.DUMMYFUNCTION("""COMPUTED_VALUE"""),"sales person - first shivani")</f>
        <v>sales person - first shivani</v>
      </c>
    </row>
    <row r="795">
      <c r="A795" s="85">
        <f>IFERROR(__xludf.DUMMYFUNCTION("""COMPUTED_VALUE"""),46122.81306083333)</f>
        <v>46122.81306</v>
      </c>
      <c r="B795" s="4"/>
      <c r="C795" s="4"/>
      <c r="D795" s="4"/>
      <c r="E795" s="4"/>
      <c r="F795" s="4"/>
      <c r="G795" s="85">
        <f>IFERROR(__xludf.DUMMYFUNCTION("""COMPUTED_VALUE"""),46123.8125)</f>
        <v>46123.8125</v>
      </c>
      <c r="H795" s="85" t="str">
        <f>IFERROR(__xludf.DUMMYFUNCTION("""COMPUTED_VALUE"""),"Enquire &amp; Coordinate with client")</f>
        <v>Enquire &amp; Coordinate with client</v>
      </c>
      <c r="I795" s="4" t="str">
        <f>IFERROR(__xludf.DUMMYFUNCTION("""COMPUTED_VALUE"""),"sales person - first shivani")</f>
        <v>sales person - first shivani</v>
      </c>
    </row>
    <row r="796">
      <c r="A796" s="85">
        <f>IFERROR(__xludf.DUMMYFUNCTION("""COMPUTED_VALUE"""),46122.81412824074)</f>
        <v>46122.81413</v>
      </c>
      <c r="B796" s="4"/>
      <c r="C796" s="4"/>
      <c r="D796" s="4"/>
      <c r="E796" s="4"/>
      <c r="F796" s="4"/>
      <c r="G796" s="85">
        <f>IFERROR(__xludf.DUMMYFUNCTION("""COMPUTED_VALUE"""),46123.81388888889)</f>
        <v>46123.81389</v>
      </c>
      <c r="H796" s="85" t="str">
        <f>IFERROR(__xludf.DUMMYFUNCTION("""COMPUTED_VALUE"""),"Enquire &amp; Coordinate with client")</f>
        <v>Enquire &amp; Coordinate with client</v>
      </c>
      <c r="I796" s="4" t="str">
        <f>IFERROR(__xludf.DUMMYFUNCTION("""COMPUTED_VALUE"""),"sales person - first shivani")</f>
        <v>sales person - first shivani</v>
      </c>
    </row>
    <row r="797">
      <c r="A797" s="85">
        <f>IFERROR(__xludf.DUMMYFUNCTION("""COMPUTED_VALUE"""),46124.649367025464)</f>
        <v>46124.64937</v>
      </c>
      <c r="B797" s="4"/>
      <c r="C797" s="4"/>
      <c r="D797" s="4"/>
      <c r="E797" s="4"/>
      <c r="F797" s="4"/>
      <c r="G797" s="85">
        <f>IFERROR(__xludf.DUMMYFUNCTION("""COMPUTED_VALUE"""),46126.649305555555)</f>
        <v>46126.64931</v>
      </c>
      <c r="H797" s="85" t="str">
        <f>IFERROR(__xludf.DUMMYFUNCTION("""COMPUTED_VALUE"""),"Enquire &amp; Coordinate with client")</f>
        <v>Enquire &amp; Coordinate with client</v>
      </c>
      <c r="I797" s="4" t="str">
        <f>IFERROR(__xludf.DUMMYFUNCTION("""COMPUTED_VALUE"""),"sales person - first shivani")</f>
        <v>sales person - first shivani</v>
      </c>
    </row>
    <row r="798">
      <c r="A798" s="85">
        <f>IFERROR(__xludf.DUMMYFUNCTION("""COMPUTED_VALUE"""),46124.65044618055)</f>
        <v>46124.65045</v>
      </c>
      <c r="B798" s="4"/>
      <c r="C798" s="4"/>
      <c r="D798" s="4"/>
      <c r="E798" s="4"/>
      <c r="F798" s="4"/>
      <c r="G798" s="85">
        <f>IFERROR(__xludf.DUMMYFUNCTION("""COMPUTED_VALUE"""),46126.65)</f>
        <v>46126.65</v>
      </c>
      <c r="H798" s="85" t="str">
        <f>IFERROR(__xludf.DUMMYFUNCTION("""COMPUTED_VALUE"""),"Enquire &amp; Coordinate with client")</f>
        <v>Enquire &amp; Coordinate with client</v>
      </c>
      <c r="I798" s="4" t="str">
        <f>IFERROR(__xludf.DUMMYFUNCTION("""COMPUTED_VALUE"""),"sales person - first shivani")</f>
        <v>sales person - first shivani</v>
      </c>
    </row>
    <row r="799">
      <c r="A799" s="85">
        <f>IFERROR(__xludf.DUMMYFUNCTION("""COMPUTED_VALUE"""),46124.65186181713)</f>
        <v>46124.65186</v>
      </c>
      <c r="B799" s="4"/>
      <c r="C799" s="4"/>
      <c r="D799" s="4"/>
      <c r="E799" s="4"/>
      <c r="F799" s="4"/>
      <c r="G799" s="85">
        <f>IFERROR(__xludf.DUMMYFUNCTION("""COMPUTED_VALUE"""),46126.65138888889)</f>
        <v>46126.65139</v>
      </c>
      <c r="H799" s="85" t="str">
        <f>IFERROR(__xludf.DUMMYFUNCTION("""COMPUTED_VALUE"""),"Enquire &amp; Coordinate with client")</f>
        <v>Enquire &amp; Coordinate with client</v>
      </c>
      <c r="I799" s="4" t="str">
        <f>IFERROR(__xludf.DUMMYFUNCTION("""COMPUTED_VALUE"""),"sales person - first shivani")</f>
        <v>sales person - first shivani</v>
      </c>
    </row>
    <row r="800">
      <c r="A800" s="85">
        <f>IFERROR(__xludf.DUMMYFUNCTION("""COMPUTED_VALUE"""),46124.74215358796)</f>
        <v>46124.74215</v>
      </c>
      <c r="B800" s="4"/>
      <c r="C800" s="4"/>
      <c r="D800" s="4"/>
      <c r="E800" s="4"/>
      <c r="F800" s="4"/>
      <c r="G800" s="85">
        <f>IFERROR(__xludf.DUMMYFUNCTION("""COMPUTED_VALUE"""),46126.74166666667)</f>
        <v>46126.74167</v>
      </c>
      <c r="H800" s="85" t="str">
        <f>IFERROR(__xludf.DUMMYFUNCTION("""COMPUTED_VALUE"""),"Enquire &amp; Coordinate with client")</f>
        <v>Enquire &amp; Coordinate with client</v>
      </c>
      <c r="I800" s="4" t="str">
        <f>IFERROR(__xludf.DUMMYFUNCTION("""COMPUTED_VALUE"""),"sales person - first shivani")</f>
        <v>sales person - first shivani</v>
      </c>
    </row>
    <row r="801">
      <c r="A801" s="85">
        <f>IFERROR(__xludf.DUMMYFUNCTION("""COMPUTED_VALUE"""),46124.752144398146)</f>
        <v>46124.75214</v>
      </c>
      <c r="B801" s="4"/>
      <c r="C801" s="4"/>
      <c r="D801" s="4"/>
      <c r="E801" s="4"/>
      <c r="F801" s="4"/>
      <c r="G801" s="85">
        <f>IFERROR(__xludf.DUMMYFUNCTION("""COMPUTED_VALUE"""),46126.75208333333)</f>
        <v>46126.75208</v>
      </c>
      <c r="H801" s="85" t="str">
        <f>IFERROR(__xludf.DUMMYFUNCTION("""COMPUTED_VALUE"""),"Enquire &amp; Coordinate with client")</f>
        <v>Enquire &amp; Coordinate with client</v>
      </c>
      <c r="I801" s="4" t="str">
        <f>IFERROR(__xludf.DUMMYFUNCTION("""COMPUTED_VALUE"""),"sales person - first shivani")</f>
        <v>sales person - first shivani</v>
      </c>
    </row>
    <row r="802">
      <c r="A802" s="85">
        <f>IFERROR(__xludf.DUMMYFUNCTION("""COMPUTED_VALUE"""),46124.78223263889)</f>
        <v>46124.78223</v>
      </c>
      <c r="B802" s="4"/>
      <c r="C802" s="4"/>
      <c r="D802" s="4"/>
      <c r="E802" s="4"/>
      <c r="F802" s="4"/>
      <c r="G802" s="85">
        <f>IFERROR(__xludf.DUMMYFUNCTION("""COMPUTED_VALUE"""),46126.78194444445)</f>
        <v>46126.78194</v>
      </c>
      <c r="H802" s="85" t="str">
        <f>IFERROR(__xludf.DUMMYFUNCTION("""COMPUTED_VALUE"""),"Enquire &amp; Coordinate with client")</f>
        <v>Enquire &amp; Coordinate with client</v>
      </c>
      <c r="I802" s="4" t="str">
        <f>IFERROR(__xludf.DUMMYFUNCTION("""COMPUTED_VALUE"""),"sales person - first shivani")</f>
        <v>sales person - first shivani</v>
      </c>
    </row>
    <row r="803">
      <c r="A803" s="85">
        <f>IFERROR(__xludf.DUMMYFUNCTION("""COMPUTED_VALUE"""),46127.797109374995)</f>
        <v>46127.79711</v>
      </c>
      <c r="B803" s="4"/>
      <c r="C803" s="4"/>
      <c r="D803" s="4"/>
      <c r="E803" s="4"/>
      <c r="F803" s="4"/>
      <c r="G803" s="85">
        <f>IFERROR(__xludf.DUMMYFUNCTION("""COMPUTED_VALUE"""),46128.79652777778)</f>
        <v>46128.79653</v>
      </c>
      <c r="H803" s="85" t="str">
        <f>IFERROR(__xludf.DUMMYFUNCTION("""COMPUTED_VALUE"""),"Enquire &amp; Coordinate with client")</f>
        <v>Enquire &amp; Coordinate with client</v>
      </c>
      <c r="I803" s="4" t="str">
        <f>IFERROR(__xludf.DUMMYFUNCTION("""COMPUTED_VALUE"""),"sales person - first shivani")</f>
        <v>sales person - first shivani</v>
      </c>
    </row>
    <row r="804">
      <c r="A804" s="85">
        <f>IFERROR(__xludf.DUMMYFUNCTION("""COMPUTED_VALUE"""),46127.79924074074)</f>
        <v>46127.79924</v>
      </c>
      <c r="B804" s="4"/>
      <c r="C804" s="4"/>
      <c r="D804" s="4"/>
      <c r="E804" s="4"/>
      <c r="F804" s="4"/>
      <c r="G804" s="85">
        <f>IFERROR(__xludf.DUMMYFUNCTION("""COMPUTED_VALUE"""),46128.79861111111)</f>
        <v>46128.79861</v>
      </c>
      <c r="H804" s="85" t="str">
        <f>IFERROR(__xludf.DUMMYFUNCTION("""COMPUTED_VALUE"""),"Enquire &amp; Coordinate with client")</f>
        <v>Enquire &amp; Coordinate with client</v>
      </c>
      <c r="I804" s="4" t="str">
        <f>IFERROR(__xludf.DUMMYFUNCTION("""COMPUTED_VALUE"""),"sales person - first shivani")</f>
        <v>sales person - first shivani</v>
      </c>
    </row>
    <row r="805">
      <c r="A805" s="85">
        <f>IFERROR(__xludf.DUMMYFUNCTION("""COMPUTED_VALUE"""),46127.80392719907)</f>
        <v>46127.80393</v>
      </c>
      <c r="B805" s="4"/>
      <c r="C805" s="4"/>
      <c r="D805" s="4"/>
      <c r="E805" s="4"/>
      <c r="F805" s="4"/>
      <c r="G805" s="85">
        <f>IFERROR(__xludf.DUMMYFUNCTION("""COMPUTED_VALUE"""),46128.80347222222)</f>
        <v>46128.80347</v>
      </c>
      <c r="H805" s="85" t="str">
        <f>IFERROR(__xludf.DUMMYFUNCTION("""COMPUTED_VALUE"""),"Enquire &amp; Coordinate with client")</f>
        <v>Enquire &amp; Coordinate with client</v>
      </c>
      <c r="I805" s="4" t="str">
        <f>IFERROR(__xludf.DUMMYFUNCTION("""COMPUTED_VALUE"""),"sales person - first shivani")</f>
        <v>sales person - first shivani</v>
      </c>
    </row>
    <row r="806">
      <c r="A806" s="85">
        <f>IFERROR(__xludf.DUMMYFUNCTION("""COMPUTED_VALUE"""),46127.80618972222)</f>
        <v>46127.80619</v>
      </c>
      <c r="B806" s="4"/>
      <c r="C806" s="4"/>
      <c r="D806" s="4"/>
      <c r="E806" s="4"/>
      <c r="F806" s="4"/>
      <c r="G806" s="85">
        <f>IFERROR(__xludf.DUMMYFUNCTION("""COMPUTED_VALUE"""),46128.805555555555)</f>
        <v>46128.80556</v>
      </c>
      <c r="H806" s="85" t="str">
        <f>IFERROR(__xludf.DUMMYFUNCTION("""COMPUTED_VALUE"""),"Enquire &amp; Coordinate with client")</f>
        <v>Enquire &amp; Coordinate with client</v>
      </c>
      <c r="I806" s="4" t="str">
        <f>IFERROR(__xludf.DUMMYFUNCTION("""COMPUTED_VALUE"""),"sales person - first shivani")</f>
        <v>sales person - first shivani</v>
      </c>
    </row>
    <row r="807">
      <c r="A807" s="85">
        <f>IFERROR(__xludf.DUMMYFUNCTION("""COMPUTED_VALUE"""),46127.810688923615)</f>
        <v>46127.81069</v>
      </c>
      <c r="B807" s="4"/>
      <c r="C807" s="4"/>
      <c r="D807" s="4"/>
      <c r="E807" s="4"/>
      <c r="F807" s="4"/>
      <c r="G807" s="85">
        <f>IFERROR(__xludf.DUMMYFUNCTION("""COMPUTED_VALUE"""),46128.81041666667)</f>
        <v>46128.81042</v>
      </c>
      <c r="H807" s="85" t="str">
        <f>IFERROR(__xludf.DUMMYFUNCTION("""COMPUTED_VALUE"""),"Enquire &amp; Coordinate with client")</f>
        <v>Enquire &amp; Coordinate with client</v>
      </c>
      <c r="I807" s="4" t="str">
        <f>IFERROR(__xludf.DUMMYFUNCTION("""COMPUTED_VALUE"""),"sales person - first shivani")</f>
        <v>sales person - first shivani</v>
      </c>
    </row>
    <row r="808">
      <c r="A808" s="85">
        <f>IFERROR(__xludf.DUMMYFUNCTION("""COMPUTED_VALUE"""),44625.56301008102)</f>
        <v>44625.56301</v>
      </c>
      <c r="B808" s="4"/>
      <c r="C808" s="4"/>
      <c r="D808" s="4"/>
      <c r="E808" s="4"/>
      <c r="F808" s="4"/>
      <c r="G808" s="85">
        <f>IFERROR(__xludf.DUMMYFUNCTION("""COMPUTED_VALUE"""),44628.5625)</f>
        <v>44628.5625</v>
      </c>
      <c r="H808" s="85" t="str">
        <f>IFERROR(__xludf.DUMMYFUNCTION("""COMPUTED_VALUE"""),"Estimate ")</f>
        <v>Estimate </v>
      </c>
      <c r="I808" s="4" t="str">
        <f>IFERROR(__xludf.DUMMYFUNCTION("""COMPUTED_VALUE"""),"shivani")</f>
        <v>shivani</v>
      </c>
    </row>
    <row r="809">
      <c r="A809" s="85">
        <f>IFERROR(__xludf.DUMMYFUNCTION("""COMPUTED_VALUE"""),44626.502146122686)</f>
        <v>44626.50215</v>
      </c>
      <c r="B809" s="4"/>
      <c r="C809" s="4"/>
      <c r="D809" s="4"/>
      <c r="E809" s="4"/>
      <c r="F809" s="4"/>
      <c r="G809" s="85">
        <f>IFERROR(__xludf.DUMMYFUNCTION("""COMPUTED_VALUE"""),44629.50208333333)</f>
        <v>44629.50208</v>
      </c>
      <c r="H809" s="85" t="str">
        <f>IFERROR(__xludf.DUMMYFUNCTION("""COMPUTED_VALUE"""),"Estimate ")</f>
        <v>Estimate </v>
      </c>
      <c r="I809" s="4" t="str">
        <f>IFERROR(__xludf.DUMMYFUNCTION("""COMPUTED_VALUE"""),"shivani")</f>
        <v>shivani</v>
      </c>
    </row>
    <row r="810">
      <c r="A810" s="85">
        <f>IFERROR(__xludf.DUMMYFUNCTION("""COMPUTED_VALUE"""),44626.66808186343)</f>
        <v>44626.66808</v>
      </c>
      <c r="B810" s="4"/>
      <c r="C810" s="4"/>
      <c r="D810" s="4"/>
      <c r="E810" s="4"/>
      <c r="F810" s="4"/>
      <c r="G810" s="85">
        <f>IFERROR(__xludf.DUMMYFUNCTION("""COMPUTED_VALUE"""),44629.66805555555)</f>
        <v>44629.66806</v>
      </c>
      <c r="H810" s="85" t="str">
        <f>IFERROR(__xludf.DUMMYFUNCTION("""COMPUTED_VALUE"""),"Estimate ")</f>
        <v>Estimate </v>
      </c>
      <c r="I810" s="4" t="str">
        <f>IFERROR(__xludf.DUMMYFUNCTION("""COMPUTED_VALUE"""),"shivani")</f>
        <v>shivani</v>
      </c>
    </row>
    <row r="811">
      <c r="A811" s="85">
        <f>IFERROR(__xludf.DUMMYFUNCTION("""COMPUTED_VALUE"""),44626.669340277775)</f>
        <v>44626.66934</v>
      </c>
      <c r="B811" s="4"/>
      <c r="C811" s="4"/>
      <c r="D811" s="4"/>
      <c r="E811" s="4"/>
      <c r="F811" s="4"/>
      <c r="G811" s="85">
        <f>IFERROR(__xludf.DUMMYFUNCTION("""COMPUTED_VALUE"""),44629.66875)</f>
        <v>44629.66875</v>
      </c>
      <c r="H811" s="85" t="str">
        <f>IFERROR(__xludf.DUMMYFUNCTION("""COMPUTED_VALUE"""),"Estimate ")</f>
        <v>Estimate </v>
      </c>
      <c r="I811" s="4" t="str">
        <f>IFERROR(__xludf.DUMMYFUNCTION("""COMPUTED_VALUE"""),"shivani")</f>
        <v>shivani</v>
      </c>
    </row>
    <row r="812">
      <c r="A812" s="85">
        <f>IFERROR(__xludf.DUMMYFUNCTION("""COMPUTED_VALUE"""),44626.67088987269)</f>
        <v>44626.67089</v>
      </c>
      <c r="B812" s="4"/>
      <c r="C812" s="4"/>
      <c r="D812" s="4"/>
      <c r="E812" s="4"/>
      <c r="F812" s="4"/>
      <c r="G812" s="85">
        <f>IFERROR(__xludf.DUMMYFUNCTION("""COMPUTED_VALUE"""),44629.67083333334)</f>
        <v>44629.67083</v>
      </c>
      <c r="H812" s="85" t="str">
        <f>IFERROR(__xludf.DUMMYFUNCTION("""COMPUTED_VALUE"""),"Estimate ")</f>
        <v>Estimate </v>
      </c>
      <c r="I812" s="4" t="str">
        <f>IFERROR(__xludf.DUMMYFUNCTION("""COMPUTED_VALUE"""),"shivani")</f>
        <v>shivani</v>
      </c>
    </row>
    <row r="813">
      <c r="A813" s="85">
        <f>IFERROR(__xludf.DUMMYFUNCTION("""COMPUTED_VALUE"""),44635.7216875)</f>
        <v>44635.72169</v>
      </c>
      <c r="B813" s="4"/>
      <c r="C813" s="4"/>
      <c r="D813" s="4"/>
      <c r="E813" s="4"/>
      <c r="F813" s="4"/>
      <c r="G813" s="85">
        <f>IFERROR(__xludf.DUMMYFUNCTION("""COMPUTED_VALUE"""),44637.72152777778)</f>
        <v>44637.72153</v>
      </c>
      <c r="H813" s="85" t="str">
        <f>IFERROR(__xludf.DUMMYFUNCTION("""COMPUTED_VALUE"""),"Estimate ")</f>
        <v>Estimate </v>
      </c>
      <c r="I813" s="4" t="str">
        <f>IFERROR(__xludf.DUMMYFUNCTION("""COMPUTED_VALUE"""),"shivani")</f>
        <v>shivani</v>
      </c>
    </row>
    <row r="814">
      <c r="A814" s="85">
        <f>IFERROR(__xludf.DUMMYFUNCTION("""COMPUTED_VALUE"""),44636.497870844905)</f>
        <v>44636.49787</v>
      </c>
      <c r="B814" s="4"/>
      <c r="C814" s="4"/>
      <c r="D814" s="4"/>
      <c r="E814" s="4"/>
      <c r="F814" s="4"/>
      <c r="G814" s="85">
        <f>IFERROR(__xludf.DUMMYFUNCTION("""COMPUTED_VALUE"""),44638.49722222222)</f>
        <v>44638.49722</v>
      </c>
      <c r="H814" s="85" t="str">
        <f>IFERROR(__xludf.DUMMYFUNCTION("""COMPUTED_VALUE"""),"Estimate ")</f>
        <v>Estimate </v>
      </c>
      <c r="I814" s="4" t="str">
        <f>IFERROR(__xludf.DUMMYFUNCTION("""COMPUTED_VALUE"""),"shivani")</f>
        <v>shivani</v>
      </c>
    </row>
    <row r="815">
      <c r="A815" s="85">
        <f>IFERROR(__xludf.DUMMYFUNCTION("""COMPUTED_VALUE"""),44636.50167417824)</f>
        <v>44636.50167</v>
      </c>
      <c r="B815" s="4"/>
      <c r="C815" s="4"/>
      <c r="D815" s="4"/>
      <c r="E815" s="4"/>
      <c r="F815" s="4"/>
      <c r="G815" s="85">
        <f>IFERROR(__xludf.DUMMYFUNCTION("""COMPUTED_VALUE"""),44638.50138888889)</f>
        <v>44638.50139</v>
      </c>
      <c r="H815" s="85" t="str">
        <f>IFERROR(__xludf.DUMMYFUNCTION("""COMPUTED_VALUE"""),"Estimate ")</f>
        <v>Estimate </v>
      </c>
      <c r="I815" s="4" t="str">
        <f>IFERROR(__xludf.DUMMYFUNCTION("""COMPUTED_VALUE"""),"shivani")</f>
        <v>shivani</v>
      </c>
    </row>
    <row r="816">
      <c r="A816" s="85">
        <f>IFERROR(__xludf.DUMMYFUNCTION("""COMPUTED_VALUE"""),44636.50929306713)</f>
        <v>44636.50929</v>
      </c>
      <c r="B816" s="4"/>
      <c r="C816" s="4"/>
      <c r="D816" s="4"/>
      <c r="E816" s="4"/>
      <c r="F816" s="4"/>
      <c r="G816" s="85">
        <f>IFERROR(__xludf.DUMMYFUNCTION("""COMPUTED_VALUE"""),44638.50902777778)</f>
        <v>44638.50903</v>
      </c>
      <c r="H816" s="85" t="str">
        <f>IFERROR(__xludf.DUMMYFUNCTION("""COMPUTED_VALUE"""),"Estimate ")</f>
        <v>Estimate </v>
      </c>
      <c r="I816" s="4" t="str">
        <f>IFERROR(__xludf.DUMMYFUNCTION("""COMPUTED_VALUE"""),"shivani")</f>
        <v>shivani</v>
      </c>
    </row>
    <row r="817">
      <c r="A817" s="85">
        <f>IFERROR(__xludf.DUMMYFUNCTION("""COMPUTED_VALUE"""),44643.68842210648)</f>
        <v>44643.68842</v>
      </c>
      <c r="B817" s="4"/>
      <c r="C817" s="4"/>
      <c r="D817" s="4"/>
      <c r="E817" s="4"/>
      <c r="F817" s="4"/>
      <c r="G817" s="85">
        <f>IFERROR(__xludf.DUMMYFUNCTION("""COMPUTED_VALUE"""),44645.68819444445)</f>
        <v>44645.68819</v>
      </c>
      <c r="H817" s="85" t="str">
        <f>IFERROR(__xludf.DUMMYFUNCTION("""COMPUTED_VALUE"""),"Estimate ")</f>
        <v>Estimate </v>
      </c>
      <c r="I817" s="4" t="str">
        <f>IFERROR(__xludf.DUMMYFUNCTION("""COMPUTED_VALUE"""),"shivani")</f>
        <v>shivani</v>
      </c>
    </row>
    <row r="818">
      <c r="A818" s="85">
        <f>IFERROR(__xludf.DUMMYFUNCTION("""COMPUTED_VALUE"""),44643.68978079861)</f>
        <v>44643.68978</v>
      </c>
      <c r="B818" s="4"/>
      <c r="C818" s="4"/>
      <c r="D818" s="4"/>
      <c r="E818" s="4"/>
      <c r="F818" s="4"/>
      <c r="G818" s="85">
        <f>IFERROR(__xludf.DUMMYFUNCTION("""COMPUTED_VALUE"""),44645.68958333333)</f>
        <v>44645.68958</v>
      </c>
      <c r="H818" s="85" t="str">
        <f>IFERROR(__xludf.DUMMYFUNCTION("""COMPUTED_VALUE"""),"Estimate ")</f>
        <v>Estimate </v>
      </c>
      <c r="I818" s="4" t="str">
        <f>IFERROR(__xludf.DUMMYFUNCTION("""COMPUTED_VALUE"""),"shivani")</f>
        <v>shivani</v>
      </c>
    </row>
    <row r="819">
      <c r="A819" s="85">
        <f>IFERROR(__xludf.DUMMYFUNCTION("""COMPUTED_VALUE"""),44643.69121891204)</f>
        <v>44643.69122</v>
      </c>
      <c r="B819" s="4"/>
      <c r="C819" s="4"/>
      <c r="D819" s="4"/>
      <c r="E819" s="4"/>
      <c r="F819" s="4"/>
      <c r="G819" s="85">
        <f>IFERROR(__xludf.DUMMYFUNCTION("""COMPUTED_VALUE"""),44645.69097222222)</f>
        <v>44645.69097</v>
      </c>
      <c r="H819" s="85" t="str">
        <f>IFERROR(__xludf.DUMMYFUNCTION("""COMPUTED_VALUE"""),"Estimate ")</f>
        <v>Estimate </v>
      </c>
      <c r="I819" s="4" t="str">
        <f>IFERROR(__xludf.DUMMYFUNCTION("""COMPUTED_VALUE"""),"shivani")</f>
        <v>shivani</v>
      </c>
    </row>
    <row r="820">
      <c r="A820" s="85">
        <f>IFERROR(__xludf.DUMMYFUNCTION("""COMPUTED_VALUE"""),44643.69221607639)</f>
        <v>44643.69222</v>
      </c>
      <c r="B820" s="4"/>
      <c r="C820" s="4"/>
      <c r="D820" s="4"/>
      <c r="E820" s="4"/>
      <c r="F820" s="4"/>
      <c r="G820" s="85">
        <f>IFERROR(__xludf.DUMMYFUNCTION("""COMPUTED_VALUE"""),44645.691666666666)</f>
        <v>44645.69167</v>
      </c>
      <c r="H820" s="85" t="str">
        <f>IFERROR(__xludf.DUMMYFUNCTION("""COMPUTED_VALUE"""),"Estimate ")</f>
        <v>Estimate </v>
      </c>
      <c r="I820" s="4" t="str">
        <f>IFERROR(__xludf.DUMMYFUNCTION("""COMPUTED_VALUE"""),"shivani")</f>
        <v>shivani</v>
      </c>
    </row>
    <row r="821">
      <c r="A821" s="85">
        <f>IFERROR(__xludf.DUMMYFUNCTION("""COMPUTED_VALUE"""),44643.69308625)</f>
        <v>44643.69309</v>
      </c>
      <c r="B821" s="4"/>
      <c r="C821" s="4"/>
      <c r="D821" s="4"/>
      <c r="E821" s="4"/>
      <c r="F821" s="4"/>
      <c r="G821" s="85">
        <f>IFERROR(__xludf.DUMMYFUNCTION("""COMPUTED_VALUE"""),44645.69305555556)</f>
        <v>44645.69306</v>
      </c>
      <c r="H821" s="85" t="str">
        <f>IFERROR(__xludf.DUMMYFUNCTION("""COMPUTED_VALUE"""),"Estimate ")</f>
        <v>Estimate </v>
      </c>
      <c r="I821" s="4" t="str">
        <f>IFERROR(__xludf.DUMMYFUNCTION("""COMPUTED_VALUE"""),"shivani")</f>
        <v>shivani</v>
      </c>
    </row>
    <row r="822">
      <c r="A822" s="85">
        <f>IFERROR(__xludf.DUMMYFUNCTION("""COMPUTED_VALUE"""),44645.58288913194)</f>
        <v>44645.58289</v>
      </c>
      <c r="B822" s="4"/>
      <c r="C822" s="4"/>
      <c r="D822" s="4"/>
      <c r="E822" s="4"/>
      <c r="F822" s="4"/>
      <c r="G822" s="85">
        <f>IFERROR(__xludf.DUMMYFUNCTION("""COMPUTED_VALUE"""),44647.58263888889)</f>
        <v>44647.58264</v>
      </c>
      <c r="H822" s="85" t="str">
        <f>IFERROR(__xludf.DUMMYFUNCTION("""COMPUTED_VALUE"""),"Estimate ")</f>
        <v>Estimate </v>
      </c>
      <c r="I822" s="4" t="str">
        <f>IFERROR(__xludf.DUMMYFUNCTION("""COMPUTED_VALUE"""),"shivani")</f>
        <v>shivani</v>
      </c>
    </row>
    <row r="823">
      <c r="A823" s="85">
        <f>IFERROR(__xludf.DUMMYFUNCTION("""COMPUTED_VALUE"""),44678.49157111111)</f>
        <v>44678.49157</v>
      </c>
      <c r="B823" s="4"/>
      <c r="C823" s="4"/>
      <c r="D823" s="4"/>
      <c r="E823" s="4"/>
      <c r="F823" s="4"/>
      <c r="G823" s="85">
        <f>IFERROR(__xludf.DUMMYFUNCTION("""COMPUTED_VALUE"""),44680.49097222222)</f>
        <v>44680.49097</v>
      </c>
      <c r="H823" s="85" t="str">
        <f>IFERROR(__xludf.DUMMYFUNCTION("""COMPUTED_VALUE"""),"Estimate ")</f>
        <v>Estimate </v>
      </c>
      <c r="I823" s="4" t="str">
        <f>IFERROR(__xludf.DUMMYFUNCTION("""COMPUTED_VALUE"""),"shivani")</f>
        <v>shivani</v>
      </c>
    </row>
    <row r="824">
      <c r="A824" s="85">
        <f>IFERROR(__xludf.DUMMYFUNCTION("""COMPUTED_VALUE"""),44680.73905730324)</f>
        <v>44680.73906</v>
      </c>
      <c r="B824" s="4"/>
      <c r="C824" s="4"/>
      <c r="D824" s="4"/>
      <c r="E824" s="4"/>
      <c r="F824" s="4"/>
      <c r="G824" s="85">
        <f>IFERROR(__xludf.DUMMYFUNCTION("""COMPUTED_VALUE"""),44682.73888888889)</f>
        <v>44682.73889</v>
      </c>
      <c r="H824" s="85" t="str">
        <f>IFERROR(__xludf.DUMMYFUNCTION("""COMPUTED_VALUE"""),"Estimate ")</f>
        <v>Estimate </v>
      </c>
      <c r="I824" s="4" t="str">
        <f>IFERROR(__xludf.DUMMYFUNCTION("""COMPUTED_VALUE"""),"shivani")</f>
        <v>shivani</v>
      </c>
    </row>
    <row r="825">
      <c r="A825" s="85">
        <f>IFERROR(__xludf.DUMMYFUNCTION("""COMPUTED_VALUE"""),44684.610864062495)</f>
        <v>44684.61086</v>
      </c>
      <c r="B825" s="4"/>
      <c r="C825" s="4"/>
      <c r="D825" s="4"/>
      <c r="E825" s="4"/>
      <c r="F825" s="4"/>
      <c r="G825" s="85">
        <f>IFERROR(__xludf.DUMMYFUNCTION("""COMPUTED_VALUE"""),44686.61041666666)</f>
        <v>44686.61042</v>
      </c>
      <c r="H825" s="85" t="str">
        <f>IFERROR(__xludf.DUMMYFUNCTION("""COMPUTED_VALUE"""),"Estimate ")</f>
        <v>Estimate </v>
      </c>
      <c r="I825" s="4" t="str">
        <f>IFERROR(__xludf.DUMMYFUNCTION("""COMPUTED_VALUE"""),"shivani")</f>
        <v>shivani</v>
      </c>
    </row>
    <row r="826">
      <c r="A826" s="85">
        <f>IFERROR(__xludf.DUMMYFUNCTION("""COMPUTED_VALUE"""),44685.48934518519)</f>
        <v>44685.48935</v>
      </c>
      <c r="B826" s="4"/>
      <c r="C826" s="4"/>
      <c r="D826" s="4"/>
      <c r="E826" s="4"/>
      <c r="F826" s="4"/>
      <c r="G826" s="85">
        <f>IFERROR(__xludf.DUMMYFUNCTION("""COMPUTED_VALUE"""),44687.48888888889)</f>
        <v>44687.48889</v>
      </c>
      <c r="H826" s="85" t="str">
        <f>IFERROR(__xludf.DUMMYFUNCTION("""COMPUTED_VALUE"""),"Estimate ")</f>
        <v>Estimate </v>
      </c>
      <c r="I826" s="4" t="str">
        <f>IFERROR(__xludf.DUMMYFUNCTION("""COMPUTED_VALUE"""),"shivani")</f>
        <v>shivani</v>
      </c>
    </row>
    <row r="827">
      <c r="A827" s="85">
        <f>IFERROR(__xludf.DUMMYFUNCTION("""COMPUTED_VALUE"""),44689.48435130787)</f>
        <v>44689.48435</v>
      </c>
      <c r="B827" s="4"/>
      <c r="C827" s="4"/>
      <c r="D827" s="4"/>
      <c r="E827" s="4"/>
      <c r="F827" s="4"/>
      <c r="G827" s="85">
        <f>IFERROR(__xludf.DUMMYFUNCTION("""COMPUTED_VALUE"""),44692.48402777778)</f>
        <v>44692.48403</v>
      </c>
      <c r="H827" s="85" t="str">
        <f>IFERROR(__xludf.DUMMYFUNCTION("""COMPUTED_VALUE"""),"Estimate ")</f>
        <v>Estimate </v>
      </c>
      <c r="I827" s="4" t="str">
        <f>IFERROR(__xludf.DUMMYFUNCTION("""COMPUTED_VALUE"""),"shivani")</f>
        <v>shivani</v>
      </c>
    </row>
    <row r="828">
      <c r="A828" s="85">
        <f>IFERROR(__xludf.DUMMYFUNCTION("""COMPUTED_VALUE"""),44694.487345347225)</f>
        <v>44694.48735</v>
      </c>
      <c r="B828" s="4"/>
      <c r="C828" s="4"/>
      <c r="D828" s="4"/>
      <c r="E828" s="4"/>
      <c r="F828" s="4"/>
      <c r="G828" s="85">
        <f>IFERROR(__xludf.DUMMYFUNCTION("""COMPUTED_VALUE"""),44696.486805555556)</f>
        <v>44696.48681</v>
      </c>
      <c r="H828" s="85" t="str">
        <f>IFERROR(__xludf.DUMMYFUNCTION("""COMPUTED_VALUE"""),"Estimate ")</f>
        <v>Estimate </v>
      </c>
      <c r="I828" s="4" t="str">
        <f>IFERROR(__xludf.DUMMYFUNCTION("""COMPUTED_VALUE"""),"shivani")</f>
        <v>shivani</v>
      </c>
    </row>
    <row r="829">
      <c r="A829" s="85">
        <f>IFERROR(__xludf.DUMMYFUNCTION("""COMPUTED_VALUE"""),44694.48854326389)</f>
        <v>44694.48854</v>
      </c>
      <c r="B829" s="4"/>
      <c r="C829" s="4"/>
      <c r="D829" s="4"/>
      <c r="E829" s="4"/>
      <c r="F829" s="4"/>
      <c r="G829" s="85">
        <f>IFERROR(__xludf.DUMMYFUNCTION("""COMPUTED_VALUE"""),44696.48819444445)</f>
        <v>44696.48819</v>
      </c>
      <c r="H829" s="85" t="str">
        <f>IFERROR(__xludf.DUMMYFUNCTION("""COMPUTED_VALUE"""),"Estimate ")</f>
        <v>Estimate </v>
      </c>
      <c r="I829" s="4" t="str">
        <f>IFERROR(__xludf.DUMMYFUNCTION("""COMPUTED_VALUE"""),"shivani")</f>
        <v>shivani</v>
      </c>
    </row>
    <row r="830">
      <c r="A830" s="85">
        <f>IFERROR(__xludf.DUMMYFUNCTION("""COMPUTED_VALUE"""),44694.489989490736)</f>
        <v>44694.48999</v>
      </c>
      <c r="B830" s="4"/>
      <c r="C830" s="4"/>
      <c r="D830" s="4"/>
      <c r="E830" s="4"/>
      <c r="F830" s="4"/>
      <c r="G830" s="85">
        <f>IFERROR(__xludf.DUMMYFUNCTION("""COMPUTED_VALUE"""),44696.48958333333)</f>
        <v>44696.48958</v>
      </c>
      <c r="H830" s="85" t="str">
        <f>IFERROR(__xludf.DUMMYFUNCTION("""COMPUTED_VALUE"""),"Estimate ")</f>
        <v>Estimate </v>
      </c>
      <c r="I830" s="4" t="str">
        <f>IFERROR(__xludf.DUMMYFUNCTION("""COMPUTED_VALUE"""),"shivani")</f>
        <v>shivani</v>
      </c>
    </row>
    <row r="831">
      <c r="A831" s="85">
        <f>IFERROR(__xludf.DUMMYFUNCTION("""COMPUTED_VALUE"""),44709.64866075232)</f>
        <v>44709.64866</v>
      </c>
      <c r="B831" s="4"/>
      <c r="C831" s="4"/>
      <c r="D831" s="4"/>
      <c r="E831" s="4"/>
      <c r="F831" s="4"/>
      <c r="G831" s="85">
        <f>IFERROR(__xludf.DUMMYFUNCTION("""COMPUTED_VALUE"""),44712.648611111115)</f>
        <v>44712.64861</v>
      </c>
      <c r="H831" s="85" t="str">
        <f>IFERROR(__xludf.DUMMYFUNCTION("""COMPUTED_VALUE"""),"Estimate ")</f>
        <v>Estimate </v>
      </c>
      <c r="I831" s="4" t="str">
        <f>IFERROR(__xludf.DUMMYFUNCTION("""COMPUTED_VALUE"""),"shivani")</f>
        <v>shivani</v>
      </c>
    </row>
    <row r="832">
      <c r="A832" s="85">
        <f>IFERROR(__xludf.DUMMYFUNCTION("""COMPUTED_VALUE"""),44710.51303489584)</f>
        <v>44710.51303</v>
      </c>
      <c r="B832" s="4"/>
      <c r="C832" s="4"/>
      <c r="D832" s="4"/>
      <c r="E832" s="4"/>
      <c r="F832" s="4"/>
      <c r="G832" s="85">
        <f>IFERROR(__xludf.DUMMYFUNCTION("""COMPUTED_VALUE"""),44713.5125)</f>
        <v>44713.5125</v>
      </c>
      <c r="H832" s="85" t="str">
        <f>IFERROR(__xludf.DUMMYFUNCTION("""COMPUTED_VALUE"""),"Estimate ")</f>
        <v>Estimate </v>
      </c>
      <c r="I832" s="4" t="str">
        <f>IFERROR(__xludf.DUMMYFUNCTION("""COMPUTED_VALUE"""),"shivani")</f>
        <v>shivani</v>
      </c>
    </row>
    <row r="833">
      <c r="A833" s="85">
        <f>IFERROR(__xludf.DUMMYFUNCTION("""COMPUTED_VALUE"""),44710.51469099537)</f>
        <v>44710.51469</v>
      </c>
      <c r="B833" s="4"/>
      <c r="C833" s="4"/>
      <c r="D833" s="4"/>
      <c r="E833" s="4"/>
      <c r="F833" s="4"/>
      <c r="G833" s="85">
        <f>IFERROR(__xludf.DUMMYFUNCTION("""COMPUTED_VALUE"""),44713.51458333334)</f>
        <v>44713.51458</v>
      </c>
      <c r="H833" s="85" t="str">
        <f>IFERROR(__xludf.DUMMYFUNCTION("""COMPUTED_VALUE"""),"Estimate ")</f>
        <v>Estimate </v>
      </c>
      <c r="I833" s="4" t="str">
        <f>IFERROR(__xludf.DUMMYFUNCTION("""COMPUTED_VALUE"""),"shivani")</f>
        <v>shivani</v>
      </c>
    </row>
    <row r="834">
      <c r="A834" s="85">
        <f>IFERROR(__xludf.DUMMYFUNCTION("""COMPUTED_VALUE"""),44720.520356388886)</f>
        <v>44720.52036</v>
      </c>
      <c r="B834" s="4"/>
      <c r="C834" s="4"/>
      <c r="D834" s="4"/>
      <c r="E834" s="4"/>
      <c r="F834" s="4"/>
      <c r="G834" s="85">
        <f>IFERROR(__xludf.DUMMYFUNCTION("""COMPUTED_VALUE"""),44722.52013888889)</f>
        <v>44722.52014</v>
      </c>
      <c r="H834" s="85" t="str">
        <f>IFERROR(__xludf.DUMMYFUNCTION("""COMPUTED_VALUE"""),"Estimate ")</f>
        <v>Estimate </v>
      </c>
      <c r="I834" s="4" t="str">
        <f>IFERROR(__xludf.DUMMYFUNCTION("""COMPUTED_VALUE"""),"shivani")</f>
        <v>shivani</v>
      </c>
    </row>
    <row r="835">
      <c r="A835" s="85">
        <f>IFERROR(__xludf.DUMMYFUNCTION("""COMPUTED_VALUE"""),44720.52380028935)</f>
        <v>44720.5238</v>
      </c>
      <c r="B835" s="4"/>
      <c r="C835" s="4"/>
      <c r="D835" s="4"/>
      <c r="E835" s="4"/>
      <c r="F835" s="4"/>
      <c r="G835" s="85">
        <f>IFERROR(__xludf.DUMMYFUNCTION("""COMPUTED_VALUE"""),44722.523611111115)</f>
        <v>44722.52361</v>
      </c>
      <c r="H835" s="85" t="str">
        <f>IFERROR(__xludf.DUMMYFUNCTION("""COMPUTED_VALUE"""),"Estimate ")</f>
        <v>Estimate </v>
      </c>
      <c r="I835" s="4" t="str">
        <f>IFERROR(__xludf.DUMMYFUNCTION("""COMPUTED_VALUE"""),"shivani")</f>
        <v>shivani</v>
      </c>
    </row>
    <row r="836">
      <c r="A836" s="85">
        <f>IFERROR(__xludf.DUMMYFUNCTION("""COMPUTED_VALUE"""),44720.52517504629)</f>
        <v>44720.52518</v>
      </c>
      <c r="B836" s="4"/>
      <c r="C836" s="4"/>
      <c r="D836" s="4"/>
      <c r="E836" s="4"/>
      <c r="F836" s="4"/>
      <c r="G836" s="85">
        <f>IFERROR(__xludf.DUMMYFUNCTION("""COMPUTED_VALUE"""),44722.525)</f>
        <v>44722.525</v>
      </c>
      <c r="H836" s="85" t="str">
        <f>IFERROR(__xludf.DUMMYFUNCTION("""COMPUTED_VALUE"""),"Estimate ")</f>
        <v>Estimate </v>
      </c>
      <c r="I836" s="4" t="str">
        <f>IFERROR(__xludf.DUMMYFUNCTION("""COMPUTED_VALUE"""),"shivani")</f>
        <v>shivani</v>
      </c>
    </row>
    <row r="837">
      <c r="A837" s="85">
        <f>IFERROR(__xludf.DUMMYFUNCTION("""COMPUTED_VALUE"""),44720.52640135417)</f>
        <v>44720.5264</v>
      </c>
      <c r="B837" s="4"/>
      <c r="C837" s="4"/>
      <c r="D837" s="4"/>
      <c r="E837" s="4"/>
      <c r="F837" s="4"/>
      <c r="G837" s="85">
        <f>IFERROR(__xludf.DUMMYFUNCTION("""COMPUTED_VALUE"""),44722.52638888889)</f>
        <v>44722.52639</v>
      </c>
      <c r="H837" s="85" t="str">
        <f>IFERROR(__xludf.DUMMYFUNCTION("""COMPUTED_VALUE"""),"Estimate ")</f>
        <v>Estimate </v>
      </c>
      <c r="I837" s="4" t="str">
        <f>IFERROR(__xludf.DUMMYFUNCTION("""COMPUTED_VALUE"""),"shivani")</f>
        <v>shivani</v>
      </c>
    </row>
    <row r="838">
      <c r="A838" s="85">
        <f>IFERROR(__xludf.DUMMYFUNCTION("""COMPUTED_VALUE"""),44722.53628998843)</f>
        <v>44722.53629</v>
      </c>
      <c r="B838" s="4"/>
      <c r="C838" s="4"/>
      <c r="D838" s="4"/>
      <c r="E838" s="4"/>
      <c r="F838" s="4"/>
      <c r="G838" s="85">
        <f>IFERROR(__xludf.DUMMYFUNCTION("""COMPUTED_VALUE"""),44724.53611111111)</f>
        <v>44724.53611</v>
      </c>
      <c r="H838" s="85" t="str">
        <f>IFERROR(__xludf.DUMMYFUNCTION("""COMPUTED_VALUE"""),"Estimate ")</f>
        <v>Estimate </v>
      </c>
      <c r="I838" s="4" t="str">
        <f>IFERROR(__xludf.DUMMYFUNCTION("""COMPUTED_VALUE"""),"shivani")</f>
        <v>shivani</v>
      </c>
    </row>
    <row r="839">
      <c r="A839" s="85">
        <f>IFERROR(__xludf.DUMMYFUNCTION("""COMPUTED_VALUE"""),44726.541755543985)</f>
        <v>44726.54176</v>
      </c>
      <c r="B839" s="4"/>
      <c r="C839" s="4"/>
      <c r="D839" s="4"/>
      <c r="E839" s="4"/>
      <c r="F839" s="4"/>
      <c r="G839" s="85">
        <f>IFERROR(__xludf.DUMMYFUNCTION("""COMPUTED_VALUE"""),44728.54166666667)</f>
        <v>44728.54167</v>
      </c>
      <c r="H839" s="85" t="str">
        <f>IFERROR(__xludf.DUMMYFUNCTION("""COMPUTED_VALUE"""),"Estimate ")</f>
        <v>Estimate </v>
      </c>
      <c r="I839" s="4" t="str">
        <f>IFERROR(__xludf.DUMMYFUNCTION("""COMPUTED_VALUE"""),"shivani")</f>
        <v>shivani</v>
      </c>
    </row>
    <row r="840">
      <c r="A840" s="85">
        <f>IFERROR(__xludf.DUMMYFUNCTION("""COMPUTED_VALUE"""),44727.52788971065)</f>
        <v>44727.52789</v>
      </c>
      <c r="B840" s="4"/>
      <c r="C840" s="4"/>
      <c r="D840" s="4"/>
      <c r="E840" s="4"/>
      <c r="F840" s="4"/>
      <c r="G840" s="85">
        <f>IFERROR(__xludf.DUMMYFUNCTION("""COMPUTED_VALUE"""),44729.52777777778)</f>
        <v>44729.52778</v>
      </c>
      <c r="H840" s="85" t="str">
        <f>IFERROR(__xludf.DUMMYFUNCTION("""COMPUTED_VALUE"""),"Estimate ")</f>
        <v>Estimate </v>
      </c>
      <c r="I840" s="4" t="str">
        <f>IFERROR(__xludf.DUMMYFUNCTION("""COMPUTED_VALUE"""),"shivani")</f>
        <v>shivani</v>
      </c>
    </row>
    <row r="841">
      <c r="A841" s="85">
        <f>IFERROR(__xludf.DUMMYFUNCTION("""COMPUTED_VALUE"""),44727.567520219905)</f>
        <v>44727.56752</v>
      </c>
      <c r="B841" s="4"/>
      <c r="C841" s="4"/>
      <c r="D841" s="4"/>
      <c r="E841" s="4"/>
      <c r="F841" s="4"/>
      <c r="G841" s="85">
        <f>IFERROR(__xludf.DUMMYFUNCTION("""COMPUTED_VALUE"""),44729.56736111111)</f>
        <v>44729.56736</v>
      </c>
      <c r="H841" s="85" t="str">
        <f>IFERROR(__xludf.DUMMYFUNCTION("""COMPUTED_VALUE"""),"Estimate ")</f>
        <v>Estimate </v>
      </c>
      <c r="I841" s="4" t="str">
        <f>IFERROR(__xludf.DUMMYFUNCTION("""COMPUTED_VALUE"""),"shivani")</f>
        <v>shivani</v>
      </c>
    </row>
    <row r="842">
      <c r="A842" s="85">
        <f>IFERROR(__xludf.DUMMYFUNCTION("""COMPUTED_VALUE"""),44728.738535462966)</f>
        <v>44728.73854</v>
      </c>
      <c r="B842" s="4"/>
      <c r="C842" s="4"/>
      <c r="D842" s="4"/>
      <c r="E842" s="4"/>
      <c r="F842" s="4"/>
      <c r="G842" s="85">
        <f>IFERROR(__xludf.DUMMYFUNCTION("""COMPUTED_VALUE"""),44730.73819444445)</f>
        <v>44730.73819</v>
      </c>
      <c r="H842" s="85" t="str">
        <f>IFERROR(__xludf.DUMMYFUNCTION("""COMPUTED_VALUE"""),"Estimate ")</f>
        <v>Estimate </v>
      </c>
      <c r="I842" s="4" t="str">
        <f>IFERROR(__xludf.DUMMYFUNCTION("""COMPUTED_VALUE"""),"shivani")</f>
        <v>shivani</v>
      </c>
    </row>
    <row r="843">
      <c r="A843" s="85">
        <f>IFERROR(__xludf.DUMMYFUNCTION("""COMPUTED_VALUE"""),44730.703461006946)</f>
        <v>44730.70346</v>
      </c>
      <c r="B843" s="4"/>
      <c r="C843" s="4"/>
      <c r="D843" s="4"/>
      <c r="E843" s="4"/>
      <c r="F843" s="4"/>
      <c r="G843" s="85">
        <f>IFERROR(__xludf.DUMMYFUNCTION("""COMPUTED_VALUE"""),44733.70277777778)</f>
        <v>44733.70278</v>
      </c>
      <c r="H843" s="85" t="str">
        <f>IFERROR(__xludf.DUMMYFUNCTION("""COMPUTED_VALUE"""),"Estimate ")</f>
        <v>Estimate </v>
      </c>
      <c r="I843" s="4" t="str">
        <f>IFERROR(__xludf.DUMMYFUNCTION("""COMPUTED_VALUE"""),"shivani")</f>
        <v>shivani</v>
      </c>
    </row>
    <row r="844">
      <c r="A844" s="85">
        <f>IFERROR(__xludf.DUMMYFUNCTION("""COMPUTED_VALUE"""),44730.705676921294)</f>
        <v>44730.70568</v>
      </c>
      <c r="B844" s="4"/>
      <c r="C844" s="4"/>
      <c r="D844" s="4"/>
      <c r="E844" s="4"/>
      <c r="F844" s="4"/>
      <c r="G844" s="85">
        <f>IFERROR(__xludf.DUMMYFUNCTION("""COMPUTED_VALUE"""),44733.705555555556)</f>
        <v>44733.70556</v>
      </c>
      <c r="H844" s="85" t="str">
        <f>IFERROR(__xludf.DUMMYFUNCTION("""COMPUTED_VALUE"""),"Estimate ")</f>
        <v>Estimate </v>
      </c>
      <c r="I844" s="4" t="str">
        <f>IFERROR(__xludf.DUMMYFUNCTION("""COMPUTED_VALUE"""),"shivani")</f>
        <v>shivani</v>
      </c>
    </row>
    <row r="845">
      <c r="A845" s="85">
        <f>IFERROR(__xludf.DUMMYFUNCTION("""COMPUTED_VALUE"""),44730.70748164352)</f>
        <v>44730.70748</v>
      </c>
      <c r="B845" s="4"/>
      <c r="C845" s="4"/>
      <c r="D845" s="4"/>
      <c r="E845" s="4"/>
      <c r="F845" s="4"/>
      <c r="G845" s="85">
        <f>IFERROR(__xludf.DUMMYFUNCTION("""COMPUTED_VALUE"""),44733.70694444445)</f>
        <v>44733.70694</v>
      </c>
      <c r="H845" s="85" t="str">
        <f>IFERROR(__xludf.DUMMYFUNCTION("""COMPUTED_VALUE"""),"Estimate ")</f>
        <v>Estimate </v>
      </c>
      <c r="I845" s="4" t="str">
        <f>IFERROR(__xludf.DUMMYFUNCTION("""COMPUTED_VALUE"""),"shivani")</f>
        <v>shivani</v>
      </c>
    </row>
    <row r="846">
      <c r="A846" s="85">
        <f>IFERROR(__xludf.DUMMYFUNCTION("""COMPUTED_VALUE"""),44730.70899471064)</f>
        <v>44730.70899</v>
      </c>
      <c r="B846" s="4"/>
      <c r="C846" s="4"/>
      <c r="D846" s="4"/>
      <c r="E846" s="4"/>
      <c r="F846" s="4"/>
      <c r="G846" s="85">
        <f>IFERROR(__xludf.DUMMYFUNCTION("""COMPUTED_VALUE"""),44733.70833333333)</f>
        <v>44733.70833</v>
      </c>
      <c r="H846" s="85" t="str">
        <f>IFERROR(__xludf.DUMMYFUNCTION("""COMPUTED_VALUE"""),"Estimate ")</f>
        <v>Estimate </v>
      </c>
      <c r="I846" s="4" t="str">
        <f>IFERROR(__xludf.DUMMYFUNCTION("""COMPUTED_VALUE"""),"shivani")</f>
        <v>shivani</v>
      </c>
    </row>
    <row r="847">
      <c r="A847" s="85">
        <f>IFERROR(__xludf.DUMMYFUNCTION("""COMPUTED_VALUE"""),44730.710912905095)</f>
        <v>44730.71091</v>
      </c>
      <c r="B847" s="4"/>
      <c r="C847" s="4"/>
      <c r="D847" s="4"/>
      <c r="E847" s="4"/>
      <c r="F847" s="4"/>
      <c r="G847" s="85">
        <f>IFERROR(__xludf.DUMMYFUNCTION("""COMPUTED_VALUE"""),44733.71041666667)</f>
        <v>44733.71042</v>
      </c>
      <c r="H847" s="85" t="str">
        <f>IFERROR(__xludf.DUMMYFUNCTION("""COMPUTED_VALUE"""),"Estimate ")</f>
        <v>Estimate </v>
      </c>
      <c r="I847" s="4" t="str">
        <f>IFERROR(__xludf.DUMMYFUNCTION("""COMPUTED_VALUE"""),"shivani")</f>
        <v>shivani</v>
      </c>
    </row>
    <row r="848">
      <c r="A848" s="85">
        <f>IFERROR(__xludf.DUMMYFUNCTION("""COMPUTED_VALUE"""),44730.7148536574)</f>
        <v>44730.71485</v>
      </c>
      <c r="B848" s="4"/>
      <c r="C848" s="4"/>
      <c r="D848" s="4"/>
      <c r="E848" s="4"/>
      <c r="F848" s="4"/>
      <c r="G848" s="85">
        <f>IFERROR(__xludf.DUMMYFUNCTION("""COMPUTED_VALUE"""),44733.714583333334)</f>
        <v>44733.71458</v>
      </c>
      <c r="H848" s="85" t="str">
        <f>IFERROR(__xludf.DUMMYFUNCTION("""COMPUTED_VALUE"""),"Estimate ")</f>
        <v>Estimate </v>
      </c>
      <c r="I848" s="4" t="str">
        <f>IFERROR(__xludf.DUMMYFUNCTION("""COMPUTED_VALUE"""),"shivani")</f>
        <v>shivani</v>
      </c>
    </row>
    <row r="849">
      <c r="A849" s="85">
        <f>IFERROR(__xludf.DUMMYFUNCTION("""COMPUTED_VALUE"""),44733.55170283565)</f>
        <v>44733.5517</v>
      </c>
      <c r="B849" s="4"/>
      <c r="C849" s="4"/>
      <c r="D849" s="4"/>
      <c r="E849" s="4"/>
      <c r="F849" s="4"/>
      <c r="G849" s="85">
        <f>IFERROR(__xludf.DUMMYFUNCTION("""COMPUTED_VALUE"""),44735.55138888889)</f>
        <v>44735.55139</v>
      </c>
      <c r="H849" s="85" t="str">
        <f>IFERROR(__xludf.DUMMYFUNCTION("""COMPUTED_VALUE"""),"Estimate ")</f>
        <v>Estimate </v>
      </c>
      <c r="I849" s="4" t="str">
        <f>IFERROR(__xludf.DUMMYFUNCTION("""COMPUTED_VALUE"""),"shivani")</f>
        <v>shivani</v>
      </c>
    </row>
    <row r="850">
      <c r="A850" s="85">
        <f>IFERROR(__xludf.DUMMYFUNCTION("""COMPUTED_VALUE"""),44741.75047413194)</f>
        <v>44741.75047</v>
      </c>
      <c r="B850" s="4"/>
      <c r="C850" s="4"/>
      <c r="D850" s="4"/>
      <c r="E850" s="4"/>
      <c r="F850" s="4"/>
      <c r="G850" s="85">
        <f>IFERROR(__xludf.DUMMYFUNCTION("""COMPUTED_VALUE"""),44743.75)</f>
        <v>44743.75</v>
      </c>
      <c r="H850" s="85" t="str">
        <f>IFERROR(__xludf.DUMMYFUNCTION("""COMPUTED_VALUE"""),"Estimate ")</f>
        <v>Estimate </v>
      </c>
      <c r="I850" s="4" t="str">
        <f>IFERROR(__xludf.DUMMYFUNCTION("""COMPUTED_VALUE"""),"shivani")</f>
        <v>shivani</v>
      </c>
    </row>
    <row r="851">
      <c r="A851" s="85">
        <f>IFERROR(__xludf.DUMMYFUNCTION("""COMPUTED_VALUE"""),44741.75163284722)</f>
        <v>44741.75163</v>
      </c>
      <c r="B851" s="4"/>
      <c r="C851" s="4"/>
      <c r="D851" s="4"/>
      <c r="E851" s="4"/>
      <c r="F851" s="4"/>
      <c r="G851" s="85">
        <f>IFERROR(__xludf.DUMMYFUNCTION("""COMPUTED_VALUE"""),44743.75138888889)</f>
        <v>44743.75139</v>
      </c>
      <c r="H851" s="85" t="str">
        <f>IFERROR(__xludf.DUMMYFUNCTION("""COMPUTED_VALUE"""),"Estimate ")</f>
        <v>Estimate </v>
      </c>
      <c r="I851" s="4" t="str">
        <f>IFERROR(__xludf.DUMMYFUNCTION("""COMPUTED_VALUE"""),"shivani")</f>
        <v>shivani</v>
      </c>
    </row>
    <row r="852">
      <c r="A852" s="85">
        <f>IFERROR(__xludf.DUMMYFUNCTION("""COMPUTED_VALUE"""),44743.57284453704)</f>
        <v>44743.57284</v>
      </c>
      <c r="B852" s="4"/>
      <c r="C852" s="4"/>
      <c r="D852" s="4"/>
      <c r="E852" s="4"/>
      <c r="F852" s="4"/>
      <c r="G852" s="85">
        <f>IFERROR(__xludf.DUMMYFUNCTION("""COMPUTED_VALUE"""),44745.572222222225)</f>
        <v>44745.57222</v>
      </c>
      <c r="H852" s="85" t="str">
        <f>IFERROR(__xludf.DUMMYFUNCTION("""COMPUTED_VALUE"""),"Estimate ")</f>
        <v>Estimate </v>
      </c>
      <c r="I852" s="4" t="str">
        <f>IFERROR(__xludf.DUMMYFUNCTION("""COMPUTED_VALUE"""),"shivani")</f>
        <v>shivani</v>
      </c>
    </row>
    <row r="853">
      <c r="A853" s="85">
        <f>IFERROR(__xludf.DUMMYFUNCTION("""COMPUTED_VALUE"""),44743.6722993287)</f>
        <v>44743.6723</v>
      </c>
      <c r="B853" s="4"/>
      <c r="C853" s="4"/>
      <c r="D853" s="4"/>
      <c r="E853" s="4"/>
      <c r="F853" s="4"/>
      <c r="G853" s="85">
        <f>IFERROR(__xludf.DUMMYFUNCTION("""COMPUTED_VALUE"""),44745.67222222222)</f>
        <v>44745.67222</v>
      </c>
      <c r="H853" s="85" t="str">
        <f>IFERROR(__xludf.DUMMYFUNCTION("""COMPUTED_VALUE"""),"Estimate ")</f>
        <v>Estimate </v>
      </c>
      <c r="I853" s="4" t="str">
        <f>IFERROR(__xludf.DUMMYFUNCTION("""COMPUTED_VALUE"""),"shivani")</f>
        <v>shivani</v>
      </c>
    </row>
    <row r="854">
      <c r="A854" s="85">
        <f>IFERROR(__xludf.DUMMYFUNCTION("""COMPUTED_VALUE"""),44744.65057268519)</f>
        <v>44744.65057</v>
      </c>
      <c r="B854" s="4"/>
      <c r="C854" s="4"/>
      <c r="D854" s="4"/>
      <c r="E854" s="4"/>
      <c r="F854" s="4"/>
      <c r="G854" s="85">
        <f>IFERROR(__xludf.DUMMYFUNCTION("""COMPUTED_VALUE"""),44747.65)</f>
        <v>44747.65</v>
      </c>
      <c r="H854" s="85" t="str">
        <f>IFERROR(__xludf.DUMMYFUNCTION("""COMPUTED_VALUE"""),"Estimate ")</f>
        <v>Estimate </v>
      </c>
      <c r="I854" s="4" t="str">
        <f>IFERROR(__xludf.DUMMYFUNCTION("""COMPUTED_VALUE"""),"shivani")</f>
        <v>shivani</v>
      </c>
    </row>
    <row r="855">
      <c r="A855" s="85">
        <f>IFERROR(__xludf.DUMMYFUNCTION("""COMPUTED_VALUE"""),44745.765673263886)</f>
        <v>44745.76567</v>
      </c>
      <c r="B855" s="4"/>
      <c r="C855" s="4"/>
      <c r="D855" s="4"/>
      <c r="E855" s="4"/>
      <c r="F855" s="4"/>
      <c r="G855" s="85">
        <f>IFERROR(__xludf.DUMMYFUNCTION("""COMPUTED_VALUE"""),44748.76527777778)</f>
        <v>44748.76528</v>
      </c>
      <c r="H855" s="85" t="str">
        <f>IFERROR(__xludf.DUMMYFUNCTION("""COMPUTED_VALUE"""),"Estimate ")</f>
        <v>Estimate </v>
      </c>
      <c r="I855" s="4" t="str">
        <f>IFERROR(__xludf.DUMMYFUNCTION("""COMPUTED_VALUE"""),"shivani")</f>
        <v>shivani</v>
      </c>
    </row>
    <row r="856">
      <c r="A856" s="85">
        <f>IFERROR(__xludf.DUMMYFUNCTION("""COMPUTED_VALUE"""),44747.52466962962)</f>
        <v>44747.52467</v>
      </c>
      <c r="B856" s="4"/>
      <c r="C856" s="4"/>
      <c r="D856" s="4"/>
      <c r="E856" s="4"/>
      <c r="F856" s="4"/>
      <c r="G856" s="85">
        <f>IFERROR(__xludf.DUMMYFUNCTION("""COMPUTED_VALUE"""),44749.524305555555)</f>
        <v>44749.52431</v>
      </c>
      <c r="H856" s="85" t="str">
        <f>IFERROR(__xludf.DUMMYFUNCTION("""COMPUTED_VALUE"""),"Estimate ")</f>
        <v>Estimate </v>
      </c>
      <c r="I856" s="4" t="str">
        <f>IFERROR(__xludf.DUMMYFUNCTION("""COMPUTED_VALUE"""),"shivani")</f>
        <v>shivani</v>
      </c>
    </row>
    <row r="857">
      <c r="A857" s="85">
        <f>IFERROR(__xludf.DUMMYFUNCTION("""COMPUTED_VALUE"""),44752.5635445949)</f>
        <v>44752.56354</v>
      </c>
      <c r="B857" s="4"/>
      <c r="C857" s="4"/>
      <c r="D857" s="4"/>
      <c r="E857" s="4"/>
      <c r="F857" s="4"/>
      <c r="G857" s="85">
        <f>IFERROR(__xludf.DUMMYFUNCTION("""COMPUTED_VALUE"""),44755.56319444445)</f>
        <v>44755.56319</v>
      </c>
      <c r="H857" s="85" t="str">
        <f>IFERROR(__xludf.DUMMYFUNCTION("""COMPUTED_VALUE"""),"Estimate ")</f>
        <v>Estimate </v>
      </c>
      <c r="I857" s="4" t="str">
        <f>IFERROR(__xludf.DUMMYFUNCTION("""COMPUTED_VALUE"""),"shivani")</f>
        <v>shivani</v>
      </c>
    </row>
    <row r="858">
      <c r="A858" s="85">
        <f>IFERROR(__xludf.DUMMYFUNCTION("""COMPUTED_VALUE"""),44754.54739295139)</f>
        <v>44754.54739</v>
      </c>
      <c r="B858" s="4"/>
      <c r="C858" s="4"/>
      <c r="D858" s="4"/>
      <c r="E858" s="4"/>
      <c r="F858" s="4"/>
      <c r="G858" s="85">
        <f>IFERROR(__xludf.DUMMYFUNCTION("""COMPUTED_VALUE"""),44756.54722222222)</f>
        <v>44756.54722</v>
      </c>
      <c r="H858" s="85" t="str">
        <f>IFERROR(__xludf.DUMMYFUNCTION("""COMPUTED_VALUE"""),"Estimate ")</f>
        <v>Estimate </v>
      </c>
      <c r="I858" s="4" t="str">
        <f>IFERROR(__xludf.DUMMYFUNCTION("""COMPUTED_VALUE"""),"shivani")</f>
        <v>shivani</v>
      </c>
    </row>
    <row r="859">
      <c r="A859" s="85">
        <f>IFERROR(__xludf.DUMMYFUNCTION("""COMPUTED_VALUE"""),44754.582654861115)</f>
        <v>44754.58265</v>
      </c>
      <c r="B859" s="4"/>
      <c r="C859" s="4"/>
      <c r="D859" s="4"/>
      <c r="E859" s="4"/>
      <c r="F859" s="4"/>
      <c r="G859" s="85">
        <f>IFERROR(__xludf.DUMMYFUNCTION("""COMPUTED_VALUE"""),44756.58263888889)</f>
        <v>44756.58264</v>
      </c>
      <c r="H859" s="85" t="str">
        <f>IFERROR(__xludf.DUMMYFUNCTION("""COMPUTED_VALUE"""),"Estimate ")</f>
        <v>Estimate </v>
      </c>
      <c r="I859" s="4" t="str">
        <f>IFERROR(__xludf.DUMMYFUNCTION("""COMPUTED_VALUE"""),"shivani")</f>
        <v>shivani</v>
      </c>
    </row>
    <row r="860">
      <c r="A860" s="85">
        <f>IFERROR(__xludf.DUMMYFUNCTION("""COMPUTED_VALUE"""),44754.5835421875)</f>
        <v>44754.58354</v>
      </c>
      <c r="B860" s="4"/>
      <c r="C860" s="4"/>
      <c r="D860" s="4"/>
      <c r="E860" s="4"/>
      <c r="F860" s="4"/>
      <c r="G860" s="85">
        <f>IFERROR(__xludf.DUMMYFUNCTION("""COMPUTED_VALUE"""),44756.58333333333)</f>
        <v>44756.58333</v>
      </c>
      <c r="H860" s="85" t="str">
        <f>IFERROR(__xludf.DUMMYFUNCTION("""COMPUTED_VALUE"""),"Estimate ")</f>
        <v>Estimate </v>
      </c>
      <c r="I860" s="4" t="str">
        <f>IFERROR(__xludf.DUMMYFUNCTION("""COMPUTED_VALUE"""),"shivani")</f>
        <v>shivani</v>
      </c>
    </row>
    <row r="861">
      <c r="A861" s="85">
        <f>IFERROR(__xludf.DUMMYFUNCTION("""COMPUTED_VALUE"""),44754.611883680554)</f>
        <v>44754.61188</v>
      </c>
      <c r="B861" s="4"/>
      <c r="C861" s="4"/>
      <c r="D861" s="4"/>
      <c r="E861" s="4"/>
      <c r="F861" s="4"/>
      <c r="G861" s="85">
        <f>IFERROR(__xludf.DUMMYFUNCTION("""COMPUTED_VALUE"""),44756.611805555556)</f>
        <v>44756.61181</v>
      </c>
      <c r="H861" s="85" t="str">
        <f>IFERROR(__xludf.DUMMYFUNCTION("""COMPUTED_VALUE"""),"Estimate ")</f>
        <v>Estimate </v>
      </c>
      <c r="I861" s="4" t="str">
        <f>IFERROR(__xludf.DUMMYFUNCTION("""COMPUTED_VALUE"""),"shivani")</f>
        <v>shivani</v>
      </c>
    </row>
    <row r="862">
      <c r="A862" s="85">
        <f>IFERROR(__xludf.DUMMYFUNCTION("""COMPUTED_VALUE"""),44755.68266373843)</f>
        <v>44755.68266</v>
      </c>
      <c r="B862" s="4"/>
      <c r="C862" s="4"/>
      <c r="D862" s="4"/>
      <c r="E862" s="4"/>
      <c r="F862" s="4"/>
      <c r="G862" s="85">
        <f>IFERROR(__xludf.DUMMYFUNCTION("""COMPUTED_VALUE"""),44757.68263888889)</f>
        <v>44757.68264</v>
      </c>
      <c r="H862" s="85" t="str">
        <f>IFERROR(__xludf.DUMMYFUNCTION("""COMPUTED_VALUE"""),"Estimate ")</f>
        <v>Estimate </v>
      </c>
      <c r="I862" s="4" t="str">
        <f>IFERROR(__xludf.DUMMYFUNCTION("""COMPUTED_VALUE"""),"shivani")</f>
        <v>shivani</v>
      </c>
    </row>
    <row r="863">
      <c r="A863" s="85">
        <f>IFERROR(__xludf.DUMMYFUNCTION("""COMPUTED_VALUE"""),44757.52115123843)</f>
        <v>44757.52115</v>
      </c>
      <c r="B863" s="4"/>
      <c r="C863" s="4"/>
      <c r="D863" s="4"/>
      <c r="E863" s="4"/>
      <c r="F863" s="4"/>
      <c r="G863" s="85">
        <f>IFERROR(__xludf.DUMMYFUNCTION("""COMPUTED_VALUE"""),44759.52083333333)</f>
        <v>44759.52083</v>
      </c>
      <c r="H863" s="85" t="str">
        <f>IFERROR(__xludf.DUMMYFUNCTION("""COMPUTED_VALUE"""),"Estimate ")</f>
        <v>Estimate </v>
      </c>
      <c r="I863" s="4" t="str">
        <f>IFERROR(__xludf.DUMMYFUNCTION("""COMPUTED_VALUE"""),"shivani")</f>
        <v>shivani</v>
      </c>
    </row>
    <row r="864">
      <c r="A864" s="85">
        <f>IFERROR(__xludf.DUMMYFUNCTION("""COMPUTED_VALUE"""),44758.59361398148)</f>
        <v>44758.59361</v>
      </c>
      <c r="B864" s="4"/>
      <c r="C864" s="4"/>
      <c r="D864" s="4"/>
      <c r="E864" s="4"/>
      <c r="F864" s="4"/>
      <c r="G864" s="85">
        <f>IFERROR(__xludf.DUMMYFUNCTION("""COMPUTED_VALUE"""),44761.59305555555)</f>
        <v>44761.59306</v>
      </c>
      <c r="H864" s="85" t="str">
        <f>IFERROR(__xludf.DUMMYFUNCTION("""COMPUTED_VALUE"""),"Estimate ")</f>
        <v>Estimate </v>
      </c>
      <c r="I864" s="4" t="str">
        <f>IFERROR(__xludf.DUMMYFUNCTION("""COMPUTED_VALUE"""),"shivani")</f>
        <v>shivani</v>
      </c>
    </row>
    <row r="865">
      <c r="A865" s="85">
        <f>IFERROR(__xludf.DUMMYFUNCTION("""COMPUTED_VALUE"""),44761.51624570602)</f>
        <v>44761.51625</v>
      </c>
      <c r="B865" s="4"/>
      <c r="C865" s="4"/>
      <c r="D865" s="4"/>
      <c r="E865" s="4"/>
      <c r="F865" s="4"/>
      <c r="G865" s="85">
        <f>IFERROR(__xludf.DUMMYFUNCTION("""COMPUTED_VALUE"""),44763.51597222222)</f>
        <v>44763.51597</v>
      </c>
      <c r="H865" s="85" t="str">
        <f>IFERROR(__xludf.DUMMYFUNCTION("""COMPUTED_VALUE"""),"Estimate ")</f>
        <v>Estimate </v>
      </c>
      <c r="I865" s="4" t="str">
        <f>IFERROR(__xludf.DUMMYFUNCTION("""COMPUTED_VALUE"""),"shivani")</f>
        <v>shivani</v>
      </c>
    </row>
    <row r="866">
      <c r="A866" s="85">
        <f>IFERROR(__xludf.DUMMYFUNCTION("""COMPUTED_VALUE"""),44763.50558091435)</f>
        <v>44763.50558</v>
      </c>
      <c r="B866" s="4"/>
      <c r="C866" s="4"/>
      <c r="D866" s="4"/>
      <c r="E866" s="4"/>
      <c r="F866" s="4"/>
      <c r="G866" s="85">
        <f>IFERROR(__xludf.DUMMYFUNCTION("""COMPUTED_VALUE"""),44765.50555555556)</f>
        <v>44765.50556</v>
      </c>
      <c r="H866" s="85" t="str">
        <f>IFERROR(__xludf.DUMMYFUNCTION("""COMPUTED_VALUE"""),"Estimate ")</f>
        <v>Estimate </v>
      </c>
      <c r="I866" s="4" t="str">
        <f>IFERROR(__xludf.DUMMYFUNCTION("""COMPUTED_VALUE"""),"shivani")</f>
        <v>shivani</v>
      </c>
    </row>
    <row r="867">
      <c r="A867" s="85">
        <f>IFERROR(__xludf.DUMMYFUNCTION("""COMPUTED_VALUE"""),44764.50755541667)</f>
        <v>44764.50756</v>
      </c>
      <c r="B867" s="4"/>
      <c r="C867" s="4"/>
      <c r="D867" s="4"/>
      <c r="E867" s="4"/>
      <c r="F867" s="4"/>
      <c r="G867" s="85">
        <f>IFERROR(__xludf.DUMMYFUNCTION("""COMPUTED_VALUE"""),44766.506944444445)</f>
        <v>44766.50694</v>
      </c>
      <c r="H867" s="85" t="str">
        <f>IFERROR(__xludf.DUMMYFUNCTION("""COMPUTED_VALUE"""),"Estimate ")</f>
        <v>Estimate </v>
      </c>
      <c r="I867" s="4" t="str">
        <f>IFERROR(__xludf.DUMMYFUNCTION("""COMPUTED_VALUE"""),"shivani")</f>
        <v>shivani</v>
      </c>
    </row>
    <row r="868">
      <c r="A868" s="85">
        <f>IFERROR(__xludf.DUMMYFUNCTION("""COMPUTED_VALUE"""),44766.62871347222)</f>
        <v>44766.62871</v>
      </c>
      <c r="B868" s="4"/>
      <c r="C868" s="4"/>
      <c r="D868" s="4"/>
      <c r="E868" s="4"/>
      <c r="F868" s="4"/>
      <c r="G868" s="85">
        <f>IFERROR(__xludf.DUMMYFUNCTION("""COMPUTED_VALUE"""),44769.62847222222)</f>
        <v>44769.62847</v>
      </c>
      <c r="H868" s="85" t="str">
        <f>IFERROR(__xludf.DUMMYFUNCTION("""COMPUTED_VALUE"""),"Estimate ")</f>
        <v>Estimate </v>
      </c>
      <c r="I868" s="4" t="str">
        <f>IFERROR(__xludf.DUMMYFUNCTION("""COMPUTED_VALUE"""),"shivani")</f>
        <v>shivani</v>
      </c>
    </row>
    <row r="869">
      <c r="A869" s="85">
        <f>IFERROR(__xludf.DUMMYFUNCTION("""COMPUTED_VALUE"""),44768.49016393518)</f>
        <v>44768.49016</v>
      </c>
      <c r="B869" s="4"/>
      <c r="C869" s="4"/>
      <c r="D869" s="4"/>
      <c r="E869" s="4"/>
      <c r="F869" s="4"/>
      <c r="G869" s="85">
        <f>IFERROR(__xludf.DUMMYFUNCTION("""COMPUTED_VALUE"""),44770.48958333333)</f>
        <v>44770.48958</v>
      </c>
      <c r="H869" s="85" t="str">
        <f>IFERROR(__xludf.DUMMYFUNCTION("""COMPUTED_VALUE"""),"Estimate ")</f>
        <v>Estimate </v>
      </c>
      <c r="I869" s="4" t="str">
        <f>IFERROR(__xludf.DUMMYFUNCTION("""COMPUTED_VALUE"""),"shivani")</f>
        <v>shivani</v>
      </c>
    </row>
    <row r="870">
      <c r="A870" s="85">
        <f>IFERROR(__xludf.DUMMYFUNCTION("""COMPUTED_VALUE"""),44768.49115574075)</f>
        <v>44768.49116</v>
      </c>
      <c r="B870" s="4"/>
      <c r="C870" s="4"/>
      <c r="D870" s="4"/>
      <c r="E870" s="4"/>
      <c r="F870" s="4"/>
      <c r="G870" s="85">
        <f>IFERROR(__xludf.DUMMYFUNCTION("""COMPUTED_VALUE"""),44770.49097222222)</f>
        <v>44770.49097</v>
      </c>
      <c r="H870" s="85" t="str">
        <f>IFERROR(__xludf.DUMMYFUNCTION("""COMPUTED_VALUE"""),"Estimate ")</f>
        <v>Estimate </v>
      </c>
      <c r="I870" s="4" t="str">
        <f>IFERROR(__xludf.DUMMYFUNCTION("""COMPUTED_VALUE"""),"shivani")</f>
        <v>shivani</v>
      </c>
    </row>
    <row r="871">
      <c r="A871" s="85">
        <f>IFERROR(__xludf.DUMMYFUNCTION("""COMPUTED_VALUE"""),44769.72175194444)</f>
        <v>44769.72175</v>
      </c>
      <c r="B871" s="4"/>
      <c r="C871" s="4"/>
      <c r="D871" s="4"/>
      <c r="E871" s="4"/>
      <c r="F871" s="4"/>
      <c r="G871" s="85">
        <f>IFERROR(__xludf.DUMMYFUNCTION("""COMPUTED_VALUE"""),44771.72152777778)</f>
        <v>44771.72153</v>
      </c>
      <c r="H871" s="85" t="str">
        <f>IFERROR(__xludf.DUMMYFUNCTION("""COMPUTED_VALUE"""),"Estimate ")</f>
        <v>Estimate </v>
      </c>
      <c r="I871" s="4" t="str">
        <f>IFERROR(__xludf.DUMMYFUNCTION("""COMPUTED_VALUE"""),"shivani")</f>
        <v>shivani</v>
      </c>
    </row>
    <row r="872">
      <c r="A872" s="85">
        <f>IFERROR(__xludf.DUMMYFUNCTION("""COMPUTED_VALUE"""),44770.69829177084)</f>
        <v>44770.69829</v>
      </c>
      <c r="B872" s="4"/>
      <c r="C872" s="4"/>
      <c r="D872" s="4"/>
      <c r="E872" s="4"/>
      <c r="F872" s="4"/>
      <c r="G872" s="85">
        <f>IFERROR(__xludf.DUMMYFUNCTION("""COMPUTED_VALUE"""),44772.69791666667)</f>
        <v>44772.69792</v>
      </c>
      <c r="H872" s="85" t="str">
        <f>IFERROR(__xludf.DUMMYFUNCTION("""COMPUTED_VALUE"""),"Estimate ")</f>
        <v>Estimate </v>
      </c>
      <c r="I872" s="4" t="str">
        <f>IFERROR(__xludf.DUMMYFUNCTION("""COMPUTED_VALUE"""),"shivani")</f>
        <v>shivani</v>
      </c>
    </row>
    <row r="873">
      <c r="A873" s="85">
        <f>IFERROR(__xludf.DUMMYFUNCTION("""COMPUTED_VALUE"""),44776.69932450232)</f>
        <v>44776.69932</v>
      </c>
      <c r="B873" s="4"/>
      <c r="C873" s="4"/>
      <c r="D873" s="4"/>
      <c r="E873" s="4"/>
      <c r="F873" s="4"/>
      <c r="G873" s="85">
        <f>IFERROR(__xludf.DUMMYFUNCTION("""COMPUTED_VALUE"""),44778.69930555555)</f>
        <v>44778.69931</v>
      </c>
      <c r="H873" s="85" t="str">
        <f>IFERROR(__xludf.DUMMYFUNCTION("""COMPUTED_VALUE"""),"Estimate ")</f>
        <v>Estimate </v>
      </c>
      <c r="I873" s="4" t="str">
        <f>IFERROR(__xludf.DUMMYFUNCTION("""COMPUTED_VALUE"""),"shivani")</f>
        <v>shivani</v>
      </c>
    </row>
    <row r="874">
      <c r="A874" s="85">
        <f>IFERROR(__xludf.DUMMYFUNCTION("""COMPUTED_VALUE"""),44776.70316872685)</f>
        <v>44776.70317</v>
      </c>
      <c r="B874" s="4"/>
      <c r="C874" s="4"/>
      <c r="D874" s="4"/>
      <c r="E874" s="4"/>
      <c r="F874" s="4"/>
      <c r="G874" s="85">
        <f>IFERROR(__xludf.DUMMYFUNCTION("""COMPUTED_VALUE"""),44778.70277777778)</f>
        <v>44778.70278</v>
      </c>
      <c r="H874" s="85" t="str">
        <f>IFERROR(__xludf.DUMMYFUNCTION("""COMPUTED_VALUE"""),"Estimate ")</f>
        <v>Estimate </v>
      </c>
      <c r="I874" s="4" t="str">
        <f>IFERROR(__xludf.DUMMYFUNCTION("""COMPUTED_VALUE"""),"shivani")</f>
        <v>shivani</v>
      </c>
    </row>
    <row r="875">
      <c r="A875" s="85">
        <f>IFERROR(__xludf.DUMMYFUNCTION("""COMPUTED_VALUE"""),44779.553564317124)</f>
        <v>44779.55356</v>
      </c>
      <c r="B875" s="4"/>
      <c r="C875" s="4"/>
      <c r="D875" s="4"/>
      <c r="E875" s="4"/>
      <c r="F875" s="4"/>
      <c r="G875" s="85">
        <f>IFERROR(__xludf.DUMMYFUNCTION("""COMPUTED_VALUE"""),44782.55347222222)</f>
        <v>44782.55347</v>
      </c>
      <c r="H875" s="85" t="str">
        <f>IFERROR(__xludf.DUMMYFUNCTION("""COMPUTED_VALUE"""),"Estimate ")</f>
        <v>Estimate </v>
      </c>
      <c r="I875" s="4" t="str">
        <f>IFERROR(__xludf.DUMMYFUNCTION("""COMPUTED_VALUE"""),"shivani")</f>
        <v>shivani</v>
      </c>
    </row>
    <row r="876">
      <c r="A876" s="85">
        <f>IFERROR(__xludf.DUMMYFUNCTION("""COMPUTED_VALUE"""),44783.66246270833)</f>
        <v>44783.66246</v>
      </c>
      <c r="B876" s="4"/>
      <c r="C876" s="4"/>
      <c r="D876" s="4"/>
      <c r="E876" s="4"/>
      <c r="F876" s="4"/>
      <c r="G876" s="85">
        <f>IFERROR(__xludf.DUMMYFUNCTION("""COMPUTED_VALUE"""),44785.66180555556)</f>
        <v>44785.66181</v>
      </c>
      <c r="H876" s="85" t="str">
        <f>IFERROR(__xludf.DUMMYFUNCTION("""COMPUTED_VALUE"""),"Estimate ")</f>
        <v>Estimate </v>
      </c>
      <c r="I876" s="4" t="str">
        <f>IFERROR(__xludf.DUMMYFUNCTION("""COMPUTED_VALUE"""),"shivani")</f>
        <v>shivani</v>
      </c>
    </row>
    <row r="877">
      <c r="A877" s="85">
        <f>IFERROR(__xludf.DUMMYFUNCTION("""COMPUTED_VALUE"""),44785.58831273148)</f>
        <v>44785.58831</v>
      </c>
      <c r="B877" s="4"/>
      <c r="C877" s="4"/>
      <c r="D877" s="4"/>
      <c r="E877" s="4"/>
      <c r="F877" s="4"/>
      <c r="G877" s="85">
        <f>IFERROR(__xludf.DUMMYFUNCTION("""COMPUTED_VALUE"""),44787.58819444444)</f>
        <v>44787.58819</v>
      </c>
      <c r="H877" s="85" t="str">
        <f>IFERROR(__xludf.DUMMYFUNCTION("""COMPUTED_VALUE"""),"Estimate ")</f>
        <v>Estimate </v>
      </c>
      <c r="I877" s="4" t="str">
        <f>IFERROR(__xludf.DUMMYFUNCTION("""COMPUTED_VALUE"""),"shivani")</f>
        <v>shivani</v>
      </c>
    </row>
    <row r="878">
      <c r="A878" s="85">
        <f>IFERROR(__xludf.DUMMYFUNCTION("""COMPUTED_VALUE"""),44786.78837459491)</f>
        <v>44786.78837</v>
      </c>
      <c r="B878" s="4"/>
      <c r="C878" s="4"/>
      <c r="D878" s="4"/>
      <c r="E878" s="4"/>
      <c r="F878" s="4"/>
      <c r="G878" s="85">
        <f>IFERROR(__xludf.DUMMYFUNCTION("""COMPUTED_VALUE"""),44789.788194444445)</f>
        <v>44789.78819</v>
      </c>
      <c r="H878" s="85" t="str">
        <f>IFERROR(__xludf.DUMMYFUNCTION("""COMPUTED_VALUE"""),"Estimate ")</f>
        <v>Estimate </v>
      </c>
      <c r="I878" s="4" t="str">
        <f>IFERROR(__xludf.DUMMYFUNCTION("""COMPUTED_VALUE"""),"shivani")</f>
        <v>shivani</v>
      </c>
    </row>
    <row r="879">
      <c r="A879" s="85">
        <f>IFERROR(__xludf.DUMMYFUNCTION("""COMPUTED_VALUE"""),44790.47139261574)</f>
        <v>44790.47139</v>
      </c>
      <c r="B879" s="4"/>
      <c r="C879" s="4"/>
      <c r="D879" s="4"/>
      <c r="E879" s="4"/>
      <c r="F879" s="4"/>
      <c r="G879" s="85">
        <f>IFERROR(__xludf.DUMMYFUNCTION("""COMPUTED_VALUE"""),44792.47083333333)</f>
        <v>44792.47083</v>
      </c>
      <c r="H879" s="85" t="str">
        <f>IFERROR(__xludf.DUMMYFUNCTION("""COMPUTED_VALUE"""),"Estimate ")</f>
        <v>Estimate </v>
      </c>
      <c r="I879" s="4" t="str">
        <f>IFERROR(__xludf.DUMMYFUNCTION("""COMPUTED_VALUE"""),"shivani")</f>
        <v>shivani</v>
      </c>
    </row>
    <row r="880">
      <c r="A880" s="85">
        <f>IFERROR(__xludf.DUMMYFUNCTION("""COMPUTED_VALUE"""),44793.58235989584)</f>
        <v>44793.58236</v>
      </c>
      <c r="B880" s="4"/>
      <c r="C880" s="4"/>
      <c r="D880" s="4"/>
      <c r="E880" s="4"/>
      <c r="F880" s="4"/>
      <c r="G880" s="85">
        <f>IFERROR(__xludf.DUMMYFUNCTION("""COMPUTED_VALUE"""),44796.58194444445)</f>
        <v>44796.58194</v>
      </c>
      <c r="H880" s="85" t="str">
        <f>IFERROR(__xludf.DUMMYFUNCTION("""COMPUTED_VALUE"""),"Estimate ")</f>
        <v>Estimate </v>
      </c>
      <c r="I880" s="4" t="str">
        <f>IFERROR(__xludf.DUMMYFUNCTION("""COMPUTED_VALUE"""),"shivani")</f>
        <v>shivani</v>
      </c>
    </row>
    <row r="881">
      <c r="A881" s="85">
        <f>IFERROR(__xludf.DUMMYFUNCTION("""COMPUTED_VALUE"""),44793.585317129626)</f>
        <v>44793.58532</v>
      </c>
      <c r="B881" s="4"/>
      <c r="C881" s="4"/>
      <c r="D881" s="4"/>
      <c r="E881" s="4"/>
      <c r="F881" s="4"/>
      <c r="G881" s="85">
        <f>IFERROR(__xludf.DUMMYFUNCTION("""COMPUTED_VALUE"""),44796.58472222222)</f>
        <v>44796.58472</v>
      </c>
      <c r="H881" s="85" t="str">
        <f>IFERROR(__xludf.DUMMYFUNCTION("""COMPUTED_VALUE"""),"Estimate ")</f>
        <v>Estimate </v>
      </c>
      <c r="I881" s="4" t="str">
        <f>IFERROR(__xludf.DUMMYFUNCTION("""COMPUTED_VALUE"""),"shivani")</f>
        <v>shivani</v>
      </c>
    </row>
    <row r="882">
      <c r="A882" s="85">
        <f>IFERROR(__xludf.DUMMYFUNCTION("""COMPUTED_VALUE"""),44793.59721324074)</f>
        <v>44793.59721</v>
      </c>
      <c r="B882" s="4"/>
      <c r="C882" s="4"/>
      <c r="D882" s="4"/>
      <c r="E882" s="4"/>
      <c r="F882" s="4"/>
      <c r="G882" s="85">
        <f>IFERROR(__xludf.DUMMYFUNCTION("""COMPUTED_VALUE"""),44796.59652777778)</f>
        <v>44796.59653</v>
      </c>
      <c r="H882" s="85" t="str">
        <f>IFERROR(__xludf.DUMMYFUNCTION("""COMPUTED_VALUE"""),"Estimate ")</f>
        <v>Estimate </v>
      </c>
      <c r="I882" s="4" t="str">
        <f>IFERROR(__xludf.DUMMYFUNCTION("""COMPUTED_VALUE"""),"shivani")</f>
        <v>shivani</v>
      </c>
    </row>
    <row r="883">
      <c r="A883" s="85">
        <f>IFERROR(__xludf.DUMMYFUNCTION("""COMPUTED_VALUE"""),44794.45179857639)</f>
        <v>44794.4518</v>
      </c>
      <c r="B883" s="4"/>
      <c r="C883" s="4"/>
      <c r="D883" s="4"/>
      <c r="E883" s="4"/>
      <c r="F883" s="4"/>
      <c r="G883" s="85">
        <f>IFERROR(__xludf.DUMMYFUNCTION("""COMPUTED_VALUE"""),44797.45138888889)</f>
        <v>44797.45139</v>
      </c>
      <c r="H883" s="85" t="str">
        <f>IFERROR(__xludf.DUMMYFUNCTION("""COMPUTED_VALUE"""),"Estimate ")</f>
        <v>Estimate </v>
      </c>
      <c r="I883" s="4" t="str">
        <f>IFERROR(__xludf.DUMMYFUNCTION("""COMPUTED_VALUE"""),"shivani")</f>
        <v>shivani</v>
      </c>
    </row>
    <row r="884">
      <c r="A884" s="85">
        <f>IFERROR(__xludf.DUMMYFUNCTION("""COMPUTED_VALUE"""),44799.51714034723)</f>
        <v>44799.51714</v>
      </c>
      <c r="B884" s="4"/>
      <c r="C884" s="4"/>
      <c r="D884" s="4"/>
      <c r="E884" s="4"/>
      <c r="F884" s="4"/>
      <c r="G884" s="85">
        <f>IFERROR(__xludf.DUMMYFUNCTION("""COMPUTED_VALUE"""),44801.51666666666)</f>
        <v>44801.51667</v>
      </c>
      <c r="H884" s="85" t="str">
        <f>IFERROR(__xludf.DUMMYFUNCTION("""COMPUTED_VALUE"""),"Estimate ")</f>
        <v>Estimate </v>
      </c>
      <c r="I884" s="4" t="str">
        <f>IFERROR(__xludf.DUMMYFUNCTION("""COMPUTED_VALUE"""),"shivani")</f>
        <v>shivani</v>
      </c>
    </row>
    <row r="885">
      <c r="A885" s="85">
        <f>IFERROR(__xludf.DUMMYFUNCTION("""COMPUTED_VALUE"""),44799.69036552083)</f>
        <v>44799.69037</v>
      </c>
      <c r="B885" s="4"/>
      <c r="C885" s="4"/>
      <c r="D885" s="4"/>
      <c r="E885" s="4"/>
      <c r="F885" s="4"/>
      <c r="G885" s="85">
        <f>IFERROR(__xludf.DUMMYFUNCTION("""COMPUTED_VALUE"""),44801.69027777778)</f>
        <v>44801.69028</v>
      </c>
      <c r="H885" s="85" t="str">
        <f>IFERROR(__xludf.DUMMYFUNCTION("""COMPUTED_VALUE"""),"Estimate ")</f>
        <v>Estimate </v>
      </c>
      <c r="I885" s="4" t="str">
        <f>IFERROR(__xludf.DUMMYFUNCTION("""COMPUTED_VALUE"""),"shivani")</f>
        <v>shivani</v>
      </c>
    </row>
    <row r="886">
      <c r="A886" s="85">
        <f>IFERROR(__xludf.DUMMYFUNCTION("""COMPUTED_VALUE"""),44800.58004550926)</f>
        <v>44800.58005</v>
      </c>
      <c r="B886" s="4"/>
      <c r="C886" s="4"/>
      <c r="D886" s="4"/>
      <c r="E886" s="4"/>
      <c r="F886" s="4"/>
      <c r="G886" s="85">
        <f>IFERROR(__xludf.DUMMYFUNCTION("""COMPUTED_VALUE"""),44803.57986111111)</f>
        <v>44803.57986</v>
      </c>
      <c r="H886" s="85" t="str">
        <f>IFERROR(__xludf.DUMMYFUNCTION("""COMPUTED_VALUE"""),"Estimate ")</f>
        <v>Estimate </v>
      </c>
      <c r="I886" s="4" t="str">
        <f>IFERROR(__xludf.DUMMYFUNCTION("""COMPUTED_VALUE"""),"shivani")</f>
        <v>shivani</v>
      </c>
    </row>
    <row r="887">
      <c r="A887" s="85">
        <f>IFERROR(__xludf.DUMMYFUNCTION("""COMPUTED_VALUE"""),44800.58388002314)</f>
        <v>44800.58388</v>
      </c>
      <c r="B887" s="4"/>
      <c r="C887" s="4"/>
      <c r="D887" s="4"/>
      <c r="E887" s="4"/>
      <c r="F887" s="4"/>
      <c r="G887" s="85">
        <f>IFERROR(__xludf.DUMMYFUNCTION("""COMPUTED_VALUE"""),44803.58333333333)</f>
        <v>44803.58333</v>
      </c>
      <c r="H887" s="85" t="str">
        <f>IFERROR(__xludf.DUMMYFUNCTION("""COMPUTED_VALUE"""),"Estimate ")</f>
        <v>Estimate </v>
      </c>
      <c r="I887" s="4" t="str">
        <f>IFERROR(__xludf.DUMMYFUNCTION("""COMPUTED_VALUE"""),"shivani")</f>
        <v>shivani</v>
      </c>
    </row>
    <row r="888">
      <c r="A888" s="85">
        <f>IFERROR(__xludf.DUMMYFUNCTION("""COMPUTED_VALUE"""),44800.5896018287)</f>
        <v>44800.5896</v>
      </c>
      <c r="B888" s="4"/>
      <c r="C888" s="4"/>
      <c r="D888" s="4"/>
      <c r="E888" s="4"/>
      <c r="F888" s="4"/>
      <c r="G888" s="85">
        <f>IFERROR(__xludf.DUMMYFUNCTION("""COMPUTED_VALUE"""),44803.589583333334)</f>
        <v>44803.58958</v>
      </c>
      <c r="H888" s="85" t="str">
        <f>IFERROR(__xludf.DUMMYFUNCTION("""COMPUTED_VALUE"""),"Estimate ")</f>
        <v>Estimate </v>
      </c>
      <c r="I888" s="4" t="str">
        <f>IFERROR(__xludf.DUMMYFUNCTION("""COMPUTED_VALUE"""),"shivani")</f>
        <v>shivani</v>
      </c>
    </row>
    <row r="889">
      <c r="A889" s="85">
        <f>IFERROR(__xludf.DUMMYFUNCTION("""COMPUTED_VALUE"""),44800.6816653125)</f>
        <v>44800.68167</v>
      </c>
      <c r="B889" s="4"/>
      <c r="C889" s="4"/>
      <c r="D889" s="4"/>
      <c r="E889" s="4"/>
      <c r="F889" s="4"/>
      <c r="G889" s="85">
        <f>IFERROR(__xludf.DUMMYFUNCTION("""COMPUTED_VALUE"""),44803.68125)</f>
        <v>44803.68125</v>
      </c>
      <c r="H889" s="85" t="str">
        <f>IFERROR(__xludf.DUMMYFUNCTION("""COMPUTED_VALUE"""),"Estimate ")</f>
        <v>Estimate </v>
      </c>
      <c r="I889" s="4" t="str">
        <f>IFERROR(__xludf.DUMMYFUNCTION("""COMPUTED_VALUE"""),"shivani")</f>
        <v>shivani</v>
      </c>
    </row>
    <row r="890">
      <c r="A890" s="85">
        <f>IFERROR(__xludf.DUMMYFUNCTION("""COMPUTED_VALUE"""),44810.65610633102)</f>
        <v>44810.65611</v>
      </c>
      <c r="B890" s="4"/>
      <c r="C890" s="4"/>
      <c r="D890" s="4"/>
      <c r="E890" s="4"/>
      <c r="F890" s="4"/>
      <c r="G890" s="85">
        <f>IFERROR(__xludf.DUMMYFUNCTION("""COMPUTED_VALUE"""),44812.65555555555)</f>
        <v>44812.65556</v>
      </c>
      <c r="H890" s="85" t="str">
        <f>IFERROR(__xludf.DUMMYFUNCTION("""COMPUTED_VALUE"""),"Estimate ")</f>
        <v>Estimate </v>
      </c>
      <c r="I890" s="4" t="str">
        <f>IFERROR(__xludf.DUMMYFUNCTION("""COMPUTED_VALUE"""),"shivani")</f>
        <v>shivani</v>
      </c>
    </row>
    <row r="891">
      <c r="A891" s="85">
        <f>IFERROR(__xludf.DUMMYFUNCTION("""COMPUTED_VALUE"""),44810.65718100694)</f>
        <v>44810.65718</v>
      </c>
      <c r="B891" s="4"/>
      <c r="C891" s="4"/>
      <c r="D891" s="4"/>
      <c r="E891" s="4"/>
      <c r="F891" s="4"/>
      <c r="G891" s="85">
        <f>IFERROR(__xludf.DUMMYFUNCTION("""COMPUTED_VALUE"""),44812.65694444445)</f>
        <v>44812.65694</v>
      </c>
      <c r="H891" s="85" t="str">
        <f>IFERROR(__xludf.DUMMYFUNCTION("""COMPUTED_VALUE"""),"Estimate ")</f>
        <v>Estimate </v>
      </c>
      <c r="I891" s="4" t="str">
        <f>IFERROR(__xludf.DUMMYFUNCTION("""COMPUTED_VALUE"""),"shivani")</f>
        <v>shivani</v>
      </c>
    </row>
    <row r="892">
      <c r="A892" s="85">
        <f>IFERROR(__xludf.DUMMYFUNCTION("""COMPUTED_VALUE"""),44812.571766759254)</f>
        <v>44812.57177</v>
      </c>
      <c r="B892" s="4"/>
      <c r="C892" s="4"/>
      <c r="D892" s="4"/>
      <c r="E892" s="4"/>
      <c r="F892" s="4"/>
      <c r="G892" s="85">
        <f>IFERROR(__xludf.DUMMYFUNCTION("""COMPUTED_VALUE"""),44814.57152777778)</f>
        <v>44814.57153</v>
      </c>
      <c r="H892" s="85" t="str">
        <f>IFERROR(__xludf.DUMMYFUNCTION("""COMPUTED_VALUE"""),"Estimate ")</f>
        <v>Estimate </v>
      </c>
      <c r="I892" s="4" t="str">
        <f>IFERROR(__xludf.DUMMYFUNCTION("""COMPUTED_VALUE"""),"shivani")</f>
        <v>shivani</v>
      </c>
    </row>
    <row r="893">
      <c r="A893" s="85">
        <f>IFERROR(__xludf.DUMMYFUNCTION("""COMPUTED_VALUE"""),44821.748007974544)</f>
        <v>44821.74801</v>
      </c>
      <c r="B893" s="4"/>
      <c r="C893" s="4"/>
      <c r="D893" s="4"/>
      <c r="E893" s="4"/>
      <c r="F893" s="4"/>
      <c r="G893" s="85">
        <f>IFERROR(__xludf.DUMMYFUNCTION("""COMPUTED_VALUE"""),44824.74791666667)</f>
        <v>44824.74792</v>
      </c>
      <c r="H893" s="85" t="str">
        <f>IFERROR(__xludf.DUMMYFUNCTION("""COMPUTED_VALUE"""),"Estimate ")</f>
        <v>Estimate </v>
      </c>
      <c r="I893" s="4" t="str">
        <f>IFERROR(__xludf.DUMMYFUNCTION("""COMPUTED_VALUE"""),"shivani")</f>
        <v>shivani</v>
      </c>
    </row>
    <row r="894">
      <c r="A894" s="85">
        <f>IFERROR(__xludf.DUMMYFUNCTION("""COMPUTED_VALUE"""),44822.63233273148)</f>
        <v>44822.63233</v>
      </c>
      <c r="B894" s="4"/>
      <c r="C894" s="4"/>
      <c r="D894" s="4"/>
      <c r="E894" s="4"/>
      <c r="F894" s="4"/>
      <c r="G894" s="85">
        <f>IFERROR(__xludf.DUMMYFUNCTION("""COMPUTED_VALUE"""),44825.631944444445)</f>
        <v>44825.63194</v>
      </c>
      <c r="H894" s="85" t="str">
        <f>IFERROR(__xludf.DUMMYFUNCTION("""COMPUTED_VALUE"""),"Estimate ")</f>
        <v>Estimate </v>
      </c>
      <c r="I894" s="4" t="str">
        <f>IFERROR(__xludf.DUMMYFUNCTION("""COMPUTED_VALUE"""),"shivani")</f>
        <v>shivani</v>
      </c>
    </row>
    <row r="895">
      <c r="A895" s="85">
        <f>IFERROR(__xludf.DUMMYFUNCTION("""COMPUTED_VALUE"""),44825.44900121528)</f>
        <v>44825.449</v>
      </c>
      <c r="B895" s="4"/>
      <c r="C895" s="4"/>
      <c r="D895" s="4"/>
      <c r="E895" s="4"/>
      <c r="F895" s="4"/>
      <c r="G895" s="85">
        <f>IFERROR(__xludf.DUMMYFUNCTION("""COMPUTED_VALUE"""),44827.44861111111)</f>
        <v>44827.44861</v>
      </c>
      <c r="H895" s="85" t="str">
        <f>IFERROR(__xludf.DUMMYFUNCTION("""COMPUTED_VALUE"""),"Estimate ")</f>
        <v>Estimate </v>
      </c>
      <c r="I895" s="4" t="str">
        <f>IFERROR(__xludf.DUMMYFUNCTION("""COMPUTED_VALUE"""),"shivani")</f>
        <v>shivani</v>
      </c>
    </row>
    <row r="896">
      <c r="A896" s="85">
        <f>IFERROR(__xludf.DUMMYFUNCTION("""COMPUTED_VALUE"""),44831.57758832176)</f>
        <v>44831.57759</v>
      </c>
      <c r="B896" s="4"/>
      <c r="C896" s="4"/>
      <c r="D896" s="4"/>
      <c r="E896" s="4"/>
      <c r="F896" s="4"/>
      <c r="G896" s="85">
        <f>IFERROR(__xludf.DUMMYFUNCTION("""COMPUTED_VALUE"""),44833.57708333334)</f>
        <v>44833.57708</v>
      </c>
      <c r="H896" s="85" t="str">
        <f>IFERROR(__xludf.DUMMYFUNCTION("""COMPUTED_VALUE"""),"Estimate ")</f>
        <v>Estimate </v>
      </c>
      <c r="I896" s="4" t="str">
        <f>IFERROR(__xludf.DUMMYFUNCTION("""COMPUTED_VALUE"""),"shivani")</f>
        <v>shivani</v>
      </c>
    </row>
    <row r="897">
      <c r="A897" s="85">
        <f>IFERROR(__xludf.DUMMYFUNCTION("""COMPUTED_VALUE"""),44833.77938108796)</f>
        <v>44833.77938</v>
      </c>
      <c r="B897" s="4"/>
      <c r="C897" s="4"/>
      <c r="D897" s="4"/>
      <c r="E897" s="4"/>
      <c r="F897" s="4"/>
      <c r="G897" s="85">
        <f>IFERROR(__xludf.DUMMYFUNCTION("""COMPUTED_VALUE"""),44835.77916666667)</f>
        <v>44835.77917</v>
      </c>
      <c r="H897" s="85" t="str">
        <f>IFERROR(__xludf.DUMMYFUNCTION("""COMPUTED_VALUE"""),"Estimate ")</f>
        <v>Estimate </v>
      </c>
      <c r="I897" s="4" t="str">
        <f>IFERROR(__xludf.DUMMYFUNCTION("""COMPUTED_VALUE"""),"shivani")</f>
        <v>shivani</v>
      </c>
    </row>
    <row r="898">
      <c r="A898" s="85">
        <f>IFERROR(__xludf.DUMMYFUNCTION("""COMPUTED_VALUE"""),44835.484577881936)</f>
        <v>44835.48458</v>
      </c>
      <c r="B898" s="4"/>
      <c r="C898" s="4"/>
      <c r="D898" s="4"/>
      <c r="E898" s="4"/>
      <c r="F898" s="4"/>
      <c r="G898" s="85">
        <f>IFERROR(__xludf.DUMMYFUNCTION("""COMPUTED_VALUE"""),44838.48402777778)</f>
        <v>44838.48403</v>
      </c>
      <c r="H898" s="85" t="str">
        <f>IFERROR(__xludf.DUMMYFUNCTION("""COMPUTED_VALUE"""),"Estimate ")</f>
        <v>Estimate </v>
      </c>
      <c r="I898" s="4" t="str">
        <f>IFERROR(__xludf.DUMMYFUNCTION("""COMPUTED_VALUE"""),"shivani")</f>
        <v>shivani</v>
      </c>
    </row>
    <row r="899">
      <c r="A899" s="85">
        <f>IFERROR(__xludf.DUMMYFUNCTION("""COMPUTED_VALUE"""),44835.48616546296)</f>
        <v>44835.48617</v>
      </c>
      <c r="B899" s="4"/>
      <c r="C899" s="4"/>
      <c r="D899" s="4"/>
      <c r="E899" s="4"/>
      <c r="F899" s="4"/>
      <c r="G899" s="85">
        <f>IFERROR(__xludf.DUMMYFUNCTION("""COMPUTED_VALUE"""),44838.48611111111)</f>
        <v>44838.48611</v>
      </c>
      <c r="H899" s="85" t="str">
        <f>IFERROR(__xludf.DUMMYFUNCTION("""COMPUTED_VALUE"""),"Estimate ")</f>
        <v>Estimate </v>
      </c>
      <c r="I899" s="4" t="str">
        <f>IFERROR(__xludf.DUMMYFUNCTION("""COMPUTED_VALUE"""),"shivani")</f>
        <v>shivani</v>
      </c>
    </row>
    <row r="900">
      <c r="A900" s="85">
        <f>IFERROR(__xludf.DUMMYFUNCTION("""COMPUTED_VALUE"""),44838.73876324074)</f>
        <v>44838.73876</v>
      </c>
      <c r="B900" s="4"/>
      <c r="C900" s="4"/>
      <c r="D900" s="4"/>
      <c r="E900" s="4"/>
      <c r="F900" s="4"/>
      <c r="G900" s="85">
        <f>IFERROR(__xludf.DUMMYFUNCTION("""COMPUTED_VALUE"""),44840.73819444445)</f>
        <v>44840.73819</v>
      </c>
      <c r="H900" s="85" t="str">
        <f>IFERROR(__xludf.DUMMYFUNCTION("""COMPUTED_VALUE"""),"Estimate ")</f>
        <v>Estimate </v>
      </c>
      <c r="I900" s="4" t="str">
        <f>IFERROR(__xludf.DUMMYFUNCTION("""COMPUTED_VALUE"""),"shivani")</f>
        <v>shivani</v>
      </c>
    </row>
    <row r="901">
      <c r="A901" s="85">
        <f>IFERROR(__xludf.DUMMYFUNCTION("""COMPUTED_VALUE"""),44841.5580553125)</f>
        <v>44841.55806</v>
      </c>
      <c r="B901" s="4"/>
      <c r="C901" s="4"/>
      <c r="D901" s="4"/>
      <c r="E901" s="4"/>
      <c r="F901" s="4"/>
      <c r="G901" s="85">
        <f>IFERROR(__xludf.DUMMYFUNCTION("""COMPUTED_VALUE"""),44843.55763888889)</f>
        <v>44843.55764</v>
      </c>
      <c r="H901" s="85" t="str">
        <f>IFERROR(__xludf.DUMMYFUNCTION("""COMPUTED_VALUE"""),"Estimate ")</f>
        <v>Estimate </v>
      </c>
      <c r="I901" s="4" t="str">
        <f>IFERROR(__xludf.DUMMYFUNCTION("""COMPUTED_VALUE"""),"shivani")</f>
        <v>shivani</v>
      </c>
    </row>
    <row r="902">
      <c r="A902" s="85">
        <f>IFERROR(__xludf.DUMMYFUNCTION("""COMPUTED_VALUE"""),44842.485414409726)</f>
        <v>44842.48541</v>
      </c>
      <c r="B902" s="4"/>
      <c r="C902" s="4"/>
      <c r="D902" s="4"/>
      <c r="E902" s="4"/>
      <c r="F902" s="4"/>
      <c r="G902" s="85">
        <f>IFERROR(__xludf.DUMMYFUNCTION("""COMPUTED_VALUE"""),44845.48541666666)</f>
        <v>44845.48542</v>
      </c>
      <c r="H902" s="85" t="str">
        <f>IFERROR(__xludf.DUMMYFUNCTION("""COMPUTED_VALUE"""),"Estimate ")</f>
        <v>Estimate </v>
      </c>
      <c r="I902" s="4" t="str">
        <f>IFERROR(__xludf.DUMMYFUNCTION("""COMPUTED_VALUE"""),"shivani")</f>
        <v>shivani</v>
      </c>
    </row>
    <row r="903">
      <c r="A903" s="85">
        <f>IFERROR(__xludf.DUMMYFUNCTION("""COMPUTED_VALUE"""),44843.77713694444)</f>
        <v>44843.77714</v>
      </c>
      <c r="B903" s="4"/>
      <c r="C903" s="4"/>
      <c r="D903" s="4"/>
      <c r="E903" s="4"/>
      <c r="F903" s="4"/>
      <c r="G903" s="85">
        <f>IFERROR(__xludf.DUMMYFUNCTION("""COMPUTED_VALUE"""),44846.777083333334)</f>
        <v>44846.77708</v>
      </c>
      <c r="H903" s="85" t="str">
        <f>IFERROR(__xludf.DUMMYFUNCTION("""COMPUTED_VALUE"""),"Estimate ")</f>
        <v>Estimate </v>
      </c>
      <c r="I903" s="4" t="str">
        <f>IFERROR(__xludf.DUMMYFUNCTION("""COMPUTED_VALUE"""),"shivani")</f>
        <v>shivani</v>
      </c>
    </row>
    <row r="904">
      <c r="A904" s="85">
        <f>IFERROR(__xludf.DUMMYFUNCTION("""COMPUTED_VALUE"""),44845.541185208334)</f>
        <v>44845.54119</v>
      </c>
      <c r="B904" s="4"/>
      <c r="C904" s="4"/>
      <c r="D904" s="4"/>
      <c r="E904" s="4"/>
      <c r="F904" s="4"/>
      <c r="G904" s="85">
        <f>IFERROR(__xludf.DUMMYFUNCTION("""COMPUTED_VALUE"""),44847.540972222225)</f>
        <v>44847.54097</v>
      </c>
      <c r="H904" s="85" t="str">
        <f>IFERROR(__xludf.DUMMYFUNCTION("""COMPUTED_VALUE"""),"Estimate ")</f>
        <v>Estimate </v>
      </c>
      <c r="I904" s="4" t="str">
        <f>IFERROR(__xludf.DUMMYFUNCTION("""COMPUTED_VALUE"""),"shivani")</f>
        <v>shivani</v>
      </c>
    </row>
    <row r="905">
      <c r="A905" s="85">
        <f>IFERROR(__xludf.DUMMYFUNCTION("""COMPUTED_VALUE"""),44852.66667423612)</f>
        <v>44852.66667</v>
      </c>
      <c r="B905" s="4"/>
      <c r="C905" s="4"/>
      <c r="D905" s="4"/>
      <c r="E905" s="4"/>
      <c r="F905" s="4"/>
      <c r="G905" s="85">
        <f>IFERROR(__xludf.DUMMYFUNCTION("""COMPUTED_VALUE"""),44854.66666666667)</f>
        <v>44854.66667</v>
      </c>
      <c r="H905" s="85" t="str">
        <f>IFERROR(__xludf.DUMMYFUNCTION("""COMPUTED_VALUE"""),"Estimate ")</f>
        <v>Estimate </v>
      </c>
      <c r="I905" s="4" t="str">
        <f>IFERROR(__xludf.DUMMYFUNCTION("""COMPUTED_VALUE"""),"shivani")</f>
        <v>shivani</v>
      </c>
    </row>
    <row r="906">
      <c r="A906" s="85">
        <f>IFERROR(__xludf.DUMMYFUNCTION("""COMPUTED_VALUE"""),44855.42925376158)</f>
        <v>44855.42925</v>
      </c>
      <c r="B906" s="4"/>
      <c r="C906" s="4"/>
      <c r="D906" s="4"/>
      <c r="E906" s="4"/>
      <c r="F906" s="4"/>
      <c r="G906" s="85">
        <f>IFERROR(__xludf.DUMMYFUNCTION("""COMPUTED_VALUE"""),44857.42916666667)</f>
        <v>44857.42917</v>
      </c>
      <c r="H906" s="85" t="str">
        <f>IFERROR(__xludf.DUMMYFUNCTION("""COMPUTED_VALUE"""),"Estimate ")</f>
        <v>Estimate </v>
      </c>
      <c r="I906" s="4" t="str">
        <f>IFERROR(__xludf.DUMMYFUNCTION("""COMPUTED_VALUE"""),"shivani")</f>
        <v>shivani</v>
      </c>
    </row>
    <row r="907">
      <c r="A907" s="85">
        <f>IFERROR(__xludf.DUMMYFUNCTION("""COMPUTED_VALUE"""),44855.431324039346)</f>
        <v>44855.43132</v>
      </c>
      <c r="B907" s="4"/>
      <c r="C907" s="4"/>
      <c r="D907" s="4"/>
      <c r="E907" s="4"/>
      <c r="F907" s="4"/>
      <c r="G907" s="85">
        <f>IFERROR(__xludf.DUMMYFUNCTION("""COMPUTED_VALUE"""),44857.43125)</f>
        <v>44857.43125</v>
      </c>
      <c r="H907" s="85" t="str">
        <f>IFERROR(__xludf.DUMMYFUNCTION("""COMPUTED_VALUE"""),"Estimate ")</f>
        <v>Estimate </v>
      </c>
      <c r="I907" s="4" t="str">
        <f>IFERROR(__xludf.DUMMYFUNCTION("""COMPUTED_VALUE"""),"shivani")</f>
        <v>shivani</v>
      </c>
    </row>
    <row r="908">
      <c r="A908" s="85">
        <f>IFERROR(__xludf.DUMMYFUNCTION("""COMPUTED_VALUE"""),44855.4343852199)</f>
        <v>44855.43439</v>
      </c>
      <c r="B908" s="4"/>
      <c r="C908" s="4"/>
      <c r="D908" s="4"/>
      <c r="E908" s="4"/>
      <c r="F908" s="4"/>
      <c r="G908" s="85">
        <f>IFERROR(__xludf.DUMMYFUNCTION("""COMPUTED_VALUE"""),44857.43402777778)</f>
        <v>44857.43403</v>
      </c>
      <c r="H908" s="85" t="str">
        <f>IFERROR(__xludf.DUMMYFUNCTION("""COMPUTED_VALUE"""),"Estimate ")</f>
        <v>Estimate </v>
      </c>
      <c r="I908" s="4" t="str">
        <f>IFERROR(__xludf.DUMMYFUNCTION("""COMPUTED_VALUE"""),"shivani")</f>
        <v>shivani</v>
      </c>
    </row>
    <row r="909">
      <c r="A909" s="85">
        <f>IFERROR(__xludf.DUMMYFUNCTION("""COMPUTED_VALUE"""),44864.78708539352)</f>
        <v>44864.78709</v>
      </c>
      <c r="B909" s="4"/>
      <c r="C909" s="4"/>
      <c r="D909" s="4"/>
      <c r="E909" s="4"/>
      <c r="F909" s="4"/>
      <c r="G909" s="85">
        <f>IFERROR(__xludf.DUMMYFUNCTION("""COMPUTED_VALUE"""),44867.78680555556)</f>
        <v>44867.78681</v>
      </c>
      <c r="H909" s="85" t="str">
        <f>IFERROR(__xludf.DUMMYFUNCTION("""COMPUTED_VALUE"""),"Estimate ")</f>
        <v>Estimate </v>
      </c>
      <c r="I909" s="4" t="str">
        <f>IFERROR(__xludf.DUMMYFUNCTION("""COMPUTED_VALUE"""),"shivani")</f>
        <v>shivani</v>
      </c>
    </row>
    <row r="910">
      <c r="A910" s="85">
        <f>IFERROR(__xludf.DUMMYFUNCTION("""COMPUTED_VALUE"""),44866.70028559028)</f>
        <v>44866.70029</v>
      </c>
      <c r="B910" s="4"/>
      <c r="C910" s="4"/>
      <c r="D910" s="4"/>
      <c r="E910" s="4"/>
      <c r="F910" s="4"/>
      <c r="G910" s="85">
        <f>IFERROR(__xludf.DUMMYFUNCTION("""COMPUTED_VALUE"""),44868.7)</f>
        <v>44868.7</v>
      </c>
      <c r="H910" s="85" t="str">
        <f>IFERROR(__xludf.DUMMYFUNCTION("""COMPUTED_VALUE"""),"Estimate ")</f>
        <v>Estimate </v>
      </c>
      <c r="I910" s="4" t="str">
        <f>IFERROR(__xludf.DUMMYFUNCTION("""COMPUTED_VALUE"""),"shivani")</f>
        <v>shivani</v>
      </c>
    </row>
    <row r="911">
      <c r="A911" s="85">
        <f>IFERROR(__xludf.DUMMYFUNCTION("""COMPUTED_VALUE"""),44866.702012395835)</f>
        <v>44866.70201</v>
      </c>
      <c r="B911" s="4"/>
      <c r="C911" s="4"/>
      <c r="D911" s="4"/>
      <c r="E911" s="4"/>
      <c r="F911" s="4"/>
      <c r="G911" s="85">
        <f>IFERROR(__xludf.DUMMYFUNCTION("""COMPUTED_VALUE"""),44868.70138888889)</f>
        <v>44868.70139</v>
      </c>
      <c r="H911" s="85" t="str">
        <f>IFERROR(__xludf.DUMMYFUNCTION("""COMPUTED_VALUE"""),"Estimate ")</f>
        <v>Estimate </v>
      </c>
      <c r="I911" s="4" t="str">
        <f>IFERROR(__xludf.DUMMYFUNCTION("""COMPUTED_VALUE"""),"shivani")</f>
        <v>shivani</v>
      </c>
    </row>
    <row r="912">
      <c r="A912" s="85">
        <f>IFERROR(__xludf.DUMMYFUNCTION("""COMPUTED_VALUE"""),44869.473721793984)</f>
        <v>44869.47372</v>
      </c>
      <c r="B912" s="4"/>
      <c r="C912" s="4"/>
      <c r="D912" s="4"/>
      <c r="E912" s="4"/>
      <c r="F912" s="4"/>
      <c r="G912" s="85">
        <f>IFERROR(__xludf.DUMMYFUNCTION("""COMPUTED_VALUE"""),44871.47361111111)</f>
        <v>44871.47361</v>
      </c>
      <c r="H912" s="85" t="str">
        <f>IFERROR(__xludf.DUMMYFUNCTION("""COMPUTED_VALUE"""),"Estimate ")</f>
        <v>Estimate </v>
      </c>
      <c r="I912" s="4" t="str">
        <f>IFERROR(__xludf.DUMMYFUNCTION("""COMPUTED_VALUE"""),"shivani")</f>
        <v>shivani</v>
      </c>
    </row>
    <row r="913">
      <c r="A913" s="85">
        <f>IFERROR(__xludf.DUMMYFUNCTION("""COMPUTED_VALUE"""),44869.47592585648)</f>
        <v>44869.47593</v>
      </c>
      <c r="B913" s="4"/>
      <c r="C913" s="4"/>
      <c r="D913" s="4"/>
      <c r="E913" s="4"/>
      <c r="F913" s="4"/>
      <c r="G913" s="85">
        <f>IFERROR(__xludf.DUMMYFUNCTION("""COMPUTED_VALUE"""),44871.475694444445)</f>
        <v>44871.47569</v>
      </c>
      <c r="H913" s="85" t="str">
        <f>IFERROR(__xludf.DUMMYFUNCTION("""COMPUTED_VALUE"""),"Estimate ")</f>
        <v>Estimate </v>
      </c>
      <c r="I913" s="4" t="str">
        <f>IFERROR(__xludf.DUMMYFUNCTION("""COMPUTED_VALUE"""),"shivani")</f>
        <v>shivani</v>
      </c>
    </row>
    <row r="914">
      <c r="A914" s="85">
        <f>IFERROR(__xludf.DUMMYFUNCTION("""COMPUTED_VALUE"""),44869.47775763888)</f>
        <v>44869.47776</v>
      </c>
      <c r="B914" s="4"/>
      <c r="C914" s="4"/>
      <c r="D914" s="4"/>
      <c r="E914" s="4"/>
      <c r="F914" s="4"/>
      <c r="G914" s="85">
        <f>IFERROR(__xludf.DUMMYFUNCTION("""COMPUTED_VALUE"""),44871.47708333333)</f>
        <v>44871.47708</v>
      </c>
      <c r="H914" s="85" t="str">
        <f>IFERROR(__xludf.DUMMYFUNCTION("""COMPUTED_VALUE"""),"Estimate ")</f>
        <v>Estimate </v>
      </c>
      <c r="I914" s="4" t="str">
        <f>IFERROR(__xludf.DUMMYFUNCTION("""COMPUTED_VALUE"""),"shivani")</f>
        <v>shivani</v>
      </c>
    </row>
    <row r="915">
      <c r="A915" s="85">
        <f>IFERROR(__xludf.DUMMYFUNCTION("""COMPUTED_VALUE"""),44869.479070243055)</f>
        <v>44869.47907</v>
      </c>
      <c r="B915" s="4"/>
      <c r="C915" s="4"/>
      <c r="D915" s="4"/>
      <c r="E915" s="4"/>
      <c r="F915" s="4"/>
      <c r="G915" s="85">
        <f>IFERROR(__xludf.DUMMYFUNCTION("""COMPUTED_VALUE"""),44871.478472222225)</f>
        <v>44871.47847</v>
      </c>
      <c r="H915" s="85" t="str">
        <f>IFERROR(__xludf.DUMMYFUNCTION("""COMPUTED_VALUE"""),"Estimate ")</f>
        <v>Estimate </v>
      </c>
      <c r="I915" s="4" t="str">
        <f>IFERROR(__xludf.DUMMYFUNCTION("""COMPUTED_VALUE"""),"shivani")</f>
        <v>shivani</v>
      </c>
    </row>
    <row r="916">
      <c r="A916" s="85">
        <f>IFERROR(__xludf.DUMMYFUNCTION("""COMPUTED_VALUE"""),44869.481248414355)</f>
        <v>44869.48125</v>
      </c>
      <c r="B916" s="4"/>
      <c r="C916" s="4"/>
      <c r="D916" s="4"/>
      <c r="E916" s="4"/>
      <c r="F916" s="4"/>
      <c r="G916" s="85">
        <f>IFERROR(__xludf.DUMMYFUNCTION("""COMPUTED_VALUE"""),44871.48125)</f>
        <v>44871.48125</v>
      </c>
      <c r="H916" s="85" t="str">
        <f>IFERROR(__xludf.DUMMYFUNCTION("""COMPUTED_VALUE"""),"Estimate ")</f>
        <v>Estimate </v>
      </c>
      <c r="I916" s="4" t="str">
        <f>IFERROR(__xludf.DUMMYFUNCTION("""COMPUTED_VALUE"""),"shivani")</f>
        <v>shivani</v>
      </c>
    </row>
    <row r="917">
      <c r="A917" s="85">
        <f>IFERROR(__xludf.DUMMYFUNCTION("""COMPUTED_VALUE"""),44869.48332384259)</f>
        <v>44869.48332</v>
      </c>
      <c r="B917" s="4"/>
      <c r="C917" s="4"/>
      <c r="D917" s="4"/>
      <c r="E917" s="4"/>
      <c r="F917" s="4"/>
      <c r="G917" s="85">
        <f>IFERROR(__xludf.DUMMYFUNCTION("""COMPUTED_VALUE"""),44871.48263888889)</f>
        <v>44871.48264</v>
      </c>
      <c r="H917" s="85" t="str">
        <f>IFERROR(__xludf.DUMMYFUNCTION("""COMPUTED_VALUE"""),"Estimate ")</f>
        <v>Estimate </v>
      </c>
      <c r="I917" s="4" t="str">
        <f>IFERROR(__xludf.DUMMYFUNCTION("""COMPUTED_VALUE"""),"shivani")</f>
        <v>shivani</v>
      </c>
    </row>
    <row r="918">
      <c r="A918" s="85">
        <f>IFERROR(__xludf.DUMMYFUNCTION("""COMPUTED_VALUE"""),44873.50643604167)</f>
        <v>44873.50644</v>
      </c>
      <c r="B918" s="4"/>
      <c r="C918" s="4"/>
      <c r="D918" s="4"/>
      <c r="E918" s="4"/>
      <c r="F918" s="4"/>
      <c r="G918" s="85">
        <f>IFERROR(__xludf.DUMMYFUNCTION("""COMPUTED_VALUE"""),44875.50625)</f>
        <v>44875.50625</v>
      </c>
      <c r="H918" s="85" t="str">
        <f>IFERROR(__xludf.DUMMYFUNCTION("""COMPUTED_VALUE"""),"Estimate ")</f>
        <v>Estimate </v>
      </c>
      <c r="I918" s="4" t="str">
        <f>IFERROR(__xludf.DUMMYFUNCTION("""COMPUTED_VALUE"""),"shivani")</f>
        <v>shivani</v>
      </c>
    </row>
    <row r="919">
      <c r="A919" s="85">
        <f>IFERROR(__xludf.DUMMYFUNCTION("""COMPUTED_VALUE"""),44873.507521053245)</f>
        <v>44873.50752</v>
      </c>
      <c r="B919" s="4"/>
      <c r="C919" s="4"/>
      <c r="D919" s="4"/>
      <c r="E919" s="4"/>
      <c r="F919" s="4"/>
      <c r="G919" s="85">
        <f>IFERROR(__xludf.DUMMYFUNCTION("""COMPUTED_VALUE"""),44875.506944444445)</f>
        <v>44875.50694</v>
      </c>
      <c r="H919" s="85" t="str">
        <f>IFERROR(__xludf.DUMMYFUNCTION("""COMPUTED_VALUE"""),"Estimate ")</f>
        <v>Estimate </v>
      </c>
      <c r="I919" s="4" t="str">
        <f>IFERROR(__xludf.DUMMYFUNCTION("""COMPUTED_VALUE"""),"shivani")</f>
        <v>shivani</v>
      </c>
    </row>
    <row r="920">
      <c r="A920" s="85">
        <f>IFERROR(__xludf.DUMMYFUNCTION("""COMPUTED_VALUE"""),44873.50840438657)</f>
        <v>44873.5084</v>
      </c>
      <c r="B920" s="4"/>
      <c r="C920" s="4"/>
      <c r="D920" s="4"/>
      <c r="E920" s="4"/>
      <c r="F920" s="4"/>
      <c r="G920" s="85">
        <f>IFERROR(__xludf.DUMMYFUNCTION("""COMPUTED_VALUE"""),44875.50833333333)</f>
        <v>44875.50833</v>
      </c>
      <c r="H920" s="85" t="str">
        <f>IFERROR(__xludf.DUMMYFUNCTION("""COMPUTED_VALUE"""),"Estimate ")</f>
        <v>Estimate </v>
      </c>
      <c r="I920" s="4" t="str">
        <f>IFERROR(__xludf.DUMMYFUNCTION("""COMPUTED_VALUE"""),"shivani")</f>
        <v>shivani</v>
      </c>
    </row>
    <row r="921">
      <c r="A921" s="85">
        <f>IFERROR(__xludf.DUMMYFUNCTION("""COMPUTED_VALUE"""),44873.509584363426)</f>
        <v>44873.50958</v>
      </c>
      <c r="B921" s="4"/>
      <c r="C921" s="4"/>
      <c r="D921" s="4"/>
      <c r="E921" s="4"/>
      <c r="F921" s="4"/>
      <c r="G921" s="85">
        <f>IFERROR(__xludf.DUMMYFUNCTION("""COMPUTED_VALUE"""),44875.50902777778)</f>
        <v>44875.50903</v>
      </c>
      <c r="H921" s="85" t="str">
        <f>IFERROR(__xludf.DUMMYFUNCTION("""COMPUTED_VALUE"""),"Estimate ")</f>
        <v>Estimate </v>
      </c>
      <c r="I921" s="4" t="str">
        <f>IFERROR(__xludf.DUMMYFUNCTION("""COMPUTED_VALUE"""),"shivani")</f>
        <v>shivani</v>
      </c>
    </row>
    <row r="922">
      <c r="A922" s="85">
        <f>IFERROR(__xludf.DUMMYFUNCTION("""COMPUTED_VALUE"""),44873.52351597222)</f>
        <v>44873.52352</v>
      </c>
      <c r="B922" s="4"/>
      <c r="C922" s="4"/>
      <c r="D922" s="4"/>
      <c r="E922" s="4"/>
      <c r="F922" s="4"/>
      <c r="G922" s="85">
        <f>IFERROR(__xludf.DUMMYFUNCTION("""COMPUTED_VALUE"""),44875.52291666667)</f>
        <v>44875.52292</v>
      </c>
      <c r="H922" s="85" t="str">
        <f>IFERROR(__xludf.DUMMYFUNCTION("""COMPUTED_VALUE"""),"Estimate ")</f>
        <v>Estimate </v>
      </c>
      <c r="I922" s="4" t="str">
        <f>IFERROR(__xludf.DUMMYFUNCTION("""COMPUTED_VALUE"""),"shivani")</f>
        <v>shivani</v>
      </c>
    </row>
    <row r="923">
      <c r="A923" s="85">
        <f>IFERROR(__xludf.DUMMYFUNCTION("""COMPUTED_VALUE"""),44876.55136582176)</f>
        <v>44876.55137</v>
      </c>
      <c r="B923" s="4"/>
      <c r="C923" s="4"/>
      <c r="D923" s="4"/>
      <c r="E923" s="4"/>
      <c r="F923" s="4"/>
      <c r="G923" s="85">
        <f>IFERROR(__xludf.DUMMYFUNCTION("""COMPUTED_VALUE"""),44878.55069444445)</f>
        <v>44878.55069</v>
      </c>
      <c r="H923" s="85" t="str">
        <f>IFERROR(__xludf.DUMMYFUNCTION("""COMPUTED_VALUE"""),"Estimate ")</f>
        <v>Estimate </v>
      </c>
      <c r="I923" s="4" t="str">
        <f>IFERROR(__xludf.DUMMYFUNCTION("""COMPUTED_VALUE"""),"shivani")</f>
        <v>shivani</v>
      </c>
    </row>
    <row r="924">
      <c r="A924" s="85">
        <f>IFERROR(__xludf.DUMMYFUNCTION("""COMPUTED_VALUE"""),44876.55274363425)</f>
        <v>44876.55274</v>
      </c>
      <c r="B924" s="4"/>
      <c r="C924" s="4"/>
      <c r="D924" s="4"/>
      <c r="E924" s="4"/>
      <c r="F924" s="4"/>
      <c r="G924" s="85">
        <f>IFERROR(__xludf.DUMMYFUNCTION("""COMPUTED_VALUE"""),44878.55208333333)</f>
        <v>44878.55208</v>
      </c>
      <c r="H924" s="85" t="str">
        <f>IFERROR(__xludf.DUMMYFUNCTION("""COMPUTED_VALUE"""),"Estimate ")</f>
        <v>Estimate </v>
      </c>
      <c r="I924" s="4" t="str">
        <f>IFERROR(__xludf.DUMMYFUNCTION("""COMPUTED_VALUE"""),"shivani")</f>
        <v>shivani</v>
      </c>
    </row>
    <row r="925">
      <c r="A925" s="85">
        <f>IFERROR(__xludf.DUMMYFUNCTION("""COMPUTED_VALUE"""),44877.48941255787)</f>
        <v>44877.48941</v>
      </c>
      <c r="B925" s="4"/>
      <c r="C925" s="4"/>
      <c r="D925" s="4"/>
      <c r="E925" s="4"/>
      <c r="F925" s="4"/>
      <c r="G925" s="85">
        <f>IFERROR(__xludf.DUMMYFUNCTION("""COMPUTED_VALUE"""),44880.48888888889)</f>
        <v>44880.48889</v>
      </c>
      <c r="H925" s="85" t="str">
        <f>IFERROR(__xludf.DUMMYFUNCTION("""COMPUTED_VALUE"""),"Estimate ")</f>
        <v>Estimate </v>
      </c>
      <c r="I925" s="4" t="str">
        <f>IFERROR(__xludf.DUMMYFUNCTION("""COMPUTED_VALUE"""),"shivani")</f>
        <v>shivani</v>
      </c>
    </row>
    <row r="926">
      <c r="A926" s="85">
        <f>IFERROR(__xludf.DUMMYFUNCTION("""COMPUTED_VALUE"""),44877.80392587963)</f>
        <v>44877.80393</v>
      </c>
      <c r="B926" s="4"/>
      <c r="C926" s="4"/>
      <c r="D926" s="4"/>
      <c r="E926" s="4"/>
      <c r="F926" s="4"/>
      <c r="G926" s="85">
        <f>IFERROR(__xludf.DUMMYFUNCTION("""COMPUTED_VALUE"""),44880.80347222222)</f>
        <v>44880.80347</v>
      </c>
      <c r="H926" s="85" t="str">
        <f>IFERROR(__xludf.DUMMYFUNCTION("""COMPUTED_VALUE"""),"Estimate ")</f>
        <v>Estimate </v>
      </c>
      <c r="I926" s="4" t="str">
        <f>IFERROR(__xludf.DUMMYFUNCTION("""COMPUTED_VALUE"""),"shivani")</f>
        <v>shivani</v>
      </c>
    </row>
    <row r="927">
      <c r="A927" s="85">
        <f>IFERROR(__xludf.DUMMYFUNCTION("""COMPUTED_VALUE"""),44880.54485172454)</f>
        <v>44880.54485</v>
      </c>
      <c r="B927" s="4"/>
      <c r="C927" s="4"/>
      <c r="D927" s="4"/>
      <c r="E927" s="4"/>
      <c r="F927" s="4"/>
      <c r="G927" s="85">
        <f>IFERROR(__xludf.DUMMYFUNCTION("""COMPUTED_VALUE"""),44882.544444444444)</f>
        <v>44882.54444</v>
      </c>
      <c r="H927" s="85" t="str">
        <f>IFERROR(__xludf.DUMMYFUNCTION("""COMPUTED_VALUE"""),"Estimate ")</f>
        <v>Estimate </v>
      </c>
      <c r="I927" s="4" t="str">
        <f>IFERROR(__xludf.DUMMYFUNCTION("""COMPUTED_VALUE"""),"shivani")</f>
        <v>shivani</v>
      </c>
    </row>
    <row r="928">
      <c r="A928" s="85">
        <f>IFERROR(__xludf.DUMMYFUNCTION("""COMPUTED_VALUE"""),44880.772080625)</f>
        <v>44880.77208</v>
      </c>
      <c r="B928" s="4"/>
      <c r="C928" s="4"/>
      <c r="D928" s="4"/>
      <c r="E928" s="4"/>
      <c r="F928" s="4"/>
      <c r="G928" s="85">
        <f>IFERROR(__xludf.DUMMYFUNCTION("""COMPUTED_VALUE"""),44882.771527777775)</f>
        <v>44882.77153</v>
      </c>
      <c r="H928" s="85" t="str">
        <f>IFERROR(__xludf.DUMMYFUNCTION("""COMPUTED_VALUE"""),"Estimate ")</f>
        <v>Estimate </v>
      </c>
      <c r="I928" s="4" t="str">
        <f>IFERROR(__xludf.DUMMYFUNCTION("""COMPUTED_VALUE"""),"shivani")</f>
        <v>shivani</v>
      </c>
    </row>
    <row r="929">
      <c r="A929" s="85">
        <f>IFERROR(__xludf.DUMMYFUNCTION("""COMPUTED_VALUE"""),44880.77314280093)</f>
        <v>44880.77314</v>
      </c>
      <c r="B929" s="4"/>
      <c r="C929" s="4"/>
      <c r="D929" s="4"/>
      <c r="E929" s="4"/>
      <c r="F929" s="4"/>
      <c r="G929" s="85">
        <f>IFERROR(__xludf.DUMMYFUNCTION("""COMPUTED_VALUE"""),44882.77291666667)</f>
        <v>44882.77292</v>
      </c>
      <c r="H929" s="85" t="str">
        <f>IFERROR(__xludf.DUMMYFUNCTION("""COMPUTED_VALUE"""),"Estimate ")</f>
        <v>Estimate </v>
      </c>
      <c r="I929" s="4" t="str">
        <f>IFERROR(__xludf.DUMMYFUNCTION("""COMPUTED_VALUE"""),"shivani")</f>
        <v>shivani</v>
      </c>
    </row>
    <row r="930">
      <c r="A930" s="85">
        <f>IFERROR(__xludf.DUMMYFUNCTION("""COMPUTED_VALUE"""),44884.559236712965)</f>
        <v>44884.55924</v>
      </c>
      <c r="B930" s="4"/>
      <c r="C930" s="4"/>
      <c r="D930" s="4"/>
      <c r="E930" s="4"/>
      <c r="F930" s="4"/>
      <c r="G930" s="85">
        <f>IFERROR(__xludf.DUMMYFUNCTION("""COMPUTED_VALUE"""),44887.55902777778)</f>
        <v>44887.55903</v>
      </c>
      <c r="H930" s="85" t="str">
        <f>IFERROR(__xludf.DUMMYFUNCTION("""COMPUTED_VALUE"""),"Estimate ")</f>
        <v>Estimate </v>
      </c>
      <c r="I930" s="4" t="str">
        <f>IFERROR(__xludf.DUMMYFUNCTION("""COMPUTED_VALUE"""),"shivani")</f>
        <v>shivani</v>
      </c>
    </row>
    <row r="931">
      <c r="A931" s="85">
        <f>IFERROR(__xludf.DUMMYFUNCTION("""COMPUTED_VALUE"""),44884.571143229165)</f>
        <v>44884.57114</v>
      </c>
      <c r="B931" s="4"/>
      <c r="C931" s="4"/>
      <c r="D931" s="4"/>
      <c r="E931" s="4"/>
      <c r="F931" s="4"/>
      <c r="G931" s="85">
        <f>IFERROR(__xludf.DUMMYFUNCTION("""COMPUTED_VALUE"""),44887.57083333333)</f>
        <v>44887.57083</v>
      </c>
      <c r="H931" s="85" t="str">
        <f>IFERROR(__xludf.DUMMYFUNCTION("""COMPUTED_VALUE"""),"Estimate ")</f>
        <v>Estimate </v>
      </c>
      <c r="I931" s="4" t="str">
        <f>IFERROR(__xludf.DUMMYFUNCTION("""COMPUTED_VALUE"""),"shivani")</f>
        <v>shivani</v>
      </c>
    </row>
    <row r="932">
      <c r="A932" s="85">
        <f>IFERROR(__xludf.DUMMYFUNCTION("""COMPUTED_VALUE"""),44884.57283962963)</f>
        <v>44884.57284</v>
      </c>
      <c r="B932" s="4"/>
      <c r="C932" s="4"/>
      <c r="D932" s="4"/>
      <c r="E932" s="4"/>
      <c r="F932" s="4"/>
      <c r="G932" s="85">
        <f>IFERROR(__xludf.DUMMYFUNCTION("""COMPUTED_VALUE"""),44887.572222222225)</f>
        <v>44887.57222</v>
      </c>
      <c r="H932" s="85" t="str">
        <f>IFERROR(__xludf.DUMMYFUNCTION("""COMPUTED_VALUE"""),"Estimate ")</f>
        <v>Estimate </v>
      </c>
      <c r="I932" s="4" t="str">
        <f>IFERROR(__xludf.DUMMYFUNCTION("""COMPUTED_VALUE"""),"shivani")</f>
        <v>shivani</v>
      </c>
    </row>
    <row r="933">
      <c r="A933" s="85">
        <f>IFERROR(__xludf.DUMMYFUNCTION("""COMPUTED_VALUE"""),44884.5736787037)</f>
        <v>44884.57368</v>
      </c>
      <c r="B933" s="4"/>
      <c r="C933" s="4"/>
      <c r="D933" s="4"/>
      <c r="E933" s="4"/>
      <c r="F933" s="4"/>
      <c r="G933" s="85">
        <f>IFERROR(__xludf.DUMMYFUNCTION("""COMPUTED_VALUE"""),44887.57361111111)</f>
        <v>44887.57361</v>
      </c>
      <c r="H933" s="85" t="str">
        <f>IFERROR(__xludf.DUMMYFUNCTION("""COMPUTED_VALUE"""),"Estimate ")</f>
        <v>Estimate </v>
      </c>
      <c r="I933" s="4" t="str">
        <f>IFERROR(__xludf.DUMMYFUNCTION("""COMPUTED_VALUE"""),"shivani")</f>
        <v>shivani</v>
      </c>
    </row>
    <row r="934">
      <c r="A934" s="85">
        <f>IFERROR(__xludf.DUMMYFUNCTION("""COMPUTED_VALUE"""),44884.646496863425)</f>
        <v>44884.6465</v>
      </c>
      <c r="B934" s="4"/>
      <c r="C934" s="4"/>
      <c r="D934" s="4"/>
      <c r="E934" s="4"/>
      <c r="F934" s="4"/>
      <c r="G934" s="85">
        <f>IFERROR(__xludf.DUMMYFUNCTION("""COMPUTED_VALUE"""),44887.64583333333)</f>
        <v>44887.64583</v>
      </c>
      <c r="H934" s="85" t="str">
        <f>IFERROR(__xludf.DUMMYFUNCTION("""COMPUTED_VALUE"""),"Estimate ")</f>
        <v>Estimate </v>
      </c>
      <c r="I934" s="4" t="str">
        <f>IFERROR(__xludf.DUMMYFUNCTION("""COMPUTED_VALUE"""),"shivani")</f>
        <v>shivani</v>
      </c>
    </row>
    <row r="935">
      <c r="A935" s="85">
        <f>IFERROR(__xludf.DUMMYFUNCTION("""COMPUTED_VALUE"""),44887.45078572916)</f>
        <v>44887.45079</v>
      </c>
      <c r="B935" s="4"/>
      <c r="C935" s="4"/>
      <c r="D935" s="4"/>
      <c r="E935" s="4"/>
      <c r="F935" s="4"/>
      <c r="G935" s="85">
        <f>IFERROR(__xludf.DUMMYFUNCTION("""COMPUTED_VALUE"""),44889.450694444444)</f>
        <v>44889.45069</v>
      </c>
      <c r="H935" s="85" t="str">
        <f>IFERROR(__xludf.DUMMYFUNCTION("""COMPUTED_VALUE"""),"Estimate ")</f>
        <v>Estimate </v>
      </c>
      <c r="I935" s="4" t="str">
        <f>IFERROR(__xludf.DUMMYFUNCTION("""COMPUTED_VALUE"""),"shivani")</f>
        <v>shivani</v>
      </c>
    </row>
    <row r="936">
      <c r="A936" s="85">
        <f>IFERROR(__xludf.DUMMYFUNCTION("""COMPUTED_VALUE"""),44887.56955421296)</f>
        <v>44887.56955</v>
      </c>
      <c r="B936" s="4"/>
      <c r="C936" s="4"/>
      <c r="D936" s="4"/>
      <c r="E936" s="4"/>
      <c r="F936" s="4"/>
      <c r="G936" s="85">
        <f>IFERROR(__xludf.DUMMYFUNCTION("""COMPUTED_VALUE"""),44889.569444444445)</f>
        <v>44889.56944</v>
      </c>
      <c r="H936" s="85" t="str">
        <f>IFERROR(__xludf.DUMMYFUNCTION("""COMPUTED_VALUE"""),"Estimate ")</f>
        <v>Estimate </v>
      </c>
      <c r="I936" s="4" t="str">
        <f>IFERROR(__xludf.DUMMYFUNCTION("""COMPUTED_VALUE"""),"shivani")</f>
        <v>shivani</v>
      </c>
    </row>
    <row r="937">
      <c r="A937" s="85">
        <f>IFERROR(__xludf.DUMMYFUNCTION("""COMPUTED_VALUE"""),44890.49453783565)</f>
        <v>44890.49454</v>
      </c>
      <c r="B937" s="4"/>
      <c r="C937" s="4"/>
      <c r="D937" s="4"/>
      <c r="E937" s="4"/>
      <c r="F937" s="4"/>
      <c r="G937" s="85">
        <f>IFERROR(__xludf.DUMMYFUNCTION("""COMPUTED_VALUE"""),44892.49444444444)</f>
        <v>44892.49444</v>
      </c>
      <c r="H937" s="85" t="str">
        <f>IFERROR(__xludf.DUMMYFUNCTION("""COMPUTED_VALUE"""),"Estimate ")</f>
        <v>Estimate </v>
      </c>
      <c r="I937" s="4" t="str">
        <f>IFERROR(__xludf.DUMMYFUNCTION("""COMPUTED_VALUE"""),"shivani")</f>
        <v>shivani</v>
      </c>
    </row>
    <row r="938">
      <c r="A938" s="85">
        <f>IFERROR(__xludf.DUMMYFUNCTION("""COMPUTED_VALUE"""),44891.74546582176)</f>
        <v>44891.74547</v>
      </c>
      <c r="B938" s="4"/>
      <c r="C938" s="4"/>
      <c r="D938" s="4"/>
      <c r="E938" s="4"/>
      <c r="F938" s="4"/>
      <c r="G938" s="85">
        <f>IFERROR(__xludf.DUMMYFUNCTION("""COMPUTED_VALUE"""),44894.74513888889)</f>
        <v>44894.74514</v>
      </c>
      <c r="H938" s="85" t="str">
        <f>IFERROR(__xludf.DUMMYFUNCTION("""COMPUTED_VALUE"""),"Estimate ")</f>
        <v>Estimate </v>
      </c>
      <c r="I938" s="4" t="str">
        <f>IFERROR(__xludf.DUMMYFUNCTION("""COMPUTED_VALUE"""),"shivani")</f>
        <v>shivani</v>
      </c>
    </row>
    <row r="939">
      <c r="A939" s="85">
        <f>IFERROR(__xludf.DUMMYFUNCTION("""COMPUTED_VALUE"""),44901.49693206019)</f>
        <v>44901.49693</v>
      </c>
      <c r="B939" s="4"/>
      <c r="C939" s="4"/>
      <c r="D939" s="4"/>
      <c r="E939" s="4"/>
      <c r="F939" s="4"/>
      <c r="G939" s="85">
        <f>IFERROR(__xludf.DUMMYFUNCTION("""COMPUTED_VALUE"""),44903.49652777778)</f>
        <v>44903.49653</v>
      </c>
      <c r="H939" s="85" t="str">
        <f>IFERROR(__xludf.DUMMYFUNCTION("""COMPUTED_VALUE"""),"Estimate ")</f>
        <v>Estimate </v>
      </c>
      <c r="I939" s="4" t="str">
        <f>IFERROR(__xludf.DUMMYFUNCTION("""COMPUTED_VALUE"""),"shivani")</f>
        <v>shivani</v>
      </c>
    </row>
    <row r="940">
      <c r="A940" s="85">
        <f>IFERROR(__xludf.DUMMYFUNCTION("""COMPUTED_VALUE"""),44903.79242989583)</f>
        <v>44903.79243</v>
      </c>
      <c r="B940" s="4"/>
      <c r="C940" s="4"/>
      <c r="D940" s="4"/>
      <c r="E940" s="4"/>
      <c r="F940" s="4"/>
      <c r="G940" s="85">
        <f>IFERROR(__xludf.DUMMYFUNCTION("""COMPUTED_VALUE"""),44905.79236111111)</f>
        <v>44905.79236</v>
      </c>
      <c r="H940" s="85" t="str">
        <f>IFERROR(__xludf.DUMMYFUNCTION("""COMPUTED_VALUE"""),"Estimate ")</f>
        <v>Estimate </v>
      </c>
      <c r="I940" s="4" t="str">
        <f>IFERROR(__xludf.DUMMYFUNCTION("""COMPUTED_VALUE"""),"shivani")</f>
        <v>shivani</v>
      </c>
    </row>
    <row r="941">
      <c r="A941" s="85">
        <f>IFERROR(__xludf.DUMMYFUNCTION("""COMPUTED_VALUE"""),44915.53562688658)</f>
        <v>44915.53563</v>
      </c>
      <c r="B941" s="4"/>
      <c r="C941" s="4"/>
      <c r="D941" s="4"/>
      <c r="E941" s="4"/>
      <c r="F941" s="4"/>
      <c r="G941" s="85">
        <f>IFERROR(__xludf.DUMMYFUNCTION("""COMPUTED_VALUE"""),44917.535416666666)</f>
        <v>44917.53542</v>
      </c>
      <c r="H941" s="85" t="str">
        <f>IFERROR(__xludf.DUMMYFUNCTION("""COMPUTED_VALUE"""),"Estimate ")</f>
        <v>Estimate </v>
      </c>
      <c r="I941" s="4" t="str">
        <f>IFERROR(__xludf.DUMMYFUNCTION("""COMPUTED_VALUE"""),"shivani")</f>
        <v>shivani</v>
      </c>
    </row>
    <row r="942">
      <c r="A942" s="85">
        <f>IFERROR(__xludf.DUMMYFUNCTION("""COMPUTED_VALUE"""),44915.53701262731)</f>
        <v>44915.53701</v>
      </c>
      <c r="B942" s="4"/>
      <c r="C942" s="4"/>
      <c r="D942" s="4"/>
      <c r="E942" s="4"/>
      <c r="F942" s="4"/>
      <c r="G942" s="85">
        <f>IFERROR(__xludf.DUMMYFUNCTION("""COMPUTED_VALUE"""),44917.53680555556)</f>
        <v>44917.53681</v>
      </c>
      <c r="H942" s="85" t="str">
        <f>IFERROR(__xludf.DUMMYFUNCTION("""COMPUTED_VALUE"""),"Estimate ")</f>
        <v>Estimate </v>
      </c>
      <c r="I942" s="4" t="str">
        <f>IFERROR(__xludf.DUMMYFUNCTION("""COMPUTED_VALUE"""),"shivani")</f>
        <v>shivani</v>
      </c>
    </row>
    <row r="943">
      <c r="A943" s="85">
        <f>IFERROR(__xludf.DUMMYFUNCTION("""COMPUTED_VALUE"""),44915.72586797454)</f>
        <v>44915.72587</v>
      </c>
      <c r="B943" s="4"/>
      <c r="C943" s="4"/>
      <c r="D943" s="4"/>
      <c r="E943" s="4"/>
      <c r="F943" s="4"/>
      <c r="G943" s="85">
        <f>IFERROR(__xludf.DUMMYFUNCTION("""COMPUTED_VALUE"""),44917.725694444445)</f>
        <v>44917.72569</v>
      </c>
      <c r="H943" s="85" t="str">
        <f>IFERROR(__xludf.DUMMYFUNCTION("""COMPUTED_VALUE"""),"Estimate ")</f>
        <v>Estimate </v>
      </c>
      <c r="I943" s="4" t="str">
        <f>IFERROR(__xludf.DUMMYFUNCTION("""COMPUTED_VALUE"""),"shivani")</f>
        <v>shivani</v>
      </c>
    </row>
    <row r="944">
      <c r="A944" s="85">
        <f>IFERROR(__xludf.DUMMYFUNCTION("""COMPUTED_VALUE"""),44915.7271371875)</f>
        <v>44915.72714</v>
      </c>
      <c r="B944" s="4"/>
      <c r="C944" s="4"/>
      <c r="D944" s="4"/>
      <c r="E944" s="4"/>
      <c r="F944" s="4"/>
      <c r="G944" s="85">
        <f>IFERROR(__xludf.DUMMYFUNCTION("""COMPUTED_VALUE"""),44917.72708333333)</f>
        <v>44917.72708</v>
      </c>
      <c r="H944" s="85" t="str">
        <f>IFERROR(__xludf.DUMMYFUNCTION("""COMPUTED_VALUE"""),"Estimate ")</f>
        <v>Estimate </v>
      </c>
      <c r="I944" s="4" t="str">
        <f>IFERROR(__xludf.DUMMYFUNCTION("""COMPUTED_VALUE"""),"shivani")</f>
        <v>shivani</v>
      </c>
    </row>
    <row r="945">
      <c r="A945" s="85">
        <f>IFERROR(__xludf.DUMMYFUNCTION("""COMPUTED_VALUE"""),44919.774540937506)</f>
        <v>44919.77454</v>
      </c>
      <c r="B945" s="4"/>
      <c r="C945" s="4"/>
      <c r="D945" s="4"/>
      <c r="E945" s="4"/>
      <c r="F945" s="4"/>
      <c r="G945" s="85">
        <f>IFERROR(__xludf.DUMMYFUNCTION("""COMPUTED_VALUE"""),44922.774305555555)</f>
        <v>44922.77431</v>
      </c>
      <c r="H945" s="85" t="str">
        <f>IFERROR(__xludf.DUMMYFUNCTION("""COMPUTED_VALUE"""),"Estimate ")</f>
        <v>Estimate </v>
      </c>
      <c r="I945" s="4" t="str">
        <f>IFERROR(__xludf.DUMMYFUNCTION("""COMPUTED_VALUE"""),"shivani")</f>
        <v>shivani</v>
      </c>
    </row>
    <row r="946">
      <c r="A946" s="85">
        <f>IFERROR(__xludf.DUMMYFUNCTION("""COMPUTED_VALUE"""),44920.77365482639)</f>
        <v>44920.77365</v>
      </c>
      <c r="B946" s="4"/>
      <c r="C946" s="4"/>
      <c r="D946" s="4"/>
      <c r="E946" s="4"/>
      <c r="F946" s="4"/>
      <c r="G946" s="85">
        <f>IFERROR(__xludf.DUMMYFUNCTION("""COMPUTED_VALUE"""),44923.773611111115)</f>
        <v>44923.77361</v>
      </c>
      <c r="H946" s="85" t="str">
        <f>IFERROR(__xludf.DUMMYFUNCTION("""COMPUTED_VALUE"""),"Estimate ")</f>
        <v>Estimate </v>
      </c>
      <c r="I946" s="4" t="str">
        <f>IFERROR(__xludf.DUMMYFUNCTION("""COMPUTED_VALUE"""),"shivani")</f>
        <v>shivani</v>
      </c>
    </row>
    <row r="947">
      <c r="A947" s="85">
        <f>IFERROR(__xludf.DUMMYFUNCTION("""COMPUTED_VALUE"""),44924.707565914345)</f>
        <v>44924.70757</v>
      </c>
      <c r="B947" s="4"/>
      <c r="C947" s="4"/>
      <c r="D947" s="4"/>
      <c r="E947" s="4"/>
      <c r="F947" s="4"/>
      <c r="G947" s="85">
        <f>IFERROR(__xludf.DUMMYFUNCTION("""COMPUTED_VALUE"""),44926.70694444445)</f>
        <v>44926.70694</v>
      </c>
      <c r="H947" s="85" t="str">
        <f>IFERROR(__xludf.DUMMYFUNCTION("""COMPUTED_VALUE"""),"Estimate ")</f>
        <v>Estimate </v>
      </c>
      <c r="I947" s="4" t="str">
        <f>IFERROR(__xludf.DUMMYFUNCTION("""COMPUTED_VALUE"""),"shivani")</f>
        <v>shivani</v>
      </c>
    </row>
    <row r="948">
      <c r="A948" s="85">
        <f>IFERROR(__xludf.DUMMYFUNCTION("""COMPUTED_VALUE"""),44927.57774549769)</f>
        <v>44927.57775</v>
      </c>
      <c r="B948" s="4"/>
      <c r="C948" s="4"/>
      <c r="D948" s="4"/>
      <c r="E948" s="4"/>
      <c r="F948" s="4"/>
      <c r="G948" s="85">
        <f>IFERROR(__xludf.DUMMYFUNCTION("""COMPUTED_VALUE"""),44930.57708333334)</f>
        <v>44930.57708</v>
      </c>
      <c r="H948" s="85" t="str">
        <f>IFERROR(__xludf.DUMMYFUNCTION("""COMPUTED_VALUE"""),"Estimate ")</f>
        <v>Estimate </v>
      </c>
      <c r="I948" s="4" t="str">
        <f>IFERROR(__xludf.DUMMYFUNCTION("""COMPUTED_VALUE"""),"shivani")</f>
        <v>shivani</v>
      </c>
    </row>
    <row r="949">
      <c r="A949" s="85">
        <f>IFERROR(__xludf.DUMMYFUNCTION("""COMPUTED_VALUE"""),44927.58028672454)</f>
        <v>44927.58029</v>
      </c>
      <c r="B949" s="4"/>
      <c r="C949" s="4"/>
      <c r="D949" s="4"/>
      <c r="E949" s="4"/>
      <c r="F949" s="4"/>
      <c r="G949" s="85">
        <f>IFERROR(__xludf.DUMMYFUNCTION("""COMPUTED_VALUE"""),44930.57986111111)</f>
        <v>44930.57986</v>
      </c>
      <c r="H949" s="85" t="str">
        <f>IFERROR(__xludf.DUMMYFUNCTION("""COMPUTED_VALUE"""),"Estimate ")</f>
        <v>Estimate </v>
      </c>
      <c r="I949" s="4" t="str">
        <f>IFERROR(__xludf.DUMMYFUNCTION("""COMPUTED_VALUE"""),"shivani")</f>
        <v>shivani</v>
      </c>
    </row>
    <row r="950">
      <c r="A950" s="85">
        <f>IFERROR(__xludf.DUMMYFUNCTION("""COMPUTED_VALUE"""),44936.46354170139)</f>
        <v>44936.46354</v>
      </c>
      <c r="B950" s="4"/>
      <c r="C950" s="4"/>
      <c r="D950" s="4"/>
      <c r="E950" s="4"/>
      <c r="F950" s="4"/>
      <c r="G950" s="85">
        <f>IFERROR(__xludf.DUMMYFUNCTION("""COMPUTED_VALUE"""),44938.46319444444)</f>
        <v>44938.46319</v>
      </c>
      <c r="H950" s="85" t="str">
        <f>IFERROR(__xludf.DUMMYFUNCTION("""COMPUTED_VALUE"""),"Estimate ")</f>
        <v>Estimate </v>
      </c>
      <c r="I950" s="4" t="str">
        <f>IFERROR(__xludf.DUMMYFUNCTION("""COMPUTED_VALUE"""),"shivani")</f>
        <v>shivani</v>
      </c>
    </row>
    <row r="951">
      <c r="A951" s="85">
        <f>IFERROR(__xludf.DUMMYFUNCTION("""COMPUTED_VALUE"""),44936.46454961805)</f>
        <v>44936.46455</v>
      </c>
      <c r="B951" s="4"/>
      <c r="C951" s="4"/>
      <c r="D951" s="4"/>
      <c r="E951" s="4"/>
      <c r="F951" s="4"/>
      <c r="G951" s="85">
        <f>IFERROR(__xludf.DUMMYFUNCTION("""COMPUTED_VALUE"""),44938.46388888889)</f>
        <v>44938.46389</v>
      </c>
      <c r="H951" s="85" t="str">
        <f>IFERROR(__xludf.DUMMYFUNCTION("""COMPUTED_VALUE"""),"Estimate ")</f>
        <v>Estimate </v>
      </c>
      <c r="I951" s="4" t="str">
        <f>IFERROR(__xludf.DUMMYFUNCTION("""COMPUTED_VALUE"""),"shivani")</f>
        <v>shivani</v>
      </c>
    </row>
    <row r="952">
      <c r="A952" s="85">
        <f>IFERROR(__xludf.DUMMYFUNCTION("""COMPUTED_VALUE"""),44936.46560909722)</f>
        <v>44936.46561</v>
      </c>
      <c r="B952" s="4"/>
      <c r="C952" s="4"/>
      <c r="D952" s="4"/>
      <c r="E952" s="4"/>
      <c r="F952" s="4"/>
      <c r="G952" s="85">
        <f>IFERROR(__xludf.DUMMYFUNCTION("""COMPUTED_VALUE"""),44938.46527777778)</f>
        <v>44938.46528</v>
      </c>
      <c r="H952" s="85" t="str">
        <f>IFERROR(__xludf.DUMMYFUNCTION("""COMPUTED_VALUE"""),"Estimate ")</f>
        <v>Estimate </v>
      </c>
      <c r="I952" s="4" t="str">
        <f>IFERROR(__xludf.DUMMYFUNCTION("""COMPUTED_VALUE"""),"shivani")</f>
        <v>shivani</v>
      </c>
    </row>
    <row r="953">
      <c r="A953" s="85">
        <f>IFERROR(__xludf.DUMMYFUNCTION("""COMPUTED_VALUE"""),44936.51986458334)</f>
        <v>44936.51986</v>
      </c>
      <c r="B953" s="4"/>
      <c r="C953" s="4"/>
      <c r="D953" s="4"/>
      <c r="E953" s="4"/>
      <c r="F953" s="4"/>
      <c r="G953" s="85">
        <f>IFERROR(__xludf.DUMMYFUNCTION("""COMPUTED_VALUE"""),44938.51944444445)</f>
        <v>44938.51944</v>
      </c>
      <c r="H953" s="85" t="str">
        <f>IFERROR(__xludf.DUMMYFUNCTION("""COMPUTED_VALUE"""),"Estimate ")</f>
        <v>Estimate </v>
      </c>
      <c r="I953" s="4" t="str">
        <f>IFERROR(__xludf.DUMMYFUNCTION("""COMPUTED_VALUE"""),"shivani")</f>
        <v>shivani</v>
      </c>
    </row>
    <row r="954">
      <c r="A954" s="85">
        <f>IFERROR(__xludf.DUMMYFUNCTION("""COMPUTED_VALUE"""),44936.53682934028)</f>
        <v>44936.53683</v>
      </c>
      <c r="B954" s="4"/>
      <c r="C954" s="4"/>
      <c r="D954" s="4"/>
      <c r="E954" s="4"/>
      <c r="F954" s="4"/>
      <c r="G954" s="85">
        <f>IFERROR(__xludf.DUMMYFUNCTION("""COMPUTED_VALUE"""),44938.53680555556)</f>
        <v>44938.53681</v>
      </c>
      <c r="H954" s="85" t="str">
        <f>IFERROR(__xludf.DUMMYFUNCTION("""COMPUTED_VALUE"""),"Estimate ")</f>
        <v>Estimate </v>
      </c>
      <c r="I954" s="4" t="str">
        <f>IFERROR(__xludf.DUMMYFUNCTION("""COMPUTED_VALUE"""),"shivani")</f>
        <v>shivani</v>
      </c>
    </row>
    <row r="955">
      <c r="A955" s="85">
        <f>IFERROR(__xludf.DUMMYFUNCTION("""COMPUTED_VALUE"""),44938.50462876157)</f>
        <v>44938.50463</v>
      </c>
      <c r="B955" s="4"/>
      <c r="C955" s="4"/>
      <c r="D955" s="4"/>
      <c r="E955" s="4"/>
      <c r="F955" s="4"/>
      <c r="G955" s="85">
        <f>IFERROR(__xludf.DUMMYFUNCTION("""COMPUTED_VALUE"""),44940.504166666666)</f>
        <v>44940.50417</v>
      </c>
      <c r="H955" s="85" t="str">
        <f>IFERROR(__xludf.DUMMYFUNCTION("""COMPUTED_VALUE"""),"Estimate ")</f>
        <v>Estimate </v>
      </c>
      <c r="I955" s="4" t="str">
        <f>IFERROR(__xludf.DUMMYFUNCTION("""COMPUTED_VALUE"""),"shivani")</f>
        <v>shivani</v>
      </c>
    </row>
    <row r="956">
      <c r="A956" s="85">
        <f>IFERROR(__xludf.DUMMYFUNCTION("""COMPUTED_VALUE"""),44939.58477853009)</f>
        <v>44939.58478</v>
      </c>
      <c r="B956" s="4"/>
      <c r="C956" s="4"/>
      <c r="D956" s="4"/>
      <c r="E956" s="4"/>
      <c r="F956" s="4"/>
      <c r="G956" s="85">
        <f>IFERROR(__xludf.DUMMYFUNCTION("""COMPUTED_VALUE"""),44941.58472222222)</f>
        <v>44941.58472</v>
      </c>
      <c r="H956" s="85" t="str">
        <f>IFERROR(__xludf.DUMMYFUNCTION("""COMPUTED_VALUE"""),"Estimate ")</f>
        <v>Estimate </v>
      </c>
      <c r="I956" s="4" t="str">
        <f>IFERROR(__xludf.DUMMYFUNCTION("""COMPUTED_VALUE"""),"shivani")</f>
        <v>shivani</v>
      </c>
    </row>
    <row r="957">
      <c r="A957" s="85">
        <f>IFERROR(__xludf.DUMMYFUNCTION("""COMPUTED_VALUE"""),44941.51070938657)</f>
        <v>44941.51071</v>
      </c>
      <c r="B957" s="4"/>
      <c r="C957" s="4"/>
      <c r="D957" s="4"/>
      <c r="E957" s="4"/>
      <c r="F957" s="4"/>
      <c r="G957" s="85">
        <f>IFERROR(__xludf.DUMMYFUNCTION("""COMPUTED_VALUE"""),44944.51041666667)</f>
        <v>44944.51042</v>
      </c>
      <c r="H957" s="85" t="str">
        <f>IFERROR(__xludf.DUMMYFUNCTION("""COMPUTED_VALUE"""),"Estimate ")</f>
        <v>Estimate </v>
      </c>
      <c r="I957" s="4" t="str">
        <f>IFERROR(__xludf.DUMMYFUNCTION("""COMPUTED_VALUE"""),"shivani")</f>
        <v>shivani</v>
      </c>
    </row>
    <row r="958">
      <c r="A958" s="85">
        <f>IFERROR(__xludf.DUMMYFUNCTION("""COMPUTED_VALUE"""),44941.511372789355)</f>
        <v>44941.51137</v>
      </c>
      <c r="B958" s="4"/>
      <c r="C958" s="4"/>
      <c r="D958" s="4"/>
      <c r="E958" s="4"/>
      <c r="F958" s="4"/>
      <c r="G958" s="85">
        <f>IFERROR(__xludf.DUMMYFUNCTION("""COMPUTED_VALUE"""),44944.51111111111)</f>
        <v>44944.51111</v>
      </c>
      <c r="H958" s="85" t="str">
        <f>IFERROR(__xludf.DUMMYFUNCTION("""COMPUTED_VALUE"""),"Estimate ")</f>
        <v>Estimate </v>
      </c>
      <c r="I958" s="4" t="str">
        <f>IFERROR(__xludf.DUMMYFUNCTION("""COMPUTED_VALUE"""),"shivani")</f>
        <v>shivani</v>
      </c>
    </row>
    <row r="959">
      <c r="A959" s="85">
        <f>IFERROR(__xludf.DUMMYFUNCTION("""COMPUTED_VALUE"""),44941.51438630787)</f>
        <v>44941.51439</v>
      </c>
      <c r="B959" s="4"/>
      <c r="C959" s="4"/>
      <c r="D959" s="4"/>
      <c r="E959" s="4"/>
      <c r="F959" s="4"/>
      <c r="G959" s="85">
        <f>IFERROR(__xludf.DUMMYFUNCTION("""COMPUTED_VALUE"""),44944.51388888889)</f>
        <v>44944.51389</v>
      </c>
      <c r="H959" s="85" t="str">
        <f>IFERROR(__xludf.DUMMYFUNCTION("""COMPUTED_VALUE"""),"Estimate ")</f>
        <v>Estimate </v>
      </c>
      <c r="I959" s="4" t="str">
        <f>IFERROR(__xludf.DUMMYFUNCTION("""COMPUTED_VALUE"""),"shivani")</f>
        <v>shivani</v>
      </c>
    </row>
    <row r="960">
      <c r="A960" s="85">
        <f>IFERROR(__xludf.DUMMYFUNCTION("""COMPUTED_VALUE"""),44944.518926400466)</f>
        <v>44944.51893</v>
      </c>
      <c r="B960" s="4"/>
      <c r="C960" s="4"/>
      <c r="D960" s="4"/>
      <c r="E960" s="4"/>
      <c r="F960" s="4"/>
      <c r="G960" s="85">
        <f>IFERROR(__xludf.DUMMYFUNCTION("""COMPUTED_VALUE"""),44946.51875)</f>
        <v>44946.51875</v>
      </c>
      <c r="H960" s="85" t="str">
        <f>IFERROR(__xludf.DUMMYFUNCTION("""COMPUTED_VALUE"""),"Estimate ")</f>
        <v>Estimate </v>
      </c>
      <c r="I960" s="4" t="str">
        <f>IFERROR(__xludf.DUMMYFUNCTION("""COMPUTED_VALUE"""),"shivani")</f>
        <v>shivani</v>
      </c>
    </row>
    <row r="961">
      <c r="A961" s="85">
        <f>IFERROR(__xludf.DUMMYFUNCTION("""COMPUTED_VALUE"""),44944.52391574074)</f>
        <v>44944.52392</v>
      </c>
      <c r="B961" s="4"/>
      <c r="C961" s="4"/>
      <c r="D961" s="4"/>
      <c r="E961" s="4"/>
      <c r="F961" s="4"/>
      <c r="G961" s="85">
        <f>IFERROR(__xludf.DUMMYFUNCTION("""COMPUTED_VALUE"""),44946.523611111115)</f>
        <v>44946.52361</v>
      </c>
      <c r="H961" s="85" t="str">
        <f>IFERROR(__xludf.DUMMYFUNCTION("""COMPUTED_VALUE"""),"Estimate ")</f>
        <v>Estimate </v>
      </c>
      <c r="I961" s="4" t="str">
        <f>IFERROR(__xludf.DUMMYFUNCTION("""COMPUTED_VALUE"""),"shivani")</f>
        <v>shivani</v>
      </c>
    </row>
    <row r="962">
      <c r="A962" s="85">
        <f>IFERROR(__xludf.DUMMYFUNCTION("""COMPUTED_VALUE"""),44944.530666203704)</f>
        <v>44944.53067</v>
      </c>
      <c r="B962" s="4"/>
      <c r="C962" s="4"/>
      <c r="D962" s="4"/>
      <c r="E962" s="4"/>
      <c r="F962" s="4"/>
      <c r="G962" s="85">
        <f>IFERROR(__xludf.DUMMYFUNCTION("""COMPUTED_VALUE"""),44946.53055555555)</f>
        <v>44946.53056</v>
      </c>
      <c r="H962" s="85" t="str">
        <f>IFERROR(__xludf.DUMMYFUNCTION("""COMPUTED_VALUE"""),"Estimate ")</f>
        <v>Estimate </v>
      </c>
      <c r="I962" s="4" t="str">
        <f>IFERROR(__xludf.DUMMYFUNCTION("""COMPUTED_VALUE"""),"shivani")</f>
        <v>shivani</v>
      </c>
    </row>
    <row r="963">
      <c r="A963" s="85">
        <f>IFERROR(__xludf.DUMMYFUNCTION("""COMPUTED_VALUE"""),44944.54868616898)</f>
        <v>44944.54869</v>
      </c>
      <c r="B963" s="4"/>
      <c r="C963" s="4"/>
      <c r="D963" s="4"/>
      <c r="E963" s="4"/>
      <c r="F963" s="4"/>
      <c r="G963" s="85">
        <f>IFERROR(__xludf.DUMMYFUNCTION("""COMPUTED_VALUE"""),44946.54861111111)</f>
        <v>44946.54861</v>
      </c>
      <c r="H963" s="85" t="str">
        <f>IFERROR(__xludf.DUMMYFUNCTION("""COMPUTED_VALUE"""),"Estimate ")</f>
        <v>Estimate </v>
      </c>
      <c r="I963" s="4" t="str">
        <f>IFERROR(__xludf.DUMMYFUNCTION("""COMPUTED_VALUE"""),"shivani")</f>
        <v>shivani</v>
      </c>
    </row>
    <row r="964">
      <c r="A964" s="85">
        <f>IFERROR(__xludf.DUMMYFUNCTION("""COMPUTED_VALUE"""),44985.67442454861)</f>
        <v>44985.67442</v>
      </c>
      <c r="B964" s="4"/>
      <c r="C964" s="4"/>
      <c r="D964" s="4"/>
      <c r="E964" s="4"/>
      <c r="F964" s="4"/>
      <c r="G964" s="85">
        <f>IFERROR(__xludf.DUMMYFUNCTION("""COMPUTED_VALUE"""),44987.674305555556)</f>
        <v>44987.67431</v>
      </c>
      <c r="H964" s="85" t="str">
        <f>IFERROR(__xludf.DUMMYFUNCTION("""COMPUTED_VALUE"""),"Estimate ")</f>
        <v>Estimate </v>
      </c>
      <c r="I964" s="4" t="str">
        <f>IFERROR(__xludf.DUMMYFUNCTION("""COMPUTED_VALUE"""),"shivani")</f>
        <v>shivani</v>
      </c>
    </row>
    <row r="965">
      <c r="A965" s="85">
        <f>IFERROR(__xludf.DUMMYFUNCTION("""COMPUTED_VALUE"""),45039.96721311342)</f>
        <v>45039.96721</v>
      </c>
      <c r="B965" s="4"/>
      <c r="C965" s="4"/>
      <c r="D965" s="4"/>
      <c r="E965" s="4"/>
      <c r="F965" s="4"/>
      <c r="G965" s="85">
        <f>IFERROR(__xludf.DUMMYFUNCTION("""COMPUTED_VALUE"""),45042.96666666667)</f>
        <v>45042.96667</v>
      </c>
      <c r="H965" s="85" t="str">
        <f>IFERROR(__xludf.DUMMYFUNCTION("""COMPUTED_VALUE"""),"Estimate ")</f>
        <v>Estimate </v>
      </c>
      <c r="I965" s="4" t="str">
        <f>IFERROR(__xludf.DUMMYFUNCTION("""COMPUTED_VALUE"""),"shivani")</f>
        <v>shivani</v>
      </c>
    </row>
    <row r="966">
      <c r="A966" s="85">
        <f>IFERROR(__xludf.DUMMYFUNCTION("""COMPUTED_VALUE"""),45041.79532341435)</f>
        <v>45041.79532</v>
      </c>
      <c r="B966" s="4"/>
      <c r="C966" s="4"/>
      <c r="D966" s="4"/>
      <c r="E966" s="4"/>
      <c r="F966" s="4"/>
      <c r="G966" s="85">
        <f>IFERROR(__xludf.DUMMYFUNCTION("""COMPUTED_VALUE"""),45043.79513888889)</f>
        <v>45043.79514</v>
      </c>
      <c r="H966" s="85" t="str">
        <f>IFERROR(__xludf.DUMMYFUNCTION("""COMPUTED_VALUE"""),"Estimate ")</f>
        <v>Estimate </v>
      </c>
      <c r="I966" s="4" t="str">
        <f>IFERROR(__xludf.DUMMYFUNCTION("""COMPUTED_VALUE"""),"shivani")</f>
        <v>shivani</v>
      </c>
    </row>
    <row r="967">
      <c r="A967" s="85">
        <f>IFERROR(__xludf.DUMMYFUNCTION("""COMPUTED_VALUE"""),45042.542520613424)</f>
        <v>45042.54252</v>
      </c>
      <c r="B967" s="4"/>
      <c r="C967" s="4"/>
      <c r="D967" s="4"/>
      <c r="E967" s="4"/>
      <c r="F967" s="4"/>
      <c r="G967" s="85">
        <f>IFERROR(__xludf.DUMMYFUNCTION("""COMPUTED_VALUE"""),45044.54236111111)</f>
        <v>45044.54236</v>
      </c>
      <c r="H967" s="85" t="str">
        <f>IFERROR(__xludf.DUMMYFUNCTION("""COMPUTED_VALUE"""),"Estimate ")</f>
        <v>Estimate </v>
      </c>
      <c r="I967" s="4" t="str">
        <f>IFERROR(__xludf.DUMMYFUNCTION("""COMPUTED_VALUE"""),"shivani")</f>
        <v>shivani</v>
      </c>
    </row>
    <row r="968">
      <c r="A968" s="85">
        <f>IFERROR(__xludf.DUMMYFUNCTION("""COMPUTED_VALUE"""),45042.589203414354)</f>
        <v>45042.5892</v>
      </c>
      <c r="B968" s="4"/>
      <c r="C968" s="4"/>
      <c r="D968" s="4"/>
      <c r="E968" s="4"/>
      <c r="F968" s="4"/>
      <c r="G968" s="85">
        <f>IFERROR(__xludf.DUMMYFUNCTION("""COMPUTED_VALUE"""),45044.58888888889)</f>
        <v>45044.58889</v>
      </c>
      <c r="H968" s="85" t="str">
        <f>IFERROR(__xludf.DUMMYFUNCTION("""COMPUTED_VALUE"""),"Estimate ")</f>
        <v>Estimate </v>
      </c>
      <c r="I968" s="4" t="str">
        <f>IFERROR(__xludf.DUMMYFUNCTION("""COMPUTED_VALUE"""),"shivani")</f>
        <v>shivani</v>
      </c>
    </row>
    <row r="969">
      <c r="A969" s="85">
        <f>IFERROR(__xludf.DUMMYFUNCTION("""COMPUTED_VALUE"""),45042.62441503472)</f>
        <v>45042.62442</v>
      </c>
      <c r="B969" s="4"/>
      <c r="C969" s="4"/>
      <c r="D969" s="4"/>
      <c r="E969" s="4"/>
      <c r="F969" s="4"/>
      <c r="G969" s="85">
        <f>IFERROR(__xludf.DUMMYFUNCTION("""COMPUTED_VALUE"""),45044.62430555555)</f>
        <v>45044.62431</v>
      </c>
      <c r="H969" s="85" t="str">
        <f>IFERROR(__xludf.DUMMYFUNCTION("""COMPUTED_VALUE"""),"Estimate ")</f>
        <v>Estimate </v>
      </c>
      <c r="I969" s="4" t="str">
        <f>IFERROR(__xludf.DUMMYFUNCTION("""COMPUTED_VALUE"""),"shivani")</f>
        <v>shivani</v>
      </c>
    </row>
    <row r="970">
      <c r="A970" s="85">
        <f>IFERROR(__xludf.DUMMYFUNCTION("""COMPUTED_VALUE"""),45055.55306996528)</f>
        <v>45055.55307</v>
      </c>
      <c r="B970" s="4"/>
      <c r="C970" s="4"/>
      <c r="D970" s="4"/>
      <c r="E970" s="4"/>
      <c r="F970" s="4"/>
      <c r="G970" s="85">
        <f>IFERROR(__xludf.DUMMYFUNCTION("""COMPUTED_VALUE"""),45057.552777777775)</f>
        <v>45057.55278</v>
      </c>
      <c r="H970" s="85" t="str">
        <f>IFERROR(__xludf.DUMMYFUNCTION("""COMPUTED_VALUE"""),"Estimate ")</f>
        <v>Estimate </v>
      </c>
      <c r="I970" s="4" t="str">
        <f>IFERROR(__xludf.DUMMYFUNCTION("""COMPUTED_VALUE"""),"shivani")</f>
        <v>shivani</v>
      </c>
    </row>
    <row r="971">
      <c r="A971" s="85">
        <f>IFERROR(__xludf.DUMMYFUNCTION("""COMPUTED_VALUE"""),45055.5540715625)</f>
        <v>45055.55407</v>
      </c>
      <c r="B971" s="4"/>
      <c r="C971" s="4"/>
      <c r="D971" s="4"/>
      <c r="E971" s="4"/>
      <c r="F971" s="4"/>
      <c r="G971" s="85">
        <f>IFERROR(__xludf.DUMMYFUNCTION("""COMPUTED_VALUE"""),45057.55347222222)</f>
        <v>45057.55347</v>
      </c>
      <c r="H971" s="85" t="str">
        <f>IFERROR(__xludf.DUMMYFUNCTION("""COMPUTED_VALUE"""),"Estimate ")</f>
        <v>Estimate </v>
      </c>
      <c r="I971" s="4" t="str">
        <f>IFERROR(__xludf.DUMMYFUNCTION("""COMPUTED_VALUE"""),"shivani")</f>
        <v>shivani</v>
      </c>
    </row>
    <row r="972">
      <c r="A972" s="85">
        <f>IFERROR(__xludf.DUMMYFUNCTION("""COMPUTED_VALUE"""),45055.55488240741)</f>
        <v>45055.55488</v>
      </c>
      <c r="B972" s="4"/>
      <c r="C972" s="4"/>
      <c r="D972" s="4"/>
      <c r="E972" s="4"/>
      <c r="F972" s="4"/>
      <c r="G972" s="85">
        <f>IFERROR(__xludf.DUMMYFUNCTION("""COMPUTED_VALUE"""),45057.554861111115)</f>
        <v>45057.55486</v>
      </c>
      <c r="H972" s="85" t="str">
        <f>IFERROR(__xludf.DUMMYFUNCTION("""COMPUTED_VALUE"""),"Estimate ")</f>
        <v>Estimate </v>
      </c>
      <c r="I972" s="4" t="str">
        <f>IFERROR(__xludf.DUMMYFUNCTION("""COMPUTED_VALUE"""),"shivani")</f>
        <v>shivani</v>
      </c>
    </row>
    <row r="973">
      <c r="A973" s="85">
        <f>IFERROR(__xludf.DUMMYFUNCTION("""COMPUTED_VALUE"""),45055.556175868056)</f>
        <v>45055.55618</v>
      </c>
      <c r="B973" s="4"/>
      <c r="C973" s="4"/>
      <c r="D973" s="4"/>
      <c r="E973" s="4"/>
      <c r="F973" s="4"/>
      <c r="G973" s="85">
        <f>IFERROR(__xludf.DUMMYFUNCTION("""COMPUTED_VALUE"""),45057.555555555555)</f>
        <v>45057.55556</v>
      </c>
      <c r="H973" s="85" t="str">
        <f>IFERROR(__xludf.DUMMYFUNCTION("""COMPUTED_VALUE"""),"Estimate ")</f>
        <v>Estimate </v>
      </c>
      <c r="I973" s="4" t="str">
        <f>IFERROR(__xludf.DUMMYFUNCTION("""COMPUTED_VALUE"""),"shivani")</f>
        <v>shivani</v>
      </c>
    </row>
    <row r="974">
      <c r="A974" s="85">
        <f>IFERROR(__xludf.DUMMYFUNCTION("""COMPUTED_VALUE"""),45055.55690229167)</f>
        <v>45055.5569</v>
      </c>
      <c r="B974" s="4"/>
      <c r="C974" s="4"/>
      <c r="D974" s="4"/>
      <c r="E974" s="4"/>
      <c r="F974" s="4"/>
      <c r="G974" s="85">
        <f>IFERROR(__xludf.DUMMYFUNCTION("""COMPUTED_VALUE"""),45057.55625)</f>
        <v>45057.55625</v>
      </c>
      <c r="H974" s="85" t="str">
        <f>IFERROR(__xludf.DUMMYFUNCTION("""COMPUTED_VALUE"""),"Estimate ")</f>
        <v>Estimate </v>
      </c>
      <c r="I974" s="4" t="str">
        <f>IFERROR(__xludf.DUMMYFUNCTION("""COMPUTED_VALUE"""),"shivani")</f>
        <v>shivani</v>
      </c>
    </row>
    <row r="975">
      <c r="A975" s="85">
        <f>IFERROR(__xludf.DUMMYFUNCTION("""COMPUTED_VALUE"""),45055.770224826396)</f>
        <v>45055.77022</v>
      </c>
      <c r="B975" s="4"/>
      <c r="C975" s="4"/>
      <c r="D975" s="4"/>
      <c r="E975" s="4"/>
      <c r="F975" s="4"/>
      <c r="G975" s="85">
        <f>IFERROR(__xludf.DUMMYFUNCTION("""COMPUTED_VALUE"""),45057.77013888889)</f>
        <v>45057.77014</v>
      </c>
      <c r="H975" s="85" t="str">
        <f>IFERROR(__xludf.DUMMYFUNCTION("""COMPUTED_VALUE"""),"Estimate ")</f>
        <v>Estimate </v>
      </c>
      <c r="I975" s="4" t="str">
        <f>IFERROR(__xludf.DUMMYFUNCTION("""COMPUTED_VALUE"""),"shivani")</f>
        <v>shivani</v>
      </c>
    </row>
    <row r="976">
      <c r="A976" s="85">
        <f>IFERROR(__xludf.DUMMYFUNCTION("""COMPUTED_VALUE"""),45055.784783518524)</f>
        <v>45055.78478</v>
      </c>
      <c r="B976" s="4"/>
      <c r="C976" s="4"/>
      <c r="D976" s="4"/>
      <c r="E976" s="4"/>
      <c r="F976" s="4"/>
      <c r="G976" s="85">
        <f>IFERROR(__xludf.DUMMYFUNCTION("""COMPUTED_VALUE"""),45057.78472222222)</f>
        <v>45057.78472</v>
      </c>
      <c r="H976" s="85" t="str">
        <f>IFERROR(__xludf.DUMMYFUNCTION("""COMPUTED_VALUE"""),"Estimate ")</f>
        <v>Estimate </v>
      </c>
      <c r="I976" s="4" t="str">
        <f>IFERROR(__xludf.DUMMYFUNCTION("""COMPUTED_VALUE"""),"shivani")</f>
        <v>shivani</v>
      </c>
    </row>
    <row r="977">
      <c r="A977" s="85">
        <f>IFERROR(__xludf.DUMMYFUNCTION("""COMPUTED_VALUE"""),45055.7890433449)</f>
        <v>45055.78904</v>
      </c>
      <c r="B977" s="4"/>
      <c r="C977" s="4"/>
      <c r="D977" s="4"/>
      <c r="E977" s="4"/>
      <c r="F977" s="4"/>
      <c r="G977" s="85">
        <f>IFERROR(__xludf.DUMMYFUNCTION("""COMPUTED_VALUE"""),45057.788888888885)</f>
        <v>45057.78889</v>
      </c>
      <c r="H977" s="85" t="str">
        <f>IFERROR(__xludf.DUMMYFUNCTION("""COMPUTED_VALUE"""),"Estimate ")</f>
        <v>Estimate </v>
      </c>
      <c r="I977" s="4" t="str">
        <f>IFERROR(__xludf.DUMMYFUNCTION("""COMPUTED_VALUE"""),"shivani")</f>
        <v>shivani</v>
      </c>
    </row>
    <row r="978">
      <c r="A978" s="85">
        <f>IFERROR(__xludf.DUMMYFUNCTION("""COMPUTED_VALUE"""),45055.790402210645)</f>
        <v>45055.7904</v>
      </c>
      <c r="B978" s="4"/>
      <c r="C978" s="4"/>
      <c r="D978" s="4"/>
      <c r="E978" s="4"/>
      <c r="F978" s="4"/>
      <c r="G978" s="85">
        <f>IFERROR(__xludf.DUMMYFUNCTION("""COMPUTED_VALUE"""),45057.79027777778)</f>
        <v>45057.79028</v>
      </c>
      <c r="H978" s="85" t="str">
        <f>IFERROR(__xludf.DUMMYFUNCTION("""COMPUTED_VALUE"""),"Estimate ")</f>
        <v>Estimate </v>
      </c>
      <c r="I978" s="4" t="str">
        <f>IFERROR(__xludf.DUMMYFUNCTION("""COMPUTED_VALUE"""),"shivani")</f>
        <v>shivani</v>
      </c>
    </row>
    <row r="979">
      <c r="A979" s="85">
        <f>IFERROR(__xludf.DUMMYFUNCTION("""COMPUTED_VALUE"""),45055.791565370375)</f>
        <v>45055.79157</v>
      </c>
      <c r="B979" s="4"/>
      <c r="C979" s="4"/>
      <c r="D979" s="4"/>
      <c r="E979" s="4"/>
      <c r="F979" s="4"/>
      <c r="G979" s="85">
        <f>IFERROR(__xludf.DUMMYFUNCTION("""COMPUTED_VALUE"""),45057.790972222225)</f>
        <v>45057.79097</v>
      </c>
      <c r="H979" s="85" t="str">
        <f>IFERROR(__xludf.DUMMYFUNCTION("""COMPUTED_VALUE"""),"Estimate ")</f>
        <v>Estimate </v>
      </c>
      <c r="I979" s="4" t="str">
        <f>IFERROR(__xludf.DUMMYFUNCTION("""COMPUTED_VALUE"""),"shivani")</f>
        <v>shivani</v>
      </c>
    </row>
    <row r="980">
      <c r="A980" s="85">
        <f>IFERROR(__xludf.DUMMYFUNCTION("""COMPUTED_VALUE"""),45055.79622982639)</f>
        <v>45055.79623</v>
      </c>
      <c r="B980" s="4"/>
      <c r="C980" s="4"/>
      <c r="D980" s="4"/>
      <c r="E980" s="4"/>
      <c r="F980" s="4"/>
      <c r="G980" s="85">
        <f>IFERROR(__xludf.DUMMYFUNCTION("""COMPUTED_VALUE"""),45057.79583333334)</f>
        <v>45057.79583</v>
      </c>
      <c r="H980" s="85" t="str">
        <f>IFERROR(__xludf.DUMMYFUNCTION("""COMPUTED_VALUE"""),"Estimate ")</f>
        <v>Estimate </v>
      </c>
      <c r="I980" s="4" t="str">
        <f>IFERROR(__xludf.DUMMYFUNCTION("""COMPUTED_VALUE"""),"shivani")</f>
        <v>shivani</v>
      </c>
    </row>
    <row r="981">
      <c r="A981" s="85">
        <f>IFERROR(__xludf.DUMMYFUNCTION("""COMPUTED_VALUE"""),45055.79734971065)</f>
        <v>45055.79735</v>
      </c>
      <c r="B981" s="4"/>
      <c r="C981" s="4"/>
      <c r="D981" s="4"/>
      <c r="E981" s="4"/>
      <c r="F981" s="4"/>
      <c r="G981" s="85">
        <f>IFERROR(__xludf.DUMMYFUNCTION("""COMPUTED_VALUE"""),45057.79722222222)</f>
        <v>45057.79722</v>
      </c>
      <c r="H981" s="85" t="str">
        <f>IFERROR(__xludf.DUMMYFUNCTION("""COMPUTED_VALUE"""),"Estimate ")</f>
        <v>Estimate </v>
      </c>
      <c r="I981" s="4" t="str">
        <f>IFERROR(__xludf.DUMMYFUNCTION("""COMPUTED_VALUE"""),"shivani")</f>
        <v>shivani</v>
      </c>
    </row>
    <row r="982">
      <c r="A982" s="85">
        <f>IFERROR(__xludf.DUMMYFUNCTION("""COMPUTED_VALUE"""),45055.79888040509)</f>
        <v>45055.79888</v>
      </c>
      <c r="B982" s="4"/>
      <c r="C982" s="4"/>
      <c r="D982" s="4"/>
      <c r="E982" s="4"/>
      <c r="F982" s="4"/>
      <c r="G982" s="85">
        <f>IFERROR(__xludf.DUMMYFUNCTION("""COMPUTED_VALUE"""),45057.79861111111)</f>
        <v>45057.79861</v>
      </c>
      <c r="H982" s="85" t="str">
        <f>IFERROR(__xludf.DUMMYFUNCTION("""COMPUTED_VALUE"""),"Estimate ")</f>
        <v>Estimate </v>
      </c>
      <c r="I982" s="4" t="str">
        <f>IFERROR(__xludf.DUMMYFUNCTION("""COMPUTED_VALUE"""),"shivani")</f>
        <v>shivani</v>
      </c>
    </row>
    <row r="983">
      <c r="A983" s="85">
        <f>IFERROR(__xludf.DUMMYFUNCTION("""COMPUTED_VALUE"""),45056.50937980324)</f>
        <v>45056.50938</v>
      </c>
      <c r="B983" s="4"/>
      <c r="C983" s="4"/>
      <c r="D983" s="4"/>
      <c r="E983" s="4"/>
      <c r="F983" s="4"/>
      <c r="G983" s="85">
        <f>IFERROR(__xludf.DUMMYFUNCTION("""COMPUTED_VALUE"""),45058.50902777778)</f>
        <v>45058.50903</v>
      </c>
      <c r="H983" s="85" t="str">
        <f>IFERROR(__xludf.DUMMYFUNCTION("""COMPUTED_VALUE"""),"Estimate ")</f>
        <v>Estimate </v>
      </c>
      <c r="I983" s="4" t="str">
        <f>IFERROR(__xludf.DUMMYFUNCTION("""COMPUTED_VALUE"""),"shivani")</f>
        <v>shivani</v>
      </c>
    </row>
    <row r="984">
      <c r="A984" s="85">
        <f>IFERROR(__xludf.DUMMYFUNCTION("""COMPUTED_VALUE"""),45058.53826450231)</f>
        <v>45058.53826</v>
      </c>
      <c r="B984" s="4"/>
      <c r="C984" s="4"/>
      <c r="D984" s="4"/>
      <c r="E984" s="4"/>
      <c r="F984" s="4"/>
      <c r="G984" s="85">
        <f>IFERROR(__xludf.DUMMYFUNCTION("""COMPUTED_VALUE"""),45060.538194444445)</f>
        <v>45060.53819</v>
      </c>
      <c r="H984" s="85" t="str">
        <f>IFERROR(__xludf.DUMMYFUNCTION("""COMPUTED_VALUE"""),"Estimate ")</f>
        <v>Estimate </v>
      </c>
      <c r="I984" s="4" t="str">
        <f>IFERROR(__xludf.DUMMYFUNCTION("""COMPUTED_VALUE"""),"shivani")</f>
        <v>shivani</v>
      </c>
    </row>
    <row r="985">
      <c r="A985" s="85">
        <f>IFERROR(__xludf.DUMMYFUNCTION("""COMPUTED_VALUE"""),45060.805926030094)</f>
        <v>45060.80593</v>
      </c>
      <c r="B985" s="4"/>
      <c r="C985" s="4"/>
      <c r="D985" s="4"/>
      <c r="E985" s="4"/>
      <c r="F985" s="4"/>
      <c r="G985" s="85">
        <f>IFERROR(__xludf.DUMMYFUNCTION("""COMPUTED_VALUE"""),45063.805555555555)</f>
        <v>45063.80556</v>
      </c>
      <c r="H985" s="85" t="str">
        <f>IFERROR(__xludf.DUMMYFUNCTION("""COMPUTED_VALUE"""),"Estimate ")</f>
        <v>Estimate </v>
      </c>
      <c r="I985" s="4" t="str">
        <f>IFERROR(__xludf.DUMMYFUNCTION("""COMPUTED_VALUE"""),"shivani")</f>
        <v>shivani</v>
      </c>
    </row>
    <row r="986">
      <c r="A986" s="85">
        <f>IFERROR(__xludf.DUMMYFUNCTION("""COMPUTED_VALUE"""),45063.585097256946)</f>
        <v>45063.5851</v>
      </c>
      <c r="B986" s="4"/>
      <c r="C986" s="4"/>
      <c r="D986" s="4"/>
      <c r="E986" s="4"/>
      <c r="F986" s="4"/>
      <c r="G986" s="85">
        <f>IFERROR(__xludf.DUMMYFUNCTION("""COMPUTED_VALUE"""),45065.58472222222)</f>
        <v>45065.58472</v>
      </c>
      <c r="H986" s="85" t="str">
        <f>IFERROR(__xludf.DUMMYFUNCTION("""COMPUTED_VALUE"""),"Estimate ")</f>
        <v>Estimate </v>
      </c>
      <c r="I986" s="4" t="str">
        <f>IFERROR(__xludf.DUMMYFUNCTION("""COMPUTED_VALUE"""),"shivani")</f>
        <v>shivani</v>
      </c>
    </row>
    <row r="987">
      <c r="A987" s="85">
        <f>IFERROR(__xludf.DUMMYFUNCTION("""COMPUTED_VALUE"""),45064.671935555554)</f>
        <v>45064.67194</v>
      </c>
      <c r="B987" s="4"/>
      <c r="C987" s="4"/>
      <c r="D987" s="4"/>
      <c r="E987" s="4"/>
      <c r="F987" s="4"/>
      <c r="G987" s="85">
        <f>IFERROR(__xludf.DUMMYFUNCTION("""COMPUTED_VALUE"""),45066.67152777778)</f>
        <v>45066.67153</v>
      </c>
      <c r="H987" s="85" t="str">
        <f>IFERROR(__xludf.DUMMYFUNCTION("""COMPUTED_VALUE"""),"Estimate ")</f>
        <v>Estimate </v>
      </c>
      <c r="I987" s="4" t="str">
        <f>IFERROR(__xludf.DUMMYFUNCTION("""COMPUTED_VALUE"""),"shivani")</f>
        <v>shivani</v>
      </c>
    </row>
    <row r="988">
      <c r="A988" s="85">
        <f>IFERROR(__xludf.DUMMYFUNCTION("""COMPUTED_VALUE"""),45066.55505927083)</f>
        <v>45066.55506</v>
      </c>
      <c r="B988" s="4"/>
      <c r="C988" s="4"/>
      <c r="D988" s="4"/>
      <c r="E988" s="4"/>
      <c r="F988" s="4"/>
      <c r="G988" s="85">
        <f>IFERROR(__xludf.DUMMYFUNCTION("""COMPUTED_VALUE"""),45069.554861111115)</f>
        <v>45069.55486</v>
      </c>
      <c r="H988" s="85" t="str">
        <f>IFERROR(__xludf.DUMMYFUNCTION("""COMPUTED_VALUE"""),"Estimate ")</f>
        <v>Estimate </v>
      </c>
      <c r="I988" s="4" t="str">
        <f>IFERROR(__xludf.DUMMYFUNCTION("""COMPUTED_VALUE"""),"shivani")</f>
        <v>shivani</v>
      </c>
    </row>
    <row r="989">
      <c r="A989" s="85">
        <f>IFERROR(__xludf.DUMMYFUNCTION("""COMPUTED_VALUE"""),45066.578293425926)</f>
        <v>45066.57829</v>
      </c>
      <c r="B989" s="4"/>
      <c r="C989" s="4"/>
      <c r="D989" s="4"/>
      <c r="E989" s="4"/>
      <c r="F989" s="4"/>
      <c r="G989" s="85">
        <f>IFERROR(__xludf.DUMMYFUNCTION("""COMPUTED_VALUE"""),45069.57777777778)</f>
        <v>45069.57778</v>
      </c>
      <c r="H989" s="85" t="str">
        <f>IFERROR(__xludf.DUMMYFUNCTION("""COMPUTED_VALUE"""),"Estimate ")</f>
        <v>Estimate </v>
      </c>
      <c r="I989" s="4" t="str">
        <f>IFERROR(__xludf.DUMMYFUNCTION("""COMPUTED_VALUE"""),"shivani")</f>
        <v>shivani</v>
      </c>
    </row>
    <row r="990">
      <c r="A990" s="85">
        <f>IFERROR(__xludf.DUMMYFUNCTION("""COMPUTED_VALUE"""),45067.61971796296)</f>
        <v>45067.61972</v>
      </c>
      <c r="B990" s="4"/>
      <c r="C990" s="4"/>
      <c r="D990" s="4"/>
      <c r="E990" s="4"/>
      <c r="F990" s="4"/>
      <c r="G990" s="85">
        <f>IFERROR(__xludf.DUMMYFUNCTION("""COMPUTED_VALUE"""),45070.61944444444)</f>
        <v>45070.61944</v>
      </c>
      <c r="H990" s="85" t="str">
        <f>IFERROR(__xludf.DUMMYFUNCTION("""COMPUTED_VALUE"""),"Estimate ")</f>
        <v>Estimate </v>
      </c>
      <c r="I990" s="4" t="str">
        <f>IFERROR(__xludf.DUMMYFUNCTION("""COMPUTED_VALUE"""),"shivani")</f>
        <v>shivani</v>
      </c>
    </row>
    <row r="991">
      <c r="A991" s="85">
        <f>IFERROR(__xludf.DUMMYFUNCTION("""COMPUTED_VALUE"""),45067.70292571759)</f>
        <v>45067.70293</v>
      </c>
      <c r="B991" s="4"/>
      <c r="C991" s="4"/>
      <c r="D991" s="4"/>
      <c r="E991" s="4"/>
      <c r="F991" s="4"/>
      <c r="G991" s="85">
        <f>IFERROR(__xludf.DUMMYFUNCTION("""COMPUTED_VALUE"""),45070.70277777778)</f>
        <v>45070.70278</v>
      </c>
      <c r="H991" s="85" t="str">
        <f>IFERROR(__xludf.DUMMYFUNCTION("""COMPUTED_VALUE"""),"Estimate ")</f>
        <v>Estimate </v>
      </c>
      <c r="I991" s="4" t="str">
        <f>IFERROR(__xludf.DUMMYFUNCTION("""COMPUTED_VALUE"""),"shivani")</f>
        <v>shivani</v>
      </c>
    </row>
    <row r="992">
      <c r="A992" s="85">
        <f>IFERROR(__xludf.DUMMYFUNCTION("""COMPUTED_VALUE"""),45067.70377898148)</f>
        <v>45067.70378</v>
      </c>
      <c r="B992" s="4"/>
      <c r="C992" s="4"/>
      <c r="D992" s="4"/>
      <c r="E992" s="4"/>
      <c r="F992" s="4"/>
      <c r="G992" s="85">
        <f>IFERROR(__xludf.DUMMYFUNCTION("""COMPUTED_VALUE"""),45070.70347222222)</f>
        <v>45070.70347</v>
      </c>
      <c r="H992" s="85" t="str">
        <f>IFERROR(__xludf.DUMMYFUNCTION("""COMPUTED_VALUE"""),"Estimate ")</f>
        <v>Estimate </v>
      </c>
      <c r="I992" s="4" t="str">
        <f>IFERROR(__xludf.DUMMYFUNCTION("""COMPUTED_VALUE"""),"shivani")</f>
        <v>shivani</v>
      </c>
    </row>
    <row r="993">
      <c r="A993" s="85">
        <f>IFERROR(__xludf.DUMMYFUNCTION("""COMPUTED_VALUE"""),45067.70518362268)</f>
        <v>45067.70518</v>
      </c>
      <c r="B993" s="4"/>
      <c r="C993" s="4"/>
      <c r="D993" s="4"/>
      <c r="E993" s="4"/>
      <c r="F993" s="4"/>
      <c r="G993" s="85">
        <f>IFERROR(__xludf.DUMMYFUNCTION("""COMPUTED_VALUE"""),45070.70486111111)</f>
        <v>45070.70486</v>
      </c>
      <c r="H993" s="85" t="str">
        <f>IFERROR(__xludf.DUMMYFUNCTION("""COMPUTED_VALUE"""),"Estimate ")</f>
        <v>Estimate </v>
      </c>
      <c r="I993" s="4" t="str">
        <f>IFERROR(__xludf.DUMMYFUNCTION("""COMPUTED_VALUE"""),"shivani")</f>
        <v>shivani</v>
      </c>
    </row>
    <row r="994">
      <c r="A994" s="85">
        <f>IFERROR(__xludf.DUMMYFUNCTION("""COMPUTED_VALUE"""),45071.511592106486)</f>
        <v>45071.51159</v>
      </c>
      <c r="B994" s="4"/>
      <c r="C994" s="4"/>
      <c r="D994" s="4"/>
      <c r="E994" s="4"/>
      <c r="F994" s="4"/>
      <c r="G994" s="85">
        <f>IFERROR(__xludf.DUMMYFUNCTION("""COMPUTED_VALUE"""),45073.51111111111)</f>
        <v>45073.51111</v>
      </c>
      <c r="H994" s="85" t="str">
        <f>IFERROR(__xludf.DUMMYFUNCTION("""COMPUTED_VALUE"""),"Estimate ")</f>
        <v>Estimate </v>
      </c>
      <c r="I994" s="4" t="str">
        <f>IFERROR(__xludf.DUMMYFUNCTION("""COMPUTED_VALUE"""),"shivani")</f>
        <v>shivani</v>
      </c>
    </row>
    <row r="995">
      <c r="A995" s="85">
        <f>IFERROR(__xludf.DUMMYFUNCTION("""COMPUTED_VALUE"""),45081.638119629635)</f>
        <v>45081.63812</v>
      </c>
      <c r="B995" s="4"/>
      <c r="C995" s="4"/>
      <c r="D995" s="4"/>
      <c r="E995" s="4"/>
      <c r="F995" s="4"/>
      <c r="G995" s="85">
        <f>IFERROR(__xludf.DUMMYFUNCTION("""COMPUTED_VALUE"""),45084.6375)</f>
        <v>45084.6375</v>
      </c>
      <c r="H995" s="85" t="str">
        <f>IFERROR(__xludf.DUMMYFUNCTION("""COMPUTED_VALUE"""),"Estimate ")</f>
        <v>Estimate </v>
      </c>
      <c r="I995" s="4" t="str">
        <f>IFERROR(__xludf.DUMMYFUNCTION("""COMPUTED_VALUE"""),"shivani")</f>
        <v>shivani</v>
      </c>
    </row>
    <row r="996">
      <c r="A996" s="85">
        <f>IFERROR(__xludf.DUMMYFUNCTION("""COMPUTED_VALUE"""),45087.5362792824)</f>
        <v>45087.53628</v>
      </c>
      <c r="B996" s="4"/>
      <c r="C996" s="4"/>
      <c r="D996" s="4"/>
      <c r="E996" s="4"/>
      <c r="F996" s="4"/>
      <c r="G996" s="85">
        <f>IFERROR(__xludf.DUMMYFUNCTION("""COMPUTED_VALUE"""),45090.53611111111)</f>
        <v>45090.53611</v>
      </c>
      <c r="H996" s="85" t="str">
        <f>IFERROR(__xludf.DUMMYFUNCTION("""COMPUTED_VALUE"""),"Estimate ")</f>
        <v>Estimate </v>
      </c>
      <c r="I996" s="4" t="str">
        <f>IFERROR(__xludf.DUMMYFUNCTION("""COMPUTED_VALUE"""),"shivani")</f>
        <v>shivani</v>
      </c>
    </row>
    <row r="997">
      <c r="A997" s="85">
        <f>IFERROR(__xludf.DUMMYFUNCTION("""COMPUTED_VALUE"""),45096.6379124537)</f>
        <v>45096.63791</v>
      </c>
      <c r="B997" s="4"/>
      <c r="C997" s="4"/>
      <c r="D997" s="4"/>
      <c r="E997" s="4"/>
      <c r="F997" s="4"/>
      <c r="G997" s="85">
        <f>IFERROR(__xludf.DUMMYFUNCTION("""COMPUTED_VALUE"""),45098.6375)</f>
        <v>45098.6375</v>
      </c>
      <c r="H997" s="85" t="str">
        <f>IFERROR(__xludf.DUMMYFUNCTION("""COMPUTED_VALUE"""),"Estimate ")</f>
        <v>Estimate </v>
      </c>
      <c r="I997" s="4" t="str">
        <f>IFERROR(__xludf.DUMMYFUNCTION("""COMPUTED_VALUE"""),"shivani")</f>
        <v>shivani</v>
      </c>
    </row>
    <row r="998">
      <c r="A998" s="85">
        <f>IFERROR(__xludf.DUMMYFUNCTION("""COMPUTED_VALUE"""),45106.60492349537)</f>
        <v>45106.60492</v>
      </c>
      <c r="B998" s="4"/>
      <c r="C998" s="4"/>
      <c r="D998" s="4"/>
      <c r="E998" s="4"/>
      <c r="F998" s="4"/>
      <c r="G998" s="85">
        <f>IFERROR(__xludf.DUMMYFUNCTION("""COMPUTED_VALUE"""),45108.60486111111)</f>
        <v>45108.60486</v>
      </c>
      <c r="H998" s="85" t="str">
        <f>IFERROR(__xludf.DUMMYFUNCTION("""COMPUTED_VALUE"""),"Estimate ")</f>
        <v>Estimate </v>
      </c>
      <c r="I998" s="4" t="str">
        <f>IFERROR(__xludf.DUMMYFUNCTION("""COMPUTED_VALUE"""),"shivani")</f>
        <v>shivani</v>
      </c>
    </row>
    <row r="999">
      <c r="A999" s="85">
        <f>IFERROR(__xludf.DUMMYFUNCTION("""COMPUTED_VALUE"""),45113.714398171294)</f>
        <v>45113.7144</v>
      </c>
      <c r="B999" s="4"/>
      <c r="C999" s="4"/>
      <c r="D999" s="4"/>
      <c r="E999" s="4"/>
      <c r="F999" s="4"/>
      <c r="G999" s="85">
        <f>IFERROR(__xludf.DUMMYFUNCTION("""COMPUTED_VALUE"""),45115.71388888889)</f>
        <v>45115.71389</v>
      </c>
      <c r="H999" s="85" t="str">
        <f>IFERROR(__xludf.DUMMYFUNCTION("""COMPUTED_VALUE"""),"Estimate ")</f>
        <v>Estimate </v>
      </c>
      <c r="I999" s="4" t="str">
        <f>IFERROR(__xludf.DUMMYFUNCTION("""COMPUTED_VALUE"""),"shivani")</f>
        <v>shivani</v>
      </c>
    </row>
    <row r="1000">
      <c r="A1000" s="85">
        <f>IFERROR(__xludf.DUMMYFUNCTION("""COMPUTED_VALUE"""),45113.70357853009)</f>
        <v>45113.70358</v>
      </c>
      <c r="B1000" s="4"/>
      <c r="C1000" s="4"/>
      <c r="D1000" s="4"/>
      <c r="E1000" s="4"/>
      <c r="F1000" s="4"/>
      <c r="G1000" s="85">
        <f>IFERROR(__xludf.DUMMYFUNCTION("""COMPUTED_VALUE"""),45115.70347222222)</f>
        <v>45115.70347</v>
      </c>
      <c r="H1000" s="85" t="str">
        <f>IFERROR(__xludf.DUMMYFUNCTION("""COMPUTED_VALUE"""),"Estimate ")</f>
        <v>Estimate </v>
      </c>
      <c r="I1000" s="4" t="str">
        <f>IFERROR(__xludf.DUMMYFUNCTION("""COMPUTED_VALUE"""),"shivani")</f>
        <v>shivani</v>
      </c>
    </row>
    <row r="1001">
      <c r="A1001" s="85">
        <f>IFERROR(__xludf.DUMMYFUNCTION("""COMPUTED_VALUE"""),45113.70238270833)</f>
        <v>45113.70238</v>
      </c>
      <c r="B1001" s="4"/>
      <c r="C1001" s="4"/>
      <c r="D1001" s="4"/>
      <c r="E1001" s="4"/>
      <c r="F1001" s="4"/>
      <c r="G1001" s="85">
        <f>IFERROR(__xludf.DUMMYFUNCTION("""COMPUTED_VALUE"""),45115.70208333334)</f>
        <v>45115.70208</v>
      </c>
      <c r="H1001" s="85" t="str">
        <f>IFERROR(__xludf.DUMMYFUNCTION("""COMPUTED_VALUE"""),"Estimate ")</f>
        <v>Estimate </v>
      </c>
      <c r="I1001" s="4" t="str">
        <f>IFERROR(__xludf.DUMMYFUNCTION("""COMPUTED_VALUE"""),"shivani")</f>
        <v>shivani</v>
      </c>
    </row>
    <row r="1002">
      <c r="A1002" s="85">
        <f>IFERROR(__xludf.DUMMYFUNCTION("""COMPUTED_VALUE"""),45113.70470115741)</f>
        <v>45113.7047</v>
      </c>
      <c r="B1002" s="4"/>
      <c r="C1002" s="4"/>
      <c r="D1002" s="4"/>
      <c r="E1002" s="4"/>
      <c r="F1002" s="4"/>
      <c r="G1002" s="85">
        <f>IFERROR(__xludf.DUMMYFUNCTION("""COMPUTED_VALUE"""),45115.70416666666)</f>
        <v>45115.70417</v>
      </c>
      <c r="H1002" s="85" t="str">
        <f>IFERROR(__xludf.DUMMYFUNCTION("""COMPUTED_VALUE"""),"Estimate ")</f>
        <v>Estimate </v>
      </c>
      <c r="I1002" s="4" t="str">
        <f>IFERROR(__xludf.DUMMYFUNCTION("""COMPUTED_VALUE"""),"shivani")</f>
        <v>shivani</v>
      </c>
    </row>
    <row r="1003">
      <c r="A1003" s="85">
        <f>IFERROR(__xludf.DUMMYFUNCTION("""COMPUTED_VALUE"""),45113.70105832176)</f>
        <v>45113.70106</v>
      </c>
      <c r="B1003" s="4"/>
      <c r="C1003" s="4"/>
      <c r="D1003" s="4"/>
      <c r="E1003" s="4"/>
      <c r="F1003" s="4"/>
      <c r="G1003" s="85">
        <f>IFERROR(__xludf.DUMMYFUNCTION("""COMPUTED_VALUE"""),45115.700694444444)</f>
        <v>45115.70069</v>
      </c>
      <c r="H1003" s="85" t="str">
        <f>IFERROR(__xludf.DUMMYFUNCTION("""COMPUTED_VALUE"""),"Estimate ")</f>
        <v>Estimate </v>
      </c>
      <c r="I1003" s="4" t="str">
        <f>IFERROR(__xludf.DUMMYFUNCTION("""COMPUTED_VALUE"""),"shivani")</f>
        <v>shivani</v>
      </c>
    </row>
    <row r="1004">
      <c r="A1004" s="85">
        <f>IFERROR(__xludf.DUMMYFUNCTION("""COMPUTED_VALUE"""),45112.67155194444)</f>
        <v>45112.67155</v>
      </c>
      <c r="B1004" s="4"/>
      <c r="C1004" s="4"/>
      <c r="D1004" s="4"/>
      <c r="E1004" s="4"/>
      <c r="F1004" s="4"/>
      <c r="G1004" s="85">
        <f>IFERROR(__xludf.DUMMYFUNCTION("""COMPUTED_VALUE"""),45114.67152777778)</f>
        <v>45114.67153</v>
      </c>
      <c r="H1004" s="85" t="str">
        <f>IFERROR(__xludf.DUMMYFUNCTION("""COMPUTED_VALUE"""),"Estimate ")</f>
        <v>Estimate </v>
      </c>
      <c r="I1004" s="4" t="str">
        <f>IFERROR(__xludf.DUMMYFUNCTION("""COMPUTED_VALUE"""),"shivani")</f>
        <v>shivani</v>
      </c>
    </row>
    <row r="1005">
      <c r="A1005" s="85">
        <f>IFERROR(__xludf.DUMMYFUNCTION("""COMPUTED_VALUE"""),45113.707171319445)</f>
        <v>45113.70717</v>
      </c>
      <c r="B1005" s="4"/>
      <c r="C1005" s="4"/>
      <c r="D1005" s="4"/>
      <c r="E1005" s="4"/>
      <c r="F1005" s="4"/>
      <c r="G1005" s="85">
        <f>IFERROR(__xludf.DUMMYFUNCTION("""COMPUTED_VALUE"""),45115.70694444445)</f>
        <v>45115.70694</v>
      </c>
      <c r="H1005" s="85" t="str">
        <f>IFERROR(__xludf.DUMMYFUNCTION("""COMPUTED_VALUE"""),"Estimate ")</f>
        <v>Estimate </v>
      </c>
      <c r="I1005" s="4" t="str">
        <f>IFERROR(__xludf.DUMMYFUNCTION("""COMPUTED_VALUE"""),"shivani")</f>
        <v>shivani</v>
      </c>
    </row>
    <row r="1006">
      <c r="A1006" s="85">
        <f>IFERROR(__xludf.DUMMYFUNCTION("""COMPUTED_VALUE"""),45113.69959265047)</f>
        <v>45113.69959</v>
      </c>
      <c r="B1006" s="4"/>
      <c r="C1006" s="4"/>
      <c r="D1006" s="4"/>
      <c r="E1006" s="4"/>
      <c r="F1006" s="4"/>
      <c r="G1006" s="85">
        <f>IFERROR(__xludf.DUMMYFUNCTION("""COMPUTED_VALUE"""),45115.69930555555)</f>
        <v>45115.69931</v>
      </c>
      <c r="H1006" s="85" t="str">
        <f>IFERROR(__xludf.DUMMYFUNCTION("""COMPUTED_VALUE"""),"Estimate ")</f>
        <v>Estimate </v>
      </c>
      <c r="I1006" s="4" t="str">
        <f>IFERROR(__xludf.DUMMYFUNCTION("""COMPUTED_VALUE"""),"shivani")</f>
        <v>shivani</v>
      </c>
    </row>
    <row r="1007">
      <c r="A1007" s="85">
        <f>IFERROR(__xludf.DUMMYFUNCTION("""COMPUTED_VALUE"""),45115.55740716435)</f>
        <v>45115.55741</v>
      </c>
      <c r="B1007" s="4"/>
      <c r="C1007" s="4"/>
      <c r="D1007" s="4"/>
      <c r="E1007" s="4"/>
      <c r="F1007" s="4"/>
      <c r="G1007" s="85">
        <f>IFERROR(__xludf.DUMMYFUNCTION("""COMPUTED_VALUE"""),45118.55694444444)</f>
        <v>45118.55694</v>
      </c>
      <c r="H1007" s="85" t="str">
        <f>IFERROR(__xludf.DUMMYFUNCTION("""COMPUTED_VALUE"""),"Estimate ")</f>
        <v>Estimate </v>
      </c>
      <c r="I1007" s="4" t="str">
        <f>IFERROR(__xludf.DUMMYFUNCTION("""COMPUTED_VALUE"""),"shivani")</f>
        <v>shivani</v>
      </c>
    </row>
    <row r="1008">
      <c r="A1008" s="85">
        <f>IFERROR(__xludf.DUMMYFUNCTION("""COMPUTED_VALUE"""),45114.61066569445)</f>
        <v>45114.61067</v>
      </c>
      <c r="B1008" s="4"/>
      <c r="C1008" s="4"/>
      <c r="D1008" s="4"/>
      <c r="E1008" s="4"/>
      <c r="F1008" s="4"/>
      <c r="G1008" s="85">
        <f>IFERROR(__xludf.DUMMYFUNCTION("""COMPUTED_VALUE"""),45116.61041666666)</f>
        <v>45116.61042</v>
      </c>
      <c r="H1008" s="85" t="str">
        <f>IFERROR(__xludf.DUMMYFUNCTION("""COMPUTED_VALUE"""),"Estimate ")</f>
        <v>Estimate </v>
      </c>
      <c r="I1008" s="4" t="str">
        <f>IFERROR(__xludf.DUMMYFUNCTION("""COMPUTED_VALUE"""),"shivani")</f>
        <v>shivani</v>
      </c>
    </row>
    <row r="1009">
      <c r="A1009" s="85">
        <f>IFERROR(__xludf.DUMMYFUNCTION("""COMPUTED_VALUE"""),45115.578478773146)</f>
        <v>45115.57848</v>
      </c>
      <c r="B1009" s="4"/>
      <c r="C1009" s="4"/>
      <c r="D1009" s="4"/>
      <c r="E1009" s="4"/>
      <c r="F1009" s="4"/>
      <c r="G1009" s="85">
        <f>IFERROR(__xludf.DUMMYFUNCTION("""COMPUTED_VALUE"""),45118.57847222222)</f>
        <v>45118.57847</v>
      </c>
      <c r="H1009" s="85" t="str">
        <f>IFERROR(__xludf.DUMMYFUNCTION("""COMPUTED_VALUE"""),"Estimate ")</f>
        <v>Estimate </v>
      </c>
      <c r="I1009" s="4" t="str">
        <f>IFERROR(__xludf.DUMMYFUNCTION("""COMPUTED_VALUE"""),"shivani")</f>
        <v>shivani</v>
      </c>
    </row>
    <row r="1010">
      <c r="A1010" s="85">
        <f>IFERROR(__xludf.DUMMYFUNCTION("""COMPUTED_VALUE"""),45119.533983009256)</f>
        <v>45119.53398</v>
      </c>
      <c r="B1010" s="4"/>
      <c r="C1010" s="4"/>
      <c r="D1010" s="4"/>
      <c r="E1010" s="4"/>
      <c r="F1010" s="4"/>
      <c r="G1010" s="85">
        <f>IFERROR(__xludf.DUMMYFUNCTION("""COMPUTED_VALUE"""),45121.53333333333)</f>
        <v>45121.53333</v>
      </c>
      <c r="H1010" s="85" t="str">
        <f>IFERROR(__xludf.DUMMYFUNCTION("""COMPUTED_VALUE"""),"Estimate ")</f>
        <v>Estimate </v>
      </c>
      <c r="I1010" s="4" t="str">
        <f>IFERROR(__xludf.DUMMYFUNCTION("""COMPUTED_VALUE"""),"shivani")</f>
        <v>shivani</v>
      </c>
    </row>
    <row r="1011">
      <c r="A1011" s="85">
        <f>IFERROR(__xludf.DUMMYFUNCTION("""COMPUTED_VALUE"""),45119.63702692129)</f>
        <v>45119.63703</v>
      </c>
      <c r="B1011" s="4"/>
      <c r="C1011" s="4"/>
      <c r="D1011" s="4"/>
      <c r="E1011" s="4"/>
      <c r="F1011" s="4"/>
      <c r="G1011" s="85">
        <f>IFERROR(__xludf.DUMMYFUNCTION("""COMPUTED_VALUE"""),45121.63680555555)</f>
        <v>45121.63681</v>
      </c>
      <c r="H1011" s="85" t="str">
        <f>IFERROR(__xludf.DUMMYFUNCTION("""COMPUTED_VALUE"""),"Estimate ")</f>
        <v>Estimate </v>
      </c>
      <c r="I1011" s="4" t="str">
        <f>IFERROR(__xludf.DUMMYFUNCTION("""COMPUTED_VALUE"""),"shivani")</f>
        <v>shivani</v>
      </c>
    </row>
    <row r="1012">
      <c r="A1012" s="85">
        <f>IFERROR(__xludf.DUMMYFUNCTION("""COMPUTED_VALUE"""),45120.748508020835)</f>
        <v>45120.74851</v>
      </c>
      <c r="B1012" s="4"/>
      <c r="C1012" s="4"/>
      <c r="D1012" s="4"/>
      <c r="E1012" s="4"/>
      <c r="F1012" s="4"/>
      <c r="G1012" s="85">
        <f>IFERROR(__xludf.DUMMYFUNCTION("""COMPUTED_VALUE"""),45122.74791666667)</f>
        <v>45122.74792</v>
      </c>
      <c r="H1012" s="85" t="str">
        <f>IFERROR(__xludf.DUMMYFUNCTION("""COMPUTED_VALUE"""),"Estimate ")</f>
        <v>Estimate </v>
      </c>
      <c r="I1012" s="4" t="str">
        <f>IFERROR(__xludf.DUMMYFUNCTION("""COMPUTED_VALUE"""),"shivani")</f>
        <v>shivani</v>
      </c>
    </row>
    <row r="1013">
      <c r="A1013" s="85">
        <f>IFERROR(__xludf.DUMMYFUNCTION("""COMPUTED_VALUE"""),45121.72608186343)</f>
        <v>45121.72608</v>
      </c>
      <c r="B1013" s="4"/>
      <c r="C1013" s="4"/>
      <c r="D1013" s="4"/>
      <c r="E1013" s="4"/>
      <c r="F1013" s="4"/>
      <c r="G1013" s="85">
        <f>IFERROR(__xludf.DUMMYFUNCTION("""COMPUTED_VALUE"""),45123.725694444445)</f>
        <v>45123.72569</v>
      </c>
      <c r="H1013" s="85" t="str">
        <f>IFERROR(__xludf.DUMMYFUNCTION("""COMPUTED_VALUE"""),"Estimate ")</f>
        <v>Estimate </v>
      </c>
      <c r="I1013" s="4" t="str">
        <f>IFERROR(__xludf.DUMMYFUNCTION("""COMPUTED_VALUE"""),"shivani")</f>
        <v>shivani</v>
      </c>
    </row>
    <row r="1014">
      <c r="A1014" s="85">
        <f>IFERROR(__xludf.DUMMYFUNCTION("""COMPUTED_VALUE"""),45123.555528321755)</f>
        <v>45123.55553</v>
      </c>
      <c r="B1014" s="4"/>
      <c r="C1014" s="4"/>
      <c r="D1014" s="4"/>
      <c r="E1014" s="4"/>
      <c r="F1014" s="4"/>
      <c r="G1014" s="85">
        <f>IFERROR(__xludf.DUMMYFUNCTION("""COMPUTED_VALUE"""),45126.554861111115)</f>
        <v>45126.55486</v>
      </c>
      <c r="H1014" s="85" t="str">
        <f>IFERROR(__xludf.DUMMYFUNCTION("""COMPUTED_VALUE"""),"Estimate ")</f>
        <v>Estimate </v>
      </c>
      <c r="I1014" s="4" t="str">
        <f>IFERROR(__xludf.DUMMYFUNCTION("""COMPUTED_VALUE"""),"shivani")</f>
        <v>shivani</v>
      </c>
    </row>
    <row r="1015">
      <c r="A1015" s="85">
        <f>IFERROR(__xludf.DUMMYFUNCTION("""COMPUTED_VALUE"""),45123.558831180555)</f>
        <v>45123.55883</v>
      </c>
      <c r="B1015" s="4"/>
      <c r="C1015" s="4"/>
      <c r="D1015" s="4"/>
      <c r="E1015" s="4"/>
      <c r="F1015" s="4"/>
      <c r="G1015" s="85">
        <f>IFERROR(__xludf.DUMMYFUNCTION("""COMPUTED_VALUE"""),45126.558333333334)</f>
        <v>45126.55833</v>
      </c>
      <c r="H1015" s="85" t="str">
        <f>IFERROR(__xludf.DUMMYFUNCTION("""COMPUTED_VALUE"""),"Estimate ")</f>
        <v>Estimate </v>
      </c>
      <c r="I1015" s="4" t="str">
        <f>IFERROR(__xludf.DUMMYFUNCTION("""COMPUTED_VALUE"""),"shivani")</f>
        <v>shivani</v>
      </c>
    </row>
    <row r="1016">
      <c r="A1016" s="85">
        <f>IFERROR(__xludf.DUMMYFUNCTION("""COMPUTED_VALUE"""),45125.55028017361)</f>
        <v>45125.55028</v>
      </c>
      <c r="B1016" s="4"/>
      <c r="C1016" s="4"/>
      <c r="D1016" s="4"/>
      <c r="E1016" s="4"/>
      <c r="F1016" s="4"/>
      <c r="G1016" s="85">
        <f>IFERROR(__xludf.DUMMYFUNCTION("""COMPUTED_VALUE"""),45127.55)</f>
        <v>45127.55</v>
      </c>
      <c r="H1016" s="85" t="str">
        <f>IFERROR(__xludf.DUMMYFUNCTION("""COMPUTED_VALUE"""),"Estimate ")</f>
        <v>Estimate </v>
      </c>
      <c r="I1016" s="4" t="str">
        <f>IFERROR(__xludf.DUMMYFUNCTION("""COMPUTED_VALUE"""),"shivani")</f>
        <v>shivani</v>
      </c>
    </row>
    <row r="1017">
      <c r="A1017" s="85">
        <f>IFERROR(__xludf.DUMMYFUNCTION("""COMPUTED_VALUE"""),45126.653232627315)</f>
        <v>45126.65323</v>
      </c>
      <c r="B1017" s="4"/>
      <c r="C1017" s="4"/>
      <c r="D1017" s="4"/>
      <c r="E1017" s="4"/>
      <c r="F1017" s="4"/>
      <c r="G1017" s="85">
        <f>IFERROR(__xludf.DUMMYFUNCTION("""COMPUTED_VALUE"""),45128.65277777778)</f>
        <v>45128.65278</v>
      </c>
      <c r="H1017" s="85" t="str">
        <f>IFERROR(__xludf.DUMMYFUNCTION("""COMPUTED_VALUE"""),"Estimate ")</f>
        <v>Estimate </v>
      </c>
      <c r="I1017" s="4" t="str">
        <f>IFERROR(__xludf.DUMMYFUNCTION("""COMPUTED_VALUE"""),"shivani")</f>
        <v>shivani</v>
      </c>
    </row>
    <row r="1018">
      <c r="A1018" s="85">
        <f>IFERROR(__xludf.DUMMYFUNCTION("""COMPUTED_VALUE"""),45126.66096804399)</f>
        <v>45126.66097</v>
      </c>
      <c r="B1018" s="4"/>
      <c r="C1018" s="4"/>
      <c r="D1018" s="4"/>
      <c r="E1018" s="4"/>
      <c r="F1018" s="4"/>
      <c r="G1018" s="85">
        <f>IFERROR(__xludf.DUMMYFUNCTION("""COMPUTED_VALUE"""),45128.660416666666)</f>
        <v>45128.66042</v>
      </c>
      <c r="H1018" s="85" t="str">
        <f>IFERROR(__xludf.DUMMYFUNCTION("""COMPUTED_VALUE"""),"Estimate ")</f>
        <v>Estimate </v>
      </c>
      <c r="I1018" s="4" t="str">
        <f>IFERROR(__xludf.DUMMYFUNCTION("""COMPUTED_VALUE"""),"shivani")</f>
        <v>shivani</v>
      </c>
    </row>
    <row r="1019">
      <c r="A1019" s="85">
        <f>IFERROR(__xludf.DUMMYFUNCTION("""COMPUTED_VALUE"""),45126.68817086806)</f>
        <v>45126.68817</v>
      </c>
      <c r="B1019" s="4"/>
      <c r="C1019" s="4"/>
      <c r="D1019" s="4"/>
      <c r="E1019" s="4"/>
      <c r="F1019" s="4"/>
      <c r="G1019" s="85">
        <f>IFERROR(__xludf.DUMMYFUNCTION("""COMPUTED_VALUE"""),45128.6875)</f>
        <v>45128.6875</v>
      </c>
      <c r="H1019" s="85" t="str">
        <f>IFERROR(__xludf.DUMMYFUNCTION("""COMPUTED_VALUE"""),"Estimate ")</f>
        <v>Estimate </v>
      </c>
      <c r="I1019" s="4" t="str">
        <f>IFERROR(__xludf.DUMMYFUNCTION("""COMPUTED_VALUE"""),"shivani")</f>
        <v>shivani</v>
      </c>
    </row>
    <row r="1020">
      <c r="A1020" s="85">
        <f>IFERROR(__xludf.DUMMYFUNCTION("""COMPUTED_VALUE"""),45126.72326496528)</f>
        <v>45126.72326</v>
      </c>
      <c r="B1020" s="4"/>
      <c r="C1020" s="4"/>
      <c r="D1020" s="4"/>
      <c r="E1020" s="4"/>
      <c r="F1020" s="4"/>
      <c r="G1020" s="85">
        <f>IFERROR(__xludf.DUMMYFUNCTION("""COMPUTED_VALUE"""),45128.722916666666)</f>
        <v>45128.72292</v>
      </c>
      <c r="H1020" s="85" t="str">
        <f>IFERROR(__xludf.DUMMYFUNCTION("""COMPUTED_VALUE"""),"Estimate ")</f>
        <v>Estimate </v>
      </c>
      <c r="I1020" s="4" t="str">
        <f>IFERROR(__xludf.DUMMYFUNCTION("""COMPUTED_VALUE"""),"shivani")</f>
        <v>shivani</v>
      </c>
    </row>
    <row r="1021">
      <c r="A1021" s="85">
        <f>IFERROR(__xludf.DUMMYFUNCTION("""COMPUTED_VALUE"""),45127.63463468749)</f>
        <v>45127.63463</v>
      </c>
      <c r="B1021" s="4"/>
      <c r="C1021" s="4"/>
      <c r="D1021" s="4"/>
      <c r="E1021" s="4"/>
      <c r="F1021" s="4"/>
      <c r="G1021" s="85">
        <f>IFERROR(__xludf.DUMMYFUNCTION("""COMPUTED_VALUE"""),45129.63402777778)</f>
        <v>45129.63403</v>
      </c>
      <c r="H1021" s="85" t="str">
        <f>IFERROR(__xludf.DUMMYFUNCTION("""COMPUTED_VALUE"""),"Estimate ")</f>
        <v>Estimate </v>
      </c>
      <c r="I1021" s="4" t="str">
        <f>IFERROR(__xludf.DUMMYFUNCTION("""COMPUTED_VALUE"""),"shivani")</f>
        <v>shivani</v>
      </c>
    </row>
    <row r="1022">
      <c r="A1022" s="85">
        <f>IFERROR(__xludf.DUMMYFUNCTION("""COMPUTED_VALUE"""),45129.620098321764)</f>
        <v>45129.6201</v>
      </c>
      <c r="B1022" s="4"/>
      <c r="C1022" s="4"/>
      <c r="D1022" s="4"/>
      <c r="E1022" s="4"/>
      <c r="F1022" s="4"/>
      <c r="G1022" s="85">
        <f>IFERROR(__xludf.DUMMYFUNCTION("""COMPUTED_VALUE"""),45132.61944444444)</f>
        <v>45132.61944</v>
      </c>
      <c r="H1022" s="85" t="str">
        <f>IFERROR(__xludf.DUMMYFUNCTION("""COMPUTED_VALUE"""),"Estimate ")</f>
        <v>Estimate </v>
      </c>
      <c r="I1022" s="4" t="str">
        <f>IFERROR(__xludf.DUMMYFUNCTION("""COMPUTED_VALUE"""),"shivani")</f>
        <v>shivani</v>
      </c>
    </row>
    <row r="1023">
      <c r="A1023" s="85">
        <f>IFERROR(__xludf.DUMMYFUNCTION("""COMPUTED_VALUE"""),45130.62402480323)</f>
        <v>45130.62402</v>
      </c>
      <c r="B1023" s="4"/>
      <c r="C1023" s="4"/>
      <c r="D1023" s="4"/>
      <c r="E1023" s="4"/>
      <c r="F1023" s="4"/>
      <c r="G1023" s="85">
        <f>IFERROR(__xludf.DUMMYFUNCTION("""COMPUTED_VALUE"""),45133.62361111111)</f>
        <v>45133.62361</v>
      </c>
      <c r="H1023" s="85" t="str">
        <f>IFERROR(__xludf.DUMMYFUNCTION("""COMPUTED_VALUE"""),"Estimate ")</f>
        <v>Estimate </v>
      </c>
      <c r="I1023" s="4" t="str">
        <f>IFERROR(__xludf.DUMMYFUNCTION("""COMPUTED_VALUE"""),"shivani")</f>
        <v>shivani</v>
      </c>
    </row>
    <row r="1024">
      <c r="A1024" s="85">
        <f>IFERROR(__xludf.DUMMYFUNCTION("""COMPUTED_VALUE"""),45133.52893804398)</f>
        <v>45133.52894</v>
      </c>
      <c r="B1024" s="4"/>
      <c r="C1024" s="4"/>
      <c r="D1024" s="4"/>
      <c r="E1024" s="4"/>
      <c r="F1024" s="4"/>
      <c r="G1024" s="85">
        <f>IFERROR(__xludf.DUMMYFUNCTION("""COMPUTED_VALUE"""),45135.52847222222)</f>
        <v>45135.52847</v>
      </c>
      <c r="H1024" s="85" t="str">
        <f>IFERROR(__xludf.DUMMYFUNCTION("""COMPUTED_VALUE"""),"Estimate ")</f>
        <v>Estimate </v>
      </c>
      <c r="I1024" s="4" t="str">
        <f>IFERROR(__xludf.DUMMYFUNCTION("""COMPUTED_VALUE"""),"shivani")</f>
        <v>shivani</v>
      </c>
    </row>
    <row r="1025">
      <c r="A1025" s="85">
        <f>IFERROR(__xludf.DUMMYFUNCTION("""COMPUTED_VALUE"""),45133.75023895833)</f>
        <v>45133.75024</v>
      </c>
      <c r="B1025" s="4"/>
      <c r="C1025" s="4"/>
      <c r="D1025" s="4"/>
      <c r="E1025" s="4"/>
      <c r="F1025" s="4"/>
      <c r="G1025" s="85">
        <f>IFERROR(__xludf.DUMMYFUNCTION("""COMPUTED_VALUE"""),45135.75)</f>
        <v>45135.75</v>
      </c>
      <c r="H1025" s="85" t="str">
        <f>IFERROR(__xludf.DUMMYFUNCTION("""COMPUTED_VALUE"""),"Estimate ")</f>
        <v>Estimate </v>
      </c>
      <c r="I1025" s="4" t="str">
        <f>IFERROR(__xludf.DUMMYFUNCTION("""COMPUTED_VALUE"""),"shivani")</f>
        <v>shivani</v>
      </c>
    </row>
    <row r="1026">
      <c r="A1026" s="85">
        <f>IFERROR(__xludf.DUMMYFUNCTION("""COMPUTED_VALUE"""),45133.75353289352)</f>
        <v>45133.75353</v>
      </c>
      <c r="B1026" s="4"/>
      <c r="C1026" s="4"/>
      <c r="D1026" s="4"/>
      <c r="E1026" s="4"/>
      <c r="F1026" s="4"/>
      <c r="G1026" s="85">
        <f>IFERROR(__xludf.DUMMYFUNCTION("""COMPUTED_VALUE"""),45135.75347222222)</f>
        <v>45135.75347</v>
      </c>
      <c r="H1026" s="85" t="str">
        <f>IFERROR(__xludf.DUMMYFUNCTION("""COMPUTED_VALUE"""),"Estimate ")</f>
        <v>Estimate </v>
      </c>
      <c r="I1026" s="4" t="str">
        <f>IFERROR(__xludf.DUMMYFUNCTION("""COMPUTED_VALUE"""),"shivani")</f>
        <v>shivani</v>
      </c>
    </row>
    <row r="1027">
      <c r="A1027" s="85">
        <f>IFERROR(__xludf.DUMMYFUNCTION("""COMPUTED_VALUE"""),45133.76304049769)</f>
        <v>45133.76304</v>
      </c>
      <c r="B1027" s="4"/>
      <c r="C1027" s="4"/>
      <c r="D1027" s="4"/>
      <c r="E1027" s="4"/>
      <c r="F1027" s="4"/>
      <c r="G1027" s="85">
        <f>IFERROR(__xludf.DUMMYFUNCTION("""COMPUTED_VALUE"""),45135.7625)</f>
        <v>45135.7625</v>
      </c>
      <c r="H1027" s="85" t="str">
        <f>IFERROR(__xludf.DUMMYFUNCTION("""COMPUTED_VALUE"""),"Estimate ")</f>
        <v>Estimate </v>
      </c>
      <c r="I1027" s="4" t="str">
        <f>IFERROR(__xludf.DUMMYFUNCTION("""COMPUTED_VALUE"""),"shivani")</f>
        <v>shivani</v>
      </c>
    </row>
    <row r="1028">
      <c r="A1028" s="85">
        <f>IFERROR(__xludf.DUMMYFUNCTION("""COMPUTED_VALUE"""),45134.563918414344)</f>
        <v>45134.56392</v>
      </c>
      <c r="B1028" s="4"/>
      <c r="C1028" s="4"/>
      <c r="D1028" s="4"/>
      <c r="E1028" s="4"/>
      <c r="F1028" s="4"/>
      <c r="G1028" s="85">
        <f>IFERROR(__xludf.DUMMYFUNCTION("""COMPUTED_VALUE"""),45136.56388888889)</f>
        <v>45136.56389</v>
      </c>
      <c r="H1028" s="85" t="str">
        <f>IFERROR(__xludf.DUMMYFUNCTION("""COMPUTED_VALUE"""),"Estimate ")</f>
        <v>Estimate </v>
      </c>
      <c r="I1028" s="4" t="str">
        <f>IFERROR(__xludf.DUMMYFUNCTION("""COMPUTED_VALUE"""),"shivani")</f>
        <v>shivani</v>
      </c>
    </row>
    <row r="1029">
      <c r="A1029" s="85">
        <f>IFERROR(__xludf.DUMMYFUNCTION("""COMPUTED_VALUE"""),45136.61565035879)</f>
        <v>45136.61565</v>
      </c>
      <c r="B1029" s="4"/>
      <c r="C1029" s="4"/>
      <c r="D1029" s="4"/>
      <c r="E1029" s="4"/>
      <c r="F1029" s="4"/>
      <c r="G1029" s="85">
        <f>IFERROR(__xludf.DUMMYFUNCTION("""COMPUTED_VALUE"""),45139.615277777775)</f>
        <v>45139.61528</v>
      </c>
      <c r="H1029" s="85" t="str">
        <f>IFERROR(__xludf.DUMMYFUNCTION("""COMPUTED_VALUE"""),"Estimate ")</f>
        <v>Estimate </v>
      </c>
      <c r="I1029" s="4" t="str">
        <f>IFERROR(__xludf.DUMMYFUNCTION("""COMPUTED_VALUE"""),"shivani")</f>
        <v>shivani</v>
      </c>
    </row>
    <row r="1030">
      <c r="A1030" s="85">
        <f>IFERROR(__xludf.DUMMYFUNCTION("""COMPUTED_VALUE"""),45136.62994597222)</f>
        <v>45136.62995</v>
      </c>
      <c r="B1030" s="4"/>
      <c r="C1030" s="4"/>
      <c r="D1030" s="4"/>
      <c r="E1030" s="4"/>
      <c r="F1030" s="4"/>
      <c r="G1030" s="85">
        <f>IFERROR(__xludf.DUMMYFUNCTION("""COMPUTED_VALUE"""),45139.62986111111)</f>
        <v>45139.62986</v>
      </c>
      <c r="H1030" s="85" t="str">
        <f>IFERROR(__xludf.DUMMYFUNCTION("""COMPUTED_VALUE"""),"Estimate ")</f>
        <v>Estimate </v>
      </c>
      <c r="I1030" s="4" t="str">
        <f>IFERROR(__xludf.DUMMYFUNCTION("""COMPUTED_VALUE"""),"shivani")</f>
        <v>shivani</v>
      </c>
    </row>
    <row r="1031">
      <c r="A1031" s="85">
        <f>IFERROR(__xludf.DUMMYFUNCTION("""COMPUTED_VALUE"""),45139.62458520834)</f>
        <v>45139.62459</v>
      </c>
      <c r="B1031" s="4"/>
      <c r="C1031" s="4"/>
      <c r="D1031" s="4"/>
      <c r="E1031" s="4"/>
      <c r="F1031" s="4"/>
      <c r="G1031" s="85">
        <f>IFERROR(__xludf.DUMMYFUNCTION("""COMPUTED_VALUE"""),45141.62430555555)</f>
        <v>45141.62431</v>
      </c>
      <c r="H1031" s="85" t="str">
        <f>IFERROR(__xludf.DUMMYFUNCTION("""COMPUTED_VALUE"""),"Estimate ")</f>
        <v>Estimate </v>
      </c>
      <c r="I1031" s="4" t="str">
        <f>IFERROR(__xludf.DUMMYFUNCTION("""COMPUTED_VALUE"""),"shivani")</f>
        <v>shivani</v>
      </c>
    </row>
    <row r="1032">
      <c r="A1032" s="85">
        <f>IFERROR(__xludf.DUMMYFUNCTION("""COMPUTED_VALUE"""),45139.630877233794)</f>
        <v>45139.63088</v>
      </c>
      <c r="B1032" s="4"/>
      <c r="C1032" s="4"/>
      <c r="D1032" s="4"/>
      <c r="E1032" s="4"/>
      <c r="F1032" s="4"/>
      <c r="G1032" s="85">
        <f>IFERROR(__xludf.DUMMYFUNCTION("""COMPUTED_VALUE"""),45141.63055555556)</f>
        <v>45141.63056</v>
      </c>
      <c r="H1032" s="85" t="str">
        <f>IFERROR(__xludf.DUMMYFUNCTION("""COMPUTED_VALUE"""),"Estimate ")</f>
        <v>Estimate </v>
      </c>
      <c r="I1032" s="4" t="str">
        <f>IFERROR(__xludf.DUMMYFUNCTION("""COMPUTED_VALUE"""),"shivani")</f>
        <v>shivani</v>
      </c>
    </row>
    <row r="1033">
      <c r="A1033" s="85">
        <f>IFERROR(__xludf.DUMMYFUNCTION("""COMPUTED_VALUE"""),45143.50144180556)</f>
        <v>45143.50144</v>
      </c>
      <c r="B1033" s="4"/>
      <c r="C1033" s="4"/>
      <c r="D1033" s="4"/>
      <c r="E1033" s="4"/>
      <c r="F1033" s="4"/>
      <c r="G1033" s="85">
        <f>IFERROR(__xludf.DUMMYFUNCTION("""COMPUTED_VALUE"""),45146.50138888889)</f>
        <v>45146.50139</v>
      </c>
      <c r="H1033" s="85" t="str">
        <f>IFERROR(__xludf.DUMMYFUNCTION("""COMPUTED_VALUE"""),"Estimate ")</f>
        <v>Estimate </v>
      </c>
      <c r="I1033" s="4" t="str">
        <f>IFERROR(__xludf.DUMMYFUNCTION("""COMPUTED_VALUE"""),"shivani")</f>
        <v>shivani</v>
      </c>
    </row>
    <row r="1034">
      <c r="A1034" s="85">
        <f>IFERROR(__xludf.DUMMYFUNCTION("""COMPUTED_VALUE"""),45143.55674393519)</f>
        <v>45143.55674</v>
      </c>
      <c r="B1034" s="4"/>
      <c r="C1034" s="4"/>
      <c r="D1034" s="4"/>
      <c r="E1034" s="4"/>
      <c r="F1034" s="4"/>
      <c r="G1034" s="85">
        <f>IFERROR(__xludf.DUMMYFUNCTION("""COMPUTED_VALUE"""),45146.55625)</f>
        <v>45146.55625</v>
      </c>
      <c r="H1034" s="85" t="str">
        <f>IFERROR(__xludf.DUMMYFUNCTION("""COMPUTED_VALUE"""),"Estimate ")</f>
        <v>Estimate </v>
      </c>
      <c r="I1034" s="4" t="str">
        <f>IFERROR(__xludf.DUMMYFUNCTION("""COMPUTED_VALUE"""),"shivani")</f>
        <v>shivani</v>
      </c>
    </row>
    <row r="1035">
      <c r="A1035" s="85">
        <f>IFERROR(__xludf.DUMMYFUNCTION("""COMPUTED_VALUE"""),45143.687269259266)</f>
        <v>45143.68727</v>
      </c>
      <c r="B1035" s="4"/>
      <c r="C1035" s="4"/>
      <c r="D1035" s="4"/>
      <c r="E1035" s="4"/>
      <c r="F1035" s="4"/>
      <c r="G1035" s="85">
        <f>IFERROR(__xludf.DUMMYFUNCTION("""COMPUTED_VALUE"""),45146.68680555555)</f>
        <v>45146.68681</v>
      </c>
      <c r="H1035" s="85" t="str">
        <f>IFERROR(__xludf.DUMMYFUNCTION("""COMPUTED_VALUE"""),"Estimate ")</f>
        <v>Estimate </v>
      </c>
      <c r="I1035" s="4" t="str">
        <f>IFERROR(__xludf.DUMMYFUNCTION("""COMPUTED_VALUE"""),"shivani")</f>
        <v>shivani</v>
      </c>
    </row>
    <row r="1036">
      <c r="A1036" s="85">
        <f>IFERROR(__xludf.DUMMYFUNCTION("""COMPUTED_VALUE"""),45143.69402684028)</f>
        <v>45143.69403</v>
      </c>
      <c r="B1036" s="4"/>
      <c r="C1036" s="4"/>
      <c r="D1036" s="4"/>
      <c r="E1036" s="4"/>
      <c r="F1036" s="4"/>
      <c r="G1036" s="85">
        <f>IFERROR(__xludf.DUMMYFUNCTION("""COMPUTED_VALUE"""),45146.69375)</f>
        <v>45146.69375</v>
      </c>
      <c r="H1036" s="85" t="str">
        <f>IFERROR(__xludf.DUMMYFUNCTION("""COMPUTED_VALUE"""),"Estimate ")</f>
        <v>Estimate </v>
      </c>
      <c r="I1036" s="4" t="str">
        <f>IFERROR(__xludf.DUMMYFUNCTION("""COMPUTED_VALUE"""),"shivani")</f>
        <v>shivani</v>
      </c>
    </row>
    <row r="1037">
      <c r="A1037" s="85">
        <f>IFERROR(__xludf.DUMMYFUNCTION("""COMPUTED_VALUE"""),45143.707891377315)</f>
        <v>45143.70789</v>
      </c>
      <c r="B1037" s="4"/>
      <c r="C1037" s="4"/>
      <c r="D1037" s="4"/>
      <c r="E1037" s="4"/>
      <c r="F1037" s="4"/>
      <c r="G1037" s="85">
        <f>IFERROR(__xludf.DUMMYFUNCTION("""COMPUTED_VALUE"""),45146.70763888889)</f>
        <v>45146.70764</v>
      </c>
      <c r="H1037" s="85" t="str">
        <f>IFERROR(__xludf.DUMMYFUNCTION("""COMPUTED_VALUE"""),"Estimate ")</f>
        <v>Estimate </v>
      </c>
      <c r="I1037" s="4" t="str">
        <f>IFERROR(__xludf.DUMMYFUNCTION("""COMPUTED_VALUE"""),"shivani")</f>
        <v>shivani</v>
      </c>
    </row>
    <row r="1038">
      <c r="A1038" s="85">
        <f>IFERROR(__xludf.DUMMYFUNCTION("""COMPUTED_VALUE"""),45143.74074445602)</f>
        <v>45143.74074</v>
      </c>
      <c r="B1038" s="4"/>
      <c r="C1038" s="4"/>
      <c r="D1038" s="4"/>
      <c r="E1038" s="4"/>
      <c r="F1038" s="4"/>
      <c r="G1038" s="85">
        <f>IFERROR(__xludf.DUMMYFUNCTION("""COMPUTED_VALUE"""),45146.740277777775)</f>
        <v>45146.74028</v>
      </c>
      <c r="H1038" s="85" t="str">
        <f>IFERROR(__xludf.DUMMYFUNCTION("""COMPUTED_VALUE"""),"Estimate ")</f>
        <v>Estimate </v>
      </c>
      <c r="I1038" s="4" t="str">
        <f>IFERROR(__xludf.DUMMYFUNCTION("""COMPUTED_VALUE"""),"shivani")</f>
        <v>shivani</v>
      </c>
    </row>
    <row r="1039">
      <c r="A1039" s="85">
        <f>IFERROR(__xludf.DUMMYFUNCTION("""COMPUTED_VALUE"""),45144.53822113426)</f>
        <v>45144.53822</v>
      </c>
      <c r="B1039" s="4"/>
      <c r="C1039" s="4"/>
      <c r="D1039" s="4"/>
      <c r="E1039" s="4"/>
      <c r="F1039" s="4"/>
      <c r="G1039" s="85">
        <f>IFERROR(__xludf.DUMMYFUNCTION("""COMPUTED_VALUE"""),45147.538194444445)</f>
        <v>45147.53819</v>
      </c>
      <c r="H1039" s="85" t="str">
        <f>IFERROR(__xludf.DUMMYFUNCTION("""COMPUTED_VALUE"""),"Estimate ")</f>
        <v>Estimate </v>
      </c>
      <c r="I1039" s="4" t="str">
        <f>IFERROR(__xludf.DUMMYFUNCTION("""COMPUTED_VALUE"""),"shivani")</f>
        <v>shivani</v>
      </c>
    </row>
    <row r="1040">
      <c r="A1040" s="85">
        <f>IFERROR(__xludf.DUMMYFUNCTION("""COMPUTED_VALUE"""),45144.553526736105)</f>
        <v>45144.55353</v>
      </c>
      <c r="B1040" s="4"/>
      <c r="C1040" s="4"/>
      <c r="D1040" s="4"/>
      <c r="E1040" s="4"/>
      <c r="F1040" s="4"/>
      <c r="G1040" s="85">
        <f>IFERROR(__xludf.DUMMYFUNCTION("""COMPUTED_VALUE"""),45147.55347222222)</f>
        <v>45147.55347</v>
      </c>
      <c r="H1040" s="85" t="str">
        <f>IFERROR(__xludf.DUMMYFUNCTION("""COMPUTED_VALUE"""),"Estimate ")</f>
        <v>Estimate </v>
      </c>
      <c r="I1040" s="4" t="str">
        <f>IFERROR(__xludf.DUMMYFUNCTION("""COMPUTED_VALUE"""),"shivani")</f>
        <v>shivani</v>
      </c>
    </row>
    <row r="1041">
      <c r="A1041" s="85">
        <f>IFERROR(__xludf.DUMMYFUNCTION("""COMPUTED_VALUE"""),45144.630054849535)</f>
        <v>45144.63005</v>
      </c>
      <c r="B1041" s="4"/>
      <c r="C1041" s="4"/>
      <c r="D1041" s="4"/>
      <c r="E1041" s="4"/>
      <c r="F1041" s="4"/>
      <c r="G1041" s="85">
        <f>IFERROR(__xludf.DUMMYFUNCTION("""COMPUTED_VALUE"""),45147.62986111111)</f>
        <v>45147.62986</v>
      </c>
      <c r="H1041" s="85" t="str">
        <f>IFERROR(__xludf.DUMMYFUNCTION("""COMPUTED_VALUE"""),"Estimate ")</f>
        <v>Estimate </v>
      </c>
      <c r="I1041" s="4" t="str">
        <f>IFERROR(__xludf.DUMMYFUNCTION("""COMPUTED_VALUE"""),"shivani")</f>
        <v>shivani</v>
      </c>
    </row>
    <row r="1042">
      <c r="A1042" s="85">
        <f>IFERROR(__xludf.DUMMYFUNCTION("""COMPUTED_VALUE"""),45146.78955193287)</f>
        <v>45146.78955</v>
      </c>
      <c r="B1042" s="4"/>
      <c r="C1042" s="4"/>
      <c r="D1042" s="4"/>
      <c r="E1042" s="4"/>
      <c r="F1042" s="4"/>
      <c r="G1042" s="85">
        <f>IFERROR(__xludf.DUMMYFUNCTION("""COMPUTED_VALUE"""),45148.788888888885)</f>
        <v>45148.78889</v>
      </c>
      <c r="H1042" s="85" t="str">
        <f>IFERROR(__xludf.DUMMYFUNCTION("""COMPUTED_VALUE"""),"Estimate ")</f>
        <v>Estimate </v>
      </c>
      <c r="I1042" s="4" t="str">
        <f>IFERROR(__xludf.DUMMYFUNCTION("""COMPUTED_VALUE"""),"shivani")</f>
        <v>shivani</v>
      </c>
    </row>
    <row r="1043">
      <c r="A1043" s="85">
        <f>IFERROR(__xludf.DUMMYFUNCTION("""COMPUTED_VALUE"""),45146.79242679398)</f>
        <v>45146.79243</v>
      </c>
      <c r="B1043" s="4"/>
      <c r="C1043" s="4"/>
      <c r="D1043" s="4"/>
      <c r="E1043" s="4"/>
      <c r="F1043" s="4"/>
      <c r="G1043" s="85">
        <f>IFERROR(__xludf.DUMMYFUNCTION("""COMPUTED_VALUE"""),45148.79236111111)</f>
        <v>45148.79236</v>
      </c>
      <c r="H1043" s="85" t="str">
        <f>IFERROR(__xludf.DUMMYFUNCTION("""COMPUTED_VALUE"""),"Estimate ")</f>
        <v>Estimate </v>
      </c>
      <c r="I1043" s="4" t="str">
        <f>IFERROR(__xludf.DUMMYFUNCTION("""COMPUTED_VALUE"""),"shivani")</f>
        <v>shivani</v>
      </c>
    </row>
    <row r="1044">
      <c r="A1044" s="85">
        <f>IFERROR(__xludf.DUMMYFUNCTION("""COMPUTED_VALUE"""),45149.48434653935)</f>
        <v>45149.48435</v>
      </c>
      <c r="B1044" s="4"/>
      <c r="C1044" s="4"/>
      <c r="D1044" s="4"/>
      <c r="E1044" s="4"/>
      <c r="F1044" s="4"/>
      <c r="G1044" s="85">
        <f>IFERROR(__xludf.DUMMYFUNCTION("""COMPUTED_VALUE"""),45151.48402777778)</f>
        <v>45151.48403</v>
      </c>
      <c r="H1044" s="85" t="str">
        <f>IFERROR(__xludf.DUMMYFUNCTION("""COMPUTED_VALUE"""),"Estimate ")</f>
        <v>Estimate </v>
      </c>
      <c r="I1044" s="4" t="str">
        <f>IFERROR(__xludf.DUMMYFUNCTION("""COMPUTED_VALUE"""),"shivani")</f>
        <v>shivani</v>
      </c>
    </row>
    <row r="1045">
      <c r="A1045" s="85">
        <f>IFERROR(__xludf.DUMMYFUNCTION("""COMPUTED_VALUE"""),45149.65626835648)</f>
        <v>45149.65627</v>
      </c>
      <c r="B1045" s="4"/>
      <c r="C1045" s="4"/>
      <c r="D1045" s="4"/>
      <c r="E1045" s="4"/>
      <c r="F1045" s="4"/>
      <c r="G1045" s="85">
        <f>IFERROR(__xludf.DUMMYFUNCTION("""COMPUTED_VALUE"""),45151.65625)</f>
        <v>45151.65625</v>
      </c>
      <c r="H1045" s="85" t="str">
        <f>IFERROR(__xludf.DUMMYFUNCTION("""COMPUTED_VALUE"""),"Estimate ")</f>
        <v>Estimate </v>
      </c>
      <c r="I1045" s="4" t="str">
        <f>IFERROR(__xludf.DUMMYFUNCTION("""COMPUTED_VALUE"""),"shivani")</f>
        <v>shivani</v>
      </c>
    </row>
    <row r="1046">
      <c r="A1046" s="85">
        <f>IFERROR(__xludf.DUMMYFUNCTION("""COMPUTED_VALUE"""),45150.62981391203)</f>
        <v>45150.62981</v>
      </c>
      <c r="B1046" s="4"/>
      <c r="C1046" s="4"/>
      <c r="D1046" s="4"/>
      <c r="E1046" s="4"/>
      <c r="F1046" s="4"/>
      <c r="G1046" s="85">
        <f>IFERROR(__xludf.DUMMYFUNCTION("""COMPUTED_VALUE"""),45153.629166666666)</f>
        <v>45153.62917</v>
      </c>
      <c r="H1046" s="85" t="str">
        <f>IFERROR(__xludf.DUMMYFUNCTION("""COMPUTED_VALUE"""),"Estimate ")</f>
        <v>Estimate </v>
      </c>
      <c r="I1046" s="4" t="str">
        <f>IFERROR(__xludf.DUMMYFUNCTION("""COMPUTED_VALUE"""),"shivani")</f>
        <v>shivani</v>
      </c>
    </row>
    <row r="1047">
      <c r="A1047" s="85">
        <f>IFERROR(__xludf.DUMMYFUNCTION("""COMPUTED_VALUE"""),45154.80569799768)</f>
        <v>45154.8057</v>
      </c>
      <c r="B1047" s="4"/>
      <c r="C1047" s="4"/>
      <c r="D1047" s="4"/>
      <c r="E1047" s="4"/>
      <c r="F1047" s="4"/>
      <c r="G1047" s="85">
        <f>IFERROR(__xludf.DUMMYFUNCTION("""COMPUTED_VALUE"""),45156.805555555555)</f>
        <v>45156.80556</v>
      </c>
      <c r="H1047" s="85" t="str">
        <f>IFERROR(__xludf.DUMMYFUNCTION("""COMPUTED_VALUE"""),"Estimate ")</f>
        <v>Estimate </v>
      </c>
      <c r="I1047" s="4" t="str">
        <f>IFERROR(__xludf.DUMMYFUNCTION("""COMPUTED_VALUE"""),"shivani")</f>
        <v>shivani</v>
      </c>
    </row>
    <row r="1048">
      <c r="A1048" s="85">
        <f>IFERROR(__xludf.DUMMYFUNCTION("""COMPUTED_VALUE"""),45154.80811006945)</f>
        <v>45154.80811</v>
      </c>
      <c r="B1048" s="4"/>
      <c r="C1048" s="4"/>
      <c r="D1048" s="4"/>
      <c r="E1048" s="4"/>
      <c r="F1048" s="4"/>
      <c r="G1048" s="85">
        <f>IFERROR(__xludf.DUMMYFUNCTION("""COMPUTED_VALUE"""),45156.80763888889)</f>
        <v>45156.80764</v>
      </c>
      <c r="H1048" s="85" t="str">
        <f>IFERROR(__xludf.DUMMYFUNCTION("""COMPUTED_VALUE"""),"Estimate ")</f>
        <v>Estimate </v>
      </c>
      <c r="I1048" s="4" t="str">
        <f>IFERROR(__xludf.DUMMYFUNCTION("""COMPUTED_VALUE"""),"shivani")</f>
        <v>shivani</v>
      </c>
    </row>
    <row r="1049">
      <c r="A1049" s="85">
        <f>IFERROR(__xludf.DUMMYFUNCTION("""COMPUTED_VALUE"""),45154.81032626158)</f>
        <v>45154.81033</v>
      </c>
      <c r="B1049" s="4"/>
      <c r="C1049" s="4"/>
      <c r="D1049" s="4"/>
      <c r="E1049" s="4"/>
      <c r="F1049" s="4"/>
      <c r="G1049" s="85">
        <f>IFERROR(__xludf.DUMMYFUNCTION("""COMPUTED_VALUE"""),45156.80972222222)</f>
        <v>45156.80972</v>
      </c>
      <c r="H1049" s="85" t="str">
        <f>IFERROR(__xludf.DUMMYFUNCTION("""COMPUTED_VALUE"""),"Estimate ")</f>
        <v>Estimate </v>
      </c>
      <c r="I1049" s="4" t="str">
        <f>IFERROR(__xludf.DUMMYFUNCTION("""COMPUTED_VALUE"""),"shivani")</f>
        <v>shivani</v>
      </c>
    </row>
    <row r="1050">
      <c r="A1050" s="85">
        <f>IFERROR(__xludf.DUMMYFUNCTION("""COMPUTED_VALUE"""),45155.77813291666)</f>
        <v>45155.77813</v>
      </c>
      <c r="B1050" s="4"/>
      <c r="C1050" s="4"/>
      <c r="D1050" s="4"/>
      <c r="E1050" s="4"/>
      <c r="F1050" s="4"/>
      <c r="G1050" s="85">
        <f>IFERROR(__xludf.DUMMYFUNCTION("""COMPUTED_VALUE"""),45157.77777777778)</f>
        <v>45157.77778</v>
      </c>
      <c r="H1050" s="85" t="str">
        <f>IFERROR(__xludf.DUMMYFUNCTION("""COMPUTED_VALUE"""),"Estimate ")</f>
        <v>Estimate </v>
      </c>
      <c r="I1050" s="4" t="str">
        <f>IFERROR(__xludf.DUMMYFUNCTION("""COMPUTED_VALUE"""),"shivani")</f>
        <v>shivani</v>
      </c>
    </row>
    <row r="1051">
      <c r="A1051" s="85">
        <f>IFERROR(__xludf.DUMMYFUNCTION("""COMPUTED_VALUE"""),45157.59433679398)</f>
        <v>45157.59434</v>
      </c>
      <c r="B1051" s="4"/>
      <c r="C1051" s="4"/>
      <c r="D1051" s="4"/>
      <c r="E1051" s="4"/>
      <c r="F1051" s="4"/>
      <c r="G1051" s="85">
        <f>IFERROR(__xludf.DUMMYFUNCTION("""COMPUTED_VALUE"""),45160.59375)</f>
        <v>45160.59375</v>
      </c>
      <c r="H1051" s="85" t="str">
        <f>IFERROR(__xludf.DUMMYFUNCTION("""COMPUTED_VALUE"""),"Estimate ")</f>
        <v>Estimate </v>
      </c>
      <c r="I1051" s="4" t="str">
        <f>IFERROR(__xludf.DUMMYFUNCTION("""COMPUTED_VALUE"""),"shivani")</f>
        <v>shivani</v>
      </c>
    </row>
    <row r="1052">
      <c r="A1052" s="85">
        <f>IFERROR(__xludf.DUMMYFUNCTION("""COMPUTED_VALUE"""),45158.489477916664)</f>
        <v>45158.48948</v>
      </c>
      <c r="B1052" s="4"/>
      <c r="C1052" s="4"/>
      <c r="D1052" s="4"/>
      <c r="E1052" s="4"/>
      <c r="F1052" s="4"/>
      <c r="G1052" s="85">
        <f>IFERROR(__xludf.DUMMYFUNCTION("""COMPUTED_VALUE"""),45161.48888888889)</f>
        <v>45161.48889</v>
      </c>
      <c r="H1052" s="85" t="str">
        <f>IFERROR(__xludf.DUMMYFUNCTION("""COMPUTED_VALUE"""),"Estimate ")</f>
        <v>Estimate </v>
      </c>
      <c r="I1052" s="4" t="str">
        <f>IFERROR(__xludf.DUMMYFUNCTION("""COMPUTED_VALUE"""),"shivani")</f>
        <v>shivani</v>
      </c>
    </row>
    <row r="1053">
      <c r="A1053" s="85">
        <f>IFERROR(__xludf.DUMMYFUNCTION("""COMPUTED_VALUE"""),45160.612379548606)</f>
        <v>45160.61238</v>
      </c>
      <c r="B1053" s="4"/>
      <c r="C1053" s="4"/>
      <c r="D1053" s="4"/>
      <c r="E1053" s="4"/>
      <c r="F1053" s="4"/>
      <c r="G1053" s="85">
        <f>IFERROR(__xludf.DUMMYFUNCTION("""COMPUTED_VALUE"""),45162.611805555556)</f>
        <v>45162.61181</v>
      </c>
      <c r="H1053" s="85" t="str">
        <f>IFERROR(__xludf.DUMMYFUNCTION("""COMPUTED_VALUE"""),"Estimate ")</f>
        <v>Estimate </v>
      </c>
      <c r="I1053" s="4" t="str">
        <f>IFERROR(__xludf.DUMMYFUNCTION("""COMPUTED_VALUE"""),"shivani")</f>
        <v>shivani</v>
      </c>
    </row>
    <row r="1054">
      <c r="A1054" s="85">
        <f>IFERROR(__xludf.DUMMYFUNCTION("""COMPUTED_VALUE"""),45163.495249872685)</f>
        <v>45163.49525</v>
      </c>
      <c r="B1054" s="4"/>
      <c r="C1054" s="4"/>
      <c r="D1054" s="4"/>
      <c r="E1054" s="4"/>
      <c r="F1054" s="4"/>
      <c r="G1054" s="85">
        <f>IFERROR(__xludf.DUMMYFUNCTION("""COMPUTED_VALUE"""),45165.49513888889)</f>
        <v>45165.49514</v>
      </c>
      <c r="H1054" s="85" t="str">
        <f>IFERROR(__xludf.DUMMYFUNCTION("""COMPUTED_VALUE"""),"Estimate ")</f>
        <v>Estimate </v>
      </c>
      <c r="I1054" s="4" t="str">
        <f>IFERROR(__xludf.DUMMYFUNCTION("""COMPUTED_VALUE"""),"shivani")</f>
        <v>shivani</v>
      </c>
    </row>
    <row r="1055">
      <c r="A1055" s="85">
        <f>IFERROR(__xludf.DUMMYFUNCTION("""COMPUTED_VALUE"""),45167.51876219907)</f>
        <v>45167.51876</v>
      </c>
      <c r="B1055" s="4"/>
      <c r="C1055" s="4"/>
      <c r="D1055" s="4"/>
      <c r="E1055" s="4"/>
      <c r="F1055" s="4"/>
      <c r="G1055" s="85">
        <f>IFERROR(__xludf.DUMMYFUNCTION("""COMPUTED_VALUE"""),45169.51875)</f>
        <v>45169.51875</v>
      </c>
      <c r="H1055" s="85" t="str">
        <f>IFERROR(__xludf.DUMMYFUNCTION("""COMPUTED_VALUE"""),"Estimate ")</f>
        <v>Estimate </v>
      </c>
      <c r="I1055" s="4" t="str">
        <f>IFERROR(__xludf.DUMMYFUNCTION("""COMPUTED_VALUE"""),"shivani")</f>
        <v>shivani</v>
      </c>
    </row>
    <row r="1056">
      <c r="A1056" s="85">
        <f>IFERROR(__xludf.DUMMYFUNCTION("""COMPUTED_VALUE"""),45167.539175185186)</f>
        <v>45167.53918</v>
      </c>
      <c r="B1056" s="4"/>
      <c r="C1056" s="4"/>
      <c r="D1056" s="4"/>
      <c r="E1056" s="4"/>
      <c r="F1056" s="4"/>
      <c r="G1056" s="85">
        <f>IFERROR(__xludf.DUMMYFUNCTION("""COMPUTED_VALUE"""),45169.538888888885)</f>
        <v>45169.53889</v>
      </c>
      <c r="H1056" s="85" t="str">
        <f>IFERROR(__xludf.DUMMYFUNCTION("""COMPUTED_VALUE"""),"Estimate ")</f>
        <v>Estimate </v>
      </c>
      <c r="I1056" s="4" t="str">
        <f>IFERROR(__xludf.DUMMYFUNCTION("""COMPUTED_VALUE"""),"shivani")</f>
        <v>shivani</v>
      </c>
    </row>
    <row r="1057">
      <c r="A1057" s="85">
        <f>IFERROR(__xludf.DUMMYFUNCTION("""COMPUTED_VALUE"""),45167.55873478009)</f>
        <v>45167.55873</v>
      </c>
      <c r="B1057" s="4"/>
      <c r="C1057" s="4"/>
      <c r="D1057" s="4"/>
      <c r="E1057" s="4"/>
      <c r="F1057" s="4"/>
      <c r="G1057" s="85">
        <f>IFERROR(__xludf.DUMMYFUNCTION("""COMPUTED_VALUE"""),45169.558333333334)</f>
        <v>45169.55833</v>
      </c>
      <c r="H1057" s="85" t="str">
        <f>IFERROR(__xludf.DUMMYFUNCTION("""COMPUTED_VALUE"""),"Estimate ")</f>
        <v>Estimate </v>
      </c>
      <c r="I1057" s="4" t="str">
        <f>IFERROR(__xludf.DUMMYFUNCTION("""COMPUTED_VALUE"""),"shivani")</f>
        <v>shivani</v>
      </c>
    </row>
    <row r="1058">
      <c r="A1058" s="85">
        <f>IFERROR(__xludf.DUMMYFUNCTION("""COMPUTED_VALUE"""),45168.528310428235)</f>
        <v>45168.52831</v>
      </c>
      <c r="B1058" s="4"/>
      <c r="C1058" s="4"/>
      <c r="D1058" s="4"/>
      <c r="E1058" s="4"/>
      <c r="F1058" s="4"/>
      <c r="G1058" s="85">
        <f>IFERROR(__xludf.DUMMYFUNCTION("""COMPUTED_VALUE"""),45170.52777777778)</f>
        <v>45170.52778</v>
      </c>
      <c r="H1058" s="85" t="str">
        <f>IFERROR(__xludf.DUMMYFUNCTION("""COMPUTED_VALUE"""),"Estimate ")</f>
        <v>Estimate </v>
      </c>
      <c r="I1058" s="4" t="str">
        <f>IFERROR(__xludf.DUMMYFUNCTION("""COMPUTED_VALUE"""),"shivani")</f>
        <v>shivani</v>
      </c>
    </row>
    <row r="1059">
      <c r="A1059" s="85">
        <f>IFERROR(__xludf.DUMMYFUNCTION("""COMPUTED_VALUE"""),45170.54131465278)</f>
        <v>45170.54131</v>
      </c>
      <c r="B1059" s="4"/>
      <c r="C1059" s="4"/>
      <c r="D1059" s="4"/>
      <c r="E1059" s="4"/>
      <c r="F1059" s="4"/>
      <c r="G1059" s="85">
        <f>IFERROR(__xludf.DUMMYFUNCTION("""COMPUTED_VALUE"""),45172.540972222225)</f>
        <v>45172.54097</v>
      </c>
      <c r="H1059" s="85" t="str">
        <f>IFERROR(__xludf.DUMMYFUNCTION("""COMPUTED_VALUE"""),"Estimate ")</f>
        <v>Estimate </v>
      </c>
      <c r="I1059" s="4" t="str">
        <f>IFERROR(__xludf.DUMMYFUNCTION("""COMPUTED_VALUE"""),"shivani")</f>
        <v>shivani</v>
      </c>
    </row>
    <row r="1060">
      <c r="A1060" s="85">
        <f>IFERROR(__xludf.DUMMYFUNCTION("""COMPUTED_VALUE"""),45174.79948401621)</f>
        <v>45174.79948</v>
      </c>
      <c r="B1060" s="4"/>
      <c r="C1060" s="4"/>
      <c r="D1060" s="4"/>
      <c r="E1060" s="4"/>
      <c r="F1060" s="4"/>
      <c r="G1060" s="85">
        <f>IFERROR(__xludf.DUMMYFUNCTION("""COMPUTED_VALUE"""),45176.799305555556)</f>
        <v>45176.79931</v>
      </c>
      <c r="H1060" s="85" t="str">
        <f>IFERROR(__xludf.DUMMYFUNCTION("""COMPUTED_VALUE"""),"Estimate ")</f>
        <v>Estimate </v>
      </c>
      <c r="I1060" s="4" t="str">
        <f>IFERROR(__xludf.DUMMYFUNCTION("""COMPUTED_VALUE"""),"shivani")</f>
        <v>shivani</v>
      </c>
    </row>
    <row r="1061">
      <c r="A1061" s="85">
        <f>IFERROR(__xludf.DUMMYFUNCTION("""COMPUTED_VALUE"""),45175.72137157407)</f>
        <v>45175.72137</v>
      </c>
      <c r="B1061" s="4"/>
      <c r="C1061" s="4"/>
      <c r="D1061" s="4"/>
      <c r="E1061" s="4"/>
      <c r="F1061" s="4"/>
      <c r="G1061" s="85">
        <f>IFERROR(__xludf.DUMMYFUNCTION("""COMPUTED_VALUE"""),45177.72083333333)</f>
        <v>45177.72083</v>
      </c>
      <c r="H1061" s="85" t="str">
        <f>IFERROR(__xludf.DUMMYFUNCTION("""COMPUTED_VALUE"""),"Estimate ")</f>
        <v>Estimate </v>
      </c>
      <c r="I1061" s="4" t="str">
        <f>IFERROR(__xludf.DUMMYFUNCTION("""COMPUTED_VALUE"""),"shivani")</f>
        <v>shivani</v>
      </c>
    </row>
    <row r="1062">
      <c r="A1062" s="85">
        <f>IFERROR(__xludf.DUMMYFUNCTION("""COMPUTED_VALUE"""),45184.5087656713)</f>
        <v>45184.50877</v>
      </c>
      <c r="B1062" s="4"/>
      <c r="C1062" s="4"/>
      <c r="D1062" s="4"/>
      <c r="E1062" s="4"/>
      <c r="F1062" s="4"/>
      <c r="G1062" s="85">
        <f>IFERROR(__xludf.DUMMYFUNCTION("""COMPUTED_VALUE"""),45186.50833333333)</f>
        <v>45186.50833</v>
      </c>
      <c r="H1062" s="85" t="str">
        <f>IFERROR(__xludf.DUMMYFUNCTION("""COMPUTED_VALUE"""),"Estimate ")</f>
        <v>Estimate </v>
      </c>
      <c r="I1062" s="4" t="str">
        <f>IFERROR(__xludf.DUMMYFUNCTION("""COMPUTED_VALUE"""),"shivani")</f>
        <v>shivani</v>
      </c>
    </row>
    <row r="1063">
      <c r="A1063" s="85">
        <f>IFERROR(__xludf.DUMMYFUNCTION("""COMPUTED_VALUE"""),45184.519578217594)</f>
        <v>45184.51958</v>
      </c>
      <c r="B1063" s="4"/>
      <c r="C1063" s="4"/>
      <c r="D1063" s="4"/>
      <c r="E1063" s="4"/>
      <c r="F1063" s="4"/>
      <c r="G1063" s="85">
        <f>IFERROR(__xludf.DUMMYFUNCTION("""COMPUTED_VALUE"""),45186.51944444445)</f>
        <v>45186.51944</v>
      </c>
      <c r="H1063" s="85" t="str">
        <f>IFERROR(__xludf.DUMMYFUNCTION("""COMPUTED_VALUE"""),"Estimate ")</f>
        <v>Estimate </v>
      </c>
      <c r="I1063" s="4" t="str">
        <f>IFERROR(__xludf.DUMMYFUNCTION("""COMPUTED_VALUE"""),"shivani")</f>
        <v>shivani</v>
      </c>
    </row>
    <row r="1064">
      <c r="A1064" s="85">
        <f>IFERROR(__xludf.DUMMYFUNCTION("""COMPUTED_VALUE"""),45184.52167609954)</f>
        <v>45184.52168</v>
      </c>
      <c r="B1064" s="4"/>
      <c r="C1064" s="4"/>
      <c r="D1064" s="4"/>
      <c r="E1064" s="4"/>
      <c r="F1064" s="4"/>
      <c r="G1064" s="85">
        <f>IFERROR(__xludf.DUMMYFUNCTION("""COMPUTED_VALUE"""),45186.521527777775)</f>
        <v>45186.52153</v>
      </c>
      <c r="H1064" s="85" t="str">
        <f>IFERROR(__xludf.DUMMYFUNCTION("""COMPUTED_VALUE"""),"Estimate ")</f>
        <v>Estimate </v>
      </c>
      <c r="I1064" s="4" t="str">
        <f>IFERROR(__xludf.DUMMYFUNCTION("""COMPUTED_VALUE"""),"shivani")</f>
        <v>shivani</v>
      </c>
    </row>
    <row r="1065">
      <c r="A1065" s="85">
        <f>IFERROR(__xludf.DUMMYFUNCTION("""COMPUTED_VALUE"""),45184.539257337965)</f>
        <v>45184.53926</v>
      </c>
      <c r="B1065" s="4"/>
      <c r="C1065" s="4"/>
      <c r="D1065" s="4"/>
      <c r="E1065" s="4"/>
      <c r="F1065" s="4"/>
      <c r="G1065" s="85">
        <f>IFERROR(__xludf.DUMMYFUNCTION("""COMPUTED_VALUE"""),45186.538888888885)</f>
        <v>45186.53889</v>
      </c>
      <c r="H1065" s="85" t="str">
        <f>IFERROR(__xludf.DUMMYFUNCTION("""COMPUTED_VALUE"""),"Estimate ")</f>
        <v>Estimate </v>
      </c>
      <c r="I1065" s="4" t="str">
        <f>IFERROR(__xludf.DUMMYFUNCTION("""COMPUTED_VALUE"""),"shivani")</f>
        <v>shivani</v>
      </c>
    </row>
    <row r="1066">
      <c r="A1066" s="85">
        <f>IFERROR(__xludf.DUMMYFUNCTION("""COMPUTED_VALUE"""),45184.555018680556)</f>
        <v>45184.55502</v>
      </c>
      <c r="B1066" s="4"/>
      <c r="C1066" s="4"/>
      <c r="D1066" s="4"/>
      <c r="E1066" s="4"/>
      <c r="F1066" s="4"/>
      <c r="G1066" s="85">
        <f>IFERROR(__xludf.DUMMYFUNCTION("""COMPUTED_VALUE"""),45186.554861111115)</f>
        <v>45186.55486</v>
      </c>
      <c r="H1066" s="85" t="str">
        <f>IFERROR(__xludf.DUMMYFUNCTION("""COMPUTED_VALUE"""),"Estimate ")</f>
        <v>Estimate </v>
      </c>
      <c r="I1066" s="4" t="str">
        <f>IFERROR(__xludf.DUMMYFUNCTION("""COMPUTED_VALUE"""),"shivani")</f>
        <v>shivani</v>
      </c>
    </row>
    <row r="1067">
      <c r="A1067" s="85">
        <f>IFERROR(__xludf.DUMMYFUNCTION("""COMPUTED_VALUE"""),45184.55929478009)</f>
        <v>45184.55929</v>
      </c>
      <c r="B1067" s="4"/>
      <c r="C1067" s="4"/>
      <c r="D1067" s="4"/>
      <c r="E1067" s="4"/>
      <c r="F1067" s="4"/>
      <c r="G1067" s="85">
        <f>IFERROR(__xludf.DUMMYFUNCTION("""COMPUTED_VALUE"""),45186.55902777778)</f>
        <v>45186.55903</v>
      </c>
      <c r="H1067" s="85" t="str">
        <f>IFERROR(__xludf.DUMMYFUNCTION("""COMPUTED_VALUE"""),"Estimate ")</f>
        <v>Estimate </v>
      </c>
      <c r="I1067" s="4" t="str">
        <f>IFERROR(__xludf.DUMMYFUNCTION("""COMPUTED_VALUE"""),"shivani")</f>
        <v>shivani</v>
      </c>
    </row>
    <row r="1068">
      <c r="A1068" s="85">
        <f>IFERROR(__xludf.DUMMYFUNCTION("""COMPUTED_VALUE"""),45212.826936006946)</f>
        <v>45212.82694</v>
      </c>
      <c r="B1068" s="4"/>
      <c r="C1068" s="4"/>
      <c r="D1068" s="4"/>
      <c r="E1068" s="4"/>
      <c r="F1068" s="4"/>
      <c r="G1068" s="85">
        <f>IFERROR(__xludf.DUMMYFUNCTION("""COMPUTED_VALUE"""),45214.82638888889)</f>
        <v>45214.82639</v>
      </c>
      <c r="H1068" s="85" t="str">
        <f>IFERROR(__xludf.DUMMYFUNCTION("""COMPUTED_VALUE"""),"Estimate ")</f>
        <v>Estimate </v>
      </c>
      <c r="I1068" s="4" t="str">
        <f>IFERROR(__xludf.DUMMYFUNCTION("""COMPUTED_VALUE"""),"shivani")</f>
        <v>shivani</v>
      </c>
    </row>
    <row r="1069">
      <c r="A1069" s="85">
        <f>IFERROR(__xludf.DUMMYFUNCTION("""COMPUTED_VALUE"""),45231.65193384259)</f>
        <v>45231.65193</v>
      </c>
      <c r="B1069" s="4"/>
      <c r="C1069" s="4"/>
      <c r="D1069" s="4"/>
      <c r="E1069" s="4"/>
      <c r="F1069" s="4"/>
      <c r="G1069" s="85">
        <f>IFERROR(__xludf.DUMMYFUNCTION("""COMPUTED_VALUE"""),45233.65138888889)</f>
        <v>45233.65139</v>
      </c>
      <c r="H1069" s="85" t="str">
        <f>IFERROR(__xludf.DUMMYFUNCTION("""COMPUTED_VALUE"""),"Estimate ")</f>
        <v>Estimate </v>
      </c>
      <c r="I1069" s="4" t="str">
        <f>IFERROR(__xludf.DUMMYFUNCTION("""COMPUTED_VALUE"""),"shivani")</f>
        <v>shivani</v>
      </c>
    </row>
    <row r="1070">
      <c r="A1070" s="85">
        <f>IFERROR(__xludf.DUMMYFUNCTION("""COMPUTED_VALUE"""),45231.66718464121)</f>
        <v>45231.66718</v>
      </c>
      <c r="B1070" s="4"/>
      <c r="C1070" s="4"/>
      <c r="D1070" s="4"/>
      <c r="E1070" s="4"/>
      <c r="F1070" s="4"/>
      <c r="G1070" s="85">
        <f>IFERROR(__xludf.DUMMYFUNCTION("""COMPUTED_VALUE"""),45233.66666666667)</f>
        <v>45233.66667</v>
      </c>
      <c r="H1070" s="85" t="str">
        <f>IFERROR(__xludf.DUMMYFUNCTION("""COMPUTED_VALUE"""),"Estimate ")</f>
        <v>Estimate </v>
      </c>
      <c r="I1070" s="4" t="str">
        <f>IFERROR(__xludf.DUMMYFUNCTION("""COMPUTED_VALUE"""),"shivani")</f>
        <v>shivani</v>
      </c>
    </row>
    <row r="1071">
      <c r="A1071" s="85">
        <f>IFERROR(__xludf.DUMMYFUNCTION("""COMPUTED_VALUE"""),45231.67400883102)</f>
        <v>45231.67401</v>
      </c>
      <c r="B1071" s="4"/>
      <c r="C1071" s="4"/>
      <c r="D1071" s="4"/>
      <c r="E1071" s="4"/>
      <c r="F1071" s="4"/>
      <c r="G1071" s="85">
        <f>IFERROR(__xludf.DUMMYFUNCTION("""COMPUTED_VALUE"""),45233.67361111111)</f>
        <v>45233.67361</v>
      </c>
      <c r="H1071" s="85" t="str">
        <f>IFERROR(__xludf.DUMMYFUNCTION("""COMPUTED_VALUE"""),"Estimate ")</f>
        <v>Estimate </v>
      </c>
      <c r="I1071" s="4" t="str">
        <f>IFERROR(__xludf.DUMMYFUNCTION("""COMPUTED_VALUE"""),"shivani")</f>
        <v>shivani</v>
      </c>
    </row>
    <row r="1072">
      <c r="A1072" s="85">
        <f>IFERROR(__xludf.DUMMYFUNCTION("""COMPUTED_VALUE"""),45231.69381135416)</f>
        <v>45231.69381</v>
      </c>
      <c r="B1072" s="4"/>
      <c r="C1072" s="4"/>
      <c r="D1072" s="4"/>
      <c r="E1072" s="4"/>
      <c r="F1072" s="4"/>
      <c r="G1072" s="85">
        <f>IFERROR(__xludf.DUMMYFUNCTION("""COMPUTED_VALUE"""),45233.69375)</f>
        <v>45233.69375</v>
      </c>
      <c r="H1072" s="85" t="str">
        <f>IFERROR(__xludf.DUMMYFUNCTION("""COMPUTED_VALUE"""),"Estimate ")</f>
        <v>Estimate </v>
      </c>
      <c r="I1072" s="4" t="str">
        <f>IFERROR(__xludf.DUMMYFUNCTION("""COMPUTED_VALUE"""),"shivani")</f>
        <v>shivani</v>
      </c>
    </row>
    <row r="1073">
      <c r="A1073" s="85">
        <f>IFERROR(__xludf.DUMMYFUNCTION("""COMPUTED_VALUE"""),45232.70373228009)</f>
        <v>45232.70373</v>
      </c>
      <c r="B1073" s="4"/>
      <c r="C1073" s="4"/>
      <c r="D1073" s="4"/>
      <c r="E1073" s="4"/>
      <c r="F1073" s="4"/>
      <c r="G1073" s="85">
        <f>IFERROR(__xludf.DUMMYFUNCTION("""COMPUTED_VALUE"""),45234.70347222222)</f>
        <v>45234.70347</v>
      </c>
      <c r="H1073" s="85" t="str">
        <f>IFERROR(__xludf.DUMMYFUNCTION("""COMPUTED_VALUE"""),"Estimate ")</f>
        <v>Estimate </v>
      </c>
      <c r="I1073" s="4" t="str">
        <f>IFERROR(__xludf.DUMMYFUNCTION("""COMPUTED_VALUE"""),"shivani")</f>
        <v>shivani</v>
      </c>
    </row>
    <row r="1074">
      <c r="A1074" s="85">
        <f>IFERROR(__xludf.DUMMYFUNCTION("""COMPUTED_VALUE"""),45232.76113398148)</f>
        <v>45232.76113</v>
      </c>
      <c r="B1074" s="4"/>
      <c r="C1074" s="4"/>
      <c r="D1074" s="4"/>
      <c r="E1074" s="4"/>
      <c r="F1074" s="4"/>
      <c r="G1074" s="85">
        <f>IFERROR(__xludf.DUMMYFUNCTION("""COMPUTED_VALUE"""),45234.76111111111)</f>
        <v>45234.76111</v>
      </c>
      <c r="H1074" s="85" t="str">
        <f>IFERROR(__xludf.DUMMYFUNCTION("""COMPUTED_VALUE"""),"Estimate ")</f>
        <v>Estimate </v>
      </c>
      <c r="I1074" s="4" t="str">
        <f>IFERROR(__xludf.DUMMYFUNCTION("""COMPUTED_VALUE"""),"shivani")</f>
        <v>shivani</v>
      </c>
    </row>
    <row r="1075">
      <c r="A1075" s="85">
        <f>IFERROR(__xludf.DUMMYFUNCTION("""COMPUTED_VALUE"""),45233.491173020826)</f>
        <v>45233.49117</v>
      </c>
      <c r="B1075" s="4"/>
      <c r="C1075" s="4"/>
      <c r="D1075" s="4"/>
      <c r="E1075" s="4"/>
      <c r="F1075" s="4"/>
      <c r="G1075" s="85">
        <f>IFERROR(__xludf.DUMMYFUNCTION("""COMPUTED_VALUE"""),45235.49097222222)</f>
        <v>45235.49097</v>
      </c>
      <c r="H1075" s="85" t="str">
        <f>IFERROR(__xludf.DUMMYFUNCTION("""COMPUTED_VALUE"""),"Estimate ")</f>
        <v>Estimate </v>
      </c>
      <c r="I1075" s="4" t="str">
        <f>IFERROR(__xludf.DUMMYFUNCTION("""COMPUTED_VALUE"""),"shivani")</f>
        <v>shivani</v>
      </c>
    </row>
    <row r="1076">
      <c r="A1076" s="85">
        <f>IFERROR(__xludf.DUMMYFUNCTION("""COMPUTED_VALUE"""),45233.4942599537)</f>
        <v>45233.49426</v>
      </c>
      <c r="B1076" s="4"/>
      <c r="C1076" s="4"/>
      <c r="D1076" s="4"/>
      <c r="E1076" s="4"/>
      <c r="F1076" s="4"/>
      <c r="G1076" s="85">
        <f>IFERROR(__xludf.DUMMYFUNCTION("""COMPUTED_VALUE"""),45235.49375)</f>
        <v>45235.49375</v>
      </c>
      <c r="H1076" s="85" t="str">
        <f>IFERROR(__xludf.DUMMYFUNCTION("""COMPUTED_VALUE"""),"Estimate ")</f>
        <v>Estimate </v>
      </c>
      <c r="I1076" s="4" t="str">
        <f>IFERROR(__xludf.DUMMYFUNCTION("""COMPUTED_VALUE"""),"shivani")</f>
        <v>shivani</v>
      </c>
    </row>
    <row r="1077">
      <c r="A1077" s="85">
        <f>IFERROR(__xludf.DUMMYFUNCTION("""COMPUTED_VALUE"""),45233.49948655093)</f>
        <v>45233.49949</v>
      </c>
      <c r="B1077" s="4"/>
      <c r="C1077" s="4"/>
      <c r="D1077" s="4"/>
      <c r="E1077" s="4"/>
      <c r="F1077" s="4"/>
      <c r="G1077" s="85">
        <f>IFERROR(__xludf.DUMMYFUNCTION("""COMPUTED_VALUE"""),45235.49930555555)</f>
        <v>45235.49931</v>
      </c>
      <c r="H1077" s="85" t="str">
        <f>IFERROR(__xludf.DUMMYFUNCTION("""COMPUTED_VALUE"""),"Estimate ")</f>
        <v>Estimate </v>
      </c>
      <c r="I1077" s="4" t="str">
        <f>IFERROR(__xludf.DUMMYFUNCTION("""COMPUTED_VALUE"""),"shivani")</f>
        <v>shivani</v>
      </c>
    </row>
    <row r="1078">
      <c r="A1078" s="85">
        <f>IFERROR(__xludf.DUMMYFUNCTION("""COMPUTED_VALUE"""),45233.573081793984)</f>
        <v>45233.57308</v>
      </c>
      <c r="B1078" s="4"/>
      <c r="C1078" s="4"/>
      <c r="D1078" s="4"/>
      <c r="E1078" s="4"/>
      <c r="F1078" s="4"/>
      <c r="G1078" s="85">
        <f>IFERROR(__xludf.DUMMYFUNCTION("""COMPUTED_VALUE"""),45235.57291666667)</f>
        <v>45235.57292</v>
      </c>
      <c r="H1078" s="85" t="str">
        <f>IFERROR(__xludf.DUMMYFUNCTION("""COMPUTED_VALUE"""),"Estimate ")</f>
        <v>Estimate </v>
      </c>
      <c r="I1078" s="4" t="str">
        <f>IFERROR(__xludf.DUMMYFUNCTION("""COMPUTED_VALUE"""),"shivani")</f>
        <v>shivani</v>
      </c>
    </row>
    <row r="1079">
      <c r="A1079" s="85">
        <f>IFERROR(__xludf.DUMMYFUNCTION("""COMPUTED_VALUE"""),45233.647371018524)</f>
        <v>45233.64737</v>
      </c>
      <c r="B1079" s="4"/>
      <c r="C1079" s="4"/>
      <c r="D1079" s="4"/>
      <c r="E1079" s="4"/>
      <c r="F1079" s="4"/>
      <c r="G1079" s="85">
        <f>IFERROR(__xludf.DUMMYFUNCTION("""COMPUTED_VALUE"""),45235.64722222222)</f>
        <v>45235.64722</v>
      </c>
      <c r="H1079" s="85" t="str">
        <f>IFERROR(__xludf.DUMMYFUNCTION("""COMPUTED_VALUE"""),"Estimate ")</f>
        <v>Estimate </v>
      </c>
      <c r="I1079" s="4" t="str">
        <f>IFERROR(__xludf.DUMMYFUNCTION("""COMPUTED_VALUE"""),"shivani")</f>
        <v>shivani</v>
      </c>
    </row>
    <row r="1080">
      <c r="A1080" s="85">
        <f>IFERROR(__xludf.DUMMYFUNCTION("""COMPUTED_VALUE"""),45233.64960077546)</f>
        <v>45233.6496</v>
      </c>
      <c r="B1080" s="4"/>
      <c r="C1080" s="4"/>
      <c r="D1080" s="4"/>
      <c r="E1080" s="4"/>
      <c r="F1080" s="4"/>
      <c r="G1080" s="85">
        <f>IFERROR(__xludf.DUMMYFUNCTION("""COMPUTED_VALUE"""),45235.649305555555)</f>
        <v>45235.64931</v>
      </c>
      <c r="H1080" s="85" t="str">
        <f>IFERROR(__xludf.DUMMYFUNCTION("""COMPUTED_VALUE"""),"Estimate ")</f>
        <v>Estimate </v>
      </c>
      <c r="I1080" s="4" t="str">
        <f>IFERROR(__xludf.DUMMYFUNCTION("""COMPUTED_VALUE"""),"shivani")</f>
        <v>shivani</v>
      </c>
    </row>
    <row r="1081">
      <c r="A1081" s="85">
        <f>IFERROR(__xludf.DUMMYFUNCTION("""COMPUTED_VALUE"""),45233.65159188658)</f>
        <v>45233.65159</v>
      </c>
      <c r="B1081" s="4"/>
      <c r="C1081" s="4"/>
      <c r="D1081" s="4"/>
      <c r="E1081" s="4"/>
      <c r="F1081" s="4"/>
      <c r="G1081" s="85">
        <f>IFERROR(__xludf.DUMMYFUNCTION("""COMPUTED_VALUE"""),45235.65138888889)</f>
        <v>45235.65139</v>
      </c>
      <c r="H1081" s="85" t="str">
        <f>IFERROR(__xludf.DUMMYFUNCTION("""COMPUTED_VALUE"""),"Estimate ")</f>
        <v>Estimate </v>
      </c>
      <c r="I1081" s="4" t="str">
        <f>IFERROR(__xludf.DUMMYFUNCTION("""COMPUTED_VALUE"""),"shivani")</f>
        <v>shivani</v>
      </c>
    </row>
    <row r="1082">
      <c r="A1082" s="85">
        <f>IFERROR(__xludf.DUMMYFUNCTION("""COMPUTED_VALUE"""),45233.65308631944)</f>
        <v>45233.65309</v>
      </c>
      <c r="B1082" s="4"/>
      <c r="C1082" s="4"/>
      <c r="D1082" s="4"/>
      <c r="E1082" s="4"/>
      <c r="F1082" s="4"/>
      <c r="G1082" s="85">
        <f>IFERROR(__xludf.DUMMYFUNCTION("""COMPUTED_VALUE"""),45235.65277777778)</f>
        <v>45235.65278</v>
      </c>
      <c r="H1082" s="85" t="str">
        <f>IFERROR(__xludf.DUMMYFUNCTION("""COMPUTED_VALUE"""),"Estimate ")</f>
        <v>Estimate </v>
      </c>
      <c r="I1082" s="4" t="str">
        <f>IFERROR(__xludf.DUMMYFUNCTION("""COMPUTED_VALUE"""),"shivani")</f>
        <v>shivani</v>
      </c>
    </row>
    <row r="1083">
      <c r="A1083" s="85">
        <f>IFERROR(__xludf.DUMMYFUNCTION("""COMPUTED_VALUE"""),45233.668798391205)</f>
        <v>45233.6688</v>
      </c>
      <c r="B1083" s="4"/>
      <c r="C1083" s="4"/>
      <c r="D1083" s="4"/>
      <c r="E1083" s="4"/>
      <c r="F1083" s="4"/>
      <c r="G1083" s="85">
        <f>IFERROR(__xludf.DUMMYFUNCTION("""COMPUTED_VALUE"""),45235.66875)</f>
        <v>45235.66875</v>
      </c>
      <c r="H1083" s="85" t="str">
        <f>IFERROR(__xludf.DUMMYFUNCTION("""COMPUTED_VALUE"""),"Estimate ")</f>
        <v>Estimate </v>
      </c>
      <c r="I1083" s="4" t="str">
        <f>IFERROR(__xludf.DUMMYFUNCTION("""COMPUTED_VALUE"""),"shivani")</f>
        <v>shivani</v>
      </c>
    </row>
    <row r="1084">
      <c r="A1084" s="85">
        <f>IFERROR(__xludf.DUMMYFUNCTION("""COMPUTED_VALUE"""),45233.67780953704)</f>
        <v>45233.67781</v>
      </c>
      <c r="B1084" s="4"/>
      <c r="C1084" s="4"/>
      <c r="D1084" s="4"/>
      <c r="E1084" s="4"/>
      <c r="F1084" s="4"/>
      <c r="G1084" s="85">
        <f>IFERROR(__xludf.DUMMYFUNCTION("""COMPUTED_VALUE"""),45235.677777777775)</f>
        <v>45235.67778</v>
      </c>
      <c r="H1084" s="85" t="str">
        <f>IFERROR(__xludf.DUMMYFUNCTION("""COMPUTED_VALUE"""),"Estimate ")</f>
        <v>Estimate </v>
      </c>
      <c r="I1084" s="4" t="str">
        <f>IFERROR(__xludf.DUMMYFUNCTION("""COMPUTED_VALUE"""),"shivani")</f>
        <v>shivani</v>
      </c>
    </row>
    <row r="1085">
      <c r="A1085" s="85">
        <f>IFERROR(__xludf.DUMMYFUNCTION("""COMPUTED_VALUE"""),45233.68164461805)</f>
        <v>45233.68164</v>
      </c>
      <c r="B1085" s="4"/>
      <c r="C1085" s="4"/>
      <c r="D1085" s="4"/>
      <c r="E1085" s="4"/>
      <c r="F1085" s="4"/>
      <c r="G1085" s="85">
        <f>IFERROR(__xludf.DUMMYFUNCTION("""COMPUTED_VALUE"""),45235.68125)</f>
        <v>45235.68125</v>
      </c>
      <c r="H1085" s="85" t="str">
        <f>IFERROR(__xludf.DUMMYFUNCTION("""COMPUTED_VALUE"""),"Estimate ")</f>
        <v>Estimate </v>
      </c>
      <c r="I1085" s="4" t="str">
        <f>IFERROR(__xludf.DUMMYFUNCTION("""COMPUTED_VALUE"""),"shivani")</f>
        <v>shivani</v>
      </c>
    </row>
    <row r="1086">
      <c r="A1086" s="85">
        <f>IFERROR(__xludf.DUMMYFUNCTION("""COMPUTED_VALUE"""),45235.67948952546)</f>
        <v>45235.67949</v>
      </c>
      <c r="B1086" s="4"/>
      <c r="C1086" s="4"/>
      <c r="D1086" s="4"/>
      <c r="E1086" s="4"/>
      <c r="F1086" s="4"/>
      <c r="G1086" s="85">
        <f>IFERROR(__xludf.DUMMYFUNCTION("""COMPUTED_VALUE"""),45238.67916666667)</f>
        <v>45238.67917</v>
      </c>
      <c r="H1086" s="85" t="str">
        <f>IFERROR(__xludf.DUMMYFUNCTION("""COMPUTED_VALUE"""),"Estimate ")</f>
        <v>Estimate </v>
      </c>
      <c r="I1086" s="4" t="str">
        <f>IFERROR(__xludf.DUMMYFUNCTION("""COMPUTED_VALUE"""),"shivani")</f>
        <v>shivani</v>
      </c>
    </row>
    <row r="1087">
      <c r="A1087" s="85">
        <f>IFERROR(__xludf.DUMMYFUNCTION("""COMPUTED_VALUE"""),45237.572420798606)</f>
        <v>45237.57242</v>
      </c>
      <c r="B1087" s="4"/>
      <c r="C1087" s="4"/>
      <c r="D1087" s="4"/>
      <c r="E1087" s="4"/>
      <c r="F1087" s="4"/>
      <c r="G1087" s="85">
        <f>IFERROR(__xludf.DUMMYFUNCTION("""COMPUTED_VALUE"""),45239.572222222225)</f>
        <v>45239.57222</v>
      </c>
      <c r="H1087" s="85" t="str">
        <f>IFERROR(__xludf.DUMMYFUNCTION("""COMPUTED_VALUE"""),"Estimate ")</f>
        <v>Estimate </v>
      </c>
      <c r="I1087" s="4" t="str">
        <f>IFERROR(__xludf.DUMMYFUNCTION("""COMPUTED_VALUE"""),"shivani")</f>
        <v>shivani</v>
      </c>
    </row>
    <row r="1088">
      <c r="A1088" s="85">
        <f>IFERROR(__xludf.DUMMYFUNCTION("""COMPUTED_VALUE"""),45239.52630586806)</f>
        <v>45239.52631</v>
      </c>
      <c r="B1088" s="4"/>
      <c r="C1088" s="4"/>
      <c r="D1088" s="4"/>
      <c r="E1088" s="4"/>
      <c r="F1088" s="4"/>
      <c r="G1088" s="85">
        <f>IFERROR(__xludf.DUMMYFUNCTION("""COMPUTED_VALUE"""),45241.52569444444)</f>
        <v>45241.52569</v>
      </c>
      <c r="H1088" s="85" t="str">
        <f>IFERROR(__xludf.DUMMYFUNCTION("""COMPUTED_VALUE"""),"Estimate ")</f>
        <v>Estimate </v>
      </c>
      <c r="I1088" s="4" t="str">
        <f>IFERROR(__xludf.DUMMYFUNCTION("""COMPUTED_VALUE"""),"shivani")</f>
        <v>shivani</v>
      </c>
    </row>
    <row r="1089">
      <c r="A1089" s="85">
        <f>IFERROR(__xludf.DUMMYFUNCTION("""COMPUTED_VALUE"""),45239.52842027778)</f>
        <v>45239.52842</v>
      </c>
      <c r="B1089" s="4"/>
      <c r="C1089" s="4"/>
      <c r="D1089" s="4"/>
      <c r="E1089" s="4"/>
      <c r="F1089" s="4"/>
      <c r="G1089" s="85">
        <f>IFERROR(__xludf.DUMMYFUNCTION("""COMPUTED_VALUE"""),45241.52777777778)</f>
        <v>45241.52778</v>
      </c>
      <c r="H1089" s="85" t="str">
        <f>IFERROR(__xludf.DUMMYFUNCTION("""COMPUTED_VALUE"""),"Estimate ")</f>
        <v>Estimate </v>
      </c>
      <c r="I1089" s="4" t="str">
        <f>IFERROR(__xludf.DUMMYFUNCTION("""COMPUTED_VALUE"""),"shivani")</f>
        <v>shivani</v>
      </c>
    </row>
    <row r="1090">
      <c r="A1090" s="85">
        <f>IFERROR(__xludf.DUMMYFUNCTION("""COMPUTED_VALUE"""),45239.53191921296)</f>
        <v>45239.53192</v>
      </c>
      <c r="B1090" s="4"/>
      <c r="C1090" s="4"/>
      <c r="D1090" s="4"/>
      <c r="E1090" s="4"/>
      <c r="F1090" s="4"/>
      <c r="G1090" s="85">
        <f>IFERROR(__xludf.DUMMYFUNCTION("""COMPUTED_VALUE"""),45241.53125)</f>
        <v>45241.53125</v>
      </c>
      <c r="H1090" s="85" t="str">
        <f>IFERROR(__xludf.DUMMYFUNCTION("""COMPUTED_VALUE"""),"Estimate ")</f>
        <v>Estimate </v>
      </c>
      <c r="I1090" s="4" t="str">
        <f>IFERROR(__xludf.DUMMYFUNCTION("""COMPUTED_VALUE"""),"shivani")</f>
        <v>shivani</v>
      </c>
    </row>
    <row r="1091">
      <c r="A1091" s="85">
        <f>IFERROR(__xludf.DUMMYFUNCTION("""COMPUTED_VALUE"""),45239.53466027777)</f>
        <v>45239.53466</v>
      </c>
      <c r="B1091" s="4"/>
      <c r="C1091" s="4"/>
      <c r="D1091" s="4"/>
      <c r="E1091" s="4"/>
      <c r="F1091" s="4"/>
      <c r="G1091" s="85">
        <f>IFERROR(__xludf.DUMMYFUNCTION("""COMPUTED_VALUE"""),45241.53402777778)</f>
        <v>45241.53403</v>
      </c>
      <c r="H1091" s="85" t="str">
        <f>IFERROR(__xludf.DUMMYFUNCTION("""COMPUTED_VALUE"""),"Estimate ")</f>
        <v>Estimate </v>
      </c>
      <c r="I1091" s="4" t="str">
        <f>IFERROR(__xludf.DUMMYFUNCTION("""COMPUTED_VALUE"""),"shivani")</f>
        <v>shivani</v>
      </c>
    </row>
    <row r="1092">
      <c r="A1092" s="85">
        <f>IFERROR(__xludf.DUMMYFUNCTION("""COMPUTED_VALUE"""),45239.55340473379)</f>
        <v>45239.5534</v>
      </c>
      <c r="B1092" s="4"/>
      <c r="C1092" s="4"/>
      <c r="D1092" s="4"/>
      <c r="E1092" s="4"/>
      <c r="F1092" s="4"/>
      <c r="G1092" s="85">
        <f>IFERROR(__xludf.DUMMYFUNCTION("""COMPUTED_VALUE"""),45241.552777777775)</f>
        <v>45241.55278</v>
      </c>
      <c r="H1092" s="85" t="str">
        <f>IFERROR(__xludf.DUMMYFUNCTION("""COMPUTED_VALUE"""),"Estimate ")</f>
        <v>Estimate </v>
      </c>
      <c r="I1092" s="4" t="str">
        <f>IFERROR(__xludf.DUMMYFUNCTION("""COMPUTED_VALUE"""),"shivani")</f>
        <v>shivani</v>
      </c>
    </row>
    <row r="1093">
      <c r="A1093" s="85">
        <f>IFERROR(__xludf.DUMMYFUNCTION("""COMPUTED_VALUE"""),45246.64393061343)</f>
        <v>45246.64393</v>
      </c>
      <c r="B1093" s="4"/>
      <c r="C1093" s="4"/>
      <c r="D1093" s="4"/>
      <c r="E1093" s="4"/>
      <c r="F1093" s="4"/>
      <c r="G1093" s="85">
        <f>IFERROR(__xludf.DUMMYFUNCTION("""COMPUTED_VALUE"""),45248.64375)</f>
        <v>45248.64375</v>
      </c>
      <c r="H1093" s="85" t="str">
        <f>IFERROR(__xludf.DUMMYFUNCTION("""COMPUTED_VALUE"""),"Estimate ")</f>
        <v>Estimate </v>
      </c>
      <c r="I1093" s="4" t="str">
        <f>IFERROR(__xludf.DUMMYFUNCTION("""COMPUTED_VALUE"""),"shivani")</f>
        <v>shivani</v>
      </c>
    </row>
    <row r="1094">
      <c r="A1094" s="85">
        <f>IFERROR(__xludf.DUMMYFUNCTION("""COMPUTED_VALUE"""),45246.706224375004)</f>
        <v>45246.70622</v>
      </c>
      <c r="B1094" s="4"/>
      <c r="C1094" s="4"/>
      <c r="D1094" s="4"/>
      <c r="E1094" s="4"/>
      <c r="F1094" s="4"/>
      <c r="G1094" s="85">
        <f>IFERROR(__xludf.DUMMYFUNCTION("""COMPUTED_VALUE"""),45248.705555555556)</f>
        <v>45248.70556</v>
      </c>
      <c r="H1094" s="85" t="str">
        <f>IFERROR(__xludf.DUMMYFUNCTION("""COMPUTED_VALUE"""),"Estimate ")</f>
        <v>Estimate </v>
      </c>
      <c r="I1094" s="4" t="str">
        <f>IFERROR(__xludf.DUMMYFUNCTION("""COMPUTED_VALUE"""),"shivani")</f>
        <v>shivani</v>
      </c>
    </row>
    <row r="1095">
      <c r="A1095" s="85">
        <f>IFERROR(__xludf.DUMMYFUNCTION("""COMPUTED_VALUE"""),45246.713569120366)</f>
        <v>45246.71357</v>
      </c>
      <c r="B1095" s="4"/>
      <c r="C1095" s="4"/>
      <c r="D1095" s="4"/>
      <c r="E1095" s="4"/>
      <c r="F1095" s="4"/>
      <c r="G1095" s="85">
        <f>IFERROR(__xludf.DUMMYFUNCTION("""COMPUTED_VALUE"""),45248.71319444444)</f>
        <v>45248.71319</v>
      </c>
      <c r="H1095" s="85" t="str">
        <f>IFERROR(__xludf.DUMMYFUNCTION("""COMPUTED_VALUE"""),"Estimate ")</f>
        <v>Estimate </v>
      </c>
      <c r="I1095" s="4" t="str">
        <f>IFERROR(__xludf.DUMMYFUNCTION("""COMPUTED_VALUE"""),"shivani")</f>
        <v>shivani</v>
      </c>
    </row>
    <row r="1096">
      <c r="A1096" s="85">
        <f>IFERROR(__xludf.DUMMYFUNCTION("""COMPUTED_VALUE"""),45246.71487541667)</f>
        <v>45246.71488</v>
      </c>
      <c r="B1096" s="4"/>
      <c r="C1096" s="4"/>
      <c r="D1096" s="4"/>
      <c r="E1096" s="4"/>
      <c r="F1096" s="4"/>
      <c r="G1096" s="85">
        <f>IFERROR(__xludf.DUMMYFUNCTION("""COMPUTED_VALUE"""),45248.714583333334)</f>
        <v>45248.71458</v>
      </c>
      <c r="H1096" s="85" t="str">
        <f>IFERROR(__xludf.DUMMYFUNCTION("""COMPUTED_VALUE"""),"Estimate ")</f>
        <v>Estimate </v>
      </c>
      <c r="I1096" s="4" t="str">
        <f>IFERROR(__xludf.DUMMYFUNCTION("""COMPUTED_VALUE"""),"shivani")</f>
        <v>shivani</v>
      </c>
    </row>
    <row r="1097">
      <c r="A1097" s="85">
        <f>IFERROR(__xludf.DUMMYFUNCTION("""COMPUTED_VALUE"""),45253.5247049537)</f>
        <v>45253.5247</v>
      </c>
      <c r="B1097" s="4"/>
      <c r="C1097" s="4"/>
      <c r="D1097" s="4"/>
      <c r="E1097" s="4"/>
      <c r="F1097" s="4"/>
      <c r="G1097" s="85">
        <f>IFERROR(__xludf.DUMMYFUNCTION("""COMPUTED_VALUE"""),45255.524305555555)</f>
        <v>45255.52431</v>
      </c>
      <c r="H1097" s="85" t="str">
        <f>IFERROR(__xludf.DUMMYFUNCTION("""COMPUTED_VALUE"""),"Estimate ")</f>
        <v>Estimate </v>
      </c>
      <c r="I1097" s="4" t="str">
        <f>IFERROR(__xludf.DUMMYFUNCTION("""COMPUTED_VALUE"""),"shivani")</f>
        <v>shivani</v>
      </c>
    </row>
    <row r="1098">
      <c r="A1098" s="85">
        <f>IFERROR(__xludf.DUMMYFUNCTION("""COMPUTED_VALUE"""),45253.526548553236)</f>
        <v>45253.52655</v>
      </c>
      <c r="B1098" s="4"/>
      <c r="C1098" s="4"/>
      <c r="D1098" s="4"/>
      <c r="E1098" s="4"/>
      <c r="F1098" s="4"/>
      <c r="G1098" s="85">
        <f>IFERROR(__xludf.DUMMYFUNCTION("""COMPUTED_VALUE"""),45255.52638888889)</f>
        <v>45255.52639</v>
      </c>
      <c r="H1098" s="85" t="str">
        <f>IFERROR(__xludf.DUMMYFUNCTION("""COMPUTED_VALUE"""),"Estimate ")</f>
        <v>Estimate </v>
      </c>
      <c r="I1098" s="4" t="str">
        <f>IFERROR(__xludf.DUMMYFUNCTION("""COMPUTED_VALUE"""),"shivani")</f>
        <v>shivani</v>
      </c>
    </row>
    <row r="1099">
      <c r="A1099" s="85">
        <f>IFERROR(__xludf.DUMMYFUNCTION("""COMPUTED_VALUE"""),45253.580052743055)</f>
        <v>45253.58005</v>
      </c>
      <c r="B1099" s="4"/>
      <c r="C1099" s="4"/>
      <c r="D1099" s="4"/>
      <c r="E1099" s="4"/>
      <c r="F1099" s="4"/>
      <c r="G1099" s="85">
        <f>IFERROR(__xludf.DUMMYFUNCTION("""COMPUTED_VALUE"""),45255.57986111111)</f>
        <v>45255.57986</v>
      </c>
      <c r="H1099" s="85" t="str">
        <f>IFERROR(__xludf.DUMMYFUNCTION("""COMPUTED_VALUE"""),"Estimate ")</f>
        <v>Estimate </v>
      </c>
      <c r="I1099" s="4" t="str">
        <f>IFERROR(__xludf.DUMMYFUNCTION("""COMPUTED_VALUE"""),"shivani")</f>
        <v>shivani</v>
      </c>
    </row>
    <row r="1100">
      <c r="A1100" s="85">
        <f>IFERROR(__xludf.DUMMYFUNCTION("""COMPUTED_VALUE"""),45253.58287958334)</f>
        <v>45253.58288</v>
      </c>
      <c r="B1100" s="4"/>
      <c r="C1100" s="4"/>
      <c r="D1100" s="4"/>
      <c r="E1100" s="4"/>
      <c r="F1100" s="4"/>
      <c r="G1100" s="85">
        <f>IFERROR(__xludf.DUMMYFUNCTION("""COMPUTED_VALUE"""),45255.58263888889)</f>
        <v>45255.58264</v>
      </c>
      <c r="H1100" s="85" t="str">
        <f>IFERROR(__xludf.DUMMYFUNCTION("""COMPUTED_VALUE"""),"Estimate ")</f>
        <v>Estimate </v>
      </c>
      <c r="I1100" s="4" t="str">
        <f>IFERROR(__xludf.DUMMYFUNCTION("""COMPUTED_VALUE"""),"shivani")</f>
        <v>shivani</v>
      </c>
    </row>
    <row r="1101">
      <c r="A1101" s="85">
        <f>IFERROR(__xludf.DUMMYFUNCTION("""COMPUTED_VALUE"""),45304.56911256944)</f>
        <v>45304.56911</v>
      </c>
      <c r="B1101" s="4"/>
      <c r="C1101" s="4"/>
      <c r="D1101" s="4"/>
      <c r="E1101" s="4"/>
      <c r="F1101" s="4"/>
      <c r="G1101" s="85">
        <f>IFERROR(__xludf.DUMMYFUNCTION("""COMPUTED_VALUE"""),45307.56875)</f>
        <v>45307.56875</v>
      </c>
      <c r="H1101" s="85" t="str">
        <f>IFERROR(__xludf.DUMMYFUNCTION("""COMPUTED_VALUE"""),"Estimate ")</f>
        <v>Estimate </v>
      </c>
      <c r="I1101" s="4" t="str">
        <f>IFERROR(__xludf.DUMMYFUNCTION("""COMPUTED_VALUE"""),"shivani")</f>
        <v>shivani</v>
      </c>
    </row>
    <row r="1102">
      <c r="A1102" s="85">
        <f>IFERROR(__xludf.DUMMYFUNCTION("""COMPUTED_VALUE"""),45304.610027442126)</f>
        <v>45304.61003</v>
      </c>
      <c r="B1102" s="4"/>
      <c r="C1102" s="4"/>
      <c r="D1102" s="4"/>
      <c r="E1102" s="4"/>
      <c r="F1102" s="4"/>
      <c r="G1102" s="85">
        <f>IFERROR(__xludf.DUMMYFUNCTION("""COMPUTED_VALUE"""),45307.60972222222)</f>
        <v>45307.60972</v>
      </c>
      <c r="H1102" s="85" t="str">
        <f>IFERROR(__xludf.DUMMYFUNCTION("""COMPUTED_VALUE"""),"Estimate ")</f>
        <v>Estimate </v>
      </c>
      <c r="I1102" s="4" t="str">
        <f>IFERROR(__xludf.DUMMYFUNCTION("""COMPUTED_VALUE"""),"shivani")</f>
        <v>shivani</v>
      </c>
    </row>
    <row r="1103">
      <c r="A1103" s="85">
        <f>IFERROR(__xludf.DUMMYFUNCTION("""COMPUTED_VALUE"""),45304.65831341435)</f>
        <v>45304.65831</v>
      </c>
      <c r="B1103" s="4"/>
      <c r="C1103" s="4"/>
      <c r="D1103" s="4"/>
      <c r="E1103" s="4"/>
      <c r="F1103" s="4"/>
      <c r="G1103" s="85">
        <f>IFERROR(__xludf.DUMMYFUNCTION("""COMPUTED_VALUE"""),45307.65763888889)</f>
        <v>45307.65764</v>
      </c>
      <c r="H1103" s="85" t="str">
        <f>IFERROR(__xludf.DUMMYFUNCTION("""COMPUTED_VALUE"""),"Estimate ")</f>
        <v>Estimate </v>
      </c>
      <c r="I1103" s="4" t="str">
        <f>IFERROR(__xludf.DUMMYFUNCTION("""COMPUTED_VALUE"""),"shivani")</f>
        <v>shivani</v>
      </c>
    </row>
    <row r="1104">
      <c r="A1104" s="85">
        <f>IFERROR(__xludf.DUMMYFUNCTION("""COMPUTED_VALUE"""),45307.56068328704)</f>
        <v>45307.56068</v>
      </c>
      <c r="B1104" s="4"/>
      <c r="C1104" s="4"/>
      <c r="D1104" s="4"/>
      <c r="E1104" s="4"/>
      <c r="F1104" s="4"/>
      <c r="G1104" s="85">
        <f>IFERROR(__xludf.DUMMYFUNCTION("""COMPUTED_VALUE"""),45309.56041666667)</f>
        <v>45309.56042</v>
      </c>
      <c r="H1104" s="85" t="str">
        <f>IFERROR(__xludf.DUMMYFUNCTION("""COMPUTED_VALUE"""),"Estimate ")</f>
        <v>Estimate </v>
      </c>
      <c r="I1104" s="4" t="str">
        <f>IFERROR(__xludf.DUMMYFUNCTION("""COMPUTED_VALUE"""),"shivani")</f>
        <v>shivani</v>
      </c>
    </row>
    <row r="1105">
      <c r="A1105" s="85">
        <f>IFERROR(__xludf.DUMMYFUNCTION("""COMPUTED_VALUE"""),45307.56528631945)</f>
        <v>45307.56529</v>
      </c>
      <c r="B1105" s="4"/>
      <c r="C1105" s="4"/>
      <c r="D1105" s="4"/>
      <c r="E1105" s="4"/>
      <c r="F1105" s="4"/>
      <c r="G1105" s="85">
        <f>IFERROR(__xludf.DUMMYFUNCTION("""COMPUTED_VALUE"""),45309.56527777778)</f>
        <v>45309.56528</v>
      </c>
      <c r="H1105" s="85" t="str">
        <f>IFERROR(__xludf.DUMMYFUNCTION("""COMPUTED_VALUE"""),"Estimate ")</f>
        <v>Estimate </v>
      </c>
      <c r="I1105" s="4" t="str">
        <f>IFERROR(__xludf.DUMMYFUNCTION("""COMPUTED_VALUE"""),"shivani")</f>
        <v>shivani</v>
      </c>
    </row>
    <row r="1106">
      <c r="A1106" s="85">
        <f>IFERROR(__xludf.DUMMYFUNCTION("""COMPUTED_VALUE"""),45307.58408555556)</f>
        <v>45307.58409</v>
      </c>
      <c r="B1106" s="4"/>
      <c r="C1106" s="4"/>
      <c r="D1106" s="4"/>
      <c r="E1106" s="4"/>
      <c r="F1106" s="4"/>
      <c r="G1106" s="85">
        <f>IFERROR(__xludf.DUMMYFUNCTION("""COMPUTED_VALUE"""),45309.584027777775)</f>
        <v>45309.58403</v>
      </c>
      <c r="H1106" s="85" t="str">
        <f>IFERROR(__xludf.DUMMYFUNCTION("""COMPUTED_VALUE"""),"Estimate ")</f>
        <v>Estimate </v>
      </c>
      <c r="I1106" s="4" t="str">
        <f>IFERROR(__xludf.DUMMYFUNCTION("""COMPUTED_VALUE"""),"shivani")</f>
        <v>shivani</v>
      </c>
    </row>
    <row r="1107">
      <c r="A1107" s="85">
        <f>IFERROR(__xludf.DUMMYFUNCTION("""COMPUTED_VALUE"""),45307.65289740741)</f>
        <v>45307.6529</v>
      </c>
      <c r="B1107" s="4"/>
      <c r="C1107" s="4"/>
      <c r="D1107" s="4"/>
      <c r="E1107" s="4"/>
      <c r="F1107" s="4"/>
      <c r="G1107" s="85">
        <f>IFERROR(__xludf.DUMMYFUNCTION("""COMPUTED_VALUE"""),45309.65277777778)</f>
        <v>45309.65278</v>
      </c>
      <c r="H1107" s="85" t="str">
        <f>IFERROR(__xludf.DUMMYFUNCTION("""COMPUTED_VALUE"""),"Estimate ")</f>
        <v>Estimate </v>
      </c>
      <c r="I1107" s="4" t="str">
        <f>IFERROR(__xludf.DUMMYFUNCTION("""COMPUTED_VALUE"""),"shivani")</f>
        <v>shivani</v>
      </c>
    </row>
    <row r="1108">
      <c r="A1108" s="85">
        <f>IFERROR(__xludf.DUMMYFUNCTION("""COMPUTED_VALUE"""),45307.65876201389)</f>
        <v>45307.65876</v>
      </c>
      <c r="B1108" s="4"/>
      <c r="C1108" s="4"/>
      <c r="D1108" s="4"/>
      <c r="E1108" s="4"/>
      <c r="F1108" s="4"/>
      <c r="G1108" s="85">
        <f>IFERROR(__xludf.DUMMYFUNCTION("""COMPUTED_VALUE"""),45309.65833333333)</f>
        <v>45309.65833</v>
      </c>
      <c r="H1108" s="85" t="str">
        <f>IFERROR(__xludf.DUMMYFUNCTION("""COMPUTED_VALUE"""),"Estimate ")</f>
        <v>Estimate </v>
      </c>
      <c r="I1108" s="4" t="str">
        <f>IFERROR(__xludf.DUMMYFUNCTION("""COMPUTED_VALUE"""),"shivani")</f>
        <v>shivani</v>
      </c>
    </row>
    <row r="1109">
      <c r="A1109" s="85">
        <f>IFERROR(__xludf.DUMMYFUNCTION("""COMPUTED_VALUE"""),45307.66184528935)</f>
        <v>45307.66185</v>
      </c>
      <c r="B1109" s="4"/>
      <c r="C1109" s="4"/>
      <c r="D1109" s="4"/>
      <c r="E1109" s="4"/>
      <c r="F1109" s="4"/>
      <c r="G1109" s="85">
        <f>IFERROR(__xludf.DUMMYFUNCTION("""COMPUTED_VALUE"""),45309.66180555556)</f>
        <v>45309.66181</v>
      </c>
      <c r="H1109" s="85" t="str">
        <f>IFERROR(__xludf.DUMMYFUNCTION("""COMPUTED_VALUE"""),"Estimate ")</f>
        <v>Estimate </v>
      </c>
      <c r="I1109" s="4" t="str">
        <f>IFERROR(__xludf.DUMMYFUNCTION("""COMPUTED_VALUE"""),"shivani")</f>
        <v>shivani</v>
      </c>
    </row>
    <row r="1110">
      <c r="A1110" s="85">
        <f>IFERROR(__xludf.DUMMYFUNCTION("""COMPUTED_VALUE"""),45307.66729729167)</f>
        <v>45307.6673</v>
      </c>
      <c r="B1110" s="4"/>
      <c r="C1110" s="4"/>
      <c r="D1110" s="4"/>
      <c r="E1110" s="4"/>
      <c r="F1110" s="4"/>
      <c r="G1110" s="85">
        <f>IFERROR(__xludf.DUMMYFUNCTION("""COMPUTED_VALUE"""),45309.66666666667)</f>
        <v>45309.66667</v>
      </c>
      <c r="H1110" s="85" t="str">
        <f>IFERROR(__xludf.DUMMYFUNCTION("""COMPUTED_VALUE"""),"Estimate ")</f>
        <v>Estimate </v>
      </c>
      <c r="I1110" s="4" t="str">
        <f>IFERROR(__xludf.DUMMYFUNCTION("""COMPUTED_VALUE"""),"shivani")</f>
        <v>shivani</v>
      </c>
    </row>
    <row r="1111">
      <c r="A1111" s="85">
        <f>IFERROR(__xludf.DUMMYFUNCTION("""COMPUTED_VALUE"""),45307.67348206018)</f>
        <v>45307.67348</v>
      </c>
      <c r="B1111" s="4"/>
      <c r="C1111" s="4"/>
      <c r="D1111" s="4"/>
      <c r="E1111" s="4"/>
      <c r="F1111" s="4"/>
      <c r="G1111" s="85">
        <f>IFERROR(__xludf.DUMMYFUNCTION("""COMPUTED_VALUE"""),45309.67291666666)</f>
        <v>45309.67292</v>
      </c>
      <c r="H1111" s="85" t="str">
        <f>IFERROR(__xludf.DUMMYFUNCTION("""COMPUTED_VALUE"""),"Estimate ")</f>
        <v>Estimate </v>
      </c>
      <c r="I1111" s="4" t="str">
        <f>IFERROR(__xludf.DUMMYFUNCTION("""COMPUTED_VALUE"""),"shivani")</f>
        <v>shivani</v>
      </c>
    </row>
    <row r="1112">
      <c r="A1112" s="85">
        <f>IFERROR(__xludf.DUMMYFUNCTION("""COMPUTED_VALUE"""),45307.67596811343)</f>
        <v>45307.67597</v>
      </c>
      <c r="B1112" s="4"/>
      <c r="C1112" s="4"/>
      <c r="D1112" s="4"/>
      <c r="E1112" s="4"/>
      <c r="F1112" s="4"/>
      <c r="G1112" s="85">
        <f>IFERROR(__xludf.DUMMYFUNCTION("""COMPUTED_VALUE"""),45309.67569444445)</f>
        <v>45309.67569</v>
      </c>
      <c r="H1112" s="85" t="str">
        <f>IFERROR(__xludf.DUMMYFUNCTION("""COMPUTED_VALUE"""),"Estimate ")</f>
        <v>Estimate </v>
      </c>
      <c r="I1112" s="4" t="str">
        <f>IFERROR(__xludf.DUMMYFUNCTION("""COMPUTED_VALUE"""),"shivani")</f>
        <v>shivani</v>
      </c>
    </row>
    <row r="1113">
      <c r="A1113" s="85">
        <f>IFERROR(__xludf.DUMMYFUNCTION("""COMPUTED_VALUE"""),45307.67864856482)</f>
        <v>45307.67865</v>
      </c>
      <c r="B1113" s="4"/>
      <c r="C1113" s="4"/>
      <c r="D1113" s="4"/>
      <c r="E1113" s="4"/>
      <c r="F1113" s="4"/>
      <c r="G1113" s="85">
        <f>IFERROR(__xludf.DUMMYFUNCTION("""COMPUTED_VALUE"""),45309.67847222222)</f>
        <v>45309.67847</v>
      </c>
      <c r="H1113" s="85" t="str">
        <f>IFERROR(__xludf.DUMMYFUNCTION("""COMPUTED_VALUE"""),"Estimate ")</f>
        <v>Estimate </v>
      </c>
      <c r="I1113" s="4" t="str">
        <f>IFERROR(__xludf.DUMMYFUNCTION("""COMPUTED_VALUE"""),"shivani")</f>
        <v>shivani</v>
      </c>
    </row>
    <row r="1114">
      <c r="A1114" s="85">
        <f>IFERROR(__xludf.DUMMYFUNCTION("""COMPUTED_VALUE"""),45307.68543820602)</f>
        <v>45307.68544</v>
      </c>
      <c r="B1114" s="4"/>
      <c r="C1114" s="4"/>
      <c r="D1114" s="4"/>
      <c r="E1114" s="4"/>
      <c r="F1114" s="4"/>
      <c r="G1114" s="85">
        <f>IFERROR(__xludf.DUMMYFUNCTION("""COMPUTED_VALUE"""),45309.68541666667)</f>
        <v>45309.68542</v>
      </c>
      <c r="H1114" s="85" t="str">
        <f>IFERROR(__xludf.DUMMYFUNCTION("""COMPUTED_VALUE"""),"Estimate ")</f>
        <v>Estimate </v>
      </c>
      <c r="I1114" s="4" t="str">
        <f>IFERROR(__xludf.DUMMYFUNCTION("""COMPUTED_VALUE"""),"shivani")</f>
        <v>shivani</v>
      </c>
    </row>
    <row r="1115">
      <c r="A1115" s="85">
        <f>IFERROR(__xludf.DUMMYFUNCTION("""COMPUTED_VALUE"""),45307.74230608796)</f>
        <v>45307.74231</v>
      </c>
      <c r="B1115" s="4"/>
      <c r="C1115" s="4"/>
      <c r="D1115" s="4"/>
      <c r="E1115" s="4"/>
      <c r="F1115" s="4"/>
      <c r="G1115" s="85">
        <f>IFERROR(__xludf.DUMMYFUNCTION("""COMPUTED_VALUE"""),45309.74166666667)</f>
        <v>45309.74167</v>
      </c>
      <c r="H1115" s="85" t="str">
        <f>IFERROR(__xludf.DUMMYFUNCTION("""COMPUTED_VALUE"""),"Estimate ")</f>
        <v>Estimate </v>
      </c>
      <c r="I1115" s="4" t="str">
        <f>IFERROR(__xludf.DUMMYFUNCTION("""COMPUTED_VALUE"""),"shivani")</f>
        <v>shivani</v>
      </c>
    </row>
    <row r="1116">
      <c r="A1116" s="85">
        <f>IFERROR(__xludf.DUMMYFUNCTION("""COMPUTED_VALUE"""),45308.686365231486)</f>
        <v>45308.68637</v>
      </c>
      <c r="B1116" s="4"/>
      <c r="C1116" s="4"/>
      <c r="D1116" s="4"/>
      <c r="E1116" s="4"/>
      <c r="F1116" s="4"/>
      <c r="G1116" s="85">
        <f>IFERROR(__xludf.DUMMYFUNCTION("""COMPUTED_VALUE"""),45310.68611111111)</f>
        <v>45310.68611</v>
      </c>
      <c r="H1116" s="85" t="str">
        <f>IFERROR(__xludf.DUMMYFUNCTION("""COMPUTED_VALUE"""),"Estimate ")</f>
        <v>Estimate </v>
      </c>
      <c r="I1116" s="4" t="str">
        <f>IFERROR(__xludf.DUMMYFUNCTION("""COMPUTED_VALUE"""),"shivani")</f>
        <v>shivani</v>
      </c>
    </row>
    <row r="1117">
      <c r="A1117" s="85">
        <f>IFERROR(__xludf.DUMMYFUNCTION("""COMPUTED_VALUE"""),45308.689778472224)</f>
        <v>45308.68978</v>
      </c>
      <c r="B1117" s="4"/>
      <c r="C1117" s="4"/>
      <c r="D1117" s="4"/>
      <c r="E1117" s="4"/>
      <c r="F1117" s="4"/>
      <c r="G1117" s="85">
        <f>IFERROR(__xludf.DUMMYFUNCTION("""COMPUTED_VALUE"""),45310.68958333333)</f>
        <v>45310.68958</v>
      </c>
      <c r="H1117" s="85" t="str">
        <f>IFERROR(__xludf.DUMMYFUNCTION("""COMPUTED_VALUE"""),"Estimate ")</f>
        <v>Estimate </v>
      </c>
      <c r="I1117" s="4" t="str">
        <f>IFERROR(__xludf.DUMMYFUNCTION("""COMPUTED_VALUE"""),"shivani")</f>
        <v>shivani</v>
      </c>
    </row>
    <row r="1118">
      <c r="A1118" s="85">
        <f>IFERROR(__xludf.DUMMYFUNCTION("""COMPUTED_VALUE"""),45308.698721388886)</f>
        <v>45308.69872</v>
      </c>
      <c r="B1118" s="4"/>
      <c r="C1118" s="4"/>
      <c r="D1118" s="4"/>
      <c r="E1118" s="4"/>
      <c r="F1118" s="4"/>
      <c r="G1118" s="85">
        <f>IFERROR(__xludf.DUMMYFUNCTION("""COMPUTED_VALUE"""),45310.69861111111)</f>
        <v>45310.69861</v>
      </c>
      <c r="H1118" s="85" t="str">
        <f>IFERROR(__xludf.DUMMYFUNCTION("""COMPUTED_VALUE"""),"Estimate ")</f>
        <v>Estimate </v>
      </c>
      <c r="I1118" s="4" t="str">
        <f>IFERROR(__xludf.DUMMYFUNCTION("""COMPUTED_VALUE"""),"shivani")</f>
        <v>shivani</v>
      </c>
    </row>
    <row r="1119">
      <c r="A1119" s="85">
        <f>IFERROR(__xludf.DUMMYFUNCTION("""COMPUTED_VALUE"""),45309.618032245366)</f>
        <v>45309.61803</v>
      </c>
      <c r="B1119" s="4"/>
      <c r="C1119" s="4"/>
      <c r="D1119" s="4"/>
      <c r="E1119" s="4"/>
      <c r="F1119" s="4"/>
      <c r="G1119" s="85">
        <f>IFERROR(__xludf.DUMMYFUNCTION("""COMPUTED_VALUE"""),45311.617361111115)</f>
        <v>45311.61736</v>
      </c>
      <c r="H1119" s="85" t="str">
        <f>IFERROR(__xludf.DUMMYFUNCTION("""COMPUTED_VALUE"""),"Estimate ")</f>
        <v>Estimate </v>
      </c>
      <c r="I1119" s="4" t="str">
        <f>IFERROR(__xludf.DUMMYFUNCTION("""COMPUTED_VALUE"""),"shivani")</f>
        <v>shivani</v>
      </c>
    </row>
    <row r="1120">
      <c r="A1120" s="85">
        <f>IFERROR(__xludf.DUMMYFUNCTION("""COMPUTED_VALUE"""),45309.62376387732)</f>
        <v>45309.62376</v>
      </c>
      <c r="B1120" s="4"/>
      <c r="C1120" s="4"/>
      <c r="D1120" s="4"/>
      <c r="E1120" s="4"/>
      <c r="F1120" s="4"/>
      <c r="G1120" s="85">
        <f>IFERROR(__xludf.DUMMYFUNCTION("""COMPUTED_VALUE"""),45311.62361111111)</f>
        <v>45311.62361</v>
      </c>
      <c r="H1120" s="85" t="str">
        <f>IFERROR(__xludf.DUMMYFUNCTION("""COMPUTED_VALUE"""),"Estimate ")</f>
        <v>Estimate </v>
      </c>
      <c r="I1120" s="4" t="str">
        <f>IFERROR(__xludf.DUMMYFUNCTION("""COMPUTED_VALUE"""),"shivani")</f>
        <v>shivani</v>
      </c>
    </row>
    <row r="1121">
      <c r="A1121" s="85">
        <f>IFERROR(__xludf.DUMMYFUNCTION("""COMPUTED_VALUE"""),45309.62799244213)</f>
        <v>45309.62799</v>
      </c>
      <c r="B1121" s="4"/>
      <c r="C1121" s="4"/>
      <c r="D1121" s="4"/>
      <c r="E1121" s="4"/>
      <c r="F1121" s="4"/>
      <c r="G1121" s="85">
        <f>IFERROR(__xludf.DUMMYFUNCTION("""COMPUTED_VALUE"""),45311.62777777778)</f>
        <v>45311.62778</v>
      </c>
      <c r="H1121" s="85" t="str">
        <f>IFERROR(__xludf.DUMMYFUNCTION("""COMPUTED_VALUE"""),"Estimate ")</f>
        <v>Estimate </v>
      </c>
      <c r="I1121" s="4" t="str">
        <f>IFERROR(__xludf.DUMMYFUNCTION("""COMPUTED_VALUE"""),"shivani")</f>
        <v>shivani</v>
      </c>
    </row>
    <row r="1122">
      <c r="A1122" s="85">
        <f>IFERROR(__xludf.DUMMYFUNCTION("""COMPUTED_VALUE"""),45319.69412143519)</f>
        <v>45319.69412</v>
      </c>
      <c r="B1122" s="4"/>
      <c r="C1122" s="4"/>
      <c r="D1122" s="4"/>
      <c r="E1122" s="4"/>
      <c r="F1122" s="4"/>
      <c r="G1122" s="85">
        <f>IFERROR(__xludf.DUMMYFUNCTION("""COMPUTED_VALUE"""),45322.69375)</f>
        <v>45322.69375</v>
      </c>
      <c r="H1122" s="85" t="str">
        <f>IFERROR(__xludf.DUMMYFUNCTION("""COMPUTED_VALUE"""),"Estimate ")</f>
        <v>Estimate </v>
      </c>
      <c r="I1122" s="4" t="str">
        <f>IFERROR(__xludf.DUMMYFUNCTION("""COMPUTED_VALUE"""),"shivani")</f>
        <v>shivani</v>
      </c>
    </row>
    <row r="1123">
      <c r="A1123" s="85">
        <f>IFERROR(__xludf.DUMMYFUNCTION("""COMPUTED_VALUE"""),45323.54066981481)</f>
        <v>45323.54067</v>
      </c>
      <c r="B1123" s="4"/>
      <c r="C1123" s="4"/>
      <c r="D1123" s="4"/>
      <c r="E1123" s="4"/>
      <c r="F1123" s="4"/>
      <c r="G1123" s="85">
        <f>IFERROR(__xludf.DUMMYFUNCTION("""COMPUTED_VALUE"""),45325.54027777778)</f>
        <v>45325.54028</v>
      </c>
      <c r="H1123" s="85" t="str">
        <f>IFERROR(__xludf.DUMMYFUNCTION("""COMPUTED_VALUE"""),"Estimate ")</f>
        <v>Estimate </v>
      </c>
      <c r="I1123" s="4" t="str">
        <f>IFERROR(__xludf.DUMMYFUNCTION("""COMPUTED_VALUE"""),"shivani")</f>
        <v>shivani</v>
      </c>
    </row>
    <row r="1124">
      <c r="A1124" s="85">
        <f>IFERROR(__xludf.DUMMYFUNCTION("""COMPUTED_VALUE"""),45323.54196569444)</f>
        <v>45323.54197</v>
      </c>
      <c r="B1124" s="4"/>
      <c r="C1124" s="4"/>
      <c r="D1124" s="4"/>
      <c r="E1124" s="4"/>
      <c r="F1124" s="4"/>
      <c r="G1124" s="85">
        <f>IFERROR(__xludf.DUMMYFUNCTION("""COMPUTED_VALUE"""),45325.54166666667)</f>
        <v>45325.54167</v>
      </c>
      <c r="H1124" s="85" t="str">
        <f>IFERROR(__xludf.DUMMYFUNCTION("""COMPUTED_VALUE"""),"Estimate ")</f>
        <v>Estimate </v>
      </c>
      <c r="I1124" s="4" t="str">
        <f>IFERROR(__xludf.DUMMYFUNCTION("""COMPUTED_VALUE"""),"shivani")</f>
        <v>shivani</v>
      </c>
    </row>
    <row r="1125">
      <c r="A1125" s="85">
        <f>IFERROR(__xludf.DUMMYFUNCTION("""COMPUTED_VALUE"""),45323.54333664352)</f>
        <v>45323.54334</v>
      </c>
      <c r="B1125" s="4"/>
      <c r="C1125" s="4"/>
      <c r="D1125" s="4"/>
      <c r="E1125" s="4"/>
      <c r="F1125" s="4"/>
      <c r="G1125" s="85">
        <f>IFERROR(__xludf.DUMMYFUNCTION("""COMPUTED_VALUE"""),45325.54305555555)</f>
        <v>45325.54306</v>
      </c>
      <c r="H1125" s="85" t="str">
        <f>IFERROR(__xludf.DUMMYFUNCTION("""COMPUTED_VALUE"""),"Estimate ")</f>
        <v>Estimate </v>
      </c>
      <c r="I1125" s="4" t="str">
        <f>IFERROR(__xludf.DUMMYFUNCTION("""COMPUTED_VALUE"""),"shivani")</f>
        <v>shivani</v>
      </c>
    </row>
    <row r="1126">
      <c r="A1126" s="85">
        <f>IFERROR(__xludf.DUMMYFUNCTION("""COMPUTED_VALUE"""),45323.54444766204)</f>
        <v>45323.54445</v>
      </c>
      <c r="B1126" s="4"/>
      <c r="C1126" s="4"/>
      <c r="D1126" s="4"/>
      <c r="E1126" s="4"/>
      <c r="F1126" s="4"/>
      <c r="G1126" s="85">
        <f>IFERROR(__xludf.DUMMYFUNCTION("""COMPUTED_VALUE"""),45325.544444444444)</f>
        <v>45325.54444</v>
      </c>
      <c r="H1126" s="85" t="str">
        <f>IFERROR(__xludf.DUMMYFUNCTION("""COMPUTED_VALUE"""),"Estimate ")</f>
        <v>Estimate </v>
      </c>
      <c r="I1126" s="4" t="str">
        <f>IFERROR(__xludf.DUMMYFUNCTION("""COMPUTED_VALUE"""),"shivani")</f>
        <v>shivani</v>
      </c>
    </row>
    <row r="1127">
      <c r="A1127" s="85">
        <f>IFERROR(__xludf.DUMMYFUNCTION("""COMPUTED_VALUE"""),45323.54543532408)</f>
        <v>45323.54544</v>
      </c>
      <c r="B1127" s="4"/>
      <c r="C1127" s="4"/>
      <c r="D1127" s="4"/>
      <c r="E1127" s="4"/>
      <c r="F1127" s="4"/>
      <c r="G1127" s="85">
        <f>IFERROR(__xludf.DUMMYFUNCTION("""COMPUTED_VALUE"""),45325.54513888889)</f>
        <v>45325.54514</v>
      </c>
      <c r="H1127" s="85" t="str">
        <f>IFERROR(__xludf.DUMMYFUNCTION("""COMPUTED_VALUE"""),"Estimate ")</f>
        <v>Estimate </v>
      </c>
      <c r="I1127" s="4" t="str">
        <f>IFERROR(__xludf.DUMMYFUNCTION("""COMPUTED_VALUE"""),"shivani")</f>
        <v>shivani</v>
      </c>
    </row>
    <row r="1128">
      <c r="A1128" s="85">
        <f>IFERROR(__xludf.DUMMYFUNCTION("""COMPUTED_VALUE"""),45323.54964293981)</f>
        <v>45323.54964</v>
      </c>
      <c r="B1128" s="4"/>
      <c r="C1128" s="4"/>
      <c r="D1128" s="4"/>
      <c r="E1128" s="4"/>
      <c r="F1128" s="4"/>
      <c r="G1128" s="85">
        <f>IFERROR(__xludf.DUMMYFUNCTION("""COMPUTED_VALUE"""),45325.549305555556)</f>
        <v>45325.54931</v>
      </c>
      <c r="H1128" s="85" t="str">
        <f>IFERROR(__xludf.DUMMYFUNCTION("""COMPUTED_VALUE"""),"Estimate ")</f>
        <v>Estimate </v>
      </c>
      <c r="I1128" s="4" t="str">
        <f>IFERROR(__xludf.DUMMYFUNCTION("""COMPUTED_VALUE"""),"shivani")</f>
        <v>shivani</v>
      </c>
    </row>
    <row r="1129">
      <c r="A1129" s="85">
        <f>IFERROR(__xludf.DUMMYFUNCTION("""COMPUTED_VALUE"""),45323.55085303241)</f>
        <v>45323.55085</v>
      </c>
      <c r="B1129" s="4"/>
      <c r="C1129" s="4"/>
      <c r="D1129" s="4"/>
      <c r="E1129" s="4"/>
      <c r="F1129" s="4"/>
      <c r="G1129" s="85">
        <f>IFERROR(__xludf.DUMMYFUNCTION("""COMPUTED_VALUE"""),45325.55069444445)</f>
        <v>45325.55069</v>
      </c>
      <c r="H1129" s="85" t="str">
        <f>IFERROR(__xludf.DUMMYFUNCTION("""COMPUTED_VALUE"""),"Estimate ")</f>
        <v>Estimate </v>
      </c>
      <c r="I1129" s="4" t="str">
        <f>IFERROR(__xludf.DUMMYFUNCTION("""COMPUTED_VALUE"""),"shivani")</f>
        <v>shivani</v>
      </c>
    </row>
    <row r="1130">
      <c r="A1130" s="85">
        <f>IFERROR(__xludf.DUMMYFUNCTION("""COMPUTED_VALUE"""),45323.55320094907)</f>
        <v>45323.5532</v>
      </c>
      <c r="B1130" s="4"/>
      <c r="C1130" s="4"/>
      <c r="D1130" s="4"/>
      <c r="E1130" s="4"/>
      <c r="F1130" s="4"/>
      <c r="G1130" s="85">
        <f>IFERROR(__xludf.DUMMYFUNCTION("""COMPUTED_VALUE"""),45325.552777777775)</f>
        <v>45325.55278</v>
      </c>
      <c r="H1130" s="85" t="str">
        <f>IFERROR(__xludf.DUMMYFUNCTION("""COMPUTED_VALUE"""),"Estimate ")</f>
        <v>Estimate </v>
      </c>
      <c r="I1130" s="4" t="str">
        <f>IFERROR(__xludf.DUMMYFUNCTION("""COMPUTED_VALUE"""),"shivani")</f>
        <v>shivani</v>
      </c>
    </row>
    <row r="1131">
      <c r="A1131" s="85">
        <f>IFERROR(__xludf.DUMMYFUNCTION("""COMPUTED_VALUE"""),45323.55414368055)</f>
        <v>45323.55414</v>
      </c>
      <c r="B1131" s="4"/>
      <c r="C1131" s="4"/>
      <c r="D1131" s="4"/>
      <c r="E1131" s="4"/>
      <c r="F1131" s="4"/>
      <c r="G1131" s="85">
        <f>IFERROR(__xludf.DUMMYFUNCTION("""COMPUTED_VALUE"""),45325.55347222222)</f>
        <v>45325.55347</v>
      </c>
      <c r="H1131" s="85" t="str">
        <f>IFERROR(__xludf.DUMMYFUNCTION("""COMPUTED_VALUE"""),"Estimate ")</f>
        <v>Estimate </v>
      </c>
      <c r="I1131" s="4" t="str">
        <f>IFERROR(__xludf.DUMMYFUNCTION("""COMPUTED_VALUE"""),"shivani")</f>
        <v>shivani</v>
      </c>
    </row>
    <row r="1132">
      <c r="A1132" s="85">
        <f>IFERROR(__xludf.DUMMYFUNCTION("""COMPUTED_VALUE"""),45323.555900509265)</f>
        <v>45323.5559</v>
      </c>
      <c r="B1132" s="4"/>
      <c r="C1132" s="4"/>
      <c r="D1132" s="4"/>
      <c r="E1132" s="4"/>
      <c r="F1132" s="4"/>
      <c r="G1132" s="85">
        <f>IFERROR(__xludf.DUMMYFUNCTION("""COMPUTED_VALUE"""),45325.555555555555)</f>
        <v>45325.55556</v>
      </c>
      <c r="H1132" s="85" t="str">
        <f>IFERROR(__xludf.DUMMYFUNCTION("""COMPUTED_VALUE"""),"Estimate ")</f>
        <v>Estimate </v>
      </c>
      <c r="I1132" s="4" t="str">
        <f>IFERROR(__xludf.DUMMYFUNCTION("""COMPUTED_VALUE"""),"shivani")</f>
        <v>shivani</v>
      </c>
    </row>
    <row r="1133">
      <c r="A1133" s="85">
        <f>IFERROR(__xludf.DUMMYFUNCTION("""COMPUTED_VALUE"""),45323.55690153935)</f>
        <v>45323.5569</v>
      </c>
      <c r="B1133" s="4"/>
      <c r="C1133" s="4"/>
      <c r="D1133" s="4"/>
      <c r="E1133" s="4"/>
      <c r="F1133" s="4"/>
      <c r="G1133" s="85">
        <f>IFERROR(__xludf.DUMMYFUNCTION("""COMPUTED_VALUE"""),45325.55625)</f>
        <v>45325.55625</v>
      </c>
      <c r="H1133" s="85" t="str">
        <f>IFERROR(__xludf.DUMMYFUNCTION("""COMPUTED_VALUE"""),"Estimate ")</f>
        <v>Estimate </v>
      </c>
      <c r="I1133" s="4" t="str">
        <f>IFERROR(__xludf.DUMMYFUNCTION("""COMPUTED_VALUE"""),"shivani")</f>
        <v>shivani</v>
      </c>
    </row>
    <row r="1134">
      <c r="A1134" s="85">
        <f>IFERROR(__xludf.DUMMYFUNCTION("""COMPUTED_VALUE"""),45323.55781680556)</f>
        <v>45323.55782</v>
      </c>
      <c r="B1134" s="4"/>
      <c r="C1134" s="4"/>
      <c r="D1134" s="4"/>
      <c r="E1134" s="4"/>
      <c r="F1134" s="4"/>
      <c r="G1134" s="85">
        <f>IFERROR(__xludf.DUMMYFUNCTION("""COMPUTED_VALUE"""),45325.55763888889)</f>
        <v>45325.55764</v>
      </c>
      <c r="H1134" s="85" t="str">
        <f>IFERROR(__xludf.DUMMYFUNCTION("""COMPUTED_VALUE"""),"Estimate ")</f>
        <v>Estimate </v>
      </c>
      <c r="I1134" s="4" t="str">
        <f>IFERROR(__xludf.DUMMYFUNCTION("""COMPUTED_VALUE"""),"shivani")</f>
        <v>shivani</v>
      </c>
    </row>
    <row r="1135">
      <c r="A1135" s="85">
        <f>IFERROR(__xludf.DUMMYFUNCTION("""COMPUTED_VALUE"""),45323.5597077662)</f>
        <v>45323.55971</v>
      </c>
      <c r="B1135" s="4"/>
      <c r="C1135" s="4"/>
      <c r="D1135" s="4"/>
      <c r="E1135" s="4"/>
      <c r="F1135" s="4"/>
      <c r="G1135" s="85">
        <f>IFERROR(__xludf.DUMMYFUNCTION("""COMPUTED_VALUE"""),45325.55902777778)</f>
        <v>45325.55903</v>
      </c>
      <c r="H1135" s="85" t="str">
        <f>IFERROR(__xludf.DUMMYFUNCTION("""COMPUTED_VALUE"""),"Estimate ")</f>
        <v>Estimate </v>
      </c>
      <c r="I1135" s="4" t="str">
        <f>IFERROR(__xludf.DUMMYFUNCTION("""COMPUTED_VALUE"""),"shivani")</f>
        <v>shivani</v>
      </c>
    </row>
    <row r="1136">
      <c r="A1136" s="85">
        <f>IFERROR(__xludf.DUMMYFUNCTION("""COMPUTED_VALUE"""),45323.56072903936)</f>
        <v>45323.56073</v>
      </c>
      <c r="B1136" s="4"/>
      <c r="C1136" s="4"/>
      <c r="D1136" s="4"/>
      <c r="E1136" s="4"/>
      <c r="F1136" s="4"/>
      <c r="G1136" s="85">
        <f>IFERROR(__xludf.DUMMYFUNCTION("""COMPUTED_VALUE"""),45325.56041666667)</f>
        <v>45325.56042</v>
      </c>
      <c r="H1136" s="85" t="str">
        <f>IFERROR(__xludf.DUMMYFUNCTION("""COMPUTED_VALUE"""),"Estimate ")</f>
        <v>Estimate </v>
      </c>
      <c r="I1136" s="4" t="str">
        <f>IFERROR(__xludf.DUMMYFUNCTION("""COMPUTED_VALUE"""),"shivani")</f>
        <v>shivani</v>
      </c>
    </row>
    <row r="1137">
      <c r="A1137" s="85">
        <f>IFERROR(__xludf.DUMMYFUNCTION("""COMPUTED_VALUE"""),45323.5616175926)</f>
        <v>45323.56162</v>
      </c>
      <c r="B1137" s="4"/>
      <c r="C1137" s="4"/>
      <c r="D1137" s="4"/>
      <c r="E1137" s="4"/>
      <c r="F1137" s="4"/>
      <c r="G1137" s="85">
        <f>IFERROR(__xludf.DUMMYFUNCTION("""COMPUTED_VALUE"""),45325.56111111111)</f>
        <v>45325.56111</v>
      </c>
      <c r="H1137" s="85" t="str">
        <f>IFERROR(__xludf.DUMMYFUNCTION("""COMPUTED_VALUE"""),"Estimate ")</f>
        <v>Estimate </v>
      </c>
      <c r="I1137" s="4" t="str">
        <f>IFERROR(__xludf.DUMMYFUNCTION("""COMPUTED_VALUE"""),"shivani")</f>
        <v>shivani</v>
      </c>
    </row>
    <row r="1138">
      <c r="A1138" s="85">
        <f>IFERROR(__xludf.DUMMYFUNCTION("""COMPUTED_VALUE"""),45323.56286170139)</f>
        <v>45323.56286</v>
      </c>
      <c r="B1138" s="4"/>
      <c r="C1138" s="4"/>
      <c r="D1138" s="4"/>
      <c r="E1138" s="4"/>
      <c r="F1138" s="4"/>
      <c r="G1138" s="85">
        <f>IFERROR(__xludf.DUMMYFUNCTION("""COMPUTED_VALUE"""),45325.5625)</f>
        <v>45325.5625</v>
      </c>
      <c r="H1138" s="85" t="str">
        <f>IFERROR(__xludf.DUMMYFUNCTION("""COMPUTED_VALUE"""),"Estimate ")</f>
        <v>Estimate </v>
      </c>
      <c r="I1138" s="4" t="str">
        <f>IFERROR(__xludf.DUMMYFUNCTION("""COMPUTED_VALUE"""),"shivani")</f>
        <v>shivani</v>
      </c>
    </row>
    <row r="1139">
      <c r="A1139" s="85">
        <f>IFERROR(__xludf.DUMMYFUNCTION("""COMPUTED_VALUE"""),45323.56347590278)</f>
        <v>45323.56348</v>
      </c>
      <c r="B1139" s="4"/>
      <c r="C1139" s="4"/>
      <c r="D1139" s="4"/>
      <c r="E1139" s="4"/>
      <c r="F1139" s="4"/>
      <c r="G1139" s="85">
        <f>IFERROR(__xludf.DUMMYFUNCTION("""COMPUTED_VALUE"""),45325.56319444445)</f>
        <v>45325.56319</v>
      </c>
      <c r="H1139" s="85" t="str">
        <f>IFERROR(__xludf.DUMMYFUNCTION("""COMPUTED_VALUE"""),"Estimate ")</f>
        <v>Estimate </v>
      </c>
      <c r="I1139" s="4" t="str">
        <f>IFERROR(__xludf.DUMMYFUNCTION("""COMPUTED_VALUE"""),"shivani")</f>
        <v>shivani</v>
      </c>
    </row>
    <row r="1140">
      <c r="A1140" s="85">
        <f>IFERROR(__xludf.DUMMYFUNCTION("""COMPUTED_VALUE"""),45323.56423900463)</f>
        <v>45323.56424</v>
      </c>
      <c r="B1140" s="4"/>
      <c r="C1140" s="4"/>
      <c r="D1140" s="4"/>
      <c r="E1140" s="4"/>
      <c r="F1140" s="4"/>
      <c r="G1140" s="85">
        <f>IFERROR(__xludf.DUMMYFUNCTION("""COMPUTED_VALUE"""),45325.56388888889)</f>
        <v>45325.56389</v>
      </c>
      <c r="H1140" s="85" t="str">
        <f>IFERROR(__xludf.DUMMYFUNCTION("""COMPUTED_VALUE"""),"Estimate ")</f>
        <v>Estimate </v>
      </c>
      <c r="I1140" s="4" t="str">
        <f>IFERROR(__xludf.DUMMYFUNCTION("""COMPUTED_VALUE"""),"shivani")</f>
        <v>shivani</v>
      </c>
    </row>
    <row r="1141">
      <c r="A1141" s="85">
        <f>IFERROR(__xludf.DUMMYFUNCTION("""COMPUTED_VALUE"""),45323.564982303236)</f>
        <v>45323.56498</v>
      </c>
      <c r="B1141" s="4"/>
      <c r="C1141" s="4"/>
      <c r="D1141" s="4"/>
      <c r="E1141" s="4"/>
      <c r="F1141" s="4"/>
      <c r="G1141" s="85">
        <f>IFERROR(__xludf.DUMMYFUNCTION("""COMPUTED_VALUE"""),45325.56458333333)</f>
        <v>45325.56458</v>
      </c>
      <c r="H1141" s="85" t="str">
        <f>IFERROR(__xludf.DUMMYFUNCTION("""COMPUTED_VALUE"""),"Estimate ")</f>
        <v>Estimate </v>
      </c>
      <c r="I1141" s="4" t="str">
        <f>IFERROR(__xludf.DUMMYFUNCTION("""COMPUTED_VALUE"""),"shivani")</f>
        <v>shivani</v>
      </c>
    </row>
    <row r="1142">
      <c r="A1142" s="85">
        <f>IFERROR(__xludf.DUMMYFUNCTION("""COMPUTED_VALUE"""),45323.56569526621)</f>
        <v>45323.5657</v>
      </c>
      <c r="B1142" s="4"/>
      <c r="C1142" s="4"/>
      <c r="D1142" s="4"/>
      <c r="E1142" s="4"/>
      <c r="F1142" s="4"/>
      <c r="G1142" s="85">
        <f>IFERROR(__xludf.DUMMYFUNCTION("""COMPUTED_VALUE"""),45325.56527777778)</f>
        <v>45325.56528</v>
      </c>
      <c r="H1142" s="85" t="str">
        <f>IFERROR(__xludf.DUMMYFUNCTION("""COMPUTED_VALUE"""),"Estimate ")</f>
        <v>Estimate </v>
      </c>
      <c r="I1142" s="4" t="str">
        <f>IFERROR(__xludf.DUMMYFUNCTION("""COMPUTED_VALUE"""),"shivani")</f>
        <v>shivani</v>
      </c>
    </row>
    <row r="1143">
      <c r="A1143" s="85">
        <f>IFERROR(__xludf.DUMMYFUNCTION("""COMPUTED_VALUE"""),45323.56654965277)</f>
        <v>45323.56655</v>
      </c>
      <c r="B1143" s="4"/>
      <c r="C1143" s="4"/>
      <c r="D1143" s="4"/>
      <c r="E1143" s="4"/>
      <c r="F1143" s="4"/>
      <c r="G1143" s="85">
        <f>IFERROR(__xludf.DUMMYFUNCTION("""COMPUTED_VALUE"""),45325.56597222222)</f>
        <v>45325.56597</v>
      </c>
      <c r="H1143" s="85" t="str">
        <f>IFERROR(__xludf.DUMMYFUNCTION("""COMPUTED_VALUE"""),"Estimate ")</f>
        <v>Estimate </v>
      </c>
      <c r="I1143" s="4" t="str">
        <f>IFERROR(__xludf.DUMMYFUNCTION("""COMPUTED_VALUE"""),"shivani")</f>
        <v>shivani</v>
      </c>
    </row>
    <row r="1144">
      <c r="A1144" s="85">
        <f>IFERROR(__xludf.DUMMYFUNCTION("""COMPUTED_VALUE"""),45323.56727151621)</f>
        <v>45323.56727</v>
      </c>
      <c r="B1144" s="4"/>
      <c r="C1144" s="4"/>
      <c r="D1144" s="4"/>
      <c r="E1144" s="4"/>
      <c r="F1144" s="4"/>
      <c r="G1144" s="85">
        <f>IFERROR(__xludf.DUMMYFUNCTION("""COMPUTED_VALUE"""),45325.566666666666)</f>
        <v>45325.56667</v>
      </c>
      <c r="H1144" s="85" t="str">
        <f>IFERROR(__xludf.DUMMYFUNCTION("""COMPUTED_VALUE"""),"Estimate ")</f>
        <v>Estimate </v>
      </c>
      <c r="I1144" s="4" t="str">
        <f>IFERROR(__xludf.DUMMYFUNCTION("""COMPUTED_VALUE"""),"shivani")</f>
        <v>shivani</v>
      </c>
    </row>
    <row r="1145">
      <c r="A1145" s="85">
        <f>IFERROR(__xludf.DUMMYFUNCTION("""COMPUTED_VALUE"""),45323.6978456713)</f>
        <v>45323.69785</v>
      </c>
      <c r="B1145" s="4"/>
      <c r="C1145" s="4"/>
      <c r="D1145" s="4"/>
      <c r="E1145" s="4"/>
      <c r="F1145" s="4"/>
      <c r="G1145" s="85">
        <f>IFERROR(__xludf.DUMMYFUNCTION("""COMPUTED_VALUE"""),45325.697222222225)</f>
        <v>45325.69722</v>
      </c>
      <c r="H1145" s="85" t="str">
        <f>IFERROR(__xludf.DUMMYFUNCTION("""COMPUTED_VALUE"""),"Estimate ")</f>
        <v>Estimate </v>
      </c>
      <c r="I1145" s="4" t="str">
        <f>IFERROR(__xludf.DUMMYFUNCTION("""COMPUTED_VALUE"""),"shivani")</f>
        <v>shivani</v>
      </c>
    </row>
    <row r="1146">
      <c r="A1146" s="85">
        <f>IFERROR(__xludf.DUMMYFUNCTION("""COMPUTED_VALUE"""),45323.69937849537)</f>
        <v>45323.69938</v>
      </c>
      <c r="B1146" s="4"/>
      <c r="C1146" s="4"/>
      <c r="D1146" s="4"/>
      <c r="E1146" s="4"/>
      <c r="F1146" s="4"/>
      <c r="G1146" s="85">
        <f>IFERROR(__xludf.DUMMYFUNCTION("""COMPUTED_VALUE"""),45325.69930555555)</f>
        <v>45325.69931</v>
      </c>
      <c r="H1146" s="85" t="str">
        <f>IFERROR(__xludf.DUMMYFUNCTION("""COMPUTED_VALUE"""),"Estimate ")</f>
        <v>Estimate </v>
      </c>
      <c r="I1146" s="4" t="str">
        <f>IFERROR(__xludf.DUMMYFUNCTION("""COMPUTED_VALUE"""),"shivani")</f>
        <v>shivani</v>
      </c>
    </row>
    <row r="1147">
      <c r="A1147" s="85">
        <f>IFERROR(__xludf.DUMMYFUNCTION("""COMPUTED_VALUE"""),45323.70037861111)</f>
        <v>45323.70038</v>
      </c>
      <c r="B1147" s="4"/>
      <c r="C1147" s="4"/>
      <c r="D1147" s="4"/>
      <c r="E1147" s="4"/>
      <c r="F1147" s="4"/>
      <c r="G1147" s="85">
        <f>IFERROR(__xludf.DUMMYFUNCTION("""COMPUTED_VALUE"""),45325.7)</f>
        <v>45325.7</v>
      </c>
      <c r="H1147" s="85" t="str">
        <f>IFERROR(__xludf.DUMMYFUNCTION("""COMPUTED_VALUE"""),"Estimate ")</f>
        <v>Estimate </v>
      </c>
      <c r="I1147" s="4" t="str">
        <f>IFERROR(__xludf.DUMMYFUNCTION("""COMPUTED_VALUE"""),"shivani")</f>
        <v>shivani</v>
      </c>
    </row>
    <row r="1148">
      <c r="A1148" s="85">
        <f>IFERROR(__xludf.DUMMYFUNCTION("""COMPUTED_VALUE"""),45323.704228043985)</f>
        <v>45323.70423</v>
      </c>
      <c r="B1148" s="4"/>
      <c r="C1148" s="4"/>
      <c r="D1148" s="4"/>
      <c r="E1148" s="4"/>
      <c r="F1148" s="4"/>
      <c r="G1148" s="85">
        <f>IFERROR(__xludf.DUMMYFUNCTION("""COMPUTED_VALUE"""),45325.70416666666)</f>
        <v>45325.70417</v>
      </c>
      <c r="H1148" s="85" t="str">
        <f>IFERROR(__xludf.DUMMYFUNCTION("""COMPUTED_VALUE"""),"Estimate ")</f>
        <v>Estimate </v>
      </c>
      <c r="I1148" s="4" t="str">
        <f>IFERROR(__xludf.DUMMYFUNCTION("""COMPUTED_VALUE"""),"shivani")</f>
        <v>shivani</v>
      </c>
    </row>
    <row r="1149">
      <c r="A1149" s="85">
        <f>IFERROR(__xludf.DUMMYFUNCTION("""COMPUTED_VALUE"""),45325.70485834491)</f>
        <v>45325.70486</v>
      </c>
      <c r="B1149" s="4"/>
      <c r="C1149" s="4"/>
      <c r="D1149" s="4"/>
      <c r="E1149" s="4"/>
      <c r="F1149" s="4"/>
      <c r="G1149" s="85">
        <f>IFERROR(__xludf.DUMMYFUNCTION("""COMPUTED_VALUE"""),45328.70486111111)</f>
        <v>45328.70486</v>
      </c>
      <c r="H1149" s="85" t="str">
        <f>IFERROR(__xludf.DUMMYFUNCTION("""COMPUTED_VALUE"""),"Estimate ")</f>
        <v>Estimate </v>
      </c>
      <c r="I1149" s="4" t="str">
        <f>IFERROR(__xludf.DUMMYFUNCTION("""COMPUTED_VALUE"""),"shivani")</f>
        <v>shivani</v>
      </c>
    </row>
    <row r="1150">
      <c r="A1150" s="85">
        <f>IFERROR(__xludf.DUMMYFUNCTION("""COMPUTED_VALUE"""),45325.70662981482)</f>
        <v>45325.70663</v>
      </c>
      <c r="B1150" s="4"/>
      <c r="C1150" s="4"/>
      <c r="D1150" s="4"/>
      <c r="E1150" s="4"/>
      <c r="F1150" s="4"/>
      <c r="G1150" s="85">
        <f>IFERROR(__xludf.DUMMYFUNCTION("""COMPUTED_VALUE"""),45328.70625)</f>
        <v>45328.70625</v>
      </c>
      <c r="H1150" s="85" t="str">
        <f>IFERROR(__xludf.DUMMYFUNCTION("""COMPUTED_VALUE"""),"Estimate ")</f>
        <v>Estimate </v>
      </c>
      <c r="I1150" s="4" t="str">
        <f>IFERROR(__xludf.DUMMYFUNCTION("""COMPUTED_VALUE"""),"shivani")</f>
        <v>shivani</v>
      </c>
    </row>
    <row r="1151">
      <c r="A1151" s="85">
        <f>IFERROR(__xludf.DUMMYFUNCTION("""COMPUTED_VALUE"""),45325.70746050926)</f>
        <v>45325.70746</v>
      </c>
      <c r="B1151" s="4"/>
      <c r="C1151" s="4"/>
      <c r="D1151" s="4"/>
      <c r="E1151" s="4"/>
      <c r="F1151" s="4"/>
      <c r="G1151" s="85">
        <f>IFERROR(__xludf.DUMMYFUNCTION("""COMPUTED_VALUE"""),45328.70694444445)</f>
        <v>45328.70694</v>
      </c>
      <c r="H1151" s="85" t="str">
        <f>IFERROR(__xludf.DUMMYFUNCTION("""COMPUTED_VALUE"""),"Estimate ")</f>
        <v>Estimate </v>
      </c>
      <c r="I1151" s="4" t="str">
        <f>IFERROR(__xludf.DUMMYFUNCTION("""COMPUTED_VALUE"""),"shivani")</f>
        <v>shivani</v>
      </c>
    </row>
    <row r="1152">
      <c r="A1152" s="85">
        <f>IFERROR(__xludf.DUMMYFUNCTION("""COMPUTED_VALUE"""),45325.70842616898)</f>
        <v>45325.70843</v>
      </c>
      <c r="B1152" s="4"/>
      <c r="C1152" s="4"/>
      <c r="D1152" s="4"/>
      <c r="E1152" s="4"/>
      <c r="F1152" s="4"/>
      <c r="G1152" s="85">
        <f>IFERROR(__xludf.DUMMYFUNCTION("""COMPUTED_VALUE"""),45328.70833333333)</f>
        <v>45328.70833</v>
      </c>
      <c r="H1152" s="85" t="str">
        <f>IFERROR(__xludf.DUMMYFUNCTION("""COMPUTED_VALUE"""),"Estimate ")</f>
        <v>Estimate </v>
      </c>
      <c r="I1152" s="4" t="str">
        <f>IFERROR(__xludf.DUMMYFUNCTION("""COMPUTED_VALUE"""),"shivani")</f>
        <v>shivani</v>
      </c>
    </row>
    <row r="1153">
      <c r="A1153" s="85">
        <f>IFERROR(__xludf.DUMMYFUNCTION("""COMPUTED_VALUE"""),45325.709281284726)</f>
        <v>45325.70928</v>
      </c>
      <c r="B1153" s="4"/>
      <c r="C1153" s="4"/>
      <c r="D1153" s="4"/>
      <c r="E1153" s="4"/>
      <c r="F1153" s="4"/>
      <c r="G1153" s="85">
        <f>IFERROR(__xludf.DUMMYFUNCTION("""COMPUTED_VALUE"""),45328.709027777775)</f>
        <v>45328.70903</v>
      </c>
      <c r="H1153" s="85" t="str">
        <f>IFERROR(__xludf.DUMMYFUNCTION("""COMPUTED_VALUE"""),"Estimate ")</f>
        <v>Estimate </v>
      </c>
      <c r="I1153" s="4" t="str">
        <f>IFERROR(__xludf.DUMMYFUNCTION("""COMPUTED_VALUE"""),"shivani")</f>
        <v>shivani</v>
      </c>
    </row>
    <row r="1154">
      <c r="A1154" s="85">
        <f>IFERROR(__xludf.DUMMYFUNCTION("""COMPUTED_VALUE"""),45325.71065732639)</f>
        <v>45325.71066</v>
      </c>
      <c r="B1154" s="4"/>
      <c r="C1154" s="4"/>
      <c r="D1154" s="4"/>
      <c r="E1154" s="4"/>
      <c r="F1154" s="4"/>
      <c r="G1154" s="85">
        <f>IFERROR(__xludf.DUMMYFUNCTION("""COMPUTED_VALUE"""),45328.71041666667)</f>
        <v>45328.71042</v>
      </c>
      <c r="H1154" s="85" t="str">
        <f>IFERROR(__xludf.DUMMYFUNCTION("""COMPUTED_VALUE"""),"Estimate ")</f>
        <v>Estimate </v>
      </c>
      <c r="I1154" s="4" t="str">
        <f>IFERROR(__xludf.DUMMYFUNCTION("""COMPUTED_VALUE"""),"shivani")</f>
        <v>shivani</v>
      </c>
    </row>
    <row r="1155">
      <c r="A1155" s="85">
        <f>IFERROR(__xludf.DUMMYFUNCTION("""COMPUTED_VALUE"""),45325.71401586805)</f>
        <v>45325.71402</v>
      </c>
      <c r="B1155" s="4"/>
      <c r="C1155" s="4"/>
      <c r="D1155" s="4"/>
      <c r="E1155" s="4"/>
      <c r="F1155" s="4"/>
      <c r="G1155" s="85">
        <f>IFERROR(__xludf.DUMMYFUNCTION("""COMPUTED_VALUE"""),45328.71388888889)</f>
        <v>45328.71389</v>
      </c>
      <c r="H1155" s="85" t="str">
        <f>IFERROR(__xludf.DUMMYFUNCTION("""COMPUTED_VALUE"""),"Estimate ")</f>
        <v>Estimate </v>
      </c>
      <c r="I1155" s="4" t="str">
        <f>IFERROR(__xludf.DUMMYFUNCTION("""COMPUTED_VALUE"""),"shivani")</f>
        <v>shivani</v>
      </c>
    </row>
    <row r="1156">
      <c r="A1156" s="85">
        <f>IFERROR(__xludf.DUMMYFUNCTION("""COMPUTED_VALUE"""),45325.72334710648)</f>
        <v>45325.72335</v>
      </c>
      <c r="B1156" s="4"/>
      <c r="C1156" s="4"/>
      <c r="D1156" s="4"/>
      <c r="E1156" s="4"/>
      <c r="F1156" s="4"/>
      <c r="G1156" s="85">
        <f>IFERROR(__xludf.DUMMYFUNCTION("""COMPUTED_VALUE"""),45328.722916666666)</f>
        <v>45328.72292</v>
      </c>
      <c r="H1156" s="85" t="str">
        <f>IFERROR(__xludf.DUMMYFUNCTION("""COMPUTED_VALUE"""),"Estimate ")</f>
        <v>Estimate </v>
      </c>
      <c r="I1156" s="4" t="str">
        <f>IFERROR(__xludf.DUMMYFUNCTION("""COMPUTED_VALUE"""),"shivani")</f>
        <v>shivani</v>
      </c>
    </row>
    <row r="1157">
      <c r="A1157" s="85">
        <f>IFERROR(__xludf.DUMMYFUNCTION("""COMPUTED_VALUE"""),45325.725131747684)</f>
        <v>45325.72513</v>
      </c>
      <c r="B1157" s="4"/>
      <c r="C1157" s="4"/>
      <c r="D1157" s="4"/>
      <c r="E1157" s="4"/>
      <c r="F1157" s="4"/>
      <c r="G1157" s="85">
        <f>IFERROR(__xludf.DUMMYFUNCTION("""COMPUTED_VALUE"""),45328.725)</f>
        <v>45328.725</v>
      </c>
      <c r="H1157" s="85" t="str">
        <f>IFERROR(__xludf.DUMMYFUNCTION("""COMPUTED_VALUE"""),"Estimate ")</f>
        <v>Estimate </v>
      </c>
      <c r="I1157" s="4" t="str">
        <f>IFERROR(__xludf.DUMMYFUNCTION("""COMPUTED_VALUE"""),"shivani")</f>
        <v>shivani</v>
      </c>
    </row>
    <row r="1158">
      <c r="A1158" s="85">
        <f>IFERROR(__xludf.DUMMYFUNCTION("""COMPUTED_VALUE"""),45325.72678045139)</f>
        <v>45325.72678</v>
      </c>
      <c r="B1158" s="4"/>
      <c r="C1158" s="4"/>
      <c r="D1158" s="4"/>
      <c r="E1158" s="4"/>
      <c r="F1158" s="4"/>
      <c r="G1158" s="85">
        <f>IFERROR(__xludf.DUMMYFUNCTION("""COMPUTED_VALUE"""),45328.726388888885)</f>
        <v>45328.72639</v>
      </c>
      <c r="H1158" s="85" t="str">
        <f>IFERROR(__xludf.DUMMYFUNCTION("""COMPUTED_VALUE"""),"Estimate ")</f>
        <v>Estimate </v>
      </c>
      <c r="I1158" s="4" t="str">
        <f>IFERROR(__xludf.DUMMYFUNCTION("""COMPUTED_VALUE"""),"shivani")</f>
        <v>shivani</v>
      </c>
    </row>
    <row r="1159">
      <c r="A1159" s="85">
        <f>IFERROR(__xludf.DUMMYFUNCTION("""COMPUTED_VALUE"""),45325.727821458335)</f>
        <v>45325.72782</v>
      </c>
      <c r="B1159" s="4"/>
      <c r="C1159" s="4"/>
      <c r="D1159" s="4"/>
      <c r="E1159" s="4"/>
      <c r="F1159" s="4"/>
      <c r="G1159" s="85">
        <f>IFERROR(__xludf.DUMMYFUNCTION("""COMPUTED_VALUE"""),45328.72777777778)</f>
        <v>45328.72778</v>
      </c>
      <c r="H1159" s="85" t="str">
        <f>IFERROR(__xludf.DUMMYFUNCTION("""COMPUTED_VALUE"""),"Estimate ")</f>
        <v>Estimate </v>
      </c>
      <c r="I1159" s="4" t="str">
        <f>IFERROR(__xludf.DUMMYFUNCTION("""COMPUTED_VALUE"""),"shivani")</f>
        <v>shivani</v>
      </c>
    </row>
    <row r="1160">
      <c r="A1160" s="85">
        <f>IFERROR(__xludf.DUMMYFUNCTION("""COMPUTED_VALUE"""),45325.72909898149)</f>
        <v>45325.7291</v>
      </c>
      <c r="B1160" s="4"/>
      <c r="C1160" s="4"/>
      <c r="D1160" s="4"/>
      <c r="E1160" s="4"/>
      <c r="F1160" s="4"/>
      <c r="G1160" s="85">
        <f>IFERROR(__xludf.DUMMYFUNCTION("""COMPUTED_VALUE"""),45328.728472222225)</f>
        <v>45328.72847</v>
      </c>
      <c r="H1160" s="85" t="str">
        <f>IFERROR(__xludf.DUMMYFUNCTION("""COMPUTED_VALUE"""),"Estimate ")</f>
        <v>Estimate </v>
      </c>
      <c r="I1160" s="4" t="str">
        <f>IFERROR(__xludf.DUMMYFUNCTION("""COMPUTED_VALUE"""),"shivani")</f>
        <v>shivani</v>
      </c>
    </row>
    <row r="1161">
      <c r="A1161" s="85">
        <f>IFERROR(__xludf.DUMMYFUNCTION("""COMPUTED_VALUE"""),45325.73012834491)</f>
        <v>45325.73013</v>
      </c>
      <c r="B1161" s="4"/>
      <c r="C1161" s="4"/>
      <c r="D1161" s="4"/>
      <c r="E1161" s="4"/>
      <c r="F1161" s="4"/>
      <c r="G1161" s="85">
        <f>IFERROR(__xludf.DUMMYFUNCTION("""COMPUTED_VALUE"""),45328.72986111111)</f>
        <v>45328.72986</v>
      </c>
      <c r="H1161" s="85" t="str">
        <f>IFERROR(__xludf.DUMMYFUNCTION("""COMPUTED_VALUE"""),"Estimate ")</f>
        <v>Estimate </v>
      </c>
      <c r="I1161" s="4" t="str">
        <f>IFERROR(__xludf.DUMMYFUNCTION("""COMPUTED_VALUE"""),"shivani")</f>
        <v>shivani</v>
      </c>
    </row>
    <row r="1162">
      <c r="A1162" s="85">
        <f>IFERROR(__xludf.DUMMYFUNCTION("""COMPUTED_VALUE"""),45325.7310190625)</f>
        <v>45325.73102</v>
      </c>
      <c r="B1162" s="4"/>
      <c r="C1162" s="4"/>
      <c r="D1162" s="4"/>
      <c r="E1162" s="4"/>
      <c r="F1162" s="4"/>
      <c r="G1162" s="85">
        <f>IFERROR(__xludf.DUMMYFUNCTION("""COMPUTED_VALUE"""),45328.73055555555)</f>
        <v>45328.73056</v>
      </c>
      <c r="H1162" s="85" t="str">
        <f>IFERROR(__xludf.DUMMYFUNCTION("""COMPUTED_VALUE"""),"Estimate ")</f>
        <v>Estimate </v>
      </c>
      <c r="I1162" s="4" t="str">
        <f>IFERROR(__xludf.DUMMYFUNCTION("""COMPUTED_VALUE"""),"shivani")</f>
        <v>shivani</v>
      </c>
    </row>
    <row r="1163">
      <c r="A1163" s="85">
        <f>IFERROR(__xludf.DUMMYFUNCTION("""COMPUTED_VALUE"""),45325.7327547338)</f>
        <v>45325.73275</v>
      </c>
      <c r="B1163" s="4"/>
      <c r="C1163" s="4"/>
      <c r="D1163" s="4"/>
      <c r="E1163" s="4"/>
      <c r="F1163" s="4"/>
      <c r="G1163" s="85">
        <f>IFERROR(__xludf.DUMMYFUNCTION("""COMPUTED_VALUE"""),45328.73263888889)</f>
        <v>45328.73264</v>
      </c>
      <c r="H1163" s="85" t="str">
        <f>IFERROR(__xludf.DUMMYFUNCTION("""COMPUTED_VALUE"""),"Estimate ")</f>
        <v>Estimate </v>
      </c>
      <c r="I1163" s="4" t="str">
        <f>IFERROR(__xludf.DUMMYFUNCTION("""COMPUTED_VALUE"""),"shivani")</f>
        <v>shivani</v>
      </c>
    </row>
    <row r="1164">
      <c r="A1164" s="85">
        <f>IFERROR(__xludf.DUMMYFUNCTION("""COMPUTED_VALUE"""),45325.73385427084)</f>
        <v>45325.73385</v>
      </c>
      <c r="B1164" s="4"/>
      <c r="C1164" s="4"/>
      <c r="D1164" s="4"/>
      <c r="E1164" s="4"/>
      <c r="F1164" s="4"/>
      <c r="G1164" s="85">
        <f>IFERROR(__xludf.DUMMYFUNCTION("""COMPUTED_VALUE"""),45328.73333333334)</f>
        <v>45328.73333</v>
      </c>
      <c r="H1164" s="85" t="str">
        <f>IFERROR(__xludf.DUMMYFUNCTION("""COMPUTED_VALUE"""),"Estimate ")</f>
        <v>Estimate </v>
      </c>
      <c r="I1164" s="4" t="str">
        <f>IFERROR(__xludf.DUMMYFUNCTION("""COMPUTED_VALUE"""),"shivani")</f>
        <v>shivani</v>
      </c>
    </row>
    <row r="1165">
      <c r="A1165" s="85">
        <f>IFERROR(__xludf.DUMMYFUNCTION("""COMPUTED_VALUE"""),45325.734662268515)</f>
        <v>45325.73466</v>
      </c>
      <c r="B1165" s="4"/>
      <c r="C1165" s="4"/>
      <c r="D1165" s="4"/>
      <c r="E1165" s="4"/>
      <c r="F1165" s="4"/>
      <c r="G1165" s="85">
        <f>IFERROR(__xludf.DUMMYFUNCTION("""COMPUTED_VALUE"""),45328.73402777778)</f>
        <v>45328.73403</v>
      </c>
      <c r="H1165" s="85" t="str">
        <f>IFERROR(__xludf.DUMMYFUNCTION("""COMPUTED_VALUE"""),"Estimate ")</f>
        <v>Estimate </v>
      </c>
      <c r="I1165" s="4" t="str">
        <f>IFERROR(__xludf.DUMMYFUNCTION("""COMPUTED_VALUE"""),"shivani")</f>
        <v>shivani</v>
      </c>
    </row>
    <row r="1166">
      <c r="A1166" s="85">
        <f>IFERROR(__xludf.DUMMYFUNCTION("""COMPUTED_VALUE"""),45328.544887407406)</f>
        <v>45328.54489</v>
      </c>
      <c r="B1166" s="4"/>
      <c r="C1166" s="4"/>
      <c r="D1166" s="4"/>
      <c r="E1166" s="4"/>
      <c r="F1166" s="4"/>
      <c r="G1166" s="85">
        <f>IFERROR(__xludf.DUMMYFUNCTION("""COMPUTED_VALUE"""),45330.544444444444)</f>
        <v>45330.54444</v>
      </c>
      <c r="H1166" s="85" t="str">
        <f>IFERROR(__xludf.DUMMYFUNCTION("""COMPUTED_VALUE"""),"Estimate ")</f>
        <v>Estimate </v>
      </c>
      <c r="I1166" s="4" t="str">
        <f>IFERROR(__xludf.DUMMYFUNCTION("""COMPUTED_VALUE"""),"shivani")</f>
        <v>shivani</v>
      </c>
    </row>
    <row r="1167">
      <c r="A1167" s="85">
        <f>IFERROR(__xludf.DUMMYFUNCTION("""COMPUTED_VALUE"""),45328.54830722223)</f>
        <v>45328.54831</v>
      </c>
      <c r="B1167" s="4"/>
      <c r="C1167" s="4"/>
      <c r="D1167" s="4"/>
      <c r="E1167" s="4"/>
      <c r="F1167" s="4"/>
      <c r="G1167" s="85">
        <f>IFERROR(__xludf.DUMMYFUNCTION("""COMPUTED_VALUE"""),45330.54791666666)</f>
        <v>45330.54792</v>
      </c>
      <c r="H1167" s="85" t="str">
        <f>IFERROR(__xludf.DUMMYFUNCTION("""COMPUTED_VALUE"""),"Estimate ")</f>
        <v>Estimate </v>
      </c>
      <c r="I1167" s="4" t="str">
        <f>IFERROR(__xludf.DUMMYFUNCTION("""COMPUTED_VALUE"""),"shivani")</f>
        <v>shivani</v>
      </c>
    </row>
    <row r="1168">
      <c r="A1168" s="85">
        <f>IFERROR(__xludf.DUMMYFUNCTION("""COMPUTED_VALUE"""),45328.54964467593)</f>
        <v>45328.54964</v>
      </c>
      <c r="B1168" s="4"/>
      <c r="C1168" s="4"/>
      <c r="D1168" s="4"/>
      <c r="E1168" s="4"/>
      <c r="F1168" s="4"/>
      <c r="G1168" s="85">
        <f>IFERROR(__xludf.DUMMYFUNCTION("""COMPUTED_VALUE"""),45330.549305555556)</f>
        <v>45330.54931</v>
      </c>
      <c r="H1168" s="85" t="str">
        <f>IFERROR(__xludf.DUMMYFUNCTION("""COMPUTED_VALUE"""),"Estimate ")</f>
        <v>Estimate </v>
      </c>
      <c r="I1168" s="4" t="str">
        <f>IFERROR(__xludf.DUMMYFUNCTION("""COMPUTED_VALUE"""),"shivani")</f>
        <v>shivani</v>
      </c>
    </row>
    <row r="1169">
      <c r="A1169" s="85">
        <f>IFERROR(__xludf.DUMMYFUNCTION("""COMPUTED_VALUE"""),45328.55057707176)</f>
        <v>45328.55058</v>
      </c>
      <c r="B1169" s="4"/>
      <c r="C1169" s="4"/>
      <c r="D1169" s="4"/>
      <c r="E1169" s="4"/>
      <c r="F1169" s="4"/>
      <c r="G1169" s="85">
        <f>IFERROR(__xludf.DUMMYFUNCTION("""COMPUTED_VALUE"""),45330.55)</f>
        <v>45330.55</v>
      </c>
      <c r="H1169" s="85" t="str">
        <f>IFERROR(__xludf.DUMMYFUNCTION("""COMPUTED_VALUE"""),"Estimate ")</f>
        <v>Estimate </v>
      </c>
      <c r="I1169" s="4" t="str">
        <f>IFERROR(__xludf.DUMMYFUNCTION("""COMPUTED_VALUE"""),"shivani")</f>
        <v>shivani</v>
      </c>
    </row>
    <row r="1170">
      <c r="A1170" s="85">
        <f>IFERROR(__xludf.DUMMYFUNCTION("""COMPUTED_VALUE"""),45328.55225064815)</f>
        <v>45328.55225</v>
      </c>
      <c r="B1170" s="4"/>
      <c r="C1170" s="4"/>
      <c r="D1170" s="4"/>
      <c r="E1170" s="4"/>
      <c r="F1170" s="4"/>
      <c r="G1170" s="85">
        <f>IFERROR(__xludf.DUMMYFUNCTION("""COMPUTED_VALUE"""),45330.55208333333)</f>
        <v>45330.55208</v>
      </c>
      <c r="H1170" s="85" t="str">
        <f>IFERROR(__xludf.DUMMYFUNCTION("""COMPUTED_VALUE"""),"Estimate ")</f>
        <v>Estimate </v>
      </c>
      <c r="I1170" s="4" t="str">
        <f>IFERROR(__xludf.DUMMYFUNCTION("""COMPUTED_VALUE"""),"shivani")</f>
        <v>shivani</v>
      </c>
    </row>
    <row r="1171">
      <c r="A1171" s="85">
        <f>IFERROR(__xludf.DUMMYFUNCTION("""COMPUTED_VALUE"""),45328.55360400463)</f>
        <v>45328.5536</v>
      </c>
      <c r="B1171" s="4"/>
      <c r="C1171" s="4"/>
      <c r="D1171" s="4"/>
      <c r="E1171" s="4"/>
      <c r="F1171" s="4"/>
      <c r="G1171" s="85">
        <f>IFERROR(__xludf.DUMMYFUNCTION("""COMPUTED_VALUE"""),45330.55347222222)</f>
        <v>45330.55347</v>
      </c>
      <c r="H1171" s="85" t="str">
        <f>IFERROR(__xludf.DUMMYFUNCTION("""COMPUTED_VALUE"""),"Estimate ")</f>
        <v>Estimate </v>
      </c>
      <c r="I1171" s="4" t="str">
        <f>IFERROR(__xludf.DUMMYFUNCTION("""COMPUTED_VALUE"""),"shivani")</f>
        <v>shivani</v>
      </c>
    </row>
    <row r="1172">
      <c r="A1172" s="85">
        <f>IFERROR(__xludf.DUMMYFUNCTION("""COMPUTED_VALUE"""),45328.55464252315)</f>
        <v>45328.55464</v>
      </c>
      <c r="B1172" s="4"/>
      <c r="C1172" s="4"/>
      <c r="D1172" s="4"/>
      <c r="E1172" s="4"/>
      <c r="F1172" s="4"/>
      <c r="G1172" s="85">
        <f>IFERROR(__xludf.DUMMYFUNCTION("""COMPUTED_VALUE"""),45330.55416666667)</f>
        <v>45330.55417</v>
      </c>
      <c r="H1172" s="85" t="str">
        <f>IFERROR(__xludf.DUMMYFUNCTION("""COMPUTED_VALUE"""),"Estimate ")</f>
        <v>Estimate </v>
      </c>
      <c r="I1172" s="4" t="str">
        <f>IFERROR(__xludf.DUMMYFUNCTION("""COMPUTED_VALUE"""),"shivani")</f>
        <v>shivani</v>
      </c>
    </row>
    <row r="1173">
      <c r="A1173" s="85">
        <f>IFERROR(__xludf.DUMMYFUNCTION("""COMPUTED_VALUE"""),45328.55535555556)</f>
        <v>45328.55536</v>
      </c>
      <c r="B1173" s="4"/>
      <c r="C1173" s="4"/>
      <c r="D1173" s="4"/>
      <c r="E1173" s="4"/>
      <c r="F1173" s="4"/>
      <c r="G1173" s="85">
        <f>IFERROR(__xludf.DUMMYFUNCTION("""COMPUTED_VALUE"""),45330.554861111115)</f>
        <v>45330.55486</v>
      </c>
      <c r="H1173" s="85" t="str">
        <f>IFERROR(__xludf.DUMMYFUNCTION("""COMPUTED_VALUE"""),"Estimate ")</f>
        <v>Estimate </v>
      </c>
      <c r="I1173" s="4" t="str">
        <f>IFERROR(__xludf.DUMMYFUNCTION("""COMPUTED_VALUE"""),"shivani")</f>
        <v>shivani</v>
      </c>
    </row>
    <row r="1174">
      <c r="A1174" s="85">
        <f>IFERROR(__xludf.DUMMYFUNCTION("""COMPUTED_VALUE"""),45328.55634767361)</f>
        <v>45328.55635</v>
      </c>
      <c r="B1174" s="4"/>
      <c r="C1174" s="4"/>
      <c r="D1174" s="4"/>
      <c r="E1174" s="4"/>
      <c r="F1174" s="4"/>
      <c r="G1174" s="85">
        <f>IFERROR(__xludf.DUMMYFUNCTION("""COMPUTED_VALUE"""),45330.55625)</f>
        <v>45330.55625</v>
      </c>
      <c r="H1174" s="85" t="str">
        <f>IFERROR(__xludf.DUMMYFUNCTION("""COMPUTED_VALUE"""),"Estimate ")</f>
        <v>Estimate </v>
      </c>
      <c r="I1174" s="4" t="str">
        <f>IFERROR(__xludf.DUMMYFUNCTION("""COMPUTED_VALUE"""),"shivani")</f>
        <v>shivani</v>
      </c>
    </row>
    <row r="1175">
      <c r="A1175" s="85">
        <f>IFERROR(__xludf.DUMMYFUNCTION("""COMPUTED_VALUE"""),45328.55711829861)</f>
        <v>45328.55712</v>
      </c>
      <c r="B1175" s="4"/>
      <c r="C1175" s="4"/>
      <c r="D1175" s="4"/>
      <c r="E1175" s="4"/>
      <c r="F1175" s="4"/>
      <c r="G1175" s="85">
        <f>IFERROR(__xludf.DUMMYFUNCTION("""COMPUTED_VALUE"""),45330.55694444444)</f>
        <v>45330.55694</v>
      </c>
      <c r="H1175" s="85" t="str">
        <f>IFERROR(__xludf.DUMMYFUNCTION("""COMPUTED_VALUE"""),"Estimate ")</f>
        <v>Estimate </v>
      </c>
      <c r="I1175" s="4" t="str">
        <f>IFERROR(__xludf.DUMMYFUNCTION("""COMPUTED_VALUE"""),"shivani")</f>
        <v>shivani</v>
      </c>
    </row>
    <row r="1176">
      <c r="A1176" s="85">
        <f>IFERROR(__xludf.DUMMYFUNCTION("""COMPUTED_VALUE"""),45328.55792151621)</f>
        <v>45328.55792</v>
      </c>
      <c r="B1176" s="4"/>
      <c r="C1176" s="4"/>
      <c r="D1176" s="4"/>
      <c r="E1176" s="4"/>
      <c r="F1176" s="4"/>
      <c r="G1176" s="85">
        <f>IFERROR(__xludf.DUMMYFUNCTION("""COMPUTED_VALUE"""),45330.55763888889)</f>
        <v>45330.55764</v>
      </c>
      <c r="H1176" s="85" t="str">
        <f>IFERROR(__xludf.DUMMYFUNCTION("""COMPUTED_VALUE"""),"Estimate ")</f>
        <v>Estimate </v>
      </c>
      <c r="I1176" s="4" t="str">
        <f>IFERROR(__xludf.DUMMYFUNCTION("""COMPUTED_VALUE"""),"shivani")</f>
        <v>shivani</v>
      </c>
    </row>
    <row r="1177">
      <c r="A1177" s="85">
        <f>IFERROR(__xludf.DUMMYFUNCTION("""COMPUTED_VALUE"""),45328.55880681713)</f>
        <v>45328.55881</v>
      </c>
      <c r="B1177" s="4"/>
      <c r="C1177" s="4"/>
      <c r="D1177" s="4"/>
      <c r="E1177" s="4"/>
      <c r="F1177" s="4"/>
      <c r="G1177" s="85">
        <f>IFERROR(__xludf.DUMMYFUNCTION("""COMPUTED_VALUE"""),45330.558333333334)</f>
        <v>45330.55833</v>
      </c>
      <c r="H1177" s="85" t="str">
        <f>IFERROR(__xludf.DUMMYFUNCTION("""COMPUTED_VALUE"""),"Estimate ")</f>
        <v>Estimate </v>
      </c>
      <c r="I1177" s="4" t="str">
        <f>IFERROR(__xludf.DUMMYFUNCTION("""COMPUTED_VALUE"""),"shivani")</f>
        <v>shivani</v>
      </c>
    </row>
    <row r="1178">
      <c r="A1178" s="85">
        <f>IFERROR(__xludf.DUMMYFUNCTION("""COMPUTED_VALUE"""),45328.57963075232)</f>
        <v>45328.57963</v>
      </c>
      <c r="B1178" s="4"/>
      <c r="C1178" s="4"/>
      <c r="D1178" s="4"/>
      <c r="E1178" s="4"/>
      <c r="F1178" s="4"/>
      <c r="G1178" s="85">
        <f>IFERROR(__xludf.DUMMYFUNCTION("""COMPUTED_VALUE"""),45330.57916666666)</f>
        <v>45330.57917</v>
      </c>
      <c r="H1178" s="85" t="str">
        <f>IFERROR(__xludf.DUMMYFUNCTION("""COMPUTED_VALUE"""),"Estimate ")</f>
        <v>Estimate </v>
      </c>
      <c r="I1178" s="4" t="str">
        <f>IFERROR(__xludf.DUMMYFUNCTION("""COMPUTED_VALUE"""),"shivani")</f>
        <v>shivani</v>
      </c>
    </row>
    <row r="1179">
      <c r="A1179" s="85">
        <f>IFERROR(__xludf.DUMMYFUNCTION("""COMPUTED_VALUE"""),45328.580644965274)</f>
        <v>45328.58064</v>
      </c>
      <c r="B1179" s="4"/>
      <c r="C1179" s="4"/>
      <c r="D1179" s="4"/>
      <c r="E1179" s="4"/>
      <c r="F1179" s="4"/>
      <c r="G1179" s="85">
        <f>IFERROR(__xludf.DUMMYFUNCTION("""COMPUTED_VALUE"""),45330.580555555556)</f>
        <v>45330.58056</v>
      </c>
      <c r="H1179" s="85" t="str">
        <f>IFERROR(__xludf.DUMMYFUNCTION("""COMPUTED_VALUE"""),"Estimate ")</f>
        <v>Estimate </v>
      </c>
      <c r="I1179" s="4" t="str">
        <f>IFERROR(__xludf.DUMMYFUNCTION("""COMPUTED_VALUE"""),"shivani")</f>
        <v>shivani</v>
      </c>
    </row>
    <row r="1180">
      <c r="A1180" s="85">
        <f>IFERROR(__xludf.DUMMYFUNCTION("""COMPUTED_VALUE"""),45328.58130554398)</f>
        <v>45328.58131</v>
      </c>
      <c r="B1180" s="4"/>
      <c r="C1180" s="4"/>
      <c r="D1180" s="4"/>
      <c r="E1180" s="4"/>
      <c r="F1180" s="4"/>
      <c r="G1180" s="85">
        <f>IFERROR(__xludf.DUMMYFUNCTION("""COMPUTED_VALUE"""),45330.58125)</f>
        <v>45330.58125</v>
      </c>
      <c r="H1180" s="85" t="str">
        <f>IFERROR(__xludf.DUMMYFUNCTION("""COMPUTED_VALUE"""),"Estimate ")</f>
        <v>Estimate </v>
      </c>
      <c r="I1180" s="4" t="str">
        <f>IFERROR(__xludf.DUMMYFUNCTION("""COMPUTED_VALUE"""),"shivani")</f>
        <v>shivani</v>
      </c>
    </row>
    <row r="1181">
      <c r="A1181" s="85">
        <f>IFERROR(__xludf.DUMMYFUNCTION("""COMPUTED_VALUE"""),45328.67058766204)</f>
        <v>45328.67059</v>
      </c>
      <c r="B1181" s="4"/>
      <c r="C1181" s="4"/>
      <c r="D1181" s="4"/>
      <c r="E1181" s="4"/>
      <c r="F1181" s="4"/>
      <c r="G1181" s="85">
        <f>IFERROR(__xludf.DUMMYFUNCTION("""COMPUTED_VALUE"""),45330.67013888889)</f>
        <v>45330.67014</v>
      </c>
      <c r="H1181" s="85" t="str">
        <f>IFERROR(__xludf.DUMMYFUNCTION("""COMPUTED_VALUE"""),"Estimate ")</f>
        <v>Estimate </v>
      </c>
      <c r="I1181" s="4" t="str">
        <f>IFERROR(__xludf.DUMMYFUNCTION("""COMPUTED_VALUE"""),"shivani")</f>
        <v>shivani</v>
      </c>
    </row>
    <row r="1182">
      <c r="A1182" s="85">
        <f>IFERROR(__xludf.DUMMYFUNCTION("""COMPUTED_VALUE"""),45328.67315692129)</f>
        <v>45328.67316</v>
      </c>
      <c r="B1182" s="4"/>
      <c r="C1182" s="4"/>
      <c r="D1182" s="4"/>
      <c r="E1182" s="4"/>
      <c r="F1182" s="4"/>
      <c r="G1182" s="85">
        <f>IFERROR(__xludf.DUMMYFUNCTION("""COMPUTED_VALUE"""),45330.67291666666)</f>
        <v>45330.67292</v>
      </c>
      <c r="H1182" s="85" t="str">
        <f>IFERROR(__xludf.DUMMYFUNCTION("""COMPUTED_VALUE"""),"Estimate ")</f>
        <v>Estimate </v>
      </c>
      <c r="I1182" s="4" t="str">
        <f>IFERROR(__xludf.DUMMYFUNCTION("""COMPUTED_VALUE"""),"shivani")</f>
        <v>shivani</v>
      </c>
    </row>
    <row r="1183">
      <c r="A1183" s="85">
        <f>IFERROR(__xludf.DUMMYFUNCTION("""COMPUTED_VALUE"""),45328.68156358796)</f>
        <v>45328.68156</v>
      </c>
      <c r="B1183" s="4"/>
      <c r="C1183" s="4"/>
      <c r="D1183" s="4"/>
      <c r="E1183" s="4"/>
      <c r="F1183" s="4"/>
      <c r="G1183" s="85">
        <f>IFERROR(__xludf.DUMMYFUNCTION("""COMPUTED_VALUE"""),45330.68125)</f>
        <v>45330.68125</v>
      </c>
      <c r="H1183" s="85" t="str">
        <f>IFERROR(__xludf.DUMMYFUNCTION("""COMPUTED_VALUE"""),"Estimate ")</f>
        <v>Estimate </v>
      </c>
      <c r="I1183" s="4" t="str">
        <f>IFERROR(__xludf.DUMMYFUNCTION("""COMPUTED_VALUE"""),"shivani")</f>
        <v>shivani</v>
      </c>
    </row>
    <row r="1184">
      <c r="A1184" s="85">
        <f>IFERROR(__xludf.DUMMYFUNCTION("""COMPUTED_VALUE"""),45328.68426957176)</f>
        <v>45328.68427</v>
      </c>
      <c r="B1184" s="4"/>
      <c r="C1184" s="4"/>
      <c r="D1184" s="4"/>
      <c r="E1184" s="4"/>
      <c r="F1184" s="4"/>
      <c r="G1184" s="85">
        <f>IFERROR(__xludf.DUMMYFUNCTION("""COMPUTED_VALUE"""),45330.68402777778)</f>
        <v>45330.68403</v>
      </c>
      <c r="H1184" s="85" t="str">
        <f>IFERROR(__xludf.DUMMYFUNCTION("""COMPUTED_VALUE"""),"Estimate ")</f>
        <v>Estimate </v>
      </c>
      <c r="I1184" s="4" t="str">
        <f>IFERROR(__xludf.DUMMYFUNCTION("""COMPUTED_VALUE"""),"shivani")</f>
        <v>shivani</v>
      </c>
    </row>
    <row r="1185">
      <c r="A1185" s="85">
        <f>IFERROR(__xludf.DUMMYFUNCTION("""COMPUTED_VALUE"""),45328.692380312496)</f>
        <v>45328.69238</v>
      </c>
      <c r="B1185" s="4"/>
      <c r="C1185" s="4"/>
      <c r="D1185" s="4"/>
      <c r="E1185" s="4"/>
      <c r="F1185" s="4"/>
      <c r="G1185" s="85">
        <f>IFERROR(__xludf.DUMMYFUNCTION("""COMPUTED_VALUE"""),45330.69236111111)</f>
        <v>45330.69236</v>
      </c>
      <c r="H1185" s="85" t="str">
        <f>IFERROR(__xludf.DUMMYFUNCTION("""COMPUTED_VALUE"""),"Estimate ")</f>
        <v>Estimate </v>
      </c>
      <c r="I1185" s="4" t="str">
        <f>IFERROR(__xludf.DUMMYFUNCTION("""COMPUTED_VALUE"""),"shivani")</f>
        <v>shivani</v>
      </c>
    </row>
    <row r="1186">
      <c r="A1186" s="85">
        <f>IFERROR(__xludf.DUMMYFUNCTION("""COMPUTED_VALUE"""),45328.69414196759)</f>
        <v>45328.69414</v>
      </c>
      <c r="B1186" s="4"/>
      <c r="C1186" s="4"/>
      <c r="D1186" s="4"/>
      <c r="E1186" s="4"/>
      <c r="F1186" s="4"/>
      <c r="G1186" s="85">
        <f>IFERROR(__xludf.DUMMYFUNCTION("""COMPUTED_VALUE"""),45330.69375)</f>
        <v>45330.69375</v>
      </c>
      <c r="H1186" s="85" t="str">
        <f>IFERROR(__xludf.DUMMYFUNCTION("""COMPUTED_VALUE"""),"Estimate ")</f>
        <v>Estimate </v>
      </c>
      <c r="I1186" s="4" t="str">
        <f>IFERROR(__xludf.DUMMYFUNCTION("""COMPUTED_VALUE"""),"shivani")</f>
        <v>shivani</v>
      </c>
    </row>
    <row r="1187">
      <c r="A1187" s="85">
        <f>IFERROR(__xludf.DUMMYFUNCTION("""COMPUTED_VALUE"""),45328.69531349537)</f>
        <v>45328.69531</v>
      </c>
      <c r="B1187" s="4"/>
      <c r="C1187" s="4"/>
      <c r="D1187" s="4"/>
      <c r="E1187" s="4"/>
      <c r="F1187" s="4"/>
      <c r="G1187" s="85">
        <f>IFERROR(__xludf.DUMMYFUNCTION("""COMPUTED_VALUE"""),45330.695138888885)</f>
        <v>45330.69514</v>
      </c>
      <c r="H1187" s="85" t="str">
        <f>IFERROR(__xludf.DUMMYFUNCTION("""COMPUTED_VALUE"""),"Estimate ")</f>
        <v>Estimate </v>
      </c>
      <c r="I1187" s="4" t="str">
        <f>IFERROR(__xludf.DUMMYFUNCTION("""COMPUTED_VALUE"""),"shivani")</f>
        <v>shivani</v>
      </c>
    </row>
    <row r="1188">
      <c r="A1188" s="85">
        <f>IFERROR(__xludf.DUMMYFUNCTION("""COMPUTED_VALUE"""),45329.70899944444)</f>
        <v>45329.709</v>
      </c>
      <c r="B1188" s="4"/>
      <c r="C1188" s="4"/>
      <c r="D1188" s="4"/>
      <c r="E1188" s="4"/>
      <c r="F1188" s="4"/>
      <c r="G1188" s="85">
        <f>IFERROR(__xludf.DUMMYFUNCTION("""COMPUTED_VALUE"""),45331.70833333333)</f>
        <v>45331.70833</v>
      </c>
      <c r="H1188" s="85" t="str">
        <f>IFERROR(__xludf.DUMMYFUNCTION("""COMPUTED_VALUE"""),"Estimate ")</f>
        <v>Estimate </v>
      </c>
      <c r="I1188" s="4" t="str">
        <f>IFERROR(__xludf.DUMMYFUNCTION("""COMPUTED_VALUE"""),"shivani")</f>
        <v>shivani</v>
      </c>
    </row>
    <row r="1189">
      <c r="A1189" s="85">
        <f>IFERROR(__xludf.DUMMYFUNCTION("""COMPUTED_VALUE"""),45329.710175995366)</f>
        <v>45329.71018</v>
      </c>
      <c r="B1189" s="4"/>
      <c r="C1189" s="4"/>
      <c r="D1189" s="4"/>
      <c r="E1189" s="4"/>
      <c r="F1189" s="4"/>
      <c r="G1189" s="85">
        <f>IFERROR(__xludf.DUMMYFUNCTION("""COMPUTED_VALUE"""),45331.70972222222)</f>
        <v>45331.70972</v>
      </c>
      <c r="H1189" s="85" t="str">
        <f>IFERROR(__xludf.DUMMYFUNCTION("""COMPUTED_VALUE"""),"Estimate ")</f>
        <v>Estimate </v>
      </c>
      <c r="I1189" s="4" t="str">
        <f>IFERROR(__xludf.DUMMYFUNCTION("""COMPUTED_VALUE"""),"shivani")</f>
        <v>shivani</v>
      </c>
    </row>
    <row r="1190">
      <c r="A1190" s="85">
        <f>IFERROR(__xludf.DUMMYFUNCTION("""COMPUTED_VALUE"""),45329.711507708336)</f>
        <v>45329.71151</v>
      </c>
      <c r="B1190" s="4"/>
      <c r="C1190" s="4"/>
      <c r="D1190" s="4"/>
      <c r="E1190" s="4"/>
      <c r="F1190" s="4"/>
      <c r="G1190" s="85">
        <f>IFERROR(__xludf.DUMMYFUNCTION("""COMPUTED_VALUE"""),45331.711111111115)</f>
        <v>45331.71111</v>
      </c>
      <c r="H1190" s="85" t="str">
        <f>IFERROR(__xludf.DUMMYFUNCTION("""COMPUTED_VALUE"""),"Estimate ")</f>
        <v>Estimate </v>
      </c>
      <c r="I1190" s="4" t="str">
        <f>IFERROR(__xludf.DUMMYFUNCTION("""COMPUTED_VALUE"""),"shivani")</f>
        <v>shivani</v>
      </c>
    </row>
    <row r="1191">
      <c r="A1191" s="85">
        <f>IFERROR(__xludf.DUMMYFUNCTION("""COMPUTED_VALUE"""),45329.7125705324)</f>
        <v>45329.71257</v>
      </c>
      <c r="B1191" s="4"/>
      <c r="C1191" s="4"/>
      <c r="D1191" s="4"/>
      <c r="E1191" s="4"/>
      <c r="F1191" s="4"/>
      <c r="G1191" s="85">
        <f>IFERROR(__xludf.DUMMYFUNCTION("""COMPUTED_VALUE"""),45331.7125)</f>
        <v>45331.7125</v>
      </c>
      <c r="H1191" s="85" t="str">
        <f>IFERROR(__xludf.DUMMYFUNCTION("""COMPUTED_VALUE"""),"Estimate ")</f>
        <v>Estimate </v>
      </c>
      <c r="I1191" s="4" t="str">
        <f>IFERROR(__xludf.DUMMYFUNCTION("""COMPUTED_VALUE"""),"shivani")</f>
        <v>shivani</v>
      </c>
    </row>
    <row r="1192">
      <c r="A1192" s="85">
        <f>IFERROR(__xludf.DUMMYFUNCTION("""COMPUTED_VALUE"""),45329.71341560185)</f>
        <v>45329.71342</v>
      </c>
      <c r="B1192" s="4"/>
      <c r="C1192" s="4"/>
      <c r="D1192" s="4"/>
      <c r="E1192" s="4"/>
      <c r="F1192" s="4"/>
      <c r="G1192" s="85">
        <f>IFERROR(__xludf.DUMMYFUNCTION("""COMPUTED_VALUE"""),45331.71319444444)</f>
        <v>45331.71319</v>
      </c>
      <c r="H1192" s="85" t="str">
        <f>IFERROR(__xludf.DUMMYFUNCTION("""COMPUTED_VALUE"""),"Estimate ")</f>
        <v>Estimate </v>
      </c>
      <c r="I1192" s="4" t="str">
        <f>IFERROR(__xludf.DUMMYFUNCTION("""COMPUTED_VALUE"""),"shivani")</f>
        <v>shivani</v>
      </c>
    </row>
    <row r="1193">
      <c r="A1193" s="85">
        <f>IFERROR(__xludf.DUMMYFUNCTION("""COMPUTED_VALUE"""),45329.71448228009)</f>
        <v>45329.71448</v>
      </c>
      <c r="B1193" s="4"/>
      <c r="C1193" s="4"/>
      <c r="D1193" s="4"/>
      <c r="E1193" s="4"/>
      <c r="F1193" s="4"/>
      <c r="G1193" s="85">
        <f>IFERROR(__xludf.DUMMYFUNCTION("""COMPUTED_VALUE"""),45331.71388888889)</f>
        <v>45331.71389</v>
      </c>
      <c r="H1193" s="85" t="str">
        <f>IFERROR(__xludf.DUMMYFUNCTION("""COMPUTED_VALUE"""),"Estimate ")</f>
        <v>Estimate </v>
      </c>
      <c r="I1193" s="4" t="str">
        <f>IFERROR(__xludf.DUMMYFUNCTION("""COMPUTED_VALUE"""),"shivani")</f>
        <v>shivani</v>
      </c>
    </row>
    <row r="1194">
      <c r="A1194" s="85">
        <f>IFERROR(__xludf.DUMMYFUNCTION("""COMPUTED_VALUE"""),45329.71551364583)</f>
        <v>45329.71551</v>
      </c>
      <c r="B1194" s="4"/>
      <c r="C1194" s="4"/>
      <c r="D1194" s="4"/>
      <c r="E1194" s="4"/>
      <c r="F1194" s="4"/>
      <c r="G1194" s="85">
        <f>IFERROR(__xludf.DUMMYFUNCTION("""COMPUTED_VALUE"""),45331.71527777778)</f>
        <v>45331.71528</v>
      </c>
      <c r="H1194" s="85" t="str">
        <f>IFERROR(__xludf.DUMMYFUNCTION("""COMPUTED_VALUE"""),"Estimate ")</f>
        <v>Estimate </v>
      </c>
      <c r="I1194" s="4" t="str">
        <f>IFERROR(__xludf.DUMMYFUNCTION("""COMPUTED_VALUE"""),"shivani")</f>
        <v>shivani</v>
      </c>
    </row>
    <row r="1195">
      <c r="A1195" s="85">
        <f>IFERROR(__xludf.DUMMYFUNCTION("""COMPUTED_VALUE"""),45329.71644804398)</f>
        <v>45329.71645</v>
      </c>
      <c r="B1195" s="4"/>
      <c r="C1195" s="4"/>
      <c r="D1195" s="4"/>
      <c r="E1195" s="4"/>
      <c r="F1195" s="4"/>
      <c r="G1195" s="85">
        <f>IFERROR(__xludf.DUMMYFUNCTION("""COMPUTED_VALUE"""),45331.71597222222)</f>
        <v>45331.71597</v>
      </c>
      <c r="H1195" s="85" t="str">
        <f>IFERROR(__xludf.DUMMYFUNCTION("""COMPUTED_VALUE"""),"Estimate ")</f>
        <v>Estimate </v>
      </c>
      <c r="I1195" s="4" t="str">
        <f>IFERROR(__xludf.DUMMYFUNCTION("""COMPUTED_VALUE"""),"shivani")</f>
        <v>shivani</v>
      </c>
    </row>
    <row r="1196">
      <c r="A1196" s="85">
        <f>IFERROR(__xludf.DUMMYFUNCTION("""COMPUTED_VALUE"""),45329.71751938658)</f>
        <v>45329.71752</v>
      </c>
      <c r="B1196" s="4"/>
      <c r="C1196" s="4"/>
      <c r="D1196" s="4"/>
      <c r="E1196" s="4"/>
      <c r="F1196" s="4"/>
      <c r="G1196" s="85">
        <f>IFERROR(__xludf.DUMMYFUNCTION("""COMPUTED_VALUE"""),45331.71736111111)</f>
        <v>45331.71736</v>
      </c>
      <c r="H1196" s="85" t="str">
        <f>IFERROR(__xludf.DUMMYFUNCTION("""COMPUTED_VALUE"""),"Estimate ")</f>
        <v>Estimate </v>
      </c>
      <c r="I1196" s="4" t="str">
        <f>IFERROR(__xludf.DUMMYFUNCTION("""COMPUTED_VALUE"""),"shivani")</f>
        <v>shivani</v>
      </c>
    </row>
    <row r="1197">
      <c r="A1197" s="85">
        <f>IFERROR(__xludf.DUMMYFUNCTION("""COMPUTED_VALUE"""),45329.71825820602)</f>
        <v>45329.71826</v>
      </c>
      <c r="B1197" s="4"/>
      <c r="C1197" s="4"/>
      <c r="D1197" s="4"/>
      <c r="E1197" s="4"/>
      <c r="F1197" s="4"/>
      <c r="G1197" s="85">
        <f>IFERROR(__xludf.DUMMYFUNCTION("""COMPUTED_VALUE"""),45331.71805555555)</f>
        <v>45331.71806</v>
      </c>
      <c r="H1197" s="85" t="str">
        <f>IFERROR(__xludf.DUMMYFUNCTION("""COMPUTED_VALUE"""),"Estimate ")</f>
        <v>Estimate </v>
      </c>
      <c r="I1197" s="4" t="str">
        <f>IFERROR(__xludf.DUMMYFUNCTION("""COMPUTED_VALUE"""),"shivani")</f>
        <v>shivani</v>
      </c>
    </row>
    <row r="1198">
      <c r="A1198" s="85">
        <f>IFERROR(__xludf.DUMMYFUNCTION("""COMPUTED_VALUE"""),45329.71914672454)</f>
        <v>45329.71915</v>
      </c>
      <c r="B1198" s="4"/>
      <c r="C1198" s="4"/>
      <c r="D1198" s="4"/>
      <c r="E1198" s="4"/>
      <c r="F1198" s="4"/>
      <c r="G1198" s="85">
        <f>IFERROR(__xludf.DUMMYFUNCTION("""COMPUTED_VALUE"""),45331.71875)</f>
        <v>45331.71875</v>
      </c>
      <c r="H1198" s="85" t="str">
        <f>IFERROR(__xludf.DUMMYFUNCTION("""COMPUTED_VALUE"""),"Estimate ")</f>
        <v>Estimate </v>
      </c>
      <c r="I1198" s="4" t="str">
        <f>IFERROR(__xludf.DUMMYFUNCTION("""COMPUTED_VALUE"""),"shivani")</f>
        <v>shivani</v>
      </c>
    </row>
    <row r="1199">
      <c r="A1199" s="85">
        <f>IFERROR(__xludf.DUMMYFUNCTION("""COMPUTED_VALUE"""),45329.7199458912)</f>
        <v>45329.71995</v>
      </c>
      <c r="B1199" s="4"/>
      <c r="C1199" s="4"/>
      <c r="D1199" s="4"/>
      <c r="E1199" s="4"/>
      <c r="F1199" s="4"/>
      <c r="G1199" s="85">
        <f>IFERROR(__xludf.DUMMYFUNCTION("""COMPUTED_VALUE"""),45331.71944444445)</f>
        <v>45331.71944</v>
      </c>
      <c r="H1199" s="85" t="str">
        <f>IFERROR(__xludf.DUMMYFUNCTION("""COMPUTED_VALUE"""),"Estimate ")</f>
        <v>Estimate </v>
      </c>
      <c r="I1199" s="4" t="str">
        <f>IFERROR(__xludf.DUMMYFUNCTION("""COMPUTED_VALUE"""),"shivani")</f>
        <v>shivani</v>
      </c>
    </row>
    <row r="1200">
      <c r="A1200" s="85">
        <f>IFERROR(__xludf.DUMMYFUNCTION("""COMPUTED_VALUE"""),45329.72735385416)</f>
        <v>45329.72735</v>
      </c>
      <c r="B1200" s="4"/>
      <c r="C1200" s="4"/>
      <c r="D1200" s="4"/>
      <c r="E1200" s="4"/>
      <c r="F1200" s="4"/>
      <c r="G1200" s="85">
        <f>IFERROR(__xludf.DUMMYFUNCTION("""COMPUTED_VALUE"""),45331.72708333333)</f>
        <v>45331.72708</v>
      </c>
      <c r="H1200" s="85" t="str">
        <f>IFERROR(__xludf.DUMMYFUNCTION("""COMPUTED_VALUE"""),"Estimate ")</f>
        <v>Estimate </v>
      </c>
      <c r="I1200" s="4" t="str">
        <f>IFERROR(__xludf.DUMMYFUNCTION("""COMPUTED_VALUE"""),"shivani")</f>
        <v>shivani</v>
      </c>
    </row>
    <row r="1201">
      <c r="A1201" s="85">
        <f>IFERROR(__xludf.DUMMYFUNCTION("""COMPUTED_VALUE"""),45329.728500729165)</f>
        <v>45329.7285</v>
      </c>
      <c r="B1201" s="4"/>
      <c r="C1201" s="4"/>
      <c r="D1201" s="4"/>
      <c r="E1201" s="4"/>
      <c r="F1201" s="4"/>
      <c r="G1201" s="85">
        <f>IFERROR(__xludf.DUMMYFUNCTION("""COMPUTED_VALUE"""),45331.728472222225)</f>
        <v>45331.72847</v>
      </c>
      <c r="H1201" s="85" t="str">
        <f>IFERROR(__xludf.DUMMYFUNCTION("""COMPUTED_VALUE"""),"Estimate ")</f>
        <v>Estimate </v>
      </c>
      <c r="I1201" s="4" t="str">
        <f>IFERROR(__xludf.DUMMYFUNCTION("""COMPUTED_VALUE"""),"shivani")</f>
        <v>shivani</v>
      </c>
    </row>
    <row r="1202">
      <c r="A1202" s="85">
        <f>IFERROR(__xludf.DUMMYFUNCTION("""COMPUTED_VALUE"""),45329.72926583333)</f>
        <v>45329.72927</v>
      </c>
      <c r="B1202" s="4"/>
      <c r="C1202" s="4"/>
      <c r="D1202" s="4"/>
      <c r="E1202" s="4"/>
      <c r="F1202" s="4"/>
      <c r="G1202" s="85">
        <f>IFERROR(__xludf.DUMMYFUNCTION("""COMPUTED_VALUE"""),45331.72916666667)</f>
        <v>45331.72917</v>
      </c>
      <c r="H1202" s="85" t="str">
        <f>IFERROR(__xludf.DUMMYFUNCTION("""COMPUTED_VALUE"""),"Estimate ")</f>
        <v>Estimate </v>
      </c>
      <c r="I1202" s="4" t="str">
        <f>IFERROR(__xludf.DUMMYFUNCTION("""COMPUTED_VALUE"""),"shivani")</f>
        <v>shivani</v>
      </c>
    </row>
    <row r="1203">
      <c r="A1203" s="85">
        <f>IFERROR(__xludf.DUMMYFUNCTION("""COMPUTED_VALUE"""),45329.730538020835)</f>
        <v>45329.73054</v>
      </c>
      <c r="B1203" s="4"/>
      <c r="C1203" s="4"/>
      <c r="D1203" s="4"/>
      <c r="E1203" s="4"/>
      <c r="F1203" s="4"/>
      <c r="G1203" s="85">
        <f>IFERROR(__xludf.DUMMYFUNCTION("""COMPUTED_VALUE"""),45331.72986111111)</f>
        <v>45331.72986</v>
      </c>
      <c r="H1203" s="85" t="str">
        <f>IFERROR(__xludf.DUMMYFUNCTION("""COMPUTED_VALUE"""),"Estimate ")</f>
        <v>Estimate </v>
      </c>
      <c r="I1203" s="4" t="str">
        <f>IFERROR(__xludf.DUMMYFUNCTION("""COMPUTED_VALUE"""),"shivani")</f>
        <v>shivani</v>
      </c>
    </row>
    <row r="1204">
      <c r="A1204" s="85">
        <f>IFERROR(__xludf.DUMMYFUNCTION("""COMPUTED_VALUE"""),45329.73119560186)</f>
        <v>45329.7312</v>
      </c>
      <c r="B1204" s="4"/>
      <c r="C1204" s="4"/>
      <c r="D1204" s="4"/>
      <c r="E1204" s="4"/>
      <c r="F1204" s="4"/>
      <c r="G1204" s="85">
        <f>IFERROR(__xludf.DUMMYFUNCTION("""COMPUTED_VALUE"""),45331.73055555555)</f>
        <v>45331.73056</v>
      </c>
      <c r="H1204" s="85" t="str">
        <f>IFERROR(__xludf.DUMMYFUNCTION("""COMPUTED_VALUE"""),"Estimate ")</f>
        <v>Estimate </v>
      </c>
      <c r="I1204" s="4" t="str">
        <f>IFERROR(__xludf.DUMMYFUNCTION("""COMPUTED_VALUE"""),"shivani")</f>
        <v>shivani</v>
      </c>
    </row>
    <row r="1205">
      <c r="A1205" s="85">
        <f>IFERROR(__xludf.DUMMYFUNCTION("""COMPUTED_VALUE"""),45329.732004618054)</f>
        <v>45329.732</v>
      </c>
      <c r="B1205" s="4"/>
      <c r="C1205" s="4"/>
      <c r="D1205" s="4"/>
      <c r="E1205" s="4"/>
      <c r="F1205" s="4"/>
      <c r="G1205" s="85">
        <f>IFERROR(__xludf.DUMMYFUNCTION("""COMPUTED_VALUE"""),45331.731944444444)</f>
        <v>45331.73194</v>
      </c>
      <c r="H1205" s="85" t="str">
        <f>IFERROR(__xludf.DUMMYFUNCTION("""COMPUTED_VALUE"""),"Estimate ")</f>
        <v>Estimate </v>
      </c>
      <c r="I1205" s="4" t="str">
        <f>IFERROR(__xludf.DUMMYFUNCTION("""COMPUTED_VALUE"""),"shivani")</f>
        <v>shivani</v>
      </c>
    </row>
    <row r="1206">
      <c r="A1206" s="85">
        <f>IFERROR(__xludf.DUMMYFUNCTION("""COMPUTED_VALUE"""),45329.7331767361)</f>
        <v>45329.73318</v>
      </c>
      <c r="B1206" s="4"/>
      <c r="C1206" s="4"/>
      <c r="D1206" s="4"/>
      <c r="E1206" s="4"/>
      <c r="F1206" s="4"/>
      <c r="G1206" s="85">
        <f>IFERROR(__xludf.DUMMYFUNCTION("""COMPUTED_VALUE"""),45331.73263888889)</f>
        <v>45331.73264</v>
      </c>
      <c r="H1206" s="85" t="str">
        <f>IFERROR(__xludf.DUMMYFUNCTION("""COMPUTED_VALUE"""),"Estimate ")</f>
        <v>Estimate </v>
      </c>
      <c r="I1206" s="4" t="str">
        <f>IFERROR(__xludf.DUMMYFUNCTION("""COMPUTED_VALUE"""),"shivani")</f>
        <v>shivani</v>
      </c>
    </row>
    <row r="1207">
      <c r="A1207" s="85">
        <f>IFERROR(__xludf.DUMMYFUNCTION("""COMPUTED_VALUE"""),45329.73443783565)</f>
        <v>45329.73444</v>
      </c>
      <c r="B1207" s="4"/>
      <c r="C1207" s="4"/>
      <c r="D1207" s="4"/>
      <c r="E1207" s="4"/>
      <c r="F1207" s="4"/>
      <c r="G1207" s="85">
        <f>IFERROR(__xludf.DUMMYFUNCTION("""COMPUTED_VALUE"""),45331.73402777778)</f>
        <v>45331.73403</v>
      </c>
      <c r="H1207" s="85" t="str">
        <f>IFERROR(__xludf.DUMMYFUNCTION("""COMPUTED_VALUE"""),"Estimate ")</f>
        <v>Estimate </v>
      </c>
      <c r="I1207" s="4" t="str">
        <f>IFERROR(__xludf.DUMMYFUNCTION("""COMPUTED_VALUE"""),"shivani")</f>
        <v>shivani</v>
      </c>
    </row>
    <row r="1208">
      <c r="A1208" s="85">
        <f>IFERROR(__xludf.DUMMYFUNCTION("""COMPUTED_VALUE"""),45329.735504282406)</f>
        <v>45329.7355</v>
      </c>
      <c r="B1208" s="4"/>
      <c r="C1208" s="4"/>
      <c r="D1208" s="4"/>
      <c r="E1208" s="4"/>
      <c r="F1208" s="4"/>
      <c r="G1208" s="85">
        <f>IFERROR(__xludf.DUMMYFUNCTION("""COMPUTED_VALUE"""),45331.73541666666)</f>
        <v>45331.73542</v>
      </c>
      <c r="H1208" s="85" t="str">
        <f>IFERROR(__xludf.DUMMYFUNCTION("""COMPUTED_VALUE"""),"Estimate ")</f>
        <v>Estimate </v>
      </c>
      <c r="I1208" s="4" t="str">
        <f>IFERROR(__xludf.DUMMYFUNCTION("""COMPUTED_VALUE"""),"shivani")</f>
        <v>shivani</v>
      </c>
    </row>
    <row r="1209">
      <c r="A1209" s="85">
        <f>IFERROR(__xludf.DUMMYFUNCTION("""COMPUTED_VALUE"""),45329.736409537036)</f>
        <v>45329.73641</v>
      </c>
      <c r="B1209" s="4"/>
      <c r="C1209" s="4"/>
      <c r="D1209" s="4"/>
      <c r="E1209" s="4"/>
      <c r="F1209" s="4"/>
      <c r="G1209" s="85">
        <f>IFERROR(__xludf.DUMMYFUNCTION("""COMPUTED_VALUE"""),45331.73611111111)</f>
        <v>45331.73611</v>
      </c>
      <c r="H1209" s="85" t="str">
        <f>IFERROR(__xludf.DUMMYFUNCTION("""COMPUTED_VALUE"""),"Estimate ")</f>
        <v>Estimate </v>
      </c>
      <c r="I1209" s="4" t="str">
        <f>IFERROR(__xludf.DUMMYFUNCTION("""COMPUTED_VALUE"""),"shivani")</f>
        <v>shivani</v>
      </c>
    </row>
    <row r="1210">
      <c r="A1210" s="85">
        <f>IFERROR(__xludf.DUMMYFUNCTION("""COMPUTED_VALUE"""),45329.73729864583)</f>
        <v>45329.7373</v>
      </c>
      <c r="B1210" s="4"/>
      <c r="C1210" s="4"/>
      <c r="D1210" s="4"/>
      <c r="E1210" s="4"/>
      <c r="F1210" s="4"/>
      <c r="G1210" s="85">
        <f>IFERROR(__xludf.DUMMYFUNCTION("""COMPUTED_VALUE"""),45331.736805555556)</f>
        <v>45331.73681</v>
      </c>
      <c r="H1210" s="85" t="str">
        <f>IFERROR(__xludf.DUMMYFUNCTION("""COMPUTED_VALUE"""),"Estimate ")</f>
        <v>Estimate </v>
      </c>
      <c r="I1210" s="4" t="str">
        <f>IFERROR(__xludf.DUMMYFUNCTION("""COMPUTED_VALUE"""),"shivani")</f>
        <v>shivani</v>
      </c>
    </row>
    <row r="1211">
      <c r="A1211" s="85">
        <f>IFERROR(__xludf.DUMMYFUNCTION("""COMPUTED_VALUE"""),45329.74287449074)</f>
        <v>45329.74287</v>
      </c>
      <c r="B1211" s="4"/>
      <c r="C1211" s="4"/>
      <c r="D1211" s="4"/>
      <c r="E1211" s="4"/>
      <c r="F1211" s="4"/>
      <c r="G1211" s="85">
        <f>IFERROR(__xludf.DUMMYFUNCTION("""COMPUTED_VALUE"""),45331.742361111115)</f>
        <v>45331.74236</v>
      </c>
      <c r="H1211" s="85" t="str">
        <f>IFERROR(__xludf.DUMMYFUNCTION("""COMPUTED_VALUE"""),"Estimate ")</f>
        <v>Estimate </v>
      </c>
      <c r="I1211" s="4" t="str">
        <f>IFERROR(__xludf.DUMMYFUNCTION("""COMPUTED_VALUE"""),"shivani")</f>
        <v>shivani</v>
      </c>
    </row>
    <row r="1212">
      <c r="A1212" s="85">
        <f>IFERROR(__xludf.DUMMYFUNCTION("""COMPUTED_VALUE"""),45329.744584837965)</f>
        <v>45329.74458</v>
      </c>
      <c r="B1212" s="4"/>
      <c r="C1212" s="4"/>
      <c r="D1212" s="4"/>
      <c r="E1212" s="4"/>
      <c r="F1212" s="4"/>
      <c r="G1212" s="85">
        <f>IFERROR(__xludf.DUMMYFUNCTION("""COMPUTED_VALUE"""),45331.74444444444)</f>
        <v>45331.74444</v>
      </c>
      <c r="H1212" s="85" t="str">
        <f>IFERROR(__xludf.DUMMYFUNCTION("""COMPUTED_VALUE"""),"Estimate ")</f>
        <v>Estimate </v>
      </c>
      <c r="I1212" s="4" t="str">
        <f>IFERROR(__xludf.DUMMYFUNCTION("""COMPUTED_VALUE"""),"shivani")</f>
        <v>shivani</v>
      </c>
    </row>
    <row r="1213">
      <c r="A1213" s="85">
        <f>IFERROR(__xludf.DUMMYFUNCTION("""COMPUTED_VALUE"""),45329.745304386575)</f>
        <v>45329.7453</v>
      </c>
      <c r="B1213" s="4"/>
      <c r="C1213" s="4"/>
      <c r="D1213" s="4"/>
      <c r="E1213" s="4"/>
      <c r="F1213" s="4"/>
      <c r="G1213" s="85">
        <f>IFERROR(__xludf.DUMMYFUNCTION("""COMPUTED_VALUE"""),45331.74513888889)</f>
        <v>45331.74514</v>
      </c>
      <c r="H1213" s="85" t="str">
        <f>IFERROR(__xludf.DUMMYFUNCTION("""COMPUTED_VALUE"""),"Estimate ")</f>
        <v>Estimate </v>
      </c>
      <c r="I1213" s="4" t="str">
        <f>IFERROR(__xludf.DUMMYFUNCTION("""COMPUTED_VALUE"""),"shivani")</f>
        <v>shivani</v>
      </c>
    </row>
    <row r="1214">
      <c r="A1214" s="85">
        <f>IFERROR(__xludf.DUMMYFUNCTION("""COMPUTED_VALUE"""),45329.74689015046)</f>
        <v>45329.74689</v>
      </c>
      <c r="B1214" s="4"/>
      <c r="C1214" s="4"/>
      <c r="D1214" s="4"/>
      <c r="E1214" s="4"/>
      <c r="F1214" s="4"/>
      <c r="G1214" s="85">
        <f>IFERROR(__xludf.DUMMYFUNCTION("""COMPUTED_VALUE"""),45331.74652777778)</f>
        <v>45331.74653</v>
      </c>
      <c r="H1214" s="85" t="str">
        <f>IFERROR(__xludf.DUMMYFUNCTION("""COMPUTED_VALUE"""),"Estimate ")</f>
        <v>Estimate </v>
      </c>
      <c r="I1214" s="4" t="str">
        <f>IFERROR(__xludf.DUMMYFUNCTION("""COMPUTED_VALUE"""),"shivani")</f>
        <v>shivani</v>
      </c>
    </row>
    <row r="1215">
      <c r="A1215" s="85">
        <f>IFERROR(__xludf.DUMMYFUNCTION("""COMPUTED_VALUE"""),45329.74918725695)</f>
        <v>45329.74919</v>
      </c>
      <c r="B1215" s="4"/>
      <c r="C1215" s="4"/>
      <c r="D1215" s="4"/>
      <c r="E1215" s="4"/>
      <c r="F1215" s="4"/>
      <c r="G1215" s="85">
        <f>IFERROR(__xludf.DUMMYFUNCTION("""COMPUTED_VALUE"""),45331.74861111111)</f>
        <v>45331.74861</v>
      </c>
      <c r="H1215" s="85" t="str">
        <f>IFERROR(__xludf.DUMMYFUNCTION("""COMPUTED_VALUE"""),"Estimate ")</f>
        <v>Estimate </v>
      </c>
      <c r="I1215" s="4" t="str">
        <f>IFERROR(__xludf.DUMMYFUNCTION("""COMPUTED_VALUE"""),"shivani")</f>
        <v>shivani</v>
      </c>
    </row>
    <row r="1216">
      <c r="A1216" s="85">
        <f>IFERROR(__xludf.DUMMYFUNCTION("""COMPUTED_VALUE"""),45329.7499762963)</f>
        <v>45329.74998</v>
      </c>
      <c r="B1216" s="4"/>
      <c r="C1216" s="4"/>
      <c r="D1216" s="4"/>
      <c r="E1216" s="4"/>
      <c r="F1216" s="4"/>
      <c r="G1216" s="85">
        <f>IFERROR(__xludf.DUMMYFUNCTION("""COMPUTED_VALUE"""),45331.74930555555)</f>
        <v>45331.74931</v>
      </c>
      <c r="H1216" s="85" t="str">
        <f>IFERROR(__xludf.DUMMYFUNCTION("""COMPUTED_VALUE"""),"Estimate ")</f>
        <v>Estimate </v>
      </c>
      <c r="I1216" s="4" t="str">
        <f>IFERROR(__xludf.DUMMYFUNCTION("""COMPUTED_VALUE"""),"shivani")</f>
        <v>shivani</v>
      </c>
    </row>
    <row r="1217">
      <c r="A1217" s="85">
        <f>IFERROR(__xludf.DUMMYFUNCTION("""COMPUTED_VALUE"""),45329.751687372685)</f>
        <v>45329.75169</v>
      </c>
      <c r="B1217" s="4"/>
      <c r="C1217" s="4"/>
      <c r="D1217" s="4"/>
      <c r="E1217" s="4"/>
      <c r="F1217" s="4"/>
      <c r="G1217" s="85">
        <f>IFERROR(__xludf.DUMMYFUNCTION("""COMPUTED_VALUE"""),45331.75138888889)</f>
        <v>45331.75139</v>
      </c>
      <c r="H1217" s="85" t="str">
        <f>IFERROR(__xludf.DUMMYFUNCTION("""COMPUTED_VALUE"""),"Estimate ")</f>
        <v>Estimate </v>
      </c>
      <c r="I1217" s="4" t="str">
        <f>IFERROR(__xludf.DUMMYFUNCTION("""COMPUTED_VALUE"""),"shivani")</f>
        <v>shivani</v>
      </c>
    </row>
    <row r="1218">
      <c r="A1218" s="85">
        <f>IFERROR(__xludf.DUMMYFUNCTION("""COMPUTED_VALUE"""),45329.75281954861)</f>
        <v>45329.75282</v>
      </c>
      <c r="B1218" s="4"/>
      <c r="C1218" s="4"/>
      <c r="D1218" s="4"/>
      <c r="E1218" s="4"/>
      <c r="F1218" s="4"/>
      <c r="G1218" s="85">
        <f>IFERROR(__xludf.DUMMYFUNCTION("""COMPUTED_VALUE"""),45331.75277777778)</f>
        <v>45331.75278</v>
      </c>
      <c r="H1218" s="85" t="str">
        <f>IFERROR(__xludf.DUMMYFUNCTION("""COMPUTED_VALUE"""),"Estimate ")</f>
        <v>Estimate </v>
      </c>
      <c r="I1218" s="4" t="str">
        <f>IFERROR(__xludf.DUMMYFUNCTION("""COMPUTED_VALUE"""),"shivani")</f>
        <v>shivani</v>
      </c>
    </row>
    <row r="1219">
      <c r="A1219" s="85">
        <f>IFERROR(__xludf.DUMMYFUNCTION("""COMPUTED_VALUE"""),45329.754193611116)</f>
        <v>45329.75419</v>
      </c>
      <c r="B1219" s="4"/>
      <c r="C1219" s="4"/>
      <c r="D1219" s="4"/>
      <c r="E1219" s="4"/>
      <c r="F1219" s="4"/>
      <c r="G1219" s="85">
        <f>IFERROR(__xludf.DUMMYFUNCTION("""COMPUTED_VALUE"""),45331.754166666666)</f>
        <v>45331.75417</v>
      </c>
      <c r="H1219" s="85" t="str">
        <f>IFERROR(__xludf.DUMMYFUNCTION("""COMPUTED_VALUE"""),"Estimate ")</f>
        <v>Estimate </v>
      </c>
      <c r="I1219" s="4" t="str">
        <f>IFERROR(__xludf.DUMMYFUNCTION("""COMPUTED_VALUE"""),"shivani")</f>
        <v>shivani</v>
      </c>
    </row>
    <row r="1220">
      <c r="A1220" s="85">
        <f>IFERROR(__xludf.DUMMYFUNCTION("""COMPUTED_VALUE"""),45329.754961736115)</f>
        <v>45329.75496</v>
      </c>
      <c r="B1220" s="4"/>
      <c r="C1220" s="4"/>
      <c r="D1220" s="4"/>
      <c r="E1220" s="4"/>
      <c r="F1220" s="4"/>
      <c r="G1220" s="85">
        <f>IFERROR(__xludf.DUMMYFUNCTION("""COMPUTED_VALUE"""),45331.75486111111)</f>
        <v>45331.75486</v>
      </c>
      <c r="H1220" s="85" t="str">
        <f>IFERROR(__xludf.DUMMYFUNCTION("""COMPUTED_VALUE"""),"Estimate ")</f>
        <v>Estimate </v>
      </c>
      <c r="I1220" s="4" t="str">
        <f>IFERROR(__xludf.DUMMYFUNCTION("""COMPUTED_VALUE"""),"shivani")</f>
        <v>shivani</v>
      </c>
    </row>
    <row r="1221">
      <c r="A1221" s="85">
        <f>IFERROR(__xludf.DUMMYFUNCTION("""COMPUTED_VALUE"""),45329.75657665509)</f>
        <v>45329.75658</v>
      </c>
      <c r="B1221" s="4"/>
      <c r="C1221" s="4"/>
      <c r="D1221" s="4"/>
      <c r="E1221" s="4"/>
      <c r="F1221" s="4"/>
      <c r="G1221" s="85">
        <f>IFERROR(__xludf.DUMMYFUNCTION("""COMPUTED_VALUE"""),45331.75625)</f>
        <v>45331.75625</v>
      </c>
      <c r="H1221" s="85" t="str">
        <f>IFERROR(__xludf.DUMMYFUNCTION("""COMPUTED_VALUE"""),"Estimate ")</f>
        <v>Estimate </v>
      </c>
      <c r="I1221" s="4" t="str">
        <f>IFERROR(__xludf.DUMMYFUNCTION("""COMPUTED_VALUE"""),"shivani")</f>
        <v>shivani</v>
      </c>
    </row>
    <row r="1222">
      <c r="A1222" s="85">
        <f>IFERROR(__xludf.DUMMYFUNCTION("""COMPUTED_VALUE"""),45329.75724960648)</f>
        <v>45329.75725</v>
      </c>
      <c r="B1222" s="4"/>
      <c r="C1222" s="4"/>
      <c r="D1222" s="4"/>
      <c r="E1222" s="4"/>
      <c r="F1222" s="4"/>
      <c r="G1222" s="85">
        <f>IFERROR(__xludf.DUMMYFUNCTION("""COMPUTED_VALUE"""),45331.756944444445)</f>
        <v>45331.75694</v>
      </c>
      <c r="H1222" s="85" t="str">
        <f>IFERROR(__xludf.DUMMYFUNCTION("""COMPUTED_VALUE"""),"Estimate ")</f>
        <v>Estimate </v>
      </c>
      <c r="I1222" s="4" t="str">
        <f>IFERROR(__xludf.DUMMYFUNCTION("""COMPUTED_VALUE"""),"shivani")</f>
        <v>shivani</v>
      </c>
    </row>
    <row r="1223">
      <c r="A1223" s="85">
        <f>IFERROR(__xludf.DUMMYFUNCTION("""COMPUTED_VALUE"""),45329.75795326389)</f>
        <v>45329.75795</v>
      </c>
      <c r="B1223" s="4"/>
      <c r="C1223" s="4"/>
      <c r="D1223" s="4"/>
      <c r="E1223" s="4"/>
      <c r="F1223" s="4"/>
      <c r="G1223" s="85">
        <f>IFERROR(__xludf.DUMMYFUNCTION("""COMPUTED_VALUE"""),45331.757638888885)</f>
        <v>45331.75764</v>
      </c>
      <c r="H1223" s="85" t="str">
        <f>IFERROR(__xludf.DUMMYFUNCTION("""COMPUTED_VALUE"""),"Estimate ")</f>
        <v>Estimate </v>
      </c>
      <c r="I1223" s="4" t="str">
        <f>IFERROR(__xludf.DUMMYFUNCTION("""COMPUTED_VALUE"""),"shivani")</f>
        <v>shivani</v>
      </c>
    </row>
    <row r="1224">
      <c r="A1224" s="85">
        <f>IFERROR(__xludf.DUMMYFUNCTION("""COMPUTED_VALUE"""),45329.75854381945)</f>
        <v>45329.75854</v>
      </c>
      <c r="B1224" s="4"/>
      <c r="C1224" s="4"/>
      <c r="D1224" s="4"/>
      <c r="E1224" s="4"/>
      <c r="F1224" s="4"/>
      <c r="G1224" s="85">
        <f>IFERROR(__xludf.DUMMYFUNCTION("""COMPUTED_VALUE"""),45331.75833333333)</f>
        <v>45331.75833</v>
      </c>
      <c r="H1224" s="85" t="str">
        <f>IFERROR(__xludf.DUMMYFUNCTION("""COMPUTED_VALUE"""),"Estimate ")</f>
        <v>Estimate </v>
      </c>
      <c r="I1224" s="4" t="str">
        <f>IFERROR(__xludf.DUMMYFUNCTION("""COMPUTED_VALUE"""),"shivani")</f>
        <v>shivani</v>
      </c>
    </row>
    <row r="1225">
      <c r="A1225" s="85">
        <f>IFERROR(__xludf.DUMMYFUNCTION("""COMPUTED_VALUE"""),45330.58246019676)</f>
        <v>45330.58246</v>
      </c>
      <c r="B1225" s="4"/>
      <c r="C1225" s="4"/>
      <c r="D1225" s="4"/>
      <c r="E1225" s="4"/>
      <c r="F1225" s="4"/>
      <c r="G1225" s="85">
        <f>IFERROR(__xludf.DUMMYFUNCTION("""COMPUTED_VALUE"""),45332.58194444445)</f>
        <v>45332.58194</v>
      </c>
      <c r="H1225" s="85" t="str">
        <f>IFERROR(__xludf.DUMMYFUNCTION("""COMPUTED_VALUE"""),"Estimate ")</f>
        <v>Estimate </v>
      </c>
      <c r="I1225" s="4" t="str">
        <f>IFERROR(__xludf.DUMMYFUNCTION("""COMPUTED_VALUE"""),"shivani")</f>
        <v>shivani</v>
      </c>
    </row>
    <row r="1226">
      <c r="A1226" s="85">
        <f>IFERROR(__xludf.DUMMYFUNCTION("""COMPUTED_VALUE"""),45330.58393171296)</f>
        <v>45330.58393</v>
      </c>
      <c r="B1226" s="4"/>
      <c r="C1226" s="4"/>
      <c r="D1226" s="4"/>
      <c r="E1226" s="4"/>
      <c r="F1226" s="4"/>
      <c r="G1226" s="85">
        <f>IFERROR(__xludf.DUMMYFUNCTION("""COMPUTED_VALUE"""),45332.58333333333)</f>
        <v>45332.58333</v>
      </c>
      <c r="H1226" s="85" t="str">
        <f>IFERROR(__xludf.DUMMYFUNCTION("""COMPUTED_VALUE"""),"Estimate ")</f>
        <v>Estimate </v>
      </c>
      <c r="I1226" s="4" t="str">
        <f>IFERROR(__xludf.DUMMYFUNCTION("""COMPUTED_VALUE"""),"shivani")</f>
        <v>shivani</v>
      </c>
    </row>
    <row r="1227">
      <c r="A1227" s="85">
        <f>IFERROR(__xludf.DUMMYFUNCTION("""COMPUTED_VALUE"""),45330.585372407404)</f>
        <v>45330.58537</v>
      </c>
      <c r="B1227" s="4"/>
      <c r="C1227" s="4"/>
      <c r="D1227" s="4"/>
      <c r="E1227" s="4"/>
      <c r="F1227" s="4"/>
      <c r="G1227" s="85">
        <f>IFERROR(__xludf.DUMMYFUNCTION("""COMPUTED_VALUE"""),45332.58472222222)</f>
        <v>45332.58472</v>
      </c>
      <c r="H1227" s="85" t="str">
        <f>IFERROR(__xludf.DUMMYFUNCTION("""COMPUTED_VALUE"""),"Estimate ")</f>
        <v>Estimate </v>
      </c>
      <c r="I1227" s="4" t="str">
        <f>IFERROR(__xludf.DUMMYFUNCTION("""COMPUTED_VALUE"""),"shivani")</f>
        <v>shivani</v>
      </c>
    </row>
    <row r="1228">
      <c r="A1228" s="85">
        <f>IFERROR(__xludf.DUMMYFUNCTION("""COMPUTED_VALUE"""),45330.58719605324)</f>
        <v>45330.5872</v>
      </c>
      <c r="B1228" s="4"/>
      <c r="C1228" s="4"/>
      <c r="D1228" s="4"/>
      <c r="E1228" s="4"/>
      <c r="F1228" s="4"/>
      <c r="G1228" s="85">
        <f>IFERROR(__xludf.DUMMYFUNCTION("""COMPUTED_VALUE"""),45332.586805555555)</f>
        <v>45332.58681</v>
      </c>
      <c r="H1228" s="85" t="str">
        <f>IFERROR(__xludf.DUMMYFUNCTION("""COMPUTED_VALUE"""),"Estimate ")</f>
        <v>Estimate </v>
      </c>
      <c r="I1228" s="4" t="str">
        <f>IFERROR(__xludf.DUMMYFUNCTION("""COMPUTED_VALUE"""),"shivani")</f>
        <v>shivani</v>
      </c>
    </row>
    <row r="1229">
      <c r="A1229" s="85">
        <f>IFERROR(__xludf.DUMMYFUNCTION("""COMPUTED_VALUE"""),45330.60603285879)</f>
        <v>45330.60603</v>
      </c>
      <c r="B1229" s="4"/>
      <c r="C1229" s="4"/>
      <c r="D1229" s="4"/>
      <c r="E1229" s="4"/>
      <c r="F1229" s="4"/>
      <c r="G1229" s="85">
        <f>IFERROR(__xludf.DUMMYFUNCTION("""COMPUTED_VALUE"""),45332.60555555555)</f>
        <v>45332.60556</v>
      </c>
      <c r="H1229" s="85" t="str">
        <f>IFERROR(__xludf.DUMMYFUNCTION("""COMPUTED_VALUE"""),"Estimate ")</f>
        <v>Estimate </v>
      </c>
      <c r="I1229" s="4" t="str">
        <f>IFERROR(__xludf.DUMMYFUNCTION("""COMPUTED_VALUE"""),"shivani")</f>
        <v>shivani</v>
      </c>
    </row>
    <row r="1230">
      <c r="A1230" s="85">
        <f>IFERROR(__xludf.DUMMYFUNCTION("""COMPUTED_VALUE"""),45330.60722706019)</f>
        <v>45330.60723</v>
      </c>
      <c r="B1230" s="4"/>
      <c r="C1230" s="4"/>
      <c r="D1230" s="4"/>
      <c r="E1230" s="4"/>
      <c r="F1230" s="4"/>
      <c r="G1230" s="85">
        <f>IFERROR(__xludf.DUMMYFUNCTION("""COMPUTED_VALUE"""),45332.606944444444)</f>
        <v>45332.60694</v>
      </c>
      <c r="H1230" s="85" t="str">
        <f>IFERROR(__xludf.DUMMYFUNCTION("""COMPUTED_VALUE"""),"Estimate ")</f>
        <v>Estimate </v>
      </c>
      <c r="I1230" s="4" t="str">
        <f>IFERROR(__xludf.DUMMYFUNCTION("""COMPUTED_VALUE"""),"shivani")</f>
        <v>shivani</v>
      </c>
    </row>
    <row r="1231">
      <c r="A1231" s="85">
        <f>IFERROR(__xludf.DUMMYFUNCTION("""COMPUTED_VALUE"""),45330.608416539355)</f>
        <v>45330.60842</v>
      </c>
      <c r="B1231" s="4"/>
      <c r="C1231" s="4"/>
      <c r="D1231" s="4"/>
      <c r="E1231" s="4"/>
      <c r="F1231" s="4"/>
      <c r="G1231" s="85">
        <f>IFERROR(__xludf.DUMMYFUNCTION("""COMPUTED_VALUE"""),45332.60833333334)</f>
        <v>45332.60833</v>
      </c>
      <c r="H1231" s="85" t="str">
        <f>IFERROR(__xludf.DUMMYFUNCTION("""COMPUTED_VALUE"""),"Estimate ")</f>
        <v>Estimate </v>
      </c>
      <c r="I1231" s="4" t="str">
        <f>IFERROR(__xludf.DUMMYFUNCTION("""COMPUTED_VALUE"""),"shivani")</f>
        <v>shivani</v>
      </c>
    </row>
    <row r="1232">
      <c r="A1232" s="85">
        <f>IFERROR(__xludf.DUMMYFUNCTION("""COMPUTED_VALUE"""),45330.609684814815)</f>
        <v>45330.60968</v>
      </c>
      <c r="B1232" s="4"/>
      <c r="C1232" s="4"/>
      <c r="D1232" s="4"/>
      <c r="E1232" s="4"/>
      <c r="F1232" s="4"/>
      <c r="G1232" s="85">
        <f>IFERROR(__xludf.DUMMYFUNCTION("""COMPUTED_VALUE"""),45332.60902777778)</f>
        <v>45332.60903</v>
      </c>
      <c r="H1232" s="85" t="str">
        <f>IFERROR(__xludf.DUMMYFUNCTION("""COMPUTED_VALUE"""),"Estimate ")</f>
        <v>Estimate </v>
      </c>
      <c r="I1232" s="4" t="str">
        <f>IFERROR(__xludf.DUMMYFUNCTION("""COMPUTED_VALUE"""),"shivani")</f>
        <v>shivani</v>
      </c>
    </row>
    <row r="1233">
      <c r="A1233" s="85">
        <f>IFERROR(__xludf.DUMMYFUNCTION("""COMPUTED_VALUE"""),45330.61564618056)</f>
        <v>45330.61565</v>
      </c>
      <c r="B1233" s="4"/>
      <c r="C1233" s="4"/>
      <c r="D1233" s="4"/>
      <c r="E1233" s="4"/>
      <c r="F1233" s="4"/>
      <c r="G1233" s="85">
        <f>IFERROR(__xludf.DUMMYFUNCTION("""COMPUTED_VALUE"""),45332.615277777775)</f>
        <v>45332.61528</v>
      </c>
      <c r="H1233" s="85" t="str">
        <f>IFERROR(__xludf.DUMMYFUNCTION("""COMPUTED_VALUE"""),"Estimate ")</f>
        <v>Estimate </v>
      </c>
      <c r="I1233" s="4" t="str">
        <f>IFERROR(__xludf.DUMMYFUNCTION("""COMPUTED_VALUE"""),"shivani")</f>
        <v>shivani</v>
      </c>
    </row>
    <row r="1234">
      <c r="A1234" s="85">
        <f>IFERROR(__xludf.DUMMYFUNCTION("""COMPUTED_VALUE"""),45330.61679424768)</f>
        <v>45330.61679</v>
      </c>
      <c r="B1234" s="4"/>
      <c r="C1234" s="4"/>
      <c r="D1234" s="4"/>
      <c r="E1234" s="4"/>
      <c r="F1234" s="4"/>
      <c r="G1234" s="85">
        <f>IFERROR(__xludf.DUMMYFUNCTION("""COMPUTED_VALUE"""),45332.61666666667)</f>
        <v>45332.61667</v>
      </c>
      <c r="H1234" s="85" t="str">
        <f>IFERROR(__xludf.DUMMYFUNCTION("""COMPUTED_VALUE"""),"Estimate ")</f>
        <v>Estimate </v>
      </c>
      <c r="I1234" s="4" t="str">
        <f>IFERROR(__xludf.DUMMYFUNCTION("""COMPUTED_VALUE"""),"shivani")</f>
        <v>shivani</v>
      </c>
    </row>
    <row r="1235">
      <c r="A1235" s="85">
        <f>IFERROR(__xludf.DUMMYFUNCTION("""COMPUTED_VALUE"""),45330.61771597222)</f>
        <v>45330.61772</v>
      </c>
      <c r="B1235" s="4"/>
      <c r="C1235" s="4"/>
      <c r="D1235" s="4"/>
      <c r="E1235" s="4"/>
      <c r="F1235" s="4"/>
      <c r="G1235" s="85">
        <f>IFERROR(__xludf.DUMMYFUNCTION("""COMPUTED_VALUE"""),45332.617361111115)</f>
        <v>45332.61736</v>
      </c>
      <c r="H1235" s="85" t="str">
        <f>IFERROR(__xludf.DUMMYFUNCTION("""COMPUTED_VALUE"""),"Estimate ")</f>
        <v>Estimate </v>
      </c>
      <c r="I1235" s="4" t="str">
        <f>IFERROR(__xludf.DUMMYFUNCTION("""COMPUTED_VALUE"""),"shivani")</f>
        <v>shivani</v>
      </c>
    </row>
    <row r="1236">
      <c r="A1236" s="85">
        <f>IFERROR(__xludf.DUMMYFUNCTION("""COMPUTED_VALUE"""),45330.61862431713)</f>
        <v>45330.61862</v>
      </c>
      <c r="B1236" s="4"/>
      <c r="C1236" s="4"/>
      <c r="D1236" s="4"/>
      <c r="E1236" s="4"/>
      <c r="F1236" s="4"/>
      <c r="G1236" s="85">
        <f>IFERROR(__xludf.DUMMYFUNCTION("""COMPUTED_VALUE"""),45332.618055555555)</f>
        <v>45332.61806</v>
      </c>
      <c r="H1236" s="85" t="str">
        <f>IFERROR(__xludf.DUMMYFUNCTION("""COMPUTED_VALUE"""),"Estimate ")</f>
        <v>Estimate </v>
      </c>
      <c r="I1236" s="4" t="str">
        <f>IFERROR(__xludf.DUMMYFUNCTION("""COMPUTED_VALUE"""),"shivani")</f>
        <v>shivani</v>
      </c>
    </row>
    <row r="1237">
      <c r="A1237" s="85">
        <f>IFERROR(__xludf.DUMMYFUNCTION("""COMPUTED_VALUE"""),45330.61945034722)</f>
        <v>45330.61945</v>
      </c>
      <c r="B1237" s="4"/>
      <c r="C1237" s="4"/>
      <c r="D1237" s="4"/>
      <c r="E1237" s="4"/>
      <c r="F1237" s="4"/>
      <c r="G1237" s="85">
        <f>IFERROR(__xludf.DUMMYFUNCTION("""COMPUTED_VALUE"""),45332.61944444444)</f>
        <v>45332.61944</v>
      </c>
      <c r="H1237" s="85" t="str">
        <f>IFERROR(__xludf.DUMMYFUNCTION("""COMPUTED_VALUE"""),"Estimate ")</f>
        <v>Estimate </v>
      </c>
      <c r="I1237" s="4" t="str">
        <f>IFERROR(__xludf.DUMMYFUNCTION("""COMPUTED_VALUE"""),"shivani")</f>
        <v>shivani</v>
      </c>
    </row>
    <row r="1238">
      <c r="A1238" s="85">
        <f>IFERROR(__xludf.DUMMYFUNCTION("""COMPUTED_VALUE"""),45330.621879398146)</f>
        <v>45330.62188</v>
      </c>
      <c r="B1238" s="4"/>
      <c r="C1238" s="4"/>
      <c r="D1238" s="4"/>
      <c r="E1238" s="4"/>
      <c r="F1238" s="4"/>
      <c r="G1238" s="85">
        <f>IFERROR(__xludf.DUMMYFUNCTION("""COMPUTED_VALUE"""),45332.62152777778)</f>
        <v>45332.62153</v>
      </c>
      <c r="H1238" s="85" t="str">
        <f>IFERROR(__xludf.DUMMYFUNCTION("""COMPUTED_VALUE"""),"Estimate ")</f>
        <v>Estimate </v>
      </c>
      <c r="I1238" s="4" t="str">
        <f>IFERROR(__xludf.DUMMYFUNCTION("""COMPUTED_VALUE"""),"shivani")</f>
        <v>shivani</v>
      </c>
    </row>
    <row r="1239">
      <c r="A1239" s="85">
        <f>IFERROR(__xludf.DUMMYFUNCTION("""COMPUTED_VALUE"""),45330.65968019676)</f>
        <v>45330.65968</v>
      </c>
      <c r="B1239" s="4"/>
      <c r="C1239" s="4"/>
      <c r="D1239" s="4"/>
      <c r="E1239" s="4"/>
      <c r="F1239" s="4"/>
      <c r="G1239" s="85">
        <f>IFERROR(__xludf.DUMMYFUNCTION("""COMPUTED_VALUE"""),45332.65902777778)</f>
        <v>45332.65903</v>
      </c>
      <c r="H1239" s="85" t="str">
        <f>IFERROR(__xludf.DUMMYFUNCTION("""COMPUTED_VALUE"""),"Estimate ")</f>
        <v>Estimate </v>
      </c>
      <c r="I1239" s="4" t="str">
        <f>IFERROR(__xludf.DUMMYFUNCTION("""COMPUTED_VALUE"""),"shivani")</f>
        <v>shivani</v>
      </c>
    </row>
    <row r="1240">
      <c r="A1240" s="85">
        <f>IFERROR(__xludf.DUMMYFUNCTION("""COMPUTED_VALUE"""),45330.66071924768)</f>
        <v>45330.66072</v>
      </c>
      <c r="B1240" s="4"/>
      <c r="C1240" s="4"/>
      <c r="D1240" s="4"/>
      <c r="E1240" s="4"/>
      <c r="F1240" s="4"/>
      <c r="G1240" s="85">
        <f>IFERROR(__xludf.DUMMYFUNCTION("""COMPUTED_VALUE"""),45332.660416666666)</f>
        <v>45332.66042</v>
      </c>
      <c r="H1240" s="85" t="str">
        <f>IFERROR(__xludf.DUMMYFUNCTION("""COMPUTED_VALUE"""),"Estimate ")</f>
        <v>Estimate </v>
      </c>
      <c r="I1240" s="4" t="str">
        <f>IFERROR(__xludf.DUMMYFUNCTION("""COMPUTED_VALUE"""),"shivani")</f>
        <v>shivani</v>
      </c>
    </row>
    <row r="1241">
      <c r="A1241" s="85">
        <f>IFERROR(__xludf.DUMMYFUNCTION("""COMPUTED_VALUE"""),45330.66184612269)</f>
        <v>45330.66185</v>
      </c>
      <c r="B1241" s="4"/>
      <c r="C1241" s="4"/>
      <c r="D1241" s="4"/>
      <c r="E1241" s="4"/>
      <c r="F1241" s="4"/>
      <c r="G1241" s="85">
        <f>IFERROR(__xludf.DUMMYFUNCTION("""COMPUTED_VALUE"""),45332.66180555556)</f>
        <v>45332.66181</v>
      </c>
      <c r="H1241" s="85" t="str">
        <f>IFERROR(__xludf.DUMMYFUNCTION("""COMPUTED_VALUE"""),"Estimate ")</f>
        <v>Estimate </v>
      </c>
      <c r="I1241" s="4" t="str">
        <f>IFERROR(__xludf.DUMMYFUNCTION("""COMPUTED_VALUE"""),"shivani")</f>
        <v>shivani</v>
      </c>
    </row>
    <row r="1242">
      <c r="A1242" s="85">
        <f>IFERROR(__xludf.DUMMYFUNCTION("""COMPUTED_VALUE"""),45330.662813020834)</f>
        <v>45330.66281</v>
      </c>
      <c r="B1242" s="4"/>
      <c r="C1242" s="4"/>
      <c r="D1242" s="4"/>
      <c r="E1242" s="4"/>
      <c r="F1242" s="4"/>
      <c r="G1242" s="85">
        <f>IFERROR(__xludf.DUMMYFUNCTION("""COMPUTED_VALUE"""),45332.6625)</f>
        <v>45332.6625</v>
      </c>
      <c r="H1242" s="85" t="str">
        <f>IFERROR(__xludf.DUMMYFUNCTION("""COMPUTED_VALUE"""),"Estimate ")</f>
        <v>Estimate </v>
      </c>
      <c r="I1242" s="4" t="str">
        <f>IFERROR(__xludf.DUMMYFUNCTION("""COMPUTED_VALUE"""),"shivani")</f>
        <v>shivani</v>
      </c>
    </row>
    <row r="1243">
      <c r="A1243" s="85">
        <f>IFERROR(__xludf.DUMMYFUNCTION("""COMPUTED_VALUE"""),45330.66625787036)</f>
        <v>45330.66626</v>
      </c>
      <c r="B1243" s="4"/>
      <c r="C1243" s="4"/>
      <c r="D1243" s="4"/>
      <c r="E1243" s="4"/>
      <c r="F1243" s="4"/>
      <c r="G1243" s="85">
        <f>IFERROR(__xludf.DUMMYFUNCTION("""COMPUTED_VALUE"""),45332.665972222225)</f>
        <v>45332.66597</v>
      </c>
      <c r="H1243" s="85" t="str">
        <f>IFERROR(__xludf.DUMMYFUNCTION("""COMPUTED_VALUE"""),"Estimate ")</f>
        <v>Estimate </v>
      </c>
      <c r="I1243" s="4" t="str">
        <f>IFERROR(__xludf.DUMMYFUNCTION("""COMPUTED_VALUE"""),"shivani")</f>
        <v>shivani</v>
      </c>
    </row>
    <row r="1244">
      <c r="A1244" s="85">
        <f>IFERROR(__xludf.DUMMYFUNCTION("""COMPUTED_VALUE"""),45330.69191104167)</f>
        <v>45330.69191</v>
      </c>
      <c r="B1244" s="4"/>
      <c r="C1244" s="4"/>
      <c r="D1244" s="4"/>
      <c r="E1244" s="4"/>
      <c r="F1244" s="4"/>
      <c r="G1244" s="85">
        <f>IFERROR(__xludf.DUMMYFUNCTION("""COMPUTED_VALUE"""),45332.691666666666)</f>
        <v>45332.69167</v>
      </c>
      <c r="H1244" s="85" t="str">
        <f>IFERROR(__xludf.DUMMYFUNCTION("""COMPUTED_VALUE"""),"Estimate ")</f>
        <v>Estimate </v>
      </c>
      <c r="I1244" s="4" t="str">
        <f>IFERROR(__xludf.DUMMYFUNCTION("""COMPUTED_VALUE"""),"shivani")</f>
        <v>shivani</v>
      </c>
    </row>
    <row r="1245">
      <c r="A1245" s="85">
        <f>IFERROR(__xludf.DUMMYFUNCTION("""COMPUTED_VALUE"""),45330.69322393518)</f>
        <v>45330.69322</v>
      </c>
      <c r="B1245" s="4"/>
      <c r="C1245" s="4"/>
      <c r="D1245" s="4"/>
      <c r="E1245" s="4"/>
      <c r="F1245" s="4"/>
      <c r="G1245" s="85">
        <f>IFERROR(__xludf.DUMMYFUNCTION("""COMPUTED_VALUE"""),45332.69305555556)</f>
        <v>45332.69306</v>
      </c>
      <c r="H1245" s="85" t="str">
        <f>IFERROR(__xludf.DUMMYFUNCTION("""COMPUTED_VALUE"""),"Estimate ")</f>
        <v>Estimate </v>
      </c>
      <c r="I1245" s="4" t="str">
        <f>IFERROR(__xludf.DUMMYFUNCTION("""COMPUTED_VALUE"""),"shivani")</f>
        <v>shivani</v>
      </c>
    </row>
    <row r="1246">
      <c r="A1246" s="85">
        <f>IFERROR(__xludf.DUMMYFUNCTION("""COMPUTED_VALUE"""),45330.69480196759)</f>
        <v>45330.6948</v>
      </c>
      <c r="B1246" s="4"/>
      <c r="C1246" s="4"/>
      <c r="D1246" s="4"/>
      <c r="E1246" s="4"/>
      <c r="F1246" s="4"/>
      <c r="G1246" s="85">
        <f>IFERROR(__xludf.DUMMYFUNCTION("""COMPUTED_VALUE"""),45332.694444444445)</f>
        <v>45332.69444</v>
      </c>
      <c r="H1246" s="85" t="str">
        <f>IFERROR(__xludf.DUMMYFUNCTION("""COMPUTED_VALUE"""),"Estimate ")</f>
        <v>Estimate </v>
      </c>
      <c r="I1246" s="4" t="str">
        <f>IFERROR(__xludf.DUMMYFUNCTION("""COMPUTED_VALUE"""),"shivani")</f>
        <v>shivani</v>
      </c>
    </row>
    <row r="1247">
      <c r="A1247" s="85">
        <f>IFERROR(__xludf.DUMMYFUNCTION("""COMPUTED_VALUE"""),45330.697148796295)</f>
        <v>45330.69715</v>
      </c>
      <c r="B1247" s="4"/>
      <c r="C1247" s="4"/>
      <c r="D1247" s="4"/>
      <c r="E1247" s="4"/>
      <c r="F1247" s="4"/>
      <c r="G1247" s="85">
        <f>IFERROR(__xludf.DUMMYFUNCTION("""COMPUTED_VALUE"""),45332.69652777778)</f>
        <v>45332.69653</v>
      </c>
      <c r="H1247" s="85" t="str">
        <f>IFERROR(__xludf.DUMMYFUNCTION("""COMPUTED_VALUE"""),"Estimate ")</f>
        <v>Estimate </v>
      </c>
      <c r="I1247" s="4" t="str">
        <f>IFERROR(__xludf.DUMMYFUNCTION("""COMPUTED_VALUE"""),"shivani")</f>
        <v>shivani</v>
      </c>
    </row>
    <row r="1248">
      <c r="A1248" s="85">
        <f>IFERROR(__xludf.DUMMYFUNCTION("""COMPUTED_VALUE"""),45330.698297719915)</f>
        <v>45330.6983</v>
      </c>
      <c r="B1248" s="4"/>
      <c r="C1248" s="4"/>
      <c r="D1248" s="4"/>
      <c r="E1248" s="4"/>
      <c r="F1248" s="4"/>
      <c r="G1248" s="85">
        <f>IFERROR(__xludf.DUMMYFUNCTION("""COMPUTED_VALUE"""),45332.69791666667)</f>
        <v>45332.69792</v>
      </c>
      <c r="H1248" s="85" t="str">
        <f>IFERROR(__xludf.DUMMYFUNCTION("""COMPUTED_VALUE"""),"Estimate ")</f>
        <v>Estimate </v>
      </c>
      <c r="I1248" s="4" t="str">
        <f>IFERROR(__xludf.DUMMYFUNCTION("""COMPUTED_VALUE"""),"shivani")</f>
        <v>shivani</v>
      </c>
    </row>
    <row r="1249">
      <c r="A1249" s="85">
        <f>IFERROR(__xludf.DUMMYFUNCTION("""COMPUTED_VALUE"""),45330.69922614583)</f>
        <v>45330.69923</v>
      </c>
      <c r="B1249" s="4"/>
      <c r="C1249" s="4"/>
      <c r="D1249" s="4"/>
      <c r="E1249" s="4"/>
      <c r="F1249" s="4"/>
      <c r="G1249" s="85">
        <f>IFERROR(__xludf.DUMMYFUNCTION("""COMPUTED_VALUE"""),45332.69861111111)</f>
        <v>45332.69861</v>
      </c>
      <c r="H1249" s="85" t="str">
        <f>IFERROR(__xludf.DUMMYFUNCTION("""COMPUTED_VALUE"""),"Estimate ")</f>
        <v>Estimate </v>
      </c>
      <c r="I1249" s="4" t="str">
        <f>IFERROR(__xludf.DUMMYFUNCTION("""COMPUTED_VALUE"""),"shivani")</f>
        <v>shivani</v>
      </c>
    </row>
    <row r="1250">
      <c r="A1250" s="85">
        <f>IFERROR(__xludf.DUMMYFUNCTION("""COMPUTED_VALUE"""),45330.701600555556)</f>
        <v>45330.7016</v>
      </c>
      <c r="B1250" s="4"/>
      <c r="C1250" s="4"/>
      <c r="D1250" s="4"/>
      <c r="E1250" s="4"/>
      <c r="F1250" s="4"/>
      <c r="G1250" s="85">
        <f>IFERROR(__xludf.DUMMYFUNCTION("""COMPUTED_VALUE"""),45332.70138888889)</f>
        <v>45332.70139</v>
      </c>
      <c r="H1250" s="85" t="str">
        <f>IFERROR(__xludf.DUMMYFUNCTION("""COMPUTED_VALUE"""),"Estimate ")</f>
        <v>Estimate </v>
      </c>
      <c r="I1250" s="4" t="str">
        <f>IFERROR(__xludf.DUMMYFUNCTION("""COMPUTED_VALUE"""),"shivani")</f>
        <v>shivani</v>
      </c>
    </row>
    <row r="1251">
      <c r="A1251" s="85">
        <f>IFERROR(__xludf.DUMMYFUNCTION("""COMPUTED_VALUE"""),45330.702638807874)</f>
        <v>45330.70264</v>
      </c>
      <c r="B1251" s="4"/>
      <c r="C1251" s="4"/>
      <c r="D1251" s="4"/>
      <c r="E1251" s="4"/>
      <c r="F1251" s="4"/>
      <c r="G1251" s="85">
        <f>IFERROR(__xludf.DUMMYFUNCTION("""COMPUTED_VALUE"""),45332.70208333334)</f>
        <v>45332.70208</v>
      </c>
      <c r="H1251" s="85" t="str">
        <f>IFERROR(__xludf.DUMMYFUNCTION("""COMPUTED_VALUE"""),"Estimate ")</f>
        <v>Estimate </v>
      </c>
      <c r="I1251" s="4" t="str">
        <f>IFERROR(__xludf.DUMMYFUNCTION("""COMPUTED_VALUE"""),"shivani")</f>
        <v>shivani</v>
      </c>
    </row>
    <row r="1252">
      <c r="A1252" s="85">
        <f>IFERROR(__xludf.DUMMYFUNCTION("""COMPUTED_VALUE"""),45330.703516331014)</f>
        <v>45330.70352</v>
      </c>
      <c r="B1252" s="4"/>
      <c r="C1252" s="4"/>
      <c r="D1252" s="4"/>
      <c r="E1252" s="4"/>
      <c r="F1252" s="4"/>
      <c r="G1252" s="85">
        <f>IFERROR(__xludf.DUMMYFUNCTION("""COMPUTED_VALUE"""),45332.70347222222)</f>
        <v>45332.70347</v>
      </c>
      <c r="H1252" s="85" t="str">
        <f>IFERROR(__xludf.DUMMYFUNCTION("""COMPUTED_VALUE"""),"Estimate ")</f>
        <v>Estimate </v>
      </c>
      <c r="I1252" s="4" t="str">
        <f>IFERROR(__xludf.DUMMYFUNCTION("""COMPUTED_VALUE"""),"shivani")</f>
        <v>shivani</v>
      </c>
    </row>
    <row r="1253">
      <c r="A1253" s="85">
        <f>IFERROR(__xludf.DUMMYFUNCTION("""COMPUTED_VALUE"""),45331.55923497685)</f>
        <v>45331.55923</v>
      </c>
      <c r="B1253" s="4"/>
      <c r="C1253" s="4"/>
      <c r="D1253" s="4"/>
      <c r="E1253" s="4"/>
      <c r="F1253" s="4"/>
      <c r="G1253" s="85">
        <f>IFERROR(__xludf.DUMMYFUNCTION("""COMPUTED_VALUE"""),45333.55902777778)</f>
        <v>45333.55903</v>
      </c>
      <c r="H1253" s="85" t="str">
        <f>IFERROR(__xludf.DUMMYFUNCTION("""COMPUTED_VALUE"""),"Estimate ")</f>
        <v>Estimate </v>
      </c>
      <c r="I1253" s="4" t="str">
        <f>IFERROR(__xludf.DUMMYFUNCTION("""COMPUTED_VALUE"""),"shivani")</f>
        <v>shivani</v>
      </c>
    </row>
    <row r="1254">
      <c r="A1254" s="85">
        <f>IFERROR(__xludf.DUMMYFUNCTION("""COMPUTED_VALUE"""),45331.56000277778)</f>
        <v>45331.56</v>
      </c>
      <c r="B1254" s="4"/>
      <c r="C1254" s="4"/>
      <c r="D1254" s="4"/>
      <c r="E1254" s="4"/>
      <c r="F1254" s="4"/>
      <c r="G1254" s="85">
        <f>IFERROR(__xludf.DUMMYFUNCTION("""COMPUTED_VALUE"""),45333.55972222222)</f>
        <v>45333.55972</v>
      </c>
      <c r="H1254" s="85" t="str">
        <f>IFERROR(__xludf.DUMMYFUNCTION("""COMPUTED_VALUE"""),"Estimate ")</f>
        <v>Estimate </v>
      </c>
      <c r="I1254" s="4" t="str">
        <f>IFERROR(__xludf.DUMMYFUNCTION("""COMPUTED_VALUE"""),"shivani")</f>
        <v>shivani</v>
      </c>
    </row>
    <row r="1255">
      <c r="A1255" s="85">
        <f>IFERROR(__xludf.DUMMYFUNCTION("""COMPUTED_VALUE"""),45331.56082331019)</f>
        <v>45331.56082</v>
      </c>
      <c r="B1255" s="4"/>
      <c r="C1255" s="4"/>
      <c r="D1255" s="4"/>
      <c r="E1255" s="4"/>
      <c r="F1255" s="4"/>
      <c r="G1255" s="85">
        <f>IFERROR(__xludf.DUMMYFUNCTION("""COMPUTED_VALUE"""),45333.56041666667)</f>
        <v>45333.56042</v>
      </c>
      <c r="H1255" s="85" t="str">
        <f>IFERROR(__xludf.DUMMYFUNCTION("""COMPUTED_VALUE"""),"Estimate ")</f>
        <v>Estimate </v>
      </c>
      <c r="I1255" s="4" t="str">
        <f>IFERROR(__xludf.DUMMYFUNCTION("""COMPUTED_VALUE"""),"shivani")</f>
        <v>shivani</v>
      </c>
    </row>
    <row r="1256">
      <c r="A1256" s="85">
        <f>IFERROR(__xludf.DUMMYFUNCTION("""COMPUTED_VALUE"""),45331.60312798611)</f>
        <v>45331.60313</v>
      </c>
      <c r="B1256" s="4"/>
      <c r="C1256" s="4"/>
      <c r="D1256" s="4"/>
      <c r="E1256" s="4"/>
      <c r="F1256" s="4"/>
      <c r="G1256" s="85">
        <f>IFERROR(__xludf.DUMMYFUNCTION("""COMPUTED_VALUE"""),45333.60277777778)</f>
        <v>45333.60278</v>
      </c>
      <c r="H1256" s="85" t="str">
        <f>IFERROR(__xludf.DUMMYFUNCTION("""COMPUTED_VALUE"""),"Estimate ")</f>
        <v>Estimate </v>
      </c>
      <c r="I1256" s="4" t="str">
        <f>IFERROR(__xludf.DUMMYFUNCTION("""COMPUTED_VALUE"""),"shivani")</f>
        <v>shivani</v>
      </c>
    </row>
    <row r="1257">
      <c r="A1257" s="85">
        <f>IFERROR(__xludf.DUMMYFUNCTION("""COMPUTED_VALUE"""),45331.60405297454)</f>
        <v>45331.60405</v>
      </c>
      <c r="B1257" s="4"/>
      <c r="C1257" s="4"/>
      <c r="D1257" s="4"/>
      <c r="E1257" s="4"/>
      <c r="F1257" s="4"/>
      <c r="G1257" s="85">
        <f>IFERROR(__xludf.DUMMYFUNCTION("""COMPUTED_VALUE"""),45333.603472222225)</f>
        <v>45333.60347</v>
      </c>
      <c r="H1257" s="85" t="str">
        <f>IFERROR(__xludf.DUMMYFUNCTION("""COMPUTED_VALUE"""),"Estimate ")</f>
        <v>Estimate </v>
      </c>
      <c r="I1257" s="4" t="str">
        <f>IFERROR(__xludf.DUMMYFUNCTION("""COMPUTED_VALUE"""),"shivani")</f>
        <v>shivani</v>
      </c>
    </row>
    <row r="1258">
      <c r="A1258" s="85">
        <f>IFERROR(__xludf.DUMMYFUNCTION("""COMPUTED_VALUE"""),45331.60490045139)</f>
        <v>45331.6049</v>
      </c>
      <c r="B1258" s="4"/>
      <c r="C1258" s="4"/>
      <c r="D1258" s="4"/>
      <c r="E1258" s="4"/>
      <c r="F1258" s="4"/>
      <c r="G1258" s="85">
        <f>IFERROR(__xludf.DUMMYFUNCTION("""COMPUTED_VALUE"""),45333.60486111111)</f>
        <v>45333.60486</v>
      </c>
      <c r="H1258" s="85" t="str">
        <f>IFERROR(__xludf.DUMMYFUNCTION("""COMPUTED_VALUE"""),"Estimate ")</f>
        <v>Estimate </v>
      </c>
      <c r="I1258" s="4" t="str">
        <f>IFERROR(__xludf.DUMMYFUNCTION("""COMPUTED_VALUE"""),"shivani")</f>
        <v>shivani</v>
      </c>
    </row>
    <row r="1259">
      <c r="A1259" s="85">
        <f>IFERROR(__xludf.DUMMYFUNCTION("""COMPUTED_VALUE"""),45331.60783934027)</f>
        <v>45331.60784</v>
      </c>
      <c r="B1259" s="4"/>
      <c r="C1259" s="4"/>
      <c r="D1259" s="4"/>
      <c r="E1259" s="4"/>
      <c r="F1259" s="4"/>
      <c r="G1259" s="85">
        <f>IFERROR(__xludf.DUMMYFUNCTION("""COMPUTED_VALUE"""),45333.60763888889)</f>
        <v>45333.60764</v>
      </c>
      <c r="H1259" s="85" t="str">
        <f>IFERROR(__xludf.DUMMYFUNCTION("""COMPUTED_VALUE"""),"Estimate ")</f>
        <v>Estimate </v>
      </c>
      <c r="I1259" s="4" t="str">
        <f>IFERROR(__xludf.DUMMYFUNCTION("""COMPUTED_VALUE"""),"shivani")</f>
        <v>shivani</v>
      </c>
    </row>
    <row r="1260">
      <c r="A1260" s="85">
        <f>IFERROR(__xludf.DUMMYFUNCTION("""COMPUTED_VALUE"""),45331.60908935185)</f>
        <v>45331.60909</v>
      </c>
      <c r="B1260" s="4"/>
      <c r="C1260" s="4"/>
      <c r="D1260" s="4"/>
      <c r="E1260" s="4"/>
      <c r="F1260" s="4"/>
      <c r="G1260" s="85">
        <f>IFERROR(__xludf.DUMMYFUNCTION("""COMPUTED_VALUE"""),45333.60902777778)</f>
        <v>45333.60903</v>
      </c>
      <c r="H1260" s="85" t="str">
        <f>IFERROR(__xludf.DUMMYFUNCTION("""COMPUTED_VALUE"""),"Estimate ")</f>
        <v>Estimate </v>
      </c>
      <c r="I1260" s="4" t="str">
        <f>IFERROR(__xludf.DUMMYFUNCTION("""COMPUTED_VALUE"""),"shivani")</f>
        <v>shivani</v>
      </c>
    </row>
    <row r="1261">
      <c r="A1261" s="85">
        <f>IFERROR(__xludf.DUMMYFUNCTION("""COMPUTED_VALUE"""),45331.61150387731)</f>
        <v>45331.6115</v>
      </c>
      <c r="B1261" s="4"/>
      <c r="C1261" s="4"/>
      <c r="D1261" s="4"/>
      <c r="E1261" s="4"/>
      <c r="F1261" s="4"/>
      <c r="G1261" s="85">
        <f>IFERROR(__xludf.DUMMYFUNCTION("""COMPUTED_VALUE"""),45333.61111111111)</f>
        <v>45333.61111</v>
      </c>
      <c r="H1261" s="85" t="str">
        <f>IFERROR(__xludf.DUMMYFUNCTION("""COMPUTED_VALUE"""),"Estimate ")</f>
        <v>Estimate </v>
      </c>
      <c r="I1261" s="4" t="str">
        <f>IFERROR(__xludf.DUMMYFUNCTION("""COMPUTED_VALUE"""),"shivani")</f>
        <v>shivani</v>
      </c>
    </row>
    <row r="1262">
      <c r="A1262" s="85">
        <f>IFERROR(__xludf.DUMMYFUNCTION("""COMPUTED_VALUE"""),45331.61295487268)</f>
        <v>45331.61295</v>
      </c>
      <c r="B1262" s="4"/>
      <c r="C1262" s="4"/>
      <c r="D1262" s="4"/>
      <c r="E1262" s="4"/>
      <c r="F1262" s="4"/>
      <c r="G1262" s="85">
        <f>IFERROR(__xludf.DUMMYFUNCTION("""COMPUTED_VALUE"""),45333.6125)</f>
        <v>45333.6125</v>
      </c>
      <c r="H1262" s="85" t="str">
        <f>IFERROR(__xludf.DUMMYFUNCTION("""COMPUTED_VALUE"""),"Estimate ")</f>
        <v>Estimate </v>
      </c>
      <c r="I1262" s="4" t="str">
        <f>IFERROR(__xludf.DUMMYFUNCTION("""COMPUTED_VALUE"""),"shivani")</f>
        <v>shivani</v>
      </c>
    </row>
    <row r="1263">
      <c r="A1263" s="85">
        <f>IFERROR(__xludf.DUMMYFUNCTION("""COMPUTED_VALUE"""),45331.61418395833)</f>
        <v>45331.61418</v>
      </c>
      <c r="B1263" s="4"/>
      <c r="C1263" s="4"/>
      <c r="D1263" s="4"/>
      <c r="E1263" s="4"/>
      <c r="F1263" s="4"/>
      <c r="G1263" s="85">
        <f>IFERROR(__xludf.DUMMYFUNCTION("""COMPUTED_VALUE"""),45333.61388888889)</f>
        <v>45333.61389</v>
      </c>
      <c r="H1263" s="85" t="str">
        <f>IFERROR(__xludf.DUMMYFUNCTION("""COMPUTED_VALUE"""),"Estimate ")</f>
        <v>Estimate </v>
      </c>
      <c r="I1263" s="4" t="str">
        <f>IFERROR(__xludf.DUMMYFUNCTION("""COMPUTED_VALUE"""),"shivani")</f>
        <v>shivani</v>
      </c>
    </row>
    <row r="1264">
      <c r="A1264" s="85">
        <f>IFERROR(__xludf.DUMMYFUNCTION("""COMPUTED_VALUE"""),45331.615502824076)</f>
        <v>45331.6155</v>
      </c>
      <c r="B1264" s="4"/>
      <c r="C1264" s="4"/>
      <c r="D1264" s="4"/>
      <c r="E1264" s="4"/>
      <c r="F1264" s="4"/>
      <c r="G1264" s="85">
        <f>IFERROR(__xludf.DUMMYFUNCTION("""COMPUTED_VALUE"""),45333.615277777775)</f>
        <v>45333.61528</v>
      </c>
      <c r="H1264" s="85" t="str">
        <f>IFERROR(__xludf.DUMMYFUNCTION("""COMPUTED_VALUE"""),"Estimate ")</f>
        <v>Estimate </v>
      </c>
      <c r="I1264" s="4" t="str">
        <f>IFERROR(__xludf.DUMMYFUNCTION("""COMPUTED_VALUE"""),"shivani")</f>
        <v>shivani</v>
      </c>
    </row>
    <row r="1265">
      <c r="A1265" s="85">
        <f>IFERROR(__xludf.DUMMYFUNCTION("""COMPUTED_VALUE"""),45331.61802060185)</f>
        <v>45331.61802</v>
      </c>
      <c r="B1265" s="4"/>
      <c r="C1265" s="4"/>
      <c r="D1265" s="4"/>
      <c r="E1265" s="4"/>
      <c r="F1265" s="4"/>
      <c r="G1265" s="85">
        <f>IFERROR(__xludf.DUMMYFUNCTION("""COMPUTED_VALUE"""),45333.617361111115)</f>
        <v>45333.61736</v>
      </c>
      <c r="H1265" s="85" t="str">
        <f>IFERROR(__xludf.DUMMYFUNCTION("""COMPUTED_VALUE"""),"Estimate ")</f>
        <v>Estimate </v>
      </c>
      <c r="I1265" s="4" t="str">
        <f>IFERROR(__xludf.DUMMYFUNCTION("""COMPUTED_VALUE"""),"shivani")</f>
        <v>shivani</v>
      </c>
    </row>
    <row r="1266">
      <c r="A1266" s="85">
        <f>IFERROR(__xludf.DUMMYFUNCTION("""COMPUTED_VALUE"""),45331.618854594904)</f>
        <v>45331.61885</v>
      </c>
      <c r="B1266" s="4"/>
      <c r="C1266" s="4"/>
      <c r="D1266" s="4"/>
      <c r="E1266" s="4"/>
      <c r="F1266" s="4"/>
      <c r="G1266" s="85">
        <f>IFERROR(__xludf.DUMMYFUNCTION("""COMPUTED_VALUE"""),45333.61875)</f>
        <v>45333.61875</v>
      </c>
      <c r="H1266" s="85" t="str">
        <f>IFERROR(__xludf.DUMMYFUNCTION("""COMPUTED_VALUE"""),"Estimate ")</f>
        <v>Estimate </v>
      </c>
      <c r="I1266" s="4" t="str">
        <f>IFERROR(__xludf.DUMMYFUNCTION("""COMPUTED_VALUE"""),"shivani")</f>
        <v>shivani</v>
      </c>
    </row>
    <row r="1267">
      <c r="A1267" s="85">
        <f>IFERROR(__xludf.DUMMYFUNCTION("""COMPUTED_VALUE"""),45331.61997375)</f>
        <v>45331.61997</v>
      </c>
      <c r="B1267" s="4"/>
      <c r="C1267" s="4"/>
      <c r="D1267" s="4"/>
      <c r="E1267" s="4"/>
      <c r="F1267" s="4"/>
      <c r="G1267" s="85">
        <f>IFERROR(__xludf.DUMMYFUNCTION("""COMPUTED_VALUE"""),45333.61944444444)</f>
        <v>45333.61944</v>
      </c>
      <c r="H1267" s="85" t="str">
        <f>IFERROR(__xludf.DUMMYFUNCTION("""COMPUTED_VALUE"""),"Estimate ")</f>
        <v>Estimate </v>
      </c>
      <c r="I1267" s="4" t="str">
        <f>IFERROR(__xludf.DUMMYFUNCTION("""COMPUTED_VALUE"""),"shivani")</f>
        <v>shivani</v>
      </c>
    </row>
    <row r="1268">
      <c r="A1268" s="85">
        <f>IFERROR(__xludf.DUMMYFUNCTION("""COMPUTED_VALUE"""),45331.62090982639)</f>
        <v>45331.62091</v>
      </c>
      <c r="B1268" s="4"/>
      <c r="C1268" s="4"/>
      <c r="D1268" s="4"/>
      <c r="E1268" s="4"/>
      <c r="F1268" s="4"/>
      <c r="G1268" s="85">
        <f>IFERROR(__xludf.DUMMYFUNCTION("""COMPUTED_VALUE"""),45333.620833333334)</f>
        <v>45333.62083</v>
      </c>
      <c r="H1268" s="85" t="str">
        <f>IFERROR(__xludf.DUMMYFUNCTION("""COMPUTED_VALUE"""),"Estimate ")</f>
        <v>Estimate </v>
      </c>
      <c r="I1268" s="4" t="str">
        <f>IFERROR(__xludf.DUMMYFUNCTION("""COMPUTED_VALUE"""),"shivani")</f>
        <v>shivani</v>
      </c>
    </row>
    <row r="1269">
      <c r="A1269" s="85">
        <f>IFERROR(__xludf.DUMMYFUNCTION("""COMPUTED_VALUE"""),45331.62168418982)</f>
        <v>45331.62168</v>
      </c>
      <c r="B1269" s="4"/>
      <c r="C1269" s="4"/>
      <c r="D1269" s="4"/>
      <c r="E1269" s="4"/>
      <c r="F1269" s="4"/>
      <c r="G1269" s="85">
        <f>IFERROR(__xludf.DUMMYFUNCTION("""COMPUTED_VALUE"""),45333.62152777778)</f>
        <v>45333.62153</v>
      </c>
      <c r="H1269" s="85" t="str">
        <f>IFERROR(__xludf.DUMMYFUNCTION("""COMPUTED_VALUE"""),"Estimate ")</f>
        <v>Estimate </v>
      </c>
      <c r="I1269" s="4" t="str">
        <f>IFERROR(__xludf.DUMMYFUNCTION("""COMPUTED_VALUE"""),"shivani")</f>
        <v>shivani</v>
      </c>
    </row>
    <row r="1270">
      <c r="A1270" s="85">
        <f>IFERROR(__xludf.DUMMYFUNCTION("""COMPUTED_VALUE"""),45331.622585300924)</f>
        <v>45331.62259</v>
      </c>
      <c r="B1270" s="4"/>
      <c r="C1270" s="4"/>
      <c r="D1270" s="4"/>
      <c r="E1270" s="4"/>
      <c r="F1270" s="4"/>
      <c r="G1270" s="85">
        <f>IFERROR(__xludf.DUMMYFUNCTION("""COMPUTED_VALUE"""),45333.62222222222)</f>
        <v>45333.62222</v>
      </c>
      <c r="H1270" s="85" t="str">
        <f>IFERROR(__xludf.DUMMYFUNCTION("""COMPUTED_VALUE"""),"Estimate ")</f>
        <v>Estimate </v>
      </c>
      <c r="I1270" s="4" t="str">
        <f>IFERROR(__xludf.DUMMYFUNCTION("""COMPUTED_VALUE"""),"shivani")</f>
        <v>shivani</v>
      </c>
    </row>
    <row r="1271">
      <c r="A1271" s="85">
        <f>IFERROR(__xludf.DUMMYFUNCTION("""COMPUTED_VALUE"""),45331.624758125)</f>
        <v>45331.62476</v>
      </c>
      <c r="B1271" s="4"/>
      <c r="C1271" s="4"/>
      <c r="D1271" s="4"/>
      <c r="E1271" s="4"/>
      <c r="F1271" s="4"/>
      <c r="G1271" s="85">
        <f>IFERROR(__xludf.DUMMYFUNCTION("""COMPUTED_VALUE"""),45333.62430555555)</f>
        <v>45333.62431</v>
      </c>
      <c r="H1271" s="85" t="str">
        <f>IFERROR(__xludf.DUMMYFUNCTION("""COMPUTED_VALUE"""),"Estimate ")</f>
        <v>Estimate </v>
      </c>
      <c r="I1271" s="4" t="str">
        <f>IFERROR(__xludf.DUMMYFUNCTION("""COMPUTED_VALUE"""),"shivani")</f>
        <v>shivani</v>
      </c>
    </row>
    <row r="1272">
      <c r="A1272" s="85">
        <f>IFERROR(__xludf.DUMMYFUNCTION("""COMPUTED_VALUE"""),45331.627629571754)</f>
        <v>45331.62763</v>
      </c>
      <c r="B1272" s="4"/>
      <c r="C1272" s="4"/>
      <c r="D1272" s="4"/>
      <c r="E1272" s="4"/>
      <c r="F1272" s="4"/>
      <c r="G1272" s="85">
        <f>IFERROR(__xludf.DUMMYFUNCTION("""COMPUTED_VALUE"""),45333.62708333333)</f>
        <v>45333.62708</v>
      </c>
      <c r="H1272" s="85" t="str">
        <f>IFERROR(__xludf.DUMMYFUNCTION("""COMPUTED_VALUE"""),"Estimate ")</f>
        <v>Estimate </v>
      </c>
      <c r="I1272" s="4" t="str">
        <f>IFERROR(__xludf.DUMMYFUNCTION("""COMPUTED_VALUE"""),"shivani")</f>
        <v>shivani</v>
      </c>
    </row>
    <row r="1273">
      <c r="A1273" s="85">
        <f>IFERROR(__xludf.DUMMYFUNCTION("""COMPUTED_VALUE"""),45335.65251262731)</f>
        <v>45335.65251</v>
      </c>
      <c r="B1273" s="4"/>
      <c r="C1273" s="4"/>
      <c r="D1273" s="4"/>
      <c r="E1273" s="4"/>
      <c r="F1273" s="4"/>
      <c r="G1273" s="85">
        <f>IFERROR(__xludf.DUMMYFUNCTION("""COMPUTED_VALUE"""),45337.652083333334)</f>
        <v>45337.65208</v>
      </c>
      <c r="H1273" s="85" t="str">
        <f>IFERROR(__xludf.DUMMYFUNCTION("""COMPUTED_VALUE"""),"Estimate ")</f>
        <v>Estimate </v>
      </c>
      <c r="I1273" s="4" t="str">
        <f>IFERROR(__xludf.DUMMYFUNCTION("""COMPUTED_VALUE"""),"shivani")</f>
        <v>shivani</v>
      </c>
    </row>
    <row r="1274">
      <c r="A1274" s="85">
        <f>IFERROR(__xludf.DUMMYFUNCTION("""COMPUTED_VALUE"""),45335.65360993055)</f>
        <v>45335.65361</v>
      </c>
      <c r="B1274" s="4"/>
      <c r="C1274" s="4"/>
      <c r="D1274" s="4"/>
      <c r="E1274" s="4"/>
      <c r="F1274" s="4"/>
      <c r="G1274" s="85">
        <f>IFERROR(__xludf.DUMMYFUNCTION("""COMPUTED_VALUE"""),45337.65347222222)</f>
        <v>45337.65347</v>
      </c>
      <c r="H1274" s="85" t="str">
        <f>IFERROR(__xludf.DUMMYFUNCTION("""COMPUTED_VALUE"""),"Estimate ")</f>
        <v>Estimate </v>
      </c>
      <c r="I1274" s="4" t="str">
        <f>IFERROR(__xludf.DUMMYFUNCTION("""COMPUTED_VALUE"""),"shivani")</f>
        <v>shivani</v>
      </c>
    </row>
    <row r="1275">
      <c r="A1275" s="85">
        <f>IFERROR(__xludf.DUMMYFUNCTION("""COMPUTED_VALUE"""),45335.65510892361)</f>
        <v>45335.65511</v>
      </c>
      <c r="B1275" s="4"/>
      <c r="C1275" s="4"/>
      <c r="D1275" s="4"/>
      <c r="E1275" s="4"/>
      <c r="F1275" s="4"/>
      <c r="G1275" s="85">
        <f>IFERROR(__xludf.DUMMYFUNCTION("""COMPUTED_VALUE"""),45337.65486111111)</f>
        <v>45337.65486</v>
      </c>
      <c r="H1275" s="85" t="str">
        <f>IFERROR(__xludf.DUMMYFUNCTION("""COMPUTED_VALUE"""),"Estimate ")</f>
        <v>Estimate </v>
      </c>
      <c r="I1275" s="4" t="str">
        <f>IFERROR(__xludf.DUMMYFUNCTION("""COMPUTED_VALUE"""),"shivani")</f>
        <v>shivani</v>
      </c>
    </row>
    <row r="1276">
      <c r="A1276" s="85">
        <f>IFERROR(__xludf.DUMMYFUNCTION("""COMPUTED_VALUE"""),45335.656373136575)</f>
        <v>45335.65637</v>
      </c>
      <c r="B1276" s="4"/>
      <c r="C1276" s="4"/>
      <c r="D1276" s="4"/>
      <c r="E1276" s="4"/>
      <c r="F1276" s="4"/>
      <c r="G1276" s="85">
        <f>IFERROR(__xludf.DUMMYFUNCTION("""COMPUTED_VALUE"""),45337.65625)</f>
        <v>45337.65625</v>
      </c>
      <c r="H1276" s="85" t="str">
        <f>IFERROR(__xludf.DUMMYFUNCTION("""COMPUTED_VALUE"""),"Estimate ")</f>
        <v>Estimate </v>
      </c>
      <c r="I1276" s="4" t="str">
        <f>IFERROR(__xludf.DUMMYFUNCTION("""COMPUTED_VALUE"""),"shivani")</f>
        <v>shivani</v>
      </c>
    </row>
    <row r="1277">
      <c r="A1277" s="85">
        <f>IFERROR(__xludf.DUMMYFUNCTION("""COMPUTED_VALUE"""),45335.65727650464)</f>
        <v>45335.65728</v>
      </c>
      <c r="B1277" s="4"/>
      <c r="C1277" s="4"/>
      <c r="D1277" s="4"/>
      <c r="E1277" s="4"/>
      <c r="F1277" s="4"/>
      <c r="G1277" s="85">
        <f>IFERROR(__xludf.DUMMYFUNCTION("""COMPUTED_VALUE"""),45337.65694444445)</f>
        <v>45337.65694</v>
      </c>
      <c r="H1277" s="85" t="str">
        <f>IFERROR(__xludf.DUMMYFUNCTION("""COMPUTED_VALUE"""),"Estimate ")</f>
        <v>Estimate </v>
      </c>
      <c r="I1277" s="4" t="str">
        <f>IFERROR(__xludf.DUMMYFUNCTION("""COMPUTED_VALUE"""),"shivani")</f>
        <v>shivani</v>
      </c>
    </row>
    <row r="1278">
      <c r="A1278" s="85">
        <f>IFERROR(__xludf.DUMMYFUNCTION("""COMPUTED_VALUE"""),45335.658815324074)</f>
        <v>45335.65882</v>
      </c>
      <c r="B1278" s="4"/>
      <c r="C1278" s="4"/>
      <c r="D1278" s="4"/>
      <c r="E1278" s="4"/>
      <c r="F1278" s="4"/>
      <c r="G1278" s="85">
        <f>IFERROR(__xludf.DUMMYFUNCTION("""COMPUTED_VALUE"""),45337.65833333333)</f>
        <v>45337.65833</v>
      </c>
      <c r="H1278" s="85" t="str">
        <f>IFERROR(__xludf.DUMMYFUNCTION("""COMPUTED_VALUE"""),"Estimate ")</f>
        <v>Estimate </v>
      </c>
      <c r="I1278" s="4" t="str">
        <f>IFERROR(__xludf.DUMMYFUNCTION("""COMPUTED_VALUE"""),"shivani")</f>
        <v>shivani</v>
      </c>
    </row>
    <row r="1279">
      <c r="A1279" s="85">
        <f>IFERROR(__xludf.DUMMYFUNCTION("""COMPUTED_VALUE"""),45335.65975331019)</f>
        <v>45335.65975</v>
      </c>
      <c r="B1279" s="4"/>
      <c r="C1279" s="4"/>
      <c r="D1279" s="4"/>
      <c r="E1279" s="4"/>
      <c r="F1279" s="4"/>
      <c r="G1279" s="85">
        <f>IFERROR(__xludf.DUMMYFUNCTION("""COMPUTED_VALUE"""),45337.65972222222)</f>
        <v>45337.65972</v>
      </c>
      <c r="H1279" s="85" t="str">
        <f>IFERROR(__xludf.DUMMYFUNCTION("""COMPUTED_VALUE"""),"Estimate ")</f>
        <v>Estimate </v>
      </c>
      <c r="I1279" s="4" t="str">
        <f>IFERROR(__xludf.DUMMYFUNCTION("""COMPUTED_VALUE"""),"shivani")</f>
        <v>shivani</v>
      </c>
    </row>
    <row r="1280">
      <c r="A1280" s="85">
        <f>IFERROR(__xludf.DUMMYFUNCTION("""COMPUTED_VALUE"""),45335.660818379634)</f>
        <v>45335.66082</v>
      </c>
      <c r="B1280" s="4"/>
      <c r="C1280" s="4"/>
      <c r="D1280" s="4"/>
      <c r="E1280" s="4"/>
      <c r="F1280" s="4"/>
      <c r="G1280" s="85">
        <f>IFERROR(__xludf.DUMMYFUNCTION("""COMPUTED_VALUE"""),45337.660416666666)</f>
        <v>45337.66042</v>
      </c>
      <c r="H1280" s="85" t="str">
        <f>IFERROR(__xludf.DUMMYFUNCTION("""COMPUTED_VALUE"""),"Estimate ")</f>
        <v>Estimate </v>
      </c>
      <c r="I1280" s="4" t="str">
        <f>IFERROR(__xludf.DUMMYFUNCTION("""COMPUTED_VALUE"""),"shivani")</f>
        <v>shivani</v>
      </c>
    </row>
    <row r="1281">
      <c r="A1281" s="85">
        <f>IFERROR(__xludf.DUMMYFUNCTION("""COMPUTED_VALUE"""),45335.66209481481)</f>
        <v>45335.66209</v>
      </c>
      <c r="B1281" s="4"/>
      <c r="C1281" s="4"/>
      <c r="D1281" s="4"/>
      <c r="E1281" s="4"/>
      <c r="F1281" s="4"/>
      <c r="G1281" s="85">
        <f>IFERROR(__xludf.DUMMYFUNCTION("""COMPUTED_VALUE"""),45337.66180555556)</f>
        <v>45337.66181</v>
      </c>
      <c r="H1281" s="85" t="str">
        <f>IFERROR(__xludf.DUMMYFUNCTION("""COMPUTED_VALUE"""),"Estimate ")</f>
        <v>Estimate </v>
      </c>
      <c r="I1281" s="4" t="str">
        <f>IFERROR(__xludf.DUMMYFUNCTION("""COMPUTED_VALUE"""),"shivani")</f>
        <v>shivani</v>
      </c>
    </row>
    <row r="1282">
      <c r="A1282" s="85">
        <f>IFERROR(__xludf.DUMMYFUNCTION("""COMPUTED_VALUE"""),45335.664103194445)</f>
        <v>45335.6641</v>
      </c>
      <c r="B1282" s="4"/>
      <c r="C1282" s="4"/>
      <c r="D1282" s="4"/>
      <c r="E1282" s="4"/>
      <c r="F1282" s="4"/>
      <c r="G1282" s="85">
        <f>IFERROR(__xludf.DUMMYFUNCTION("""COMPUTED_VALUE"""),45337.663888888885)</f>
        <v>45337.66389</v>
      </c>
      <c r="H1282" s="85" t="str">
        <f>IFERROR(__xludf.DUMMYFUNCTION("""COMPUTED_VALUE"""),"Estimate ")</f>
        <v>Estimate </v>
      </c>
      <c r="I1282" s="4" t="str">
        <f>IFERROR(__xludf.DUMMYFUNCTION("""COMPUTED_VALUE"""),"shivani")</f>
        <v>shivani</v>
      </c>
    </row>
    <row r="1283">
      <c r="A1283" s="85">
        <f>IFERROR(__xludf.DUMMYFUNCTION("""COMPUTED_VALUE"""),45335.6648927662)</f>
        <v>45335.66489</v>
      </c>
      <c r="B1283" s="4"/>
      <c r="C1283" s="4"/>
      <c r="D1283" s="4"/>
      <c r="E1283" s="4"/>
      <c r="F1283" s="4"/>
      <c r="G1283" s="85">
        <f>IFERROR(__xludf.DUMMYFUNCTION("""COMPUTED_VALUE"""),45337.66458333333)</f>
        <v>45337.66458</v>
      </c>
      <c r="H1283" s="85" t="str">
        <f>IFERROR(__xludf.DUMMYFUNCTION("""COMPUTED_VALUE"""),"Estimate ")</f>
        <v>Estimate </v>
      </c>
      <c r="I1283" s="4" t="str">
        <f>IFERROR(__xludf.DUMMYFUNCTION("""COMPUTED_VALUE"""),"shivani")</f>
        <v>shivani</v>
      </c>
    </row>
    <row r="1284">
      <c r="A1284" s="85">
        <f>IFERROR(__xludf.DUMMYFUNCTION("""COMPUTED_VALUE"""),45335.666230601855)</f>
        <v>45335.66623</v>
      </c>
      <c r="B1284" s="4"/>
      <c r="C1284" s="4"/>
      <c r="D1284" s="4"/>
      <c r="E1284" s="4"/>
      <c r="F1284" s="4"/>
      <c r="G1284" s="85">
        <f>IFERROR(__xludf.DUMMYFUNCTION("""COMPUTED_VALUE"""),45337.665972222225)</f>
        <v>45337.66597</v>
      </c>
      <c r="H1284" s="85" t="str">
        <f>IFERROR(__xludf.DUMMYFUNCTION("""COMPUTED_VALUE"""),"Estimate ")</f>
        <v>Estimate </v>
      </c>
      <c r="I1284" s="4" t="str">
        <f>IFERROR(__xludf.DUMMYFUNCTION("""COMPUTED_VALUE"""),"shivani")</f>
        <v>shivani</v>
      </c>
    </row>
    <row r="1285">
      <c r="A1285" s="85">
        <f>IFERROR(__xludf.DUMMYFUNCTION("""COMPUTED_VALUE"""),45335.666931817126)</f>
        <v>45335.66693</v>
      </c>
      <c r="B1285" s="4"/>
      <c r="C1285" s="4"/>
      <c r="D1285" s="4"/>
      <c r="E1285" s="4"/>
      <c r="F1285" s="4"/>
      <c r="G1285" s="85">
        <f>IFERROR(__xludf.DUMMYFUNCTION("""COMPUTED_VALUE"""),45337.66666666667)</f>
        <v>45337.66667</v>
      </c>
      <c r="H1285" s="85" t="str">
        <f>IFERROR(__xludf.DUMMYFUNCTION("""COMPUTED_VALUE"""),"Estimate ")</f>
        <v>Estimate </v>
      </c>
      <c r="I1285" s="4" t="str">
        <f>IFERROR(__xludf.DUMMYFUNCTION("""COMPUTED_VALUE"""),"shivani")</f>
        <v>shivani</v>
      </c>
    </row>
    <row r="1286">
      <c r="A1286" s="85">
        <f>IFERROR(__xludf.DUMMYFUNCTION("""COMPUTED_VALUE"""),45335.66789805556)</f>
        <v>45335.6679</v>
      </c>
      <c r="B1286" s="4"/>
      <c r="C1286" s="4"/>
      <c r="D1286" s="4"/>
      <c r="E1286" s="4"/>
      <c r="F1286" s="4"/>
      <c r="G1286" s="85">
        <f>IFERROR(__xludf.DUMMYFUNCTION("""COMPUTED_VALUE"""),45337.66736111111)</f>
        <v>45337.66736</v>
      </c>
      <c r="H1286" s="85" t="str">
        <f>IFERROR(__xludf.DUMMYFUNCTION("""COMPUTED_VALUE"""),"Estimate ")</f>
        <v>Estimate </v>
      </c>
      <c r="I1286" s="4" t="str">
        <f>IFERROR(__xludf.DUMMYFUNCTION("""COMPUTED_VALUE"""),"shivani")</f>
        <v>shivani</v>
      </c>
    </row>
    <row r="1287">
      <c r="A1287" s="85">
        <f>IFERROR(__xludf.DUMMYFUNCTION("""COMPUTED_VALUE"""),45335.66931670139)</f>
        <v>45335.66932</v>
      </c>
      <c r="B1287" s="4"/>
      <c r="C1287" s="4"/>
      <c r="D1287" s="4"/>
      <c r="E1287" s="4"/>
      <c r="F1287" s="4"/>
      <c r="G1287" s="85">
        <f>IFERROR(__xludf.DUMMYFUNCTION("""COMPUTED_VALUE"""),45337.66875)</f>
        <v>45337.66875</v>
      </c>
      <c r="H1287" s="85" t="str">
        <f>IFERROR(__xludf.DUMMYFUNCTION("""COMPUTED_VALUE"""),"Estimate ")</f>
        <v>Estimate </v>
      </c>
      <c r="I1287" s="4" t="str">
        <f>IFERROR(__xludf.DUMMYFUNCTION("""COMPUTED_VALUE"""),"shivani")</f>
        <v>shivani</v>
      </c>
    </row>
    <row r="1288">
      <c r="A1288" s="85">
        <f>IFERROR(__xludf.DUMMYFUNCTION("""COMPUTED_VALUE"""),45335.670171875)</f>
        <v>45335.67017</v>
      </c>
      <c r="B1288" s="4"/>
      <c r="C1288" s="4"/>
      <c r="D1288" s="4"/>
      <c r="E1288" s="4"/>
      <c r="F1288" s="4"/>
      <c r="G1288" s="85">
        <f>IFERROR(__xludf.DUMMYFUNCTION("""COMPUTED_VALUE"""),45337.67013888889)</f>
        <v>45337.67014</v>
      </c>
      <c r="H1288" s="85" t="str">
        <f>IFERROR(__xludf.DUMMYFUNCTION("""COMPUTED_VALUE"""),"Estimate ")</f>
        <v>Estimate </v>
      </c>
      <c r="I1288" s="4" t="str">
        <f>IFERROR(__xludf.DUMMYFUNCTION("""COMPUTED_VALUE"""),"shivani")</f>
        <v>shivani</v>
      </c>
    </row>
    <row r="1289">
      <c r="A1289" s="85">
        <f>IFERROR(__xludf.DUMMYFUNCTION("""COMPUTED_VALUE"""),45335.6715940625)</f>
        <v>45335.67159</v>
      </c>
      <c r="B1289" s="4"/>
      <c r="C1289" s="4"/>
      <c r="D1289" s="4"/>
      <c r="E1289" s="4"/>
      <c r="F1289" s="4"/>
      <c r="G1289" s="85">
        <f>IFERROR(__xludf.DUMMYFUNCTION("""COMPUTED_VALUE"""),45337.67152777778)</f>
        <v>45337.67153</v>
      </c>
      <c r="H1289" s="85" t="str">
        <f>IFERROR(__xludf.DUMMYFUNCTION("""COMPUTED_VALUE"""),"Estimate ")</f>
        <v>Estimate </v>
      </c>
      <c r="I1289" s="4" t="str">
        <f>IFERROR(__xludf.DUMMYFUNCTION("""COMPUTED_VALUE"""),"shivani")</f>
        <v>shivani</v>
      </c>
    </row>
    <row r="1290">
      <c r="A1290" s="85">
        <f>IFERROR(__xludf.DUMMYFUNCTION("""COMPUTED_VALUE"""),45335.673223715276)</f>
        <v>45335.67322</v>
      </c>
      <c r="B1290" s="4"/>
      <c r="C1290" s="4"/>
      <c r="D1290" s="4"/>
      <c r="E1290" s="4"/>
      <c r="F1290" s="4"/>
      <c r="G1290" s="85">
        <f>IFERROR(__xludf.DUMMYFUNCTION("""COMPUTED_VALUE"""),45337.67291666666)</f>
        <v>45337.67292</v>
      </c>
      <c r="H1290" s="85" t="str">
        <f>IFERROR(__xludf.DUMMYFUNCTION("""COMPUTED_VALUE"""),"Estimate ")</f>
        <v>Estimate </v>
      </c>
      <c r="I1290" s="4" t="str">
        <f>IFERROR(__xludf.DUMMYFUNCTION("""COMPUTED_VALUE"""),"shivani")</f>
        <v>shivani</v>
      </c>
    </row>
    <row r="1291">
      <c r="A1291" s="85">
        <f>IFERROR(__xludf.DUMMYFUNCTION("""COMPUTED_VALUE"""),45335.67439930556)</f>
        <v>45335.6744</v>
      </c>
      <c r="B1291" s="4"/>
      <c r="C1291" s="4"/>
      <c r="D1291" s="4"/>
      <c r="E1291" s="4"/>
      <c r="F1291" s="4"/>
      <c r="G1291" s="85">
        <f>IFERROR(__xludf.DUMMYFUNCTION("""COMPUTED_VALUE"""),45337.674305555556)</f>
        <v>45337.67431</v>
      </c>
      <c r="H1291" s="85" t="str">
        <f>IFERROR(__xludf.DUMMYFUNCTION("""COMPUTED_VALUE"""),"Estimate ")</f>
        <v>Estimate </v>
      </c>
      <c r="I1291" s="4" t="str">
        <f>IFERROR(__xludf.DUMMYFUNCTION("""COMPUTED_VALUE"""),"shivani")</f>
        <v>shivani</v>
      </c>
    </row>
    <row r="1292">
      <c r="A1292" s="85">
        <f>IFERROR(__xludf.DUMMYFUNCTION("""COMPUTED_VALUE"""),45335.67519996528)</f>
        <v>45335.6752</v>
      </c>
      <c r="B1292" s="4"/>
      <c r="C1292" s="4"/>
      <c r="D1292" s="4"/>
      <c r="E1292" s="4"/>
      <c r="F1292" s="4"/>
      <c r="G1292" s="85">
        <f>IFERROR(__xludf.DUMMYFUNCTION("""COMPUTED_VALUE"""),45337.675)</f>
        <v>45337.675</v>
      </c>
      <c r="H1292" s="85" t="str">
        <f>IFERROR(__xludf.DUMMYFUNCTION("""COMPUTED_VALUE"""),"Estimate ")</f>
        <v>Estimate </v>
      </c>
      <c r="I1292" s="4" t="str">
        <f>IFERROR(__xludf.DUMMYFUNCTION("""COMPUTED_VALUE"""),"shivani")</f>
        <v>shivani</v>
      </c>
    </row>
    <row r="1293">
      <c r="A1293" s="85">
        <f>IFERROR(__xludf.DUMMYFUNCTION("""COMPUTED_VALUE"""),45335.67605912037)</f>
        <v>45335.67606</v>
      </c>
      <c r="B1293" s="4"/>
      <c r="C1293" s="4"/>
      <c r="D1293" s="4"/>
      <c r="E1293" s="4"/>
      <c r="F1293" s="4"/>
      <c r="G1293" s="85">
        <f>IFERROR(__xludf.DUMMYFUNCTION("""COMPUTED_VALUE"""),45337.67569444445)</f>
        <v>45337.67569</v>
      </c>
      <c r="H1293" s="85" t="str">
        <f>IFERROR(__xludf.DUMMYFUNCTION("""COMPUTED_VALUE"""),"Estimate ")</f>
        <v>Estimate </v>
      </c>
      <c r="I1293" s="4" t="str">
        <f>IFERROR(__xludf.DUMMYFUNCTION("""COMPUTED_VALUE"""),"shivani")</f>
        <v>shivani</v>
      </c>
    </row>
    <row r="1294">
      <c r="A1294" s="85">
        <f>IFERROR(__xludf.DUMMYFUNCTION("""COMPUTED_VALUE"""),45335.676838113424)</f>
        <v>45335.67684</v>
      </c>
      <c r="B1294" s="4"/>
      <c r="C1294" s="4"/>
      <c r="D1294" s="4"/>
      <c r="E1294" s="4"/>
      <c r="F1294" s="4"/>
      <c r="G1294" s="85">
        <f>IFERROR(__xludf.DUMMYFUNCTION("""COMPUTED_VALUE"""),45337.67638888889)</f>
        <v>45337.67639</v>
      </c>
      <c r="H1294" s="85" t="str">
        <f>IFERROR(__xludf.DUMMYFUNCTION("""COMPUTED_VALUE"""),"Estimate ")</f>
        <v>Estimate </v>
      </c>
      <c r="I1294" s="4" t="str">
        <f>IFERROR(__xludf.DUMMYFUNCTION("""COMPUTED_VALUE"""),"shivani")</f>
        <v>shivani</v>
      </c>
    </row>
    <row r="1295">
      <c r="A1295" s="85">
        <f>IFERROR(__xludf.DUMMYFUNCTION("""COMPUTED_VALUE"""),45335.6778156713)</f>
        <v>45335.67782</v>
      </c>
      <c r="B1295" s="4"/>
      <c r="C1295" s="4"/>
      <c r="D1295" s="4"/>
      <c r="E1295" s="4"/>
      <c r="F1295" s="4"/>
      <c r="G1295" s="85">
        <f>IFERROR(__xludf.DUMMYFUNCTION("""COMPUTED_VALUE"""),45337.677777777775)</f>
        <v>45337.67778</v>
      </c>
      <c r="H1295" s="85" t="str">
        <f>IFERROR(__xludf.DUMMYFUNCTION("""COMPUTED_VALUE"""),"Estimate ")</f>
        <v>Estimate </v>
      </c>
      <c r="I1295" s="4" t="str">
        <f>IFERROR(__xludf.DUMMYFUNCTION("""COMPUTED_VALUE"""),"shivani")</f>
        <v>shivani</v>
      </c>
    </row>
    <row r="1296">
      <c r="A1296" s="85">
        <f>IFERROR(__xludf.DUMMYFUNCTION("""COMPUTED_VALUE"""),45335.67895949074)</f>
        <v>45335.67896</v>
      </c>
      <c r="B1296" s="4"/>
      <c r="C1296" s="4"/>
      <c r="D1296" s="4"/>
      <c r="E1296" s="4"/>
      <c r="F1296" s="4"/>
      <c r="G1296" s="85">
        <f>IFERROR(__xludf.DUMMYFUNCTION("""COMPUTED_VALUE"""),45337.67847222222)</f>
        <v>45337.67847</v>
      </c>
      <c r="H1296" s="85" t="str">
        <f>IFERROR(__xludf.DUMMYFUNCTION("""COMPUTED_VALUE"""),"Estimate ")</f>
        <v>Estimate </v>
      </c>
      <c r="I1296" s="4" t="str">
        <f>IFERROR(__xludf.DUMMYFUNCTION("""COMPUTED_VALUE"""),"shivani")</f>
        <v>shivani</v>
      </c>
    </row>
    <row r="1297">
      <c r="A1297" s="85">
        <f>IFERROR(__xludf.DUMMYFUNCTION("""COMPUTED_VALUE"""),45335.67991057871)</f>
        <v>45335.67991</v>
      </c>
      <c r="B1297" s="4"/>
      <c r="C1297" s="4"/>
      <c r="D1297" s="4"/>
      <c r="E1297" s="4"/>
      <c r="F1297" s="4"/>
      <c r="G1297" s="85">
        <f>IFERROR(__xludf.DUMMYFUNCTION("""COMPUTED_VALUE"""),45337.679861111115)</f>
        <v>45337.67986</v>
      </c>
      <c r="H1297" s="85" t="str">
        <f>IFERROR(__xludf.DUMMYFUNCTION("""COMPUTED_VALUE"""),"Estimate ")</f>
        <v>Estimate </v>
      </c>
      <c r="I1297" s="4" t="str">
        <f>IFERROR(__xludf.DUMMYFUNCTION("""COMPUTED_VALUE"""),"shivani")</f>
        <v>shivani</v>
      </c>
    </row>
    <row r="1298">
      <c r="A1298" s="85">
        <f>IFERROR(__xludf.DUMMYFUNCTION("""COMPUTED_VALUE"""),45335.68152438657)</f>
        <v>45335.68152</v>
      </c>
      <c r="B1298" s="4"/>
      <c r="C1298" s="4"/>
      <c r="D1298" s="4"/>
      <c r="E1298" s="4"/>
      <c r="F1298" s="4"/>
      <c r="G1298" s="85">
        <f>IFERROR(__xludf.DUMMYFUNCTION("""COMPUTED_VALUE"""),45337.68125)</f>
        <v>45337.68125</v>
      </c>
      <c r="H1298" s="85" t="str">
        <f>IFERROR(__xludf.DUMMYFUNCTION("""COMPUTED_VALUE"""),"Estimate ")</f>
        <v>Estimate </v>
      </c>
      <c r="I1298" s="4" t="str">
        <f>IFERROR(__xludf.DUMMYFUNCTION("""COMPUTED_VALUE"""),"shivani")</f>
        <v>shivani</v>
      </c>
    </row>
    <row r="1299">
      <c r="A1299" s="85">
        <f>IFERROR(__xludf.DUMMYFUNCTION("""COMPUTED_VALUE"""),45335.683187476854)</f>
        <v>45335.68319</v>
      </c>
      <c r="B1299" s="4"/>
      <c r="C1299" s="4"/>
      <c r="D1299" s="4"/>
      <c r="E1299" s="4"/>
      <c r="F1299" s="4"/>
      <c r="G1299" s="85">
        <f>IFERROR(__xludf.DUMMYFUNCTION("""COMPUTED_VALUE"""),45337.68263888889)</f>
        <v>45337.68264</v>
      </c>
      <c r="H1299" s="85" t="str">
        <f>IFERROR(__xludf.DUMMYFUNCTION("""COMPUTED_VALUE"""),"Estimate ")</f>
        <v>Estimate </v>
      </c>
      <c r="I1299" s="4" t="str">
        <f>IFERROR(__xludf.DUMMYFUNCTION("""COMPUTED_VALUE"""),"shivani")</f>
        <v>shivani</v>
      </c>
    </row>
    <row r="1300">
      <c r="A1300" s="85">
        <f>IFERROR(__xludf.DUMMYFUNCTION("""COMPUTED_VALUE"""),45335.68395047454)</f>
        <v>45335.68395</v>
      </c>
      <c r="B1300" s="4"/>
      <c r="C1300" s="4"/>
      <c r="D1300" s="4"/>
      <c r="E1300" s="4"/>
      <c r="F1300" s="4"/>
      <c r="G1300" s="85">
        <f>IFERROR(__xludf.DUMMYFUNCTION("""COMPUTED_VALUE"""),45337.683333333334)</f>
        <v>45337.68333</v>
      </c>
      <c r="H1300" s="85" t="str">
        <f>IFERROR(__xludf.DUMMYFUNCTION("""COMPUTED_VALUE"""),"Estimate ")</f>
        <v>Estimate </v>
      </c>
      <c r="I1300" s="4" t="str">
        <f>IFERROR(__xludf.DUMMYFUNCTION("""COMPUTED_VALUE"""),"shivani")</f>
        <v>shivani</v>
      </c>
    </row>
    <row r="1301">
      <c r="A1301" s="85">
        <f>IFERROR(__xludf.DUMMYFUNCTION("""COMPUTED_VALUE"""),45335.6846907176)</f>
        <v>45335.68469</v>
      </c>
      <c r="B1301" s="4"/>
      <c r="C1301" s="4"/>
      <c r="D1301" s="4"/>
      <c r="E1301" s="4"/>
      <c r="F1301" s="4"/>
      <c r="G1301" s="85">
        <f>IFERROR(__xludf.DUMMYFUNCTION("""COMPUTED_VALUE"""),45337.68402777778)</f>
        <v>45337.68403</v>
      </c>
      <c r="H1301" s="85" t="str">
        <f>IFERROR(__xludf.DUMMYFUNCTION("""COMPUTED_VALUE"""),"Estimate ")</f>
        <v>Estimate </v>
      </c>
      <c r="I1301" s="4" t="str">
        <f>IFERROR(__xludf.DUMMYFUNCTION("""COMPUTED_VALUE"""),"shivani")</f>
        <v>shivani</v>
      </c>
    </row>
    <row r="1302">
      <c r="A1302" s="85">
        <f>IFERROR(__xludf.DUMMYFUNCTION("""COMPUTED_VALUE"""),45490.53777440973)</f>
        <v>45490.53777</v>
      </c>
      <c r="B1302" s="4"/>
      <c r="C1302" s="4"/>
      <c r="D1302" s="4"/>
      <c r="E1302" s="4"/>
      <c r="F1302" s="4"/>
      <c r="G1302" s="85">
        <f>IFERROR(__xludf.DUMMYFUNCTION("""COMPUTED_VALUE"""),45492.5375)</f>
        <v>45492.5375</v>
      </c>
      <c r="H1302" s="85" t="str">
        <f>IFERROR(__xludf.DUMMYFUNCTION("""COMPUTED_VALUE"""),"Estimate ")</f>
        <v>Estimate </v>
      </c>
      <c r="I1302" s="4" t="str">
        <f>IFERROR(__xludf.DUMMYFUNCTION("""COMPUTED_VALUE"""),"shivani")</f>
        <v>shivani</v>
      </c>
    </row>
    <row r="1303">
      <c r="A1303" s="85">
        <f>IFERROR(__xludf.DUMMYFUNCTION("""COMPUTED_VALUE"""),45490.53908756945)</f>
        <v>45490.53909</v>
      </c>
      <c r="B1303" s="4"/>
      <c r="C1303" s="4"/>
      <c r="D1303" s="4"/>
      <c r="E1303" s="4"/>
      <c r="F1303" s="4"/>
      <c r="G1303" s="85">
        <f>IFERROR(__xludf.DUMMYFUNCTION("""COMPUTED_VALUE"""),45492.538888888885)</f>
        <v>45492.53889</v>
      </c>
      <c r="H1303" s="85" t="str">
        <f>IFERROR(__xludf.DUMMYFUNCTION("""COMPUTED_VALUE"""),"Estimate ")</f>
        <v>Estimate </v>
      </c>
      <c r="I1303" s="4" t="str">
        <f>IFERROR(__xludf.DUMMYFUNCTION("""COMPUTED_VALUE"""),"shivani")</f>
        <v>shivani</v>
      </c>
    </row>
    <row r="1304">
      <c r="A1304" s="85">
        <f>IFERROR(__xludf.DUMMYFUNCTION("""COMPUTED_VALUE"""),45490.540123506944)</f>
        <v>45490.54012</v>
      </c>
      <c r="B1304" s="4"/>
      <c r="C1304" s="4"/>
      <c r="D1304" s="4"/>
      <c r="E1304" s="4"/>
      <c r="F1304" s="4"/>
      <c r="G1304" s="85">
        <f>IFERROR(__xludf.DUMMYFUNCTION("""COMPUTED_VALUE"""),45492.53958333333)</f>
        <v>45492.53958</v>
      </c>
      <c r="H1304" s="85" t="str">
        <f>IFERROR(__xludf.DUMMYFUNCTION("""COMPUTED_VALUE"""),"Estimate ")</f>
        <v>Estimate </v>
      </c>
      <c r="I1304" s="4" t="str">
        <f>IFERROR(__xludf.DUMMYFUNCTION("""COMPUTED_VALUE"""),"shivani")</f>
        <v>shivani</v>
      </c>
    </row>
    <row r="1305">
      <c r="A1305" s="85">
        <f>IFERROR(__xludf.DUMMYFUNCTION("""COMPUTED_VALUE"""),45490.542025532406)</f>
        <v>45490.54203</v>
      </c>
      <c r="B1305" s="4"/>
      <c r="C1305" s="4"/>
      <c r="D1305" s="4"/>
      <c r="E1305" s="4"/>
      <c r="F1305" s="4"/>
      <c r="G1305" s="85">
        <f>IFERROR(__xludf.DUMMYFUNCTION("""COMPUTED_VALUE"""),45492.54166666667)</f>
        <v>45492.54167</v>
      </c>
      <c r="H1305" s="85" t="str">
        <f>IFERROR(__xludf.DUMMYFUNCTION("""COMPUTED_VALUE"""),"Estimate ")</f>
        <v>Estimate </v>
      </c>
      <c r="I1305" s="4" t="str">
        <f>IFERROR(__xludf.DUMMYFUNCTION("""COMPUTED_VALUE"""),"shivani")</f>
        <v>shivani</v>
      </c>
    </row>
    <row r="1306">
      <c r="A1306" s="85">
        <f>IFERROR(__xludf.DUMMYFUNCTION("""COMPUTED_VALUE"""),45490.54294141204)</f>
        <v>45490.54294</v>
      </c>
      <c r="B1306" s="4"/>
      <c r="C1306" s="4"/>
      <c r="D1306" s="4"/>
      <c r="E1306" s="4"/>
      <c r="F1306" s="4"/>
      <c r="G1306" s="85">
        <f>IFERROR(__xludf.DUMMYFUNCTION("""COMPUTED_VALUE"""),45492.54236111111)</f>
        <v>45492.54236</v>
      </c>
      <c r="H1306" s="85" t="str">
        <f>IFERROR(__xludf.DUMMYFUNCTION("""COMPUTED_VALUE"""),"Estimate ")</f>
        <v>Estimate </v>
      </c>
      <c r="I1306" s="4" t="str">
        <f>IFERROR(__xludf.DUMMYFUNCTION("""COMPUTED_VALUE"""),"shivani")</f>
        <v>shivani</v>
      </c>
    </row>
    <row r="1307">
      <c r="A1307" s="85">
        <f>IFERROR(__xludf.DUMMYFUNCTION("""COMPUTED_VALUE"""),45496.51453450231)</f>
        <v>45496.51453</v>
      </c>
      <c r="B1307" s="4"/>
      <c r="C1307" s="4"/>
      <c r="D1307" s="4"/>
      <c r="E1307" s="4"/>
      <c r="F1307" s="4"/>
      <c r="G1307" s="85">
        <f>IFERROR(__xludf.DUMMYFUNCTION("""COMPUTED_VALUE"""),45498.51388888889)</f>
        <v>45498.51389</v>
      </c>
      <c r="H1307" s="85" t="str">
        <f>IFERROR(__xludf.DUMMYFUNCTION("""COMPUTED_VALUE"""),"Estimate ")</f>
        <v>Estimate </v>
      </c>
      <c r="I1307" s="4" t="str">
        <f>IFERROR(__xludf.DUMMYFUNCTION("""COMPUTED_VALUE"""),"shivani")</f>
        <v>shivani</v>
      </c>
    </row>
    <row r="1308">
      <c r="A1308" s="85">
        <f>IFERROR(__xludf.DUMMYFUNCTION("""COMPUTED_VALUE"""),45496.527811851854)</f>
        <v>45496.52781</v>
      </c>
      <c r="B1308" s="4"/>
      <c r="C1308" s="4"/>
      <c r="D1308" s="4"/>
      <c r="E1308" s="4"/>
      <c r="F1308" s="4"/>
      <c r="G1308" s="85">
        <f>IFERROR(__xludf.DUMMYFUNCTION("""COMPUTED_VALUE"""),45498.52777777778)</f>
        <v>45498.52778</v>
      </c>
      <c r="H1308" s="85" t="str">
        <f>IFERROR(__xludf.DUMMYFUNCTION("""COMPUTED_VALUE"""),"Estimate ")</f>
        <v>Estimate </v>
      </c>
      <c r="I1308" s="4" t="str">
        <f>IFERROR(__xludf.DUMMYFUNCTION("""COMPUTED_VALUE"""),"shivani")</f>
        <v>shivani</v>
      </c>
    </row>
    <row r="1309">
      <c r="A1309" s="85">
        <f>IFERROR(__xludf.DUMMYFUNCTION("""COMPUTED_VALUE"""),45499.78636366898)</f>
        <v>45499.78636</v>
      </c>
      <c r="B1309" s="4"/>
      <c r="C1309" s="4"/>
      <c r="D1309" s="4"/>
      <c r="E1309" s="4"/>
      <c r="F1309" s="4"/>
      <c r="G1309" s="85">
        <f>IFERROR(__xludf.DUMMYFUNCTION("""COMPUTED_VALUE"""),45501.78611111111)</f>
        <v>45501.78611</v>
      </c>
      <c r="H1309" s="85" t="str">
        <f>IFERROR(__xludf.DUMMYFUNCTION("""COMPUTED_VALUE"""),"Estimate ")</f>
        <v>Estimate </v>
      </c>
      <c r="I1309" s="4" t="str">
        <f>IFERROR(__xludf.DUMMYFUNCTION("""COMPUTED_VALUE"""),"shivani")</f>
        <v>shivani</v>
      </c>
    </row>
    <row r="1310">
      <c r="A1310" s="85">
        <f>IFERROR(__xludf.DUMMYFUNCTION("""COMPUTED_VALUE"""),45501.61146274306)</f>
        <v>45501.61146</v>
      </c>
      <c r="B1310" s="4"/>
      <c r="C1310" s="4"/>
      <c r="D1310" s="4"/>
      <c r="E1310" s="4"/>
      <c r="F1310" s="4"/>
      <c r="G1310" s="85">
        <f>IFERROR(__xludf.DUMMYFUNCTION("""COMPUTED_VALUE"""),45504.61111111111)</f>
        <v>45504.61111</v>
      </c>
      <c r="H1310" s="85" t="str">
        <f>IFERROR(__xludf.DUMMYFUNCTION("""COMPUTED_VALUE"""),"Estimate ")</f>
        <v>Estimate </v>
      </c>
      <c r="I1310" s="4" t="str">
        <f>IFERROR(__xludf.DUMMYFUNCTION("""COMPUTED_VALUE"""),"shivani")</f>
        <v>shivani</v>
      </c>
    </row>
    <row r="1311">
      <c r="A1311" s="85">
        <f>IFERROR(__xludf.DUMMYFUNCTION("""COMPUTED_VALUE"""),45504.55864546296)</f>
        <v>45504.55865</v>
      </c>
      <c r="B1311" s="4"/>
      <c r="C1311" s="4"/>
      <c r="D1311" s="4"/>
      <c r="E1311" s="4"/>
      <c r="F1311" s="4"/>
      <c r="G1311" s="85">
        <f>IFERROR(__xludf.DUMMYFUNCTION("""COMPUTED_VALUE"""),45506.558333333334)</f>
        <v>45506.55833</v>
      </c>
      <c r="H1311" s="85" t="str">
        <f>IFERROR(__xludf.DUMMYFUNCTION("""COMPUTED_VALUE"""),"Estimate ")</f>
        <v>Estimate </v>
      </c>
      <c r="I1311" s="4" t="str">
        <f>IFERROR(__xludf.DUMMYFUNCTION("""COMPUTED_VALUE"""),"shivani")</f>
        <v>shivani</v>
      </c>
    </row>
    <row r="1312">
      <c r="A1312" s="85">
        <f>IFERROR(__xludf.DUMMYFUNCTION("""COMPUTED_VALUE"""),45504.56551927084)</f>
        <v>45504.56552</v>
      </c>
      <c r="B1312" s="4"/>
      <c r="C1312" s="4"/>
      <c r="D1312" s="4"/>
      <c r="E1312" s="4"/>
      <c r="F1312" s="4"/>
      <c r="G1312" s="85">
        <f>IFERROR(__xludf.DUMMYFUNCTION("""COMPUTED_VALUE"""),45506.56527777778)</f>
        <v>45506.56528</v>
      </c>
      <c r="H1312" s="85" t="str">
        <f>IFERROR(__xludf.DUMMYFUNCTION("""COMPUTED_VALUE"""),"Estimate ")</f>
        <v>Estimate </v>
      </c>
      <c r="I1312" s="4" t="str">
        <f>IFERROR(__xludf.DUMMYFUNCTION("""COMPUTED_VALUE"""),"shivani")</f>
        <v>shivani</v>
      </c>
    </row>
    <row r="1313">
      <c r="A1313" s="85">
        <f>IFERROR(__xludf.DUMMYFUNCTION("""COMPUTED_VALUE"""),45512.56613047453)</f>
        <v>45512.56613</v>
      </c>
      <c r="B1313" s="4"/>
      <c r="C1313" s="4"/>
      <c r="D1313" s="4"/>
      <c r="E1313" s="4"/>
      <c r="F1313" s="4"/>
      <c r="G1313" s="85">
        <f>IFERROR(__xludf.DUMMYFUNCTION("""COMPUTED_VALUE"""),45514.56597222222)</f>
        <v>45514.56597</v>
      </c>
      <c r="H1313" s="85" t="str">
        <f>IFERROR(__xludf.DUMMYFUNCTION("""COMPUTED_VALUE"""),"Estimate ")</f>
        <v>Estimate </v>
      </c>
      <c r="I1313" s="4" t="str">
        <f>IFERROR(__xludf.DUMMYFUNCTION("""COMPUTED_VALUE"""),"shivani")</f>
        <v>shivani</v>
      </c>
    </row>
    <row r="1314">
      <c r="A1314" s="85">
        <f>IFERROR(__xludf.DUMMYFUNCTION("""COMPUTED_VALUE"""),45512.78827247685)</f>
        <v>45512.78827</v>
      </c>
      <c r="B1314" s="4"/>
      <c r="C1314" s="4"/>
      <c r="D1314" s="4"/>
      <c r="E1314" s="4"/>
      <c r="F1314" s="4"/>
      <c r="G1314" s="85">
        <f>IFERROR(__xludf.DUMMYFUNCTION("""COMPUTED_VALUE"""),45514.788194444445)</f>
        <v>45514.78819</v>
      </c>
      <c r="H1314" s="85" t="str">
        <f>IFERROR(__xludf.DUMMYFUNCTION("""COMPUTED_VALUE"""),"Estimate ")</f>
        <v>Estimate </v>
      </c>
      <c r="I1314" s="4" t="str">
        <f>IFERROR(__xludf.DUMMYFUNCTION("""COMPUTED_VALUE"""),"shivani")</f>
        <v>shivani</v>
      </c>
    </row>
    <row r="1315">
      <c r="A1315" s="85">
        <f>IFERROR(__xludf.DUMMYFUNCTION("""COMPUTED_VALUE"""),45525.57375875)</f>
        <v>45525.57376</v>
      </c>
      <c r="B1315" s="4"/>
      <c r="C1315" s="4"/>
      <c r="D1315" s="4"/>
      <c r="E1315" s="4"/>
      <c r="F1315" s="4"/>
      <c r="G1315" s="85">
        <f>IFERROR(__xludf.DUMMYFUNCTION("""COMPUTED_VALUE"""),45527.57361111111)</f>
        <v>45527.57361</v>
      </c>
      <c r="H1315" s="85" t="str">
        <f>IFERROR(__xludf.DUMMYFUNCTION("""COMPUTED_VALUE"""),"Estimate ")</f>
        <v>Estimate </v>
      </c>
      <c r="I1315" s="4" t="str">
        <f>IFERROR(__xludf.DUMMYFUNCTION("""COMPUTED_VALUE"""),"shivani")</f>
        <v>shivani</v>
      </c>
    </row>
    <row r="1316">
      <c r="A1316" s="85">
        <f>IFERROR(__xludf.DUMMYFUNCTION("""COMPUTED_VALUE"""),45536.69539365741)</f>
        <v>45536.69539</v>
      </c>
      <c r="B1316" s="4"/>
      <c r="C1316" s="4"/>
      <c r="D1316" s="4"/>
      <c r="E1316" s="4"/>
      <c r="F1316" s="4"/>
      <c r="G1316" s="85">
        <f>IFERROR(__xludf.DUMMYFUNCTION("""COMPUTED_VALUE"""),45539.695138888885)</f>
        <v>45539.69514</v>
      </c>
      <c r="H1316" s="85" t="str">
        <f>IFERROR(__xludf.DUMMYFUNCTION("""COMPUTED_VALUE"""),"Estimate ")</f>
        <v>Estimate </v>
      </c>
      <c r="I1316" s="4" t="str">
        <f>IFERROR(__xludf.DUMMYFUNCTION("""COMPUTED_VALUE"""),"shivani")</f>
        <v>shivani</v>
      </c>
    </row>
    <row r="1317">
      <c r="A1317" s="85">
        <f>IFERROR(__xludf.DUMMYFUNCTION("""COMPUTED_VALUE"""),45536.69820811343)</f>
        <v>45536.69821</v>
      </c>
      <c r="B1317" s="4"/>
      <c r="C1317" s="4"/>
      <c r="D1317" s="4"/>
      <c r="E1317" s="4"/>
      <c r="F1317" s="4"/>
      <c r="G1317" s="85">
        <f>IFERROR(__xludf.DUMMYFUNCTION("""COMPUTED_VALUE"""),45539.69791666667)</f>
        <v>45539.69792</v>
      </c>
      <c r="H1317" s="85" t="str">
        <f>IFERROR(__xludf.DUMMYFUNCTION("""COMPUTED_VALUE"""),"Estimate ")</f>
        <v>Estimate </v>
      </c>
      <c r="I1317" s="4" t="str">
        <f>IFERROR(__xludf.DUMMYFUNCTION("""COMPUTED_VALUE"""),"shivani")</f>
        <v>shivani</v>
      </c>
    </row>
    <row r="1318">
      <c r="A1318" s="85">
        <f>IFERROR(__xludf.DUMMYFUNCTION("""COMPUTED_VALUE"""),45536.6994552199)</f>
        <v>45536.69946</v>
      </c>
      <c r="B1318" s="4"/>
      <c r="C1318" s="4"/>
      <c r="D1318" s="4"/>
      <c r="E1318" s="4"/>
      <c r="F1318" s="4"/>
      <c r="G1318" s="85">
        <f>IFERROR(__xludf.DUMMYFUNCTION("""COMPUTED_VALUE"""),45539.69930555555)</f>
        <v>45539.69931</v>
      </c>
      <c r="H1318" s="85" t="str">
        <f>IFERROR(__xludf.DUMMYFUNCTION("""COMPUTED_VALUE"""),"Estimate ")</f>
        <v>Estimate </v>
      </c>
      <c r="I1318" s="4" t="str">
        <f>IFERROR(__xludf.DUMMYFUNCTION("""COMPUTED_VALUE"""),"shivani")</f>
        <v>shivani</v>
      </c>
    </row>
    <row r="1319">
      <c r="A1319" s="85">
        <f>IFERROR(__xludf.DUMMYFUNCTION("""COMPUTED_VALUE"""),45536.701630393516)</f>
        <v>45536.70163</v>
      </c>
      <c r="B1319" s="4"/>
      <c r="C1319" s="4"/>
      <c r="D1319" s="4"/>
      <c r="E1319" s="4"/>
      <c r="F1319" s="4"/>
      <c r="G1319" s="85">
        <f>IFERROR(__xludf.DUMMYFUNCTION("""COMPUTED_VALUE"""),45539.70138888889)</f>
        <v>45539.70139</v>
      </c>
      <c r="H1319" s="85" t="str">
        <f>IFERROR(__xludf.DUMMYFUNCTION("""COMPUTED_VALUE"""),"Estimate ")</f>
        <v>Estimate </v>
      </c>
      <c r="I1319" s="4" t="str">
        <f>IFERROR(__xludf.DUMMYFUNCTION("""COMPUTED_VALUE"""),"shivani")</f>
        <v>shivani</v>
      </c>
    </row>
    <row r="1320">
      <c r="A1320" s="85">
        <f>IFERROR(__xludf.DUMMYFUNCTION("""COMPUTED_VALUE"""),45541.49722269676)</f>
        <v>45541.49722</v>
      </c>
      <c r="B1320" s="4"/>
      <c r="C1320" s="4"/>
      <c r="D1320" s="4"/>
      <c r="E1320" s="4"/>
      <c r="F1320" s="4"/>
      <c r="G1320" s="85">
        <f>IFERROR(__xludf.DUMMYFUNCTION("""COMPUTED_VALUE"""),45543.49722222222)</f>
        <v>45543.49722</v>
      </c>
      <c r="H1320" s="85" t="str">
        <f>IFERROR(__xludf.DUMMYFUNCTION("""COMPUTED_VALUE"""),"Estimate ")</f>
        <v>Estimate </v>
      </c>
      <c r="I1320" s="4" t="str">
        <f>IFERROR(__xludf.DUMMYFUNCTION("""COMPUTED_VALUE"""),"shivani")</f>
        <v>shivani</v>
      </c>
    </row>
    <row r="1321">
      <c r="A1321" s="85">
        <f>IFERROR(__xludf.DUMMYFUNCTION("""COMPUTED_VALUE"""),45541.499944675925)</f>
        <v>45541.49994</v>
      </c>
      <c r="B1321" s="4"/>
      <c r="C1321" s="4"/>
      <c r="D1321" s="4"/>
      <c r="E1321" s="4"/>
      <c r="F1321" s="4"/>
      <c r="G1321" s="85">
        <f>IFERROR(__xludf.DUMMYFUNCTION("""COMPUTED_VALUE"""),45543.49930555555)</f>
        <v>45543.49931</v>
      </c>
      <c r="H1321" s="85" t="str">
        <f>IFERROR(__xludf.DUMMYFUNCTION("""COMPUTED_VALUE"""),"Estimate ")</f>
        <v>Estimate </v>
      </c>
      <c r="I1321" s="4" t="str">
        <f>IFERROR(__xludf.DUMMYFUNCTION("""COMPUTED_VALUE"""),"shivani")</f>
        <v>shivani</v>
      </c>
    </row>
    <row r="1322">
      <c r="A1322" s="85">
        <f>IFERROR(__xludf.DUMMYFUNCTION("""COMPUTED_VALUE"""),45556.62494822917)</f>
        <v>45556.62495</v>
      </c>
      <c r="B1322" s="4"/>
      <c r="C1322" s="4"/>
      <c r="D1322" s="4"/>
      <c r="E1322" s="4"/>
      <c r="F1322" s="4"/>
      <c r="G1322" s="85">
        <f>IFERROR(__xludf.DUMMYFUNCTION("""COMPUTED_VALUE"""),45559.62430555555)</f>
        <v>45559.62431</v>
      </c>
      <c r="H1322" s="85" t="str">
        <f>IFERROR(__xludf.DUMMYFUNCTION("""COMPUTED_VALUE"""),"Estimate ")</f>
        <v>Estimate </v>
      </c>
      <c r="I1322" s="4" t="str">
        <f>IFERROR(__xludf.DUMMYFUNCTION("""COMPUTED_VALUE"""),"shivani")</f>
        <v>shivani</v>
      </c>
    </row>
    <row r="1323">
      <c r="A1323" s="85">
        <f>IFERROR(__xludf.DUMMYFUNCTION("""COMPUTED_VALUE"""),45556.62787509259)</f>
        <v>45556.62788</v>
      </c>
      <c r="B1323" s="4"/>
      <c r="C1323" s="4"/>
      <c r="D1323" s="4"/>
      <c r="E1323" s="4"/>
      <c r="F1323" s="4"/>
      <c r="G1323" s="85">
        <f>IFERROR(__xludf.DUMMYFUNCTION("""COMPUTED_VALUE"""),45559.62777777778)</f>
        <v>45559.62778</v>
      </c>
      <c r="H1323" s="85" t="str">
        <f>IFERROR(__xludf.DUMMYFUNCTION("""COMPUTED_VALUE"""),"Estimate ")</f>
        <v>Estimate </v>
      </c>
      <c r="I1323" s="4" t="str">
        <f>IFERROR(__xludf.DUMMYFUNCTION("""COMPUTED_VALUE"""),"shivani")</f>
        <v>shivani</v>
      </c>
    </row>
    <row r="1324">
      <c r="A1324" s="85">
        <f>IFERROR(__xludf.DUMMYFUNCTION("""COMPUTED_VALUE"""),45556.630143622686)</f>
        <v>45556.63014</v>
      </c>
      <c r="B1324" s="4"/>
      <c r="C1324" s="4"/>
      <c r="D1324" s="4"/>
      <c r="E1324" s="4"/>
      <c r="F1324" s="4"/>
      <c r="G1324" s="85">
        <f>IFERROR(__xludf.DUMMYFUNCTION("""COMPUTED_VALUE"""),45559.62986111111)</f>
        <v>45559.62986</v>
      </c>
      <c r="H1324" s="85" t="str">
        <f>IFERROR(__xludf.DUMMYFUNCTION("""COMPUTED_VALUE"""),"Estimate ")</f>
        <v>Estimate </v>
      </c>
      <c r="I1324" s="4" t="str">
        <f>IFERROR(__xludf.DUMMYFUNCTION("""COMPUTED_VALUE"""),"shivani")</f>
        <v>shivani</v>
      </c>
    </row>
    <row r="1325">
      <c r="A1325" s="85">
        <f>IFERROR(__xludf.DUMMYFUNCTION("""COMPUTED_VALUE"""),45556.6362168287)</f>
        <v>45556.63622</v>
      </c>
      <c r="B1325" s="4"/>
      <c r="C1325" s="4"/>
      <c r="D1325" s="4"/>
      <c r="E1325" s="4"/>
      <c r="F1325" s="4"/>
      <c r="G1325" s="85">
        <f>IFERROR(__xludf.DUMMYFUNCTION("""COMPUTED_VALUE"""),45559.63611111111)</f>
        <v>45559.63611</v>
      </c>
      <c r="H1325" s="85" t="str">
        <f>IFERROR(__xludf.DUMMYFUNCTION("""COMPUTED_VALUE"""),"Estimate ")</f>
        <v>Estimate </v>
      </c>
      <c r="I1325" s="4" t="str">
        <f>IFERROR(__xludf.DUMMYFUNCTION("""COMPUTED_VALUE"""),"shivani")</f>
        <v>shivani</v>
      </c>
    </row>
    <row r="1326">
      <c r="A1326" s="85">
        <f>IFERROR(__xludf.DUMMYFUNCTION("""COMPUTED_VALUE"""),45560.5151296412)</f>
        <v>45560.51513</v>
      </c>
      <c r="B1326" s="4"/>
      <c r="C1326" s="4"/>
      <c r="D1326" s="4"/>
      <c r="E1326" s="4"/>
      <c r="F1326" s="4"/>
      <c r="G1326" s="85">
        <f>IFERROR(__xludf.DUMMYFUNCTION("""COMPUTED_VALUE"""),45562.51458333334)</f>
        <v>45562.51458</v>
      </c>
      <c r="H1326" s="85" t="str">
        <f>IFERROR(__xludf.DUMMYFUNCTION("""COMPUTED_VALUE"""),"Estimate ")</f>
        <v>Estimate </v>
      </c>
      <c r="I1326" s="4" t="str">
        <f>IFERROR(__xludf.DUMMYFUNCTION("""COMPUTED_VALUE"""),"shivani")</f>
        <v>shivani</v>
      </c>
    </row>
    <row r="1327">
      <c r="A1327" s="85">
        <f>IFERROR(__xludf.DUMMYFUNCTION("""COMPUTED_VALUE"""),45561.66120125)</f>
        <v>45561.6612</v>
      </c>
      <c r="B1327" s="4"/>
      <c r="C1327" s="4"/>
      <c r="D1327" s="4"/>
      <c r="E1327" s="4"/>
      <c r="F1327" s="4"/>
      <c r="G1327" s="85">
        <f>IFERROR(__xludf.DUMMYFUNCTION("""COMPUTED_VALUE"""),45563.66111111111)</f>
        <v>45563.66111</v>
      </c>
      <c r="H1327" s="85" t="str">
        <f>IFERROR(__xludf.DUMMYFUNCTION("""COMPUTED_VALUE"""),"Estimate ")</f>
        <v>Estimate </v>
      </c>
      <c r="I1327" s="4" t="str">
        <f>IFERROR(__xludf.DUMMYFUNCTION("""COMPUTED_VALUE"""),"shivani")</f>
        <v>shivani</v>
      </c>
    </row>
    <row r="1328">
      <c r="A1328" s="85">
        <f>IFERROR(__xludf.DUMMYFUNCTION("""COMPUTED_VALUE"""),45563.64611533565)</f>
        <v>45563.64612</v>
      </c>
      <c r="B1328" s="4"/>
      <c r="C1328" s="4"/>
      <c r="D1328" s="4"/>
      <c r="E1328" s="4"/>
      <c r="F1328" s="4"/>
      <c r="G1328" s="85">
        <f>IFERROR(__xludf.DUMMYFUNCTION("""COMPUTED_VALUE"""),45566.64583333333)</f>
        <v>45566.64583</v>
      </c>
      <c r="H1328" s="85" t="str">
        <f>IFERROR(__xludf.DUMMYFUNCTION("""COMPUTED_VALUE"""),"Estimate ")</f>
        <v>Estimate </v>
      </c>
      <c r="I1328" s="4" t="str">
        <f>IFERROR(__xludf.DUMMYFUNCTION("""COMPUTED_VALUE"""),"shivani")</f>
        <v>shivani</v>
      </c>
    </row>
    <row r="1329">
      <c r="A1329" s="85">
        <f>IFERROR(__xludf.DUMMYFUNCTION("""COMPUTED_VALUE"""),45563.71384561343)</f>
        <v>45563.71385</v>
      </c>
      <c r="B1329" s="4"/>
      <c r="C1329" s="4"/>
      <c r="D1329" s="4"/>
      <c r="E1329" s="4"/>
      <c r="F1329" s="4"/>
      <c r="G1329" s="85">
        <f>IFERROR(__xludf.DUMMYFUNCTION("""COMPUTED_VALUE"""),45566.71319444444)</f>
        <v>45566.71319</v>
      </c>
      <c r="H1329" s="85" t="str">
        <f>IFERROR(__xludf.DUMMYFUNCTION("""COMPUTED_VALUE"""),"Estimate ")</f>
        <v>Estimate </v>
      </c>
      <c r="I1329" s="4" t="str">
        <f>IFERROR(__xludf.DUMMYFUNCTION("""COMPUTED_VALUE"""),"shivani")</f>
        <v>shivani</v>
      </c>
    </row>
    <row r="1330">
      <c r="A1330" s="85">
        <f>IFERROR(__xludf.DUMMYFUNCTION("""COMPUTED_VALUE"""),45563.75472326389)</f>
        <v>45563.75472</v>
      </c>
      <c r="B1330" s="4"/>
      <c r="C1330" s="4"/>
      <c r="D1330" s="4"/>
      <c r="E1330" s="4"/>
      <c r="F1330" s="4"/>
      <c r="G1330" s="85">
        <f>IFERROR(__xludf.DUMMYFUNCTION("""COMPUTED_VALUE"""),45566.754166666666)</f>
        <v>45566.75417</v>
      </c>
      <c r="H1330" s="85" t="str">
        <f>IFERROR(__xludf.DUMMYFUNCTION("""COMPUTED_VALUE"""),"Estimate ")</f>
        <v>Estimate </v>
      </c>
      <c r="I1330" s="4" t="str">
        <f>IFERROR(__xludf.DUMMYFUNCTION("""COMPUTED_VALUE"""),"shivani")</f>
        <v>shivani</v>
      </c>
    </row>
    <row r="1331">
      <c r="A1331" s="85">
        <f>IFERROR(__xludf.DUMMYFUNCTION("""COMPUTED_VALUE"""),45563.77998452546)</f>
        <v>45563.77998</v>
      </c>
      <c r="B1331" s="4"/>
      <c r="C1331" s="4"/>
      <c r="D1331" s="4"/>
      <c r="E1331" s="4"/>
      <c r="F1331" s="4"/>
      <c r="G1331" s="85">
        <f>IFERROR(__xludf.DUMMYFUNCTION("""COMPUTED_VALUE"""),45566.77986111111)</f>
        <v>45566.77986</v>
      </c>
      <c r="H1331" s="85" t="str">
        <f>IFERROR(__xludf.DUMMYFUNCTION("""COMPUTED_VALUE"""),"Estimate ")</f>
        <v>Estimate </v>
      </c>
      <c r="I1331" s="4" t="str">
        <f>IFERROR(__xludf.DUMMYFUNCTION("""COMPUTED_VALUE"""),"shivani")</f>
        <v>shivani</v>
      </c>
    </row>
    <row r="1332">
      <c r="A1332" s="85">
        <f>IFERROR(__xludf.DUMMYFUNCTION("""COMPUTED_VALUE"""),45566.77695196759)</f>
        <v>45566.77695</v>
      </c>
      <c r="B1332" s="4"/>
      <c r="C1332" s="4"/>
      <c r="D1332" s="4"/>
      <c r="E1332" s="4"/>
      <c r="F1332" s="4"/>
      <c r="G1332" s="85">
        <f>IFERROR(__xludf.DUMMYFUNCTION("""COMPUTED_VALUE"""),45568.77638888889)</f>
        <v>45568.77639</v>
      </c>
      <c r="H1332" s="85" t="str">
        <f>IFERROR(__xludf.DUMMYFUNCTION("""COMPUTED_VALUE"""),"Estimate ")</f>
        <v>Estimate </v>
      </c>
      <c r="I1332" s="4" t="str">
        <f>IFERROR(__xludf.DUMMYFUNCTION("""COMPUTED_VALUE"""),"shivani")</f>
        <v>shivani</v>
      </c>
    </row>
    <row r="1333">
      <c r="A1333" s="85">
        <f>IFERROR(__xludf.DUMMYFUNCTION("""COMPUTED_VALUE"""),45573.64941116898)</f>
        <v>45573.64941</v>
      </c>
      <c r="B1333" s="4"/>
      <c r="C1333" s="4"/>
      <c r="D1333" s="4"/>
      <c r="E1333" s="4"/>
      <c r="F1333" s="4"/>
      <c r="G1333" s="85">
        <f>IFERROR(__xludf.DUMMYFUNCTION("""COMPUTED_VALUE"""),45575.649305555555)</f>
        <v>45575.64931</v>
      </c>
      <c r="H1333" s="85" t="str">
        <f>IFERROR(__xludf.DUMMYFUNCTION("""COMPUTED_VALUE"""),"Estimate ")</f>
        <v>Estimate </v>
      </c>
      <c r="I1333" s="4" t="str">
        <f>IFERROR(__xludf.DUMMYFUNCTION("""COMPUTED_VALUE"""),"shivani")</f>
        <v>shivani</v>
      </c>
    </row>
    <row r="1334">
      <c r="A1334" s="85">
        <f>IFERROR(__xludf.DUMMYFUNCTION("""COMPUTED_VALUE"""),45573.652469085646)</f>
        <v>45573.65247</v>
      </c>
      <c r="B1334" s="4"/>
      <c r="C1334" s="4"/>
      <c r="D1334" s="4"/>
      <c r="E1334" s="4"/>
      <c r="F1334" s="4"/>
      <c r="G1334" s="85">
        <f>IFERROR(__xludf.DUMMYFUNCTION("""COMPUTED_VALUE"""),45575.652083333334)</f>
        <v>45575.65208</v>
      </c>
      <c r="H1334" s="85" t="str">
        <f>IFERROR(__xludf.DUMMYFUNCTION("""COMPUTED_VALUE"""),"Estimate ")</f>
        <v>Estimate </v>
      </c>
      <c r="I1334" s="4" t="str">
        <f>IFERROR(__xludf.DUMMYFUNCTION("""COMPUTED_VALUE"""),"shivani")</f>
        <v>shivani</v>
      </c>
    </row>
    <row r="1335">
      <c r="A1335" s="85">
        <f>IFERROR(__xludf.DUMMYFUNCTION("""COMPUTED_VALUE"""),45573.653374837966)</f>
        <v>45573.65337</v>
      </c>
      <c r="B1335" s="4"/>
      <c r="C1335" s="4"/>
      <c r="D1335" s="4"/>
      <c r="E1335" s="4"/>
      <c r="F1335" s="4"/>
      <c r="G1335" s="85">
        <f>IFERROR(__xludf.DUMMYFUNCTION("""COMPUTED_VALUE"""),45575.65277777778)</f>
        <v>45575.65278</v>
      </c>
      <c r="H1335" s="85" t="str">
        <f>IFERROR(__xludf.DUMMYFUNCTION("""COMPUTED_VALUE"""),"Estimate ")</f>
        <v>Estimate </v>
      </c>
      <c r="I1335" s="4" t="str">
        <f>IFERROR(__xludf.DUMMYFUNCTION("""COMPUTED_VALUE"""),"shivani")</f>
        <v>shivani</v>
      </c>
    </row>
    <row r="1336">
      <c r="A1336" s="85">
        <f>IFERROR(__xludf.DUMMYFUNCTION("""COMPUTED_VALUE"""),45581.706928402775)</f>
        <v>45581.70693</v>
      </c>
      <c r="B1336" s="4"/>
      <c r="C1336" s="4"/>
      <c r="D1336" s="4"/>
      <c r="E1336" s="4"/>
      <c r="F1336" s="4"/>
      <c r="G1336" s="85">
        <f>IFERROR(__xludf.DUMMYFUNCTION("""COMPUTED_VALUE"""),45583.70625)</f>
        <v>45583.70625</v>
      </c>
      <c r="H1336" s="85" t="str">
        <f>IFERROR(__xludf.DUMMYFUNCTION("""COMPUTED_VALUE"""),"Estimate ")</f>
        <v>Estimate </v>
      </c>
      <c r="I1336" s="4" t="str">
        <f>IFERROR(__xludf.DUMMYFUNCTION("""COMPUTED_VALUE"""),"shivani")</f>
        <v>shivani</v>
      </c>
    </row>
    <row r="1337">
      <c r="A1337" s="85">
        <f>IFERROR(__xludf.DUMMYFUNCTION("""COMPUTED_VALUE"""),45581.71528358797)</f>
        <v>45581.71528</v>
      </c>
      <c r="B1337" s="4"/>
      <c r="C1337" s="4"/>
      <c r="D1337" s="4"/>
      <c r="E1337" s="4"/>
      <c r="F1337" s="4"/>
      <c r="G1337" s="85">
        <f>IFERROR(__xludf.DUMMYFUNCTION("""COMPUTED_VALUE"""),45583.71527777778)</f>
        <v>45583.71528</v>
      </c>
      <c r="H1337" s="85" t="str">
        <f>IFERROR(__xludf.DUMMYFUNCTION("""COMPUTED_VALUE"""),"Estimate ")</f>
        <v>Estimate </v>
      </c>
      <c r="I1337" s="4" t="str">
        <f>IFERROR(__xludf.DUMMYFUNCTION("""COMPUTED_VALUE"""),"shivani")</f>
        <v>shivani</v>
      </c>
    </row>
    <row r="1338">
      <c r="A1338" s="85">
        <f>IFERROR(__xludf.DUMMYFUNCTION("""COMPUTED_VALUE"""),45586.628311134264)</f>
        <v>45586.62831</v>
      </c>
      <c r="B1338" s="4"/>
      <c r="C1338" s="4"/>
      <c r="D1338" s="4"/>
      <c r="E1338" s="4"/>
      <c r="F1338" s="4"/>
      <c r="G1338" s="85">
        <f>IFERROR(__xludf.DUMMYFUNCTION("""COMPUTED_VALUE"""),45588.62777777778)</f>
        <v>45588.62778</v>
      </c>
      <c r="H1338" s="85" t="str">
        <f>IFERROR(__xludf.DUMMYFUNCTION("""COMPUTED_VALUE"""),"Estimate ")</f>
        <v>Estimate </v>
      </c>
      <c r="I1338" s="4" t="str">
        <f>IFERROR(__xludf.DUMMYFUNCTION("""COMPUTED_VALUE"""),"shivani")</f>
        <v>shivani</v>
      </c>
    </row>
    <row r="1339">
      <c r="A1339" s="85">
        <f>IFERROR(__xludf.DUMMYFUNCTION("""COMPUTED_VALUE"""),45586.63013628472)</f>
        <v>45586.63014</v>
      </c>
      <c r="B1339" s="4"/>
      <c r="C1339" s="4"/>
      <c r="D1339" s="4"/>
      <c r="E1339" s="4"/>
      <c r="F1339" s="4"/>
      <c r="G1339" s="85">
        <f>IFERROR(__xludf.DUMMYFUNCTION("""COMPUTED_VALUE"""),45588.62986111111)</f>
        <v>45588.62986</v>
      </c>
      <c r="H1339" s="85" t="str">
        <f>IFERROR(__xludf.DUMMYFUNCTION("""COMPUTED_VALUE"""),"Estimate ")</f>
        <v>Estimate </v>
      </c>
      <c r="I1339" s="4" t="str">
        <f>IFERROR(__xludf.DUMMYFUNCTION("""COMPUTED_VALUE"""),"shivani")</f>
        <v>shivani</v>
      </c>
    </row>
    <row r="1340">
      <c r="A1340" s="85">
        <f>IFERROR(__xludf.DUMMYFUNCTION("""COMPUTED_VALUE"""),45586.632364930556)</f>
        <v>45586.63236</v>
      </c>
      <c r="B1340" s="4"/>
      <c r="C1340" s="4"/>
      <c r="D1340" s="4"/>
      <c r="E1340" s="4"/>
      <c r="F1340" s="4"/>
      <c r="G1340" s="85">
        <f>IFERROR(__xludf.DUMMYFUNCTION("""COMPUTED_VALUE"""),45588.631944444445)</f>
        <v>45588.63194</v>
      </c>
      <c r="H1340" s="85" t="str">
        <f>IFERROR(__xludf.DUMMYFUNCTION("""COMPUTED_VALUE"""),"Estimate ")</f>
        <v>Estimate </v>
      </c>
      <c r="I1340" s="4" t="str">
        <f>IFERROR(__xludf.DUMMYFUNCTION("""COMPUTED_VALUE"""),"shivani")</f>
        <v>shivani</v>
      </c>
    </row>
    <row r="1341">
      <c r="A1341" s="85">
        <f>IFERROR(__xludf.DUMMYFUNCTION("""COMPUTED_VALUE"""),45586.6910837037)</f>
        <v>45586.69108</v>
      </c>
      <c r="B1341" s="4"/>
      <c r="C1341" s="4"/>
      <c r="D1341" s="4"/>
      <c r="E1341" s="4"/>
      <c r="F1341" s="4"/>
      <c r="G1341" s="85">
        <f>IFERROR(__xludf.DUMMYFUNCTION("""COMPUTED_VALUE"""),45588.69097222222)</f>
        <v>45588.69097</v>
      </c>
      <c r="H1341" s="85" t="str">
        <f>IFERROR(__xludf.DUMMYFUNCTION("""COMPUTED_VALUE"""),"Estimate ")</f>
        <v>Estimate </v>
      </c>
      <c r="I1341" s="4" t="str">
        <f>IFERROR(__xludf.DUMMYFUNCTION("""COMPUTED_VALUE"""),"shivani")</f>
        <v>shivani</v>
      </c>
    </row>
    <row r="1342">
      <c r="A1342" s="85">
        <f>IFERROR(__xludf.DUMMYFUNCTION("""COMPUTED_VALUE"""),45586.695186261575)</f>
        <v>45586.69519</v>
      </c>
      <c r="B1342" s="4"/>
      <c r="C1342" s="4"/>
      <c r="D1342" s="4"/>
      <c r="E1342" s="4"/>
      <c r="F1342" s="4"/>
      <c r="G1342" s="85">
        <f>IFERROR(__xludf.DUMMYFUNCTION("""COMPUTED_VALUE"""),45588.695138888885)</f>
        <v>45588.69514</v>
      </c>
      <c r="H1342" s="85" t="str">
        <f>IFERROR(__xludf.DUMMYFUNCTION("""COMPUTED_VALUE"""),"Estimate ")</f>
        <v>Estimate </v>
      </c>
      <c r="I1342" s="4" t="str">
        <f>IFERROR(__xludf.DUMMYFUNCTION("""COMPUTED_VALUE"""),"shivani")</f>
        <v>shivani</v>
      </c>
    </row>
    <row r="1343">
      <c r="A1343" s="85">
        <f>IFERROR(__xludf.DUMMYFUNCTION("""COMPUTED_VALUE"""),45586.696716527775)</f>
        <v>45586.69672</v>
      </c>
      <c r="B1343" s="4"/>
      <c r="C1343" s="4"/>
      <c r="D1343" s="4"/>
      <c r="E1343" s="4"/>
      <c r="F1343" s="4"/>
      <c r="G1343" s="85">
        <f>IFERROR(__xludf.DUMMYFUNCTION("""COMPUTED_VALUE"""),45588.69652777778)</f>
        <v>45588.69653</v>
      </c>
      <c r="H1343" s="85" t="str">
        <f>IFERROR(__xludf.DUMMYFUNCTION("""COMPUTED_VALUE"""),"Estimate ")</f>
        <v>Estimate </v>
      </c>
      <c r="I1343" s="4" t="str">
        <f>IFERROR(__xludf.DUMMYFUNCTION("""COMPUTED_VALUE"""),"shivani")</f>
        <v>shivani</v>
      </c>
    </row>
    <row r="1344">
      <c r="A1344" s="85">
        <f>IFERROR(__xludf.DUMMYFUNCTION("""COMPUTED_VALUE"""),45586.7001267824)</f>
        <v>45586.70013</v>
      </c>
      <c r="B1344" s="4"/>
      <c r="C1344" s="4"/>
      <c r="D1344" s="4"/>
      <c r="E1344" s="4"/>
      <c r="F1344" s="4"/>
      <c r="G1344" s="85">
        <f>IFERROR(__xludf.DUMMYFUNCTION("""COMPUTED_VALUE"""),45588.7)</f>
        <v>45588.7</v>
      </c>
      <c r="H1344" s="85" t="str">
        <f>IFERROR(__xludf.DUMMYFUNCTION("""COMPUTED_VALUE"""),"Estimate ")</f>
        <v>Estimate </v>
      </c>
      <c r="I1344" s="4" t="str">
        <f>IFERROR(__xludf.DUMMYFUNCTION("""COMPUTED_VALUE"""),"shivani")</f>
        <v>shivani</v>
      </c>
    </row>
    <row r="1345">
      <c r="A1345" s="85">
        <f>IFERROR(__xludf.DUMMYFUNCTION("""COMPUTED_VALUE"""),45587.6282334838)</f>
        <v>45587.62823</v>
      </c>
      <c r="B1345" s="4"/>
      <c r="C1345" s="4"/>
      <c r="D1345" s="4"/>
      <c r="E1345" s="4"/>
      <c r="F1345" s="4"/>
      <c r="G1345" s="85">
        <f>IFERROR(__xludf.DUMMYFUNCTION("""COMPUTED_VALUE"""),45589.62777777778)</f>
        <v>45589.62778</v>
      </c>
      <c r="H1345" s="85" t="str">
        <f>IFERROR(__xludf.DUMMYFUNCTION("""COMPUTED_VALUE"""),"Estimate ")</f>
        <v>Estimate </v>
      </c>
      <c r="I1345" s="4" t="str">
        <f>IFERROR(__xludf.DUMMYFUNCTION("""COMPUTED_VALUE"""),"shivani")</f>
        <v>shivani</v>
      </c>
    </row>
    <row r="1346">
      <c r="A1346" s="85">
        <f>IFERROR(__xludf.DUMMYFUNCTION("""COMPUTED_VALUE"""),45589.66779212963)</f>
        <v>45589.66779</v>
      </c>
      <c r="B1346" s="4"/>
      <c r="C1346" s="4"/>
      <c r="D1346" s="4"/>
      <c r="E1346" s="4"/>
      <c r="F1346" s="4"/>
      <c r="G1346" s="85">
        <f>IFERROR(__xludf.DUMMYFUNCTION("""COMPUTED_VALUE"""),45591.66736111111)</f>
        <v>45591.66736</v>
      </c>
      <c r="H1346" s="85" t="str">
        <f>IFERROR(__xludf.DUMMYFUNCTION("""COMPUTED_VALUE"""),"Estimate ")</f>
        <v>Estimate </v>
      </c>
      <c r="I1346" s="4" t="str">
        <f>IFERROR(__xludf.DUMMYFUNCTION("""COMPUTED_VALUE"""),"shivani")</f>
        <v>shivani</v>
      </c>
    </row>
    <row r="1347">
      <c r="A1347" s="85">
        <f>IFERROR(__xludf.DUMMYFUNCTION("""COMPUTED_VALUE"""),45591.61053747685)</f>
        <v>45591.61054</v>
      </c>
      <c r="B1347" s="4"/>
      <c r="C1347" s="4"/>
      <c r="D1347" s="4"/>
      <c r="E1347" s="4"/>
      <c r="F1347" s="4"/>
      <c r="G1347" s="85">
        <f>IFERROR(__xludf.DUMMYFUNCTION("""COMPUTED_VALUE"""),45594.61041666666)</f>
        <v>45594.61042</v>
      </c>
      <c r="H1347" s="85" t="str">
        <f>IFERROR(__xludf.DUMMYFUNCTION("""COMPUTED_VALUE"""),"Estimate ")</f>
        <v>Estimate </v>
      </c>
      <c r="I1347" s="4" t="str">
        <f>IFERROR(__xludf.DUMMYFUNCTION("""COMPUTED_VALUE"""),"shivani")</f>
        <v>shivani</v>
      </c>
    </row>
    <row r="1348">
      <c r="A1348" s="85">
        <f>IFERROR(__xludf.DUMMYFUNCTION("""COMPUTED_VALUE"""),45591.767281168984)</f>
        <v>45591.76728</v>
      </c>
      <c r="B1348" s="4"/>
      <c r="C1348" s="4"/>
      <c r="D1348" s="4"/>
      <c r="E1348" s="4"/>
      <c r="F1348" s="4"/>
      <c r="G1348" s="85">
        <f>IFERROR(__xludf.DUMMYFUNCTION("""COMPUTED_VALUE"""),45594.76666666666)</f>
        <v>45594.76667</v>
      </c>
      <c r="H1348" s="85" t="str">
        <f>IFERROR(__xludf.DUMMYFUNCTION("""COMPUTED_VALUE"""),"Estimate ")</f>
        <v>Estimate </v>
      </c>
      <c r="I1348" s="4" t="str">
        <f>IFERROR(__xludf.DUMMYFUNCTION("""COMPUTED_VALUE"""),"shivani")</f>
        <v>shivani</v>
      </c>
    </row>
    <row r="1349">
      <c r="A1349" s="85">
        <f>IFERROR(__xludf.DUMMYFUNCTION("""COMPUTED_VALUE"""),45591.768888576386)</f>
        <v>45591.76889</v>
      </c>
      <c r="B1349" s="4"/>
      <c r="C1349" s="4"/>
      <c r="D1349" s="4"/>
      <c r="E1349" s="4"/>
      <c r="F1349" s="4"/>
      <c r="G1349" s="85">
        <f>IFERROR(__xludf.DUMMYFUNCTION("""COMPUTED_VALUE"""),45594.76875)</f>
        <v>45594.76875</v>
      </c>
      <c r="H1349" s="85" t="str">
        <f>IFERROR(__xludf.DUMMYFUNCTION("""COMPUTED_VALUE"""),"Estimate ")</f>
        <v>Estimate </v>
      </c>
      <c r="I1349" s="4" t="str">
        <f>IFERROR(__xludf.DUMMYFUNCTION("""COMPUTED_VALUE"""),"shivani")</f>
        <v>shivani</v>
      </c>
    </row>
    <row r="1350">
      <c r="A1350" s="85">
        <f>IFERROR(__xludf.DUMMYFUNCTION("""COMPUTED_VALUE"""),45591.769745046295)</f>
        <v>45591.76975</v>
      </c>
      <c r="B1350" s="4"/>
      <c r="C1350" s="4"/>
      <c r="D1350" s="4"/>
      <c r="E1350" s="4"/>
      <c r="F1350" s="4"/>
      <c r="G1350" s="85">
        <f>IFERROR(__xludf.DUMMYFUNCTION("""COMPUTED_VALUE"""),45594.76944444445)</f>
        <v>45594.76944</v>
      </c>
      <c r="H1350" s="85" t="str">
        <f>IFERROR(__xludf.DUMMYFUNCTION("""COMPUTED_VALUE"""),"Estimate ")</f>
        <v>Estimate </v>
      </c>
      <c r="I1350" s="4" t="str">
        <f>IFERROR(__xludf.DUMMYFUNCTION("""COMPUTED_VALUE"""),"shivani")</f>
        <v>shivani</v>
      </c>
    </row>
    <row r="1351">
      <c r="A1351" s="85">
        <f>IFERROR(__xludf.DUMMYFUNCTION("""COMPUTED_VALUE"""),45591.77109319444)</f>
        <v>45591.77109</v>
      </c>
      <c r="B1351" s="4"/>
      <c r="C1351" s="4"/>
      <c r="D1351" s="4"/>
      <c r="E1351" s="4"/>
      <c r="F1351" s="4"/>
      <c r="G1351" s="85">
        <f>IFERROR(__xludf.DUMMYFUNCTION("""COMPUTED_VALUE"""),45594.77083333333)</f>
        <v>45594.77083</v>
      </c>
      <c r="H1351" s="85" t="str">
        <f>IFERROR(__xludf.DUMMYFUNCTION("""COMPUTED_VALUE"""),"Estimate ")</f>
        <v>Estimate </v>
      </c>
      <c r="I1351" s="4" t="str">
        <f>IFERROR(__xludf.DUMMYFUNCTION("""COMPUTED_VALUE"""),"shivani")</f>
        <v>shivani</v>
      </c>
    </row>
    <row r="1352">
      <c r="A1352" s="85">
        <f>IFERROR(__xludf.DUMMYFUNCTION("""COMPUTED_VALUE"""),45591.77307539352)</f>
        <v>45591.77308</v>
      </c>
      <c r="B1352" s="4"/>
      <c r="C1352" s="4"/>
      <c r="D1352" s="4"/>
      <c r="E1352" s="4"/>
      <c r="F1352" s="4"/>
      <c r="G1352" s="85">
        <f>IFERROR(__xludf.DUMMYFUNCTION("""COMPUTED_VALUE"""),45594.77291666667)</f>
        <v>45594.77292</v>
      </c>
      <c r="H1352" s="85" t="str">
        <f>IFERROR(__xludf.DUMMYFUNCTION("""COMPUTED_VALUE"""),"Estimate ")</f>
        <v>Estimate </v>
      </c>
      <c r="I1352" s="4" t="str">
        <f>IFERROR(__xludf.DUMMYFUNCTION("""COMPUTED_VALUE"""),"shivani")</f>
        <v>shivani</v>
      </c>
    </row>
    <row r="1353">
      <c r="A1353" s="85">
        <f>IFERROR(__xludf.DUMMYFUNCTION("""COMPUTED_VALUE"""),45591.77453643519)</f>
        <v>45591.77454</v>
      </c>
      <c r="B1353" s="4"/>
      <c r="C1353" s="4"/>
      <c r="D1353" s="4"/>
      <c r="E1353" s="4"/>
      <c r="F1353" s="4"/>
      <c r="G1353" s="85">
        <f>IFERROR(__xludf.DUMMYFUNCTION("""COMPUTED_VALUE"""),45594.774305555555)</f>
        <v>45594.77431</v>
      </c>
      <c r="H1353" s="85" t="str">
        <f>IFERROR(__xludf.DUMMYFUNCTION("""COMPUTED_VALUE"""),"Estimate ")</f>
        <v>Estimate </v>
      </c>
      <c r="I1353" s="4" t="str">
        <f>IFERROR(__xludf.DUMMYFUNCTION("""COMPUTED_VALUE"""),"shivani")</f>
        <v>shivani</v>
      </c>
    </row>
    <row r="1354">
      <c r="A1354" s="85">
        <f>IFERROR(__xludf.DUMMYFUNCTION("""COMPUTED_VALUE"""),45591.776446701384)</f>
        <v>45591.77645</v>
      </c>
      <c r="B1354" s="4"/>
      <c r="C1354" s="4"/>
      <c r="D1354" s="4"/>
      <c r="E1354" s="4"/>
      <c r="F1354" s="4"/>
      <c r="G1354" s="85">
        <f>IFERROR(__xludf.DUMMYFUNCTION("""COMPUTED_VALUE"""),45594.77638888889)</f>
        <v>45594.77639</v>
      </c>
      <c r="H1354" s="85" t="str">
        <f>IFERROR(__xludf.DUMMYFUNCTION("""COMPUTED_VALUE"""),"Estimate ")</f>
        <v>Estimate </v>
      </c>
      <c r="I1354" s="4" t="str">
        <f>IFERROR(__xludf.DUMMYFUNCTION("""COMPUTED_VALUE"""),"shivani")</f>
        <v>shivani</v>
      </c>
    </row>
    <row r="1355">
      <c r="A1355" s="85">
        <f>IFERROR(__xludf.DUMMYFUNCTION("""COMPUTED_VALUE"""),45591.77843561342)</f>
        <v>45591.77844</v>
      </c>
      <c r="B1355" s="4"/>
      <c r="C1355" s="4"/>
      <c r="D1355" s="4"/>
      <c r="E1355" s="4"/>
      <c r="F1355" s="4"/>
      <c r="G1355" s="85">
        <f>IFERROR(__xludf.DUMMYFUNCTION("""COMPUTED_VALUE"""),45594.77777777778)</f>
        <v>45594.77778</v>
      </c>
      <c r="H1355" s="85" t="str">
        <f>IFERROR(__xludf.DUMMYFUNCTION("""COMPUTED_VALUE"""),"Estimate ")</f>
        <v>Estimate </v>
      </c>
      <c r="I1355" s="4" t="str">
        <f>IFERROR(__xludf.DUMMYFUNCTION("""COMPUTED_VALUE"""),"shivani")</f>
        <v>shivani</v>
      </c>
    </row>
    <row r="1356">
      <c r="A1356" s="85">
        <f>IFERROR(__xludf.DUMMYFUNCTION("""COMPUTED_VALUE"""),45591.78135652778)</f>
        <v>45591.78136</v>
      </c>
      <c r="B1356" s="4"/>
      <c r="C1356" s="4"/>
      <c r="D1356" s="4"/>
      <c r="E1356" s="4"/>
      <c r="F1356" s="4"/>
      <c r="G1356" s="85">
        <f>IFERROR(__xludf.DUMMYFUNCTION("""COMPUTED_VALUE"""),45594.78125)</f>
        <v>45594.78125</v>
      </c>
      <c r="H1356" s="85" t="str">
        <f>IFERROR(__xludf.DUMMYFUNCTION("""COMPUTED_VALUE"""),"Estimate ")</f>
        <v>Estimate </v>
      </c>
      <c r="I1356" s="4" t="str">
        <f>IFERROR(__xludf.DUMMYFUNCTION("""COMPUTED_VALUE"""),"shivani")</f>
        <v>shivani</v>
      </c>
    </row>
    <row r="1357">
      <c r="A1357" s="85">
        <f>IFERROR(__xludf.DUMMYFUNCTION("""COMPUTED_VALUE"""),45601.68034673611)</f>
        <v>45601.68035</v>
      </c>
      <c r="B1357" s="4"/>
      <c r="C1357" s="4"/>
      <c r="D1357" s="4"/>
      <c r="E1357" s="4"/>
      <c r="F1357" s="4"/>
      <c r="G1357" s="85">
        <f>IFERROR(__xludf.DUMMYFUNCTION("""COMPUTED_VALUE"""),45603.679861111115)</f>
        <v>45603.67986</v>
      </c>
      <c r="H1357" s="85" t="str">
        <f>IFERROR(__xludf.DUMMYFUNCTION("""COMPUTED_VALUE"""),"Estimate ")</f>
        <v>Estimate </v>
      </c>
      <c r="I1357" s="4" t="str">
        <f>IFERROR(__xludf.DUMMYFUNCTION("""COMPUTED_VALUE"""),"shivani")</f>
        <v>shivani</v>
      </c>
    </row>
    <row r="1358">
      <c r="A1358" s="85">
        <f>IFERROR(__xludf.DUMMYFUNCTION("""COMPUTED_VALUE"""),45601.685212372686)</f>
        <v>45601.68521</v>
      </c>
      <c r="B1358" s="4"/>
      <c r="C1358" s="4"/>
      <c r="D1358" s="4"/>
      <c r="E1358" s="4"/>
      <c r="F1358" s="4"/>
      <c r="G1358" s="85">
        <f>IFERROR(__xludf.DUMMYFUNCTION("""COMPUTED_VALUE"""),45603.68472222222)</f>
        <v>45603.68472</v>
      </c>
      <c r="H1358" s="85" t="str">
        <f>IFERROR(__xludf.DUMMYFUNCTION("""COMPUTED_VALUE"""),"Estimate ")</f>
        <v>Estimate </v>
      </c>
      <c r="I1358" s="4" t="str">
        <f>IFERROR(__xludf.DUMMYFUNCTION("""COMPUTED_VALUE"""),"shivani")</f>
        <v>shivani</v>
      </c>
    </row>
    <row r="1359">
      <c r="A1359" s="85">
        <f>IFERROR(__xludf.DUMMYFUNCTION("""COMPUTED_VALUE"""),45601.68688935185)</f>
        <v>45601.68689</v>
      </c>
      <c r="B1359" s="4"/>
      <c r="C1359" s="4"/>
      <c r="D1359" s="4"/>
      <c r="E1359" s="4"/>
      <c r="F1359" s="4"/>
      <c r="G1359" s="85">
        <f>IFERROR(__xludf.DUMMYFUNCTION("""COMPUTED_VALUE"""),45603.68680555555)</f>
        <v>45603.68681</v>
      </c>
      <c r="H1359" s="85" t="str">
        <f>IFERROR(__xludf.DUMMYFUNCTION("""COMPUTED_VALUE"""),"Estimate ")</f>
        <v>Estimate </v>
      </c>
      <c r="I1359" s="4" t="str">
        <f>IFERROR(__xludf.DUMMYFUNCTION("""COMPUTED_VALUE"""),"shivani")</f>
        <v>shivani</v>
      </c>
    </row>
    <row r="1360">
      <c r="A1360" s="85">
        <f>IFERROR(__xludf.DUMMYFUNCTION("""COMPUTED_VALUE"""),45601.690735960656)</f>
        <v>45601.69074</v>
      </c>
      <c r="B1360" s="4"/>
      <c r="C1360" s="4"/>
      <c r="D1360" s="4"/>
      <c r="E1360" s="4"/>
      <c r="F1360" s="4"/>
      <c r="G1360" s="85">
        <f>IFERROR(__xludf.DUMMYFUNCTION("""COMPUTED_VALUE"""),45603.69027777778)</f>
        <v>45603.69028</v>
      </c>
      <c r="H1360" s="85" t="str">
        <f>IFERROR(__xludf.DUMMYFUNCTION("""COMPUTED_VALUE"""),"Estimate ")</f>
        <v>Estimate </v>
      </c>
      <c r="I1360" s="4" t="str">
        <f>IFERROR(__xludf.DUMMYFUNCTION("""COMPUTED_VALUE"""),"shivani")</f>
        <v>shivani</v>
      </c>
    </row>
    <row r="1361">
      <c r="A1361" s="85">
        <f>IFERROR(__xludf.DUMMYFUNCTION("""COMPUTED_VALUE"""),45601.697074456024)</f>
        <v>45601.69707</v>
      </c>
      <c r="B1361" s="4"/>
      <c r="C1361" s="4"/>
      <c r="D1361" s="4"/>
      <c r="E1361" s="4"/>
      <c r="F1361" s="4"/>
      <c r="G1361" s="85">
        <f>IFERROR(__xludf.DUMMYFUNCTION("""COMPUTED_VALUE"""),45603.69652777778)</f>
        <v>45603.69653</v>
      </c>
      <c r="H1361" s="85" t="str">
        <f>IFERROR(__xludf.DUMMYFUNCTION("""COMPUTED_VALUE"""),"Estimate ")</f>
        <v>Estimate </v>
      </c>
      <c r="I1361" s="4" t="str">
        <f>IFERROR(__xludf.DUMMYFUNCTION("""COMPUTED_VALUE"""),"shivani")</f>
        <v>shivani</v>
      </c>
    </row>
    <row r="1362">
      <c r="A1362" s="85">
        <f>IFERROR(__xludf.DUMMYFUNCTION("""COMPUTED_VALUE"""),45601.69980938658)</f>
        <v>45601.69981</v>
      </c>
      <c r="B1362" s="4"/>
      <c r="C1362" s="4"/>
      <c r="D1362" s="4"/>
      <c r="E1362" s="4"/>
      <c r="F1362" s="4"/>
      <c r="G1362" s="85">
        <f>IFERROR(__xludf.DUMMYFUNCTION("""COMPUTED_VALUE"""),45603.69930555555)</f>
        <v>45603.69931</v>
      </c>
      <c r="H1362" s="85" t="str">
        <f>IFERROR(__xludf.DUMMYFUNCTION("""COMPUTED_VALUE"""),"Estimate ")</f>
        <v>Estimate </v>
      </c>
      <c r="I1362" s="4" t="str">
        <f>IFERROR(__xludf.DUMMYFUNCTION("""COMPUTED_VALUE"""),"shivani")</f>
        <v>shivani</v>
      </c>
    </row>
    <row r="1363">
      <c r="A1363" s="85">
        <f>IFERROR(__xludf.DUMMYFUNCTION("""COMPUTED_VALUE"""),45601.70118047454)</f>
        <v>45601.70118</v>
      </c>
      <c r="B1363" s="4"/>
      <c r="C1363" s="4"/>
      <c r="D1363" s="4"/>
      <c r="E1363" s="4"/>
      <c r="F1363" s="4"/>
      <c r="G1363" s="85">
        <f>IFERROR(__xludf.DUMMYFUNCTION("""COMPUTED_VALUE"""),45603.700694444444)</f>
        <v>45603.70069</v>
      </c>
      <c r="H1363" s="85" t="str">
        <f>IFERROR(__xludf.DUMMYFUNCTION("""COMPUTED_VALUE"""),"Estimate ")</f>
        <v>Estimate </v>
      </c>
      <c r="I1363" s="4" t="str">
        <f>IFERROR(__xludf.DUMMYFUNCTION("""COMPUTED_VALUE"""),"shivani")</f>
        <v>shivani</v>
      </c>
    </row>
    <row r="1364">
      <c r="A1364" s="85">
        <f>IFERROR(__xludf.DUMMYFUNCTION("""COMPUTED_VALUE"""),45602.54024030093)</f>
        <v>45602.54024</v>
      </c>
      <c r="B1364" s="4"/>
      <c r="C1364" s="4"/>
      <c r="D1364" s="4"/>
      <c r="E1364" s="4"/>
      <c r="F1364" s="4"/>
      <c r="G1364" s="85">
        <f>IFERROR(__xludf.DUMMYFUNCTION("""COMPUTED_VALUE"""),45604.53958333333)</f>
        <v>45604.53958</v>
      </c>
      <c r="H1364" s="85" t="str">
        <f>IFERROR(__xludf.DUMMYFUNCTION("""COMPUTED_VALUE"""),"Estimate ")</f>
        <v>Estimate </v>
      </c>
      <c r="I1364" s="4" t="str">
        <f>IFERROR(__xludf.DUMMYFUNCTION("""COMPUTED_VALUE"""),"shivani")</f>
        <v>shivani</v>
      </c>
    </row>
    <row r="1365">
      <c r="A1365" s="85">
        <f>IFERROR(__xludf.DUMMYFUNCTION("""COMPUTED_VALUE"""),45603.630199363426)</f>
        <v>45603.6302</v>
      </c>
      <c r="B1365" s="4"/>
      <c r="C1365" s="4"/>
      <c r="D1365" s="4"/>
      <c r="E1365" s="4"/>
      <c r="F1365" s="4"/>
      <c r="G1365" s="85">
        <f>IFERROR(__xludf.DUMMYFUNCTION("""COMPUTED_VALUE"""),45605.62986111111)</f>
        <v>45605.62986</v>
      </c>
      <c r="H1365" s="85" t="str">
        <f>IFERROR(__xludf.DUMMYFUNCTION("""COMPUTED_VALUE"""),"Estimate ")</f>
        <v>Estimate </v>
      </c>
      <c r="I1365" s="4" t="str">
        <f>IFERROR(__xludf.DUMMYFUNCTION("""COMPUTED_VALUE"""),"shivani")</f>
        <v>shivani</v>
      </c>
    </row>
    <row r="1366">
      <c r="A1366" s="85">
        <f>IFERROR(__xludf.DUMMYFUNCTION("""COMPUTED_VALUE"""),45609.7025406713)</f>
        <v>45609.70254</v>
      </c>
      <c r="B1366" s="4"/>
      <c r="C1366" s="4"/>
      <c r="D1366" s="4"/>
      <c r="E1366" s="4"/>
      <c r="F1366" s="4"/>
      <c r="G1366" s="85">
        <f>IFERROR(__xludf.DUMMYFUNCTION("""COMPUTED_VALUE"""),45611.70208333334)</f>
        <v>45611.70208</v>
      </c>
      <c r="H1366" s="85" t="str">
        <f>IFERROR(__xludf.DUMMYFUNCTION("""COMPUTED_VALUE"""),"Estimate ")</f>
        <v>Estimate </v>
      </c>
      <c r="I1366" s="4" t="str">
        <f>IFERROR(__xludf.DUMMYFUNCTION("""COMPUTED_VALUE"""),"shivani")</f>
        <v>shivani</v>
      </c>
    </row>
    <row r="1367">
      <c r="A1367" s="85">
        <f>IFERROR(__xludf.DUMMYFUNCTION("""COMPUTED_VALUE"""),45609.705399768514)</f>
        <v>45609.7054</v>
      </c>
      <c r="B1367" s="4"/>
      <c r="C1367" s="4"/>
      <c r="D1367" s="4"/>
      <c r="E1367" s="4"/>
      <c r="F1367" s="4"/>
      <c r="G1367" s="85">
        <f>IFERROR(__xludf.DUMMYFUNCTION("""COMPUTED_VALUE"""),45611.70486111111)</f>
        <v>45611.70486</v>
      </c>
      <c r="H1367" s="85" t="str">
        <f>IFERROR(__xludf.DUMMYFUNCTION("""COMPUTED_VALUE"""),"Estimate ")</f>
        <v>Estimate </v>
      </c>
      <c r="I1367" s="4" t="str">
        <f>IFERROR(__xludf.DUMMYFUNCTION("""COMPUTED_VALUE"""),"shivani")</f>
        <v>shivani</v>
      </c>
    </row>
    <row r="1368">
      <c r="A1368" s="85">
        <f>IFERROR(__xludf.DUMMYFUNCTION("""COMPUTED_VALUE"""),45609.709468877314)</f>
        <v>45609.70947</v>
      </c>
      <c r="B1368" s="4"/>
      <c r="C1368" s="4"/>
      <c r="D1368" s="4"/>
      <c r="E1368" s="4"/>
      <c r="F1368" s="4"/>
      <c r="G1368" s="85">
        <f>IFERROR(__xludf.DUMMYFUNCTION("""COMPUTED_VALUE"""),45611.709027777775)</f>
        <v>45611.70903</v>
      </c>
      <c r="H1368" s="85" t="str">
        <f>IFERROR(__xludf.DUMMYFUNCTION("""COMPUTED_VALUE"""),"Estimate ")</f>
        <v>Estimate </v>
      </c>
      <c r="I1368" s="4" t="str">
        <f>IFERROR(__xludf.DUMMYFUNCTION("""COMPUTED_VALUE"""),"shivani")</f>
        <v>shivani</v>
      </c>
    </row>
    <row r="1369">
      <c r="A1369" s="85">
        <f>IFERROR(__xludf.DUMMYFUNCTION("""COMPUTED_VALUE"""),45609.71834503472)</f>
        <v>45609.71835</v>
      </c>
      <c r="B1369" s="4"/>
      <c r="C1369" s="4"/>
      <c r="D1369" s="4"/>
      <c r="E1369" s="4"/>
      <c r="F1369" s="4"/>
      <c r="G1369" s="85">
        <f>IFERROR(__xludf.DUMMYFUNCTION("""COMPUTED_VALUE"""),45611.71805555555)</f>
        <v>45611.71806</v>
      </c>
      <c r="H1369" s="85" t="str">
        <f>IFERROR(__xludf.DUMMYFUNCTION("""COMPUTED_VALUE"""),"Estimate ")</f>
        <v>Estimate </v>
      </c>
      <c r="I1369" s="4" t="str">
        <f>IFERROR(__xludf.DUMMYFUNCTION("""COMPUTED_VALUE"""),"shivani")</f>
        <v>shivani</v>
      </c>
    </row>
    <row r="1370">
      <c r="A1370" s="85">
        <f>IFERROR(__xludf.DUMMYFUNCTION("""COMPUTED_VALUE"""),45609.72139946759)</f>
        <v>45609.7214</v>
      </c>
      <c r="B1370" s="4"/>
      <c r="C1370" s="4"/>
      <c r="D1370" s="4"/>
      <c r="E1370" s="4"/>
      <c r="F1370" s="4"/>
      <c r="G1370" s="85">
        <f>IFERROR(__xludf.DUMMYFUNCTION("""COMPUTED_VALUE"""),45611.72083333333)</f>
        <v>45611.72083</v>
      </c>
      <c r="H1370" s="85" t="str">
        <f>IFERROR(__xludf.DUMMYFUNCTION("""COMPUTED_VALUE"""),"Estimate ")</f>
        <v>Estimate </v>
      </c>
      <c r="I1370" s="4" t="str">
        <f>IFERROR(__xludf.DUMMYFUNCTION("""COMPUTED_VALUE"""),"shivani")</f>
        <v>shivani</v>
      </c>
    </row>
    <row r="1371">
      <c r="A1371" s="85">
        <f>IFERROR(__xludf.DUMMYFUNCTION("""COMPUTED_VALUE"""),45609.72432230324)</f>
        <v>45609.72432</v>
      </c>
      <c r="B1371" s="4"/>
      <c r="C1371" s="4"/>
      <c r="D1371" s="4"/>
      <c r="E1371" s="4"/>
      <c r="F1371" s="4"/>
      <c r="G1371" s="85">
        <f>IFERROR(__xludf.DUMMYFUNCTION("""COMPUTED_VALUE"""),45611.72430555556)</f>
        <v>45611.72431</v>
      </c>
      <c r="H1371" s="85" t="str">
        <f>IFERROR(__xludf.DUMMYFUNCTION("""COMPUTED_VALUE"""),"Estimate ")</f>
        <v>Estimate </v>
      </c>
      <c r="I1371" s="4" t="str">
        <f>IFERROR(__xludf.DUMMYFUNCTION("""COMPUTED_VALUE"""),"shivani")</f>
        <v>shivani</v>
      </c>
    </row>
    <row r="1372">
      <c r="A1372" s="85">
        <f>IFERROR(__xludf.DUMMYFUNCTION("""COMPUTED_VALUE"""),45611.69938417824)</f>
        <v>45611.69938</v>
      </c>
      <c r="B1372" s="4"/>
      <c r="C1372" s="4"/>
      <c r="D1372" s="4"/>
      <c r="E1372" s="4"/>
      <c r="F1372" s="4"/>
      <c r="G1372" s="85">
        <f>IFERROR(__xludf.DUMMYFUNCTION("""COMPUTED_VALUE"""),45613.69930555555)</f>
        <v>45613.69931</v>
      </c>
      <c r="H1372" s="85" t="str">
        <f>IFERROR(__xludf.DUMMYFUNCTION("""COMPUTED_VALUE"""),"Estimate ")</f>
        <v>Estimate </v>
      </c>
      <c r="I1372" s="4" t="str">
        <f>IFERROR(__xludf.DUMMYFUNCTION("""COMPUTED_VALUE"""),"shivani")</f>
        <v>shivani</v>
      </c>
    </row>
    <row r="1373">
      <c r="A1373" s="85">
        <f>IFERROR(__xludf.DUMMYFUNCTION("""COMPUTED_VALUE"""),45611.716393622686)</f>
        <v>45611.71639</v>
      </c>
      <c r="B1373" s="4"/>
      <c r="C1373" s="4"/>
      <c r="D1373" s="4"/>
      <c r="E1373" s="4"/>
      <c r="F1373" s="4"/>
      <c r="G1373" s="85">
        <f>IFERROR(__xludf.DUMMYFUNCTION("""COMPUTED_VALUE"""),45613.71597222222)</f>
        <v>45613.71597</v>
      </c>
      <c r="H1373" s="85" t="str">
        <f>IFERROR(__xludf.DUMMYFUNCTION("""COMPUTED_VALUE"""),"Estimate ")</f>
        <v>Estimate </v>
      </c>
      <c r="I1373" s="4" t="str">
        <f>IFERROR(__xludf.DUMMYFUNCTION("""COMPUTED_VALUE"""),"shivani")</f>
        <v>shivani</v>
      </c>
    </row>
    <row r="1374">
      <c r="A1374" s="85">
        <f>IFERROR(__xludf.DUMMYFUNCTION("""COMPUTED_VALUE"""),45611.72499856481)</f>
        <v>45611.725</v>
      </c>
      <c r="B1374" s="4"/>
      <c r="C1374" s="4"/>
      <c r="D1374" s="4"/>
      <c r="E1374" s="4"/>
      <c r="F1374" s="4"/>
      <c r="G1374" s="85">
        <f>IFERROR(__xludf.DUMMYFUNCTION("""COMPUTED_VALUE"""),45613.725)</f>
        <v>45613.725</v>
      </c>
      <c r="H1374" s="85" t="str">
        <f>IFERROR(__xludf.DUMMYFUNCTION("""COMPUTED_VALUE"""),"Estimate ")</f>
        <v>Estimate </v>
      </c>
      <c r="I1374" s="4" t="str">
        <f>IFERROR(__xludf.DUMMYFUNCTION("""COMPUTED_VALUE"""),"shivani")</f>
        <v>shivani</v>
      </c>
    </row>
    <row r="1375">
      <c r="A1375" s="85">
        <f>IFERROR(__xludf.DUMMYFUNCTION("""COMPUTED_VALUE"""),45611.72602415509)</f>
        <v>45611.72602</v>
      </c>
      <c r="B1375" s="4"/>
      <c r="C1375" s="4"/>
      <c r="D1375" s="4"/>
      <c r="E1375" s="4"/>
      <c r="F1375" s="4"/>
      <c r="G1375" s="85">
        <f>IFERROR(__xludf.DUMMYFUNCTION("""COMPUTED_VALUE"""),45613.725694444445)</f>
        <v>45613.72569</v>
      </c>
      <c r="H1375" s="85" t="str">
        <f>IFERROR(__xludf.DUMMYFUNCTION("""COMPUTED_VALUE"""),"Estimate ")</f>
        <v>Estimate </v>
      </c>
      <c r="I1375" s="4" t="str">
        <f>IFERROR(__xludf.DUMMYFUNCTION("""COMPUTED_VALUE"""),"shivani")</f>
        <v>shivani</v>
      </c>
    </row>
    <row r="1376">
      <c r="A1376" s="85">
        <f>IFERROR(__xludf.DUMMYFUNCTION("""COMPUTED_VALUE"""),45611.72720094907)</f>
        <v>45611.7272</v>
      </c>
      <c r="B1376" s="4"/>
      <c r="C1376" s="4"/>
      <c r="D1376" s="4"/>
      <c r="E1376" s="4"/>
      <c r="F1376" s="4"/>
      <c r="G1376" s="85">
        <f>IFERROR(__xludf.DUMMYFUNCTION("""COMPUTED_VALUE"""),45613.72708333333)</f>
        <v>45613.72708</v>
      </c>
      <c r="H1376" s="85" t="str">
        <f>IFERROR(__xludf.DUMMYFUNCTION("""COMPUTED_VALUE"""),"Estimate ")</f>
        <v>Estimate </v>
      </c>
      <c r="I1376" s="4" t="str">
        <f>IFERROR(__xludf.DUMMYFUNCTION("""COMPUTED_VALUE"""),"shivani")</f>
        <v>shivani</v>
      </c>
    </row>
    <row r="1377">
      <c r="A1377" s="85">
        <f>IFERROR(__xludf.DUMMYFUNCTION("""COMPUTED_VALUE"""),45611.72843216435)</f>
        <v>45611.72843</v>
      </c>
      <c r="B1377" s="4"/>
      <c r="C1377" s="4"/>
      <c r="D1377" s="4"/>
      <c r="E1377" s="4"/>
      <c r="F1377" s="4"/>
      <c r="G1377" s="85">
        <f>IFERROR(__xludf.DUMMYFUNCTION("""COMPUTED_VALUE"""),45613.72777777778)</f>
        <v>45613.72778</v>
      </c>
      <c r="H1377" s="85" t="str">
        <f>IFERROR(__xludf.DUMMYFUNCTION("""COMPUTED_VALUE"""),"Estimate ")</f>
        <v>Estimate </v>
      </c>
      <c r="I1377" s="4" t="str">
        <f>IFERROR(__xludf.DUMMYFUNCTION("""COMPUTED_VALUE"""),"shivani")</f>
        <v>shivani</v>
      </c>
    </row>
    <row r="1378">
      <c r="A1378" s="85">
        <f>IFERROR(__xludf.DUMMYFUNCTION("""COMPUTED_VALUE"""),45612.67533467592)</f>
        <v>45612.67533</v>
      </c>
      <c r="B1378" s="4"/>
      <c r="C1378" s="4"/>
      <c r="D1378" s="4"/>
      <c r="E1378" s="4"/>
      <c r="F1378" s="4"/>
      <c r="G1378" s="85">
        <f>IFERROR(__xludf.DUMMYFUNCTION("""COMPUTED_VALUE"""),45615.675)</f>
        <v>45615.675</v>
      </c>
      <c r="H1378" s="85" t="str">
        <f>IFERROR(__xludf.DUMMYFUNCTION("""COMPUTED_VALUE"""),"Estimate ")</f>
        <v>Estimate </v>
      </c>
      <c r="I1378" s="4" t="str">
        <f>IFERROR(__xludf.DUMMYFUNCTION("""COMPUTED_VALUE"""),"shivani")</f>
        <v>shivani</v>
      </c>
    </row>
    <row r="1379">
      <c r="A1379" s="85">
        <f>IFERROR(__xludf.DUMMYFUNCTION("""COMPUTED_VALUE"""),45612.73374935186)</f>
        <v>45612.73375</v>
      </c>
      <c r="B1379" s="4"/>
      <c r="C1379" s="4"/>
      <c r="D1379" s="4"/>
      <c r="E1379" s="4"/>
      <c r="F1379" s="4"/>
      <c r="G1379" s="85">
        <f>IFERROR(__xludf.DUMMYFUNCTION("""COMPUTED_VALUE"""),45615.73333333334)</f>
        <v>45615.73333</v>
      </c>
      <c r="H1379" s="85" t="str">
        <f>IFERROR(__xludf.DUMMYFUNCTION("""COMPUTED_VALUE"""),"Estimate ")</f>
        <v>Estimate </v>
      </c>
      <c r="I1379" s="4" t="str">
        <f>IFERROR(__xludf.DUMMYFUNCTION("""COMPUTED_VALUE"""),"shivani")</f>
        <v>shivani</v>
      </c>
    </row>
    <row r="1380">
      <c r="A1380" s="85">
        <f>IFERROR(__xludf.DUMMYFUNCTION("""COMPUTED_VALUE"""),45617.70137001157)</f>
        <v>45617.70137</v>
      </c>
      <c r="B1380" s="4"/>
      <c r="C1380" s="4"/>
      <c r="D1380" s="4"/>
      <c r="E1380" s="4"/>
      <c r="F1380" s="4"/>
      <c r="G1380" s="85">
        <f>IFERROR(__xludf.DUMMYFUNCTION("""COMPUTED_VALUE"""),45619.700694444444)</f>
        <v>45619.70069</v>
      </c>
      <c r="H1380" s="85" t="str">
        <f>IFERROR(__xludf.DUMMYFUNCTION("""COMPUTED_VALUE"""),"Estimate ")</f>
        <v>Estimate </v>
      </c>
      <c r="I1380" s="4" t="str">
        <f>IFERROR(__xludf.DUMMYFUNCTION("""COMPUTED_VALUE"""),"shivani")</f>
        <v>shivani</v>
      </c>
    </row>
    <row r="1381">
      <c r="A1381" s="85">
        <f>IFERROR(__xludf.DUMMYFUNCTION("""COMPUTED_VALUE"""),45617.70756703703)</f>
        <v>45617.70757</v>
      </c>
      <c r="B1381" s="4"/>
      <c r="C1381" s="4"/>
      <c r="D1381" s="4"/>
      <c r="E1381" s="4"/>
      <c r="F1381" s="4"/>
      <c r="G1381" s="85">
        <f>IFERROR(__xludf.DUMMYFUNCTION("""COMPUTED_VALUE"""),45619.70694444445)</f>
        <v>45619.70694</v>
      </c>
      <c r="H1381" s="85" t="str">
        <f>IFERROR(__xludf.DUMMYFUNCTION("""COMPUTED_VALUE"""),"Estimate ")</f>
        <v>Estimate </v>
      </c>
      <c r="I1381" s="4" t="str">
        <f>IFERROR(__xludf.DUMMYFUNCTION("""COMPUTED_VALUE"""),"shivani")</f>
        <v>shivani</v>
      </c>
    </row>
    <row r="1382">
      <c r="A1382" s="85">
        <f>IFERROR(__xludf.DUMMYFUNCTION("""COMPUTED_VALUE"""),45618.768173819444)</f>
        <v>45618.76817</v>
      </c>
      <c r="B1382" s="4"/>
      <c r="C1382" s="4"/>
      <c r="D1382" s="4"/>
      <c r="E1382" s="4"/>
      <c r="F1382" s="4"/>
      <c r="G1382" s="85">
        <f>IFERROR(__xludf.DUMMYFUNCTION("""COMPUTED_VALUE"""),45620.768055555556)</f>
        <v>45620.76806</v>
      </c>
      <c r="H1382" s="85" t="str">
        <f>IFERROR(__xludf.DUMMYFUNCTION("""COMPUTED_VALUE"""),"Estimate ")</f>
        <v>Estimate </v>
      </c>
      <c r="I1382" s="4" t="str">
        <f>IFERROR(__xludf.DUMMYFUNCTION("""COMPUTED_VALUE"""),"shivani")</f>
        <v>shivani</v>
      </c>
    </row>
    <row r="1383">
      <c r="A1383" s="85">
        <f>IFERROR(__xludf.DUMMYFUNCTION("""COMPUTED_VALUE"""),45619.67263444445)</f>
        <v>45619.67263</v>
      </c>
      <c r="B1383" s="4"/>
      <c r="C1383" s="4"/>
      <c r="D1383" s="4"/>
      <c r="E1383" s="4"/>
      <c r="F1383" s="4"/>
      <c r="G1383" s="85">
        <f>IFERROR(__xludf.DUMMYFUNCTION("""COMPUTED_VALUE"""),45622.67222222222)</f>
        <v>45622.67222</v>
      </c>
      <c r="H1383" s="85" t="str">
        <f>IFERROR(__xludf.DUMMYFUNCTION("""COMPUTED_VALUE"""),"Estimate ")</f>
        <v>Estimate </v>
      </c>
      <c r="I1383" s="4" t="str">
        <f>IFERROR(__xludf.DUMMYFUNCTION("""COMPUTED_VALUE"""),"shivani")</f>
        <v>shivani</v>
      </c>
    </row>
    <row r="1384">
      <c r="A1384" s="85">
        <f>IFERROR(__xludf.DUMMYFUNCTION("""COMPUTED_VALUE"""),45624.71567738426)</f>
        <v>45624.71568</v>
      </c>
      <c r="B1384" s="4"/>
      <c r="C1384" s="4"/>
      <c r="D1384" s="4"/>
      <c r="E1384" s="4"/>
      <c r="F1384" s="4"/>
      <c r="G1384" s="85">
        <f>IFERROR(__xludf.DUMMYFUNCTION("""COMPUTED_VALUE"""),45626.71527777778)</f>
        <v>45626.71528</v>
      </c>
      <c r="H1384" s="85" t="str">
        <f>IFERROR(__xludf.DUMMYFUNCTION("""COMPUTED_VALUE"""),"Estimate ")</f>
        <v>Estimate </v>
      </c>
      <c r="I1384" s="4" t="str">
        <f>IFERROR(__xludf.DUMMYFUNCTION("""COMPUTED_VALUE"""),"shivani")</f>
        <v>shivani</v>
      </c>
    </row>
    <row r="1385">
      <c r="A1385" s="85">
        <f>IFERROR(__xludf.DUMMYFUNCTION("""COMPUTED_VALUE"""),45625.66311248843)</f>
        <v>45625.66311</v>
      </c>
      <c r="B1385" s="4"/>
      <c r="C1385" s="4"/>
      <c r="D1385" s="4"/>
      <c r="E1385" s="4"/>
      <c r="F1385" s="4"/>
      <c r="G1385" s="85">
        <f>IFERROR(__xludf.DUMMYFUNCTION("""COMPUTED_VALUE"""),45627.6625)</f>
        <v>45627.6625</v>
      </c>
      <c r="H1385" s="85" t="str">
        <f>IFERROR(__xludf.DUMMYFUNCTION("""COMPUTED_VALUE"""),"Estimate ")</f>
        <v>Estimate </v>
      </c>
      <c r="I1385" s="4" t="str">
        <f>IFERROR(__xludf.DUMMYFUNCTION("""COMPUTED_VALUE"""),"shivani")</f>
        <v>shivani</v>
      </c>
    </row>
    <row r="1386">
      <c r="A1386" s="85">
        <f>IFERROR(__xludf.DUMMYFUNCTION("""COMPUTED_VALUE"""),45626.77135793982)</f>
        <v>45626.77136</v>
      </c>
      <c r="B1386" s="4"/>
      <c r="C1386" s="4"/>
      <c r="D1386" s="4"/>
      <c r="E1386" s="4"/>
      <c r="F1386" s="4"/>
      <c r="G1386" s="85">
        <f>IFERROR(__xludf.DUMMYFUNCTION("""COMPUTED_VALUE"""),45629.77083333333)</f>
        <v>45629.77083</v>
      </c>
      <c r="H1386" s="85" t="str">
        <f>IFERROR(__xludf.DUMMYFUNCTION("""COMPUTED_VALUE"""),"Estimate ")</f>
        <v>Estimate </v>
      </c>
      <c r="I1386" s="4" t="str">
        <f>IFERROR(__xludf.DUMMYFUNCTION("""COMPUTED_VALUE"""),"shivani")</f>
        <v>shivani</v>
      </c>
    </row>
    <row r="1387">
      <c r="A1387" s="85">
        <f>IFERROR(__xludf.DUMMYFUNCTION("""COMPUTED_VALUE"""),45630.67738761574)</f>
        <v>45630.67739</v>
      </c>
      <c r="B1387" s="4"/>
      <c r="C1387" s="4"/>
      <c r="D1387" s="4"/>
      <c r="E1387" s="4"/>
      <c r="F1387" s="4"/>
      <c r="G1387" s="85">
        <f>IFERROR(__xludf.DUMMYFUNCTION("""COMPUTED_VALUE"""),45632.67708333333)</f>
        <v>45632.67708</v>
      </c>
      <c r="H1387" s="85" t="str">
        <f>IFERROR(__xludf.DUMMYFUNCTION("""COMPUTED_VALUE"""),"Estimate ")</f>
        <v>Estimate </v>
      </c>
      <c r="I1387" s="4" t="str">
        <f>IFERROR(__xludf.DUMMYFUNCTION("""COMPUTED_VALUE"""),"shivani")</f>
        <v>shivani</v>
      </c>
    </row>
    <row r="1388">
      <c r="A1388" s="85">
        <f>IFERROR(__xludf.DUMMYFUNCTION("""COMPUTED_VALUE"""),45630.68613288195)</f>
        <v>45630.68613</v>
      </c>
      <c r="B1388" s="4"/>
      <c r="C1388" s="4"/>
      <c r="D1388" s="4"/>
      <c r="E1388" s="4"/>
      <c r="F1388" s="4"/>
      <c r="G1388" s="85">
        <f>IFERROR(__xludf.DUMMYFUNCTION("""COMPUTED_VALUE"""),45632.68611111111)</f>
        <v>45632.68611</v>
      </c>
      <c r="H1388" s="85" t="str">
        <f>IFERROR(__xludf.DUMMYFUNCTION("""COMPUTED_VALUE"""),"Estimate ")</f>
        <v>Estimate </v>
      </c>
      <c r="I1388" s="4" t="str">
        <f>IFERROR(__xludf.DUMMYFUNCTION("""COMPUTED_VALUE"""),"shivani")</f>
        <v>shivani</v>
      </c>
    </row>
    <row r="1389">
      <c r="A1389" s="85">
        <f>IFERROR(__xludf.DUMMYFUNCTION("""COMPUTED_VALUE"""),45630.690677997685)</f>
        <v>45630.69068</v>
      </c>
      <c r="B1389" s="4"/>
      <c r="C1389" s="4"/>
      <c r="D1389" s="4"/>
      <c r="E1389" s="4"/>
      <c r="F1389" s="4"/>
      <c r="G1389" s="85">
        <f>IFERROR(__xludf.DUMMYFUNCTION("""COMPUTED_VALUE"""),45632.69027777778)</f>
        <v>45632.69028</v>
      </c>
      <c r="H1389" s="85" t="str">
        <f>IFERROR(__xludf.DUMMYFUNCTION("""COMPUTED_VALUE"""),"Estimate ")</f>
        <v>Estimate </v>
      </c>
      <c r="I1389" s="4" t="str">
        <f>IFERROR(__xludf.DUMMYFUNCTION("""COMPUTED_VALUE"""),"shivani")</f>
        <v>shivani</v>
      </c>
    </row>
    <row r="1390">
      <c r="A1390" s="85">
        <f>IFERROR(__xludf.DUMMYFUNCTION("""COMPUTED_VALUE"""),45630.69297643518)</f>
        <v>45630.69298</v>
      </c>
      <c r="B1390" s="4"/>
      <c r="C1390" s="4"/>
      <c r="D1390" s="4"/>
      <c r="E1390" s="4"/>
      <c r="F1390" s="4"/>
      <c r="G1390" s="85">
        <f>IFERROR(__xludf.DUMMYFUNCTION("""COMPUTED_VALUE"""),45632.69236111111)</f>
        <v>45632.69236</v>
      </c>
      <c r="H1390" s="85" t="str">
        <f>IFERROR(__xludf.DUMMYFUNCTION("""COMPUTED_VALUE"""),"Estimate ")</f>
        <v>Estimate </v>
      </c>
      <c r="I1390" s="4" t="str">
        <f>IFERROR(__xludf.DUMMYFUNCTION("""COMPUTED_VALUE"""),"shivani")</f>
        <v>shivani</v>
      </c>
    </row>
    <row r="1391">
      <c r="A1391" s="85">
        <f>IFERROR(__xludf.DUMMYFUNCTION("""COMPUTED_VALUE"""),45630.69673940973)</f>
        <v>45630.69674</v>
      </c>
      <c r="B1391" s="4"/>
      <c r="C1391" s="4"/>
      <c r="D1391" s="4"/>
      <c r="E1391" s="4"/>
      <c r="F1391" s="4"/>
      <c r="G1391" s="85">
        <f>IFERROR(__xludf.DUMMYFUNCTION("""COMPUTED_VALUE"""),45632.69652777778)</f>
        <v>45632.69653</v>
      </c>
      <c r="H1391" s="85" t="str">
        <f>IFERROR(__xludf.DUMMYFUNCTION("""COMPUTED_VALUE"""),"Estimate ")</f>
        <v>Estimate </v>
      </c>
      <c r="I1391" s="4" t="str">
        <f>IFERROR(__xludf.DUMMYFUNCTION("""COMPUTED_VALUE"""),"shivani")</f>
        <v>shivani</v>
      </c>
    </row>
    <row r="1392">
      <c r="A1392" s="85">
        <f>IFERROR(__xludf.DUMMYFUNCTION("""COMPUTED_VALUE"""),45634.801441793985)</f>
        <v>45634.80144</v>
      </c>
      <c r="B1392" s="4"/>
      <c r="C1392" s="4"/>
      <c r="D1392" s="4"/>
      <c r="E1392" s="4"/>
      <c r="F1392" s="4"/>
      <c r="G1392" s="85">
        <f>IFERROR(__xludf.DUMMYFUNCTION("""COMPUTED_VALUE"""),45637.80138888889)</f>
        <v>45637.80139</v>
      </c>
      <c r="H1392" s="85" t="str">
        <f>IFERROR(__xludf.DUMMYFUNCTION("""COMPUTED_VALUE"""),"Estimate ")</f>
        <v>Estimate </v>
      </c>
      <c r="I1392" s="4" t="str">
        <f>IFERROR(__xludf.DUMMYFUNCTION("""COMPUTED_VALUE"""),"shivani")</f>
        <v>shivani</v>
      </c>
    </row>
    <row r="1393">
      <c r="A1393" s="85">
        <f>IFERROR(__xludf.DUMMYFUNCTION("""COMPUTED_VALUE"""),45636.66005820601)</f>
        <v>45636.66006</v>
      </c>
      <c r="B1393" s="4"/>
      <c r="C1393" s="4"/>
      <c r="D1393" s="4"/>
      <c r="E1393" s="4"/>
      <c r="F1393" s="4"/>
      <c r="G1393" s="85">
        <f>IFERROR(__xludf.DUMMYFUNCTION("""COMPUTED_VALUE"""),45638.65972222222)</f>
        <v>45638.65972</v>
      </c>
      <c r="H1393" s="85" t="str">
        <f>IFERROR(__xludf.DUMMYFUNCTION("""COMPUTED_VALUE"""),"Estimate ")</f>
        <v>Estimate </v>
      </c>
      <c r="I1393" s="4" t="str">
        <f>IFERROR(__xludf.DUMMYFUNCTION("""COMPUTED_VALUE"""),"shivani")</f>
        <v>shivani</v>
      </c>
    </row>
    <row r="1394">
      <c r="A1394" s="85">
        <f>IFERROR(__xludf.DUMMYFUNCTION("""COMPUTED_VALUE"""),45636.66197480324)</f>
        <v>45636.66197</v>
      </c>
      <c r="B1394" s="4"/>
      <c r="C1394" s="4"/>
      <c r="D1394" s="4"/>
      <c r="E1394" s="4"/>
      <c r="F1394" s="4"/>
      <c r="G1394" s="85">
        <f>IFERROR(__xludf.DUMMYFUNCTION("""COMPUTED_VALUE"""),45638.66180555556)</f>
        <v>45638.66181</v>
      </c>
      <c r="H1394" s="85" t="str">
        <f>IFERROR(__xludf.DUMMYFUNCTION("""COMPUTED_VALUE"""),"Estimate ")</f>
        <v>Estimate </v>
      </c>
      <c r="I1394" s="4" t="str">
        <f>IFERROR(__xludf.DUMMYFUNCTION("""COMPUTED_VALUE"""),"shivani")</f>
        <v>shivani</v>
      </c>
    </row>
    <row r="1395">
      <c r="A1395" s="85">
        <f>IFERROR(__xludf.DUMMYFUNCTION("""COMPUTED_VALUE"""),45636.663293425925)</f>
        <v>45636.66329</v>
      </c>
      <c r="B1395" s="4"/>
      <c r="C1395" s="4"/>
      <c r="D1395" s="4"/>
      <c r="E1395" s="4"/>
      <c r="F1395" s="4"/>
      <c r="G1395" s="85">
        <f>IFERROR(__xludf.DUMMYFUNCTION("""COMPUTED_VALUE"""),45638.663194444445)</f>
        <v>45638.66319</v>
      </c>
      <c r="H1395" s="85" t="str">
        <f>IFERROR(__xludf.DUMMYFUNCTION("""COMPUTED_VALUE"""),"Estimate ")</f>
        <v>Estimate </v>
      </c>
      <c r="I1395" s="4" t="str">
        <f>IFERROR(__xludf.DUMMYFUNCTION("""COMPUTED_VALUE"""),"shivani")</f>
        <v>shivani</v>
      </c>
    </row>
    <row r="1396">
      <c r="A1396" s="85">
        <f>IFERROR(__xludf.DUMMYFUNCTION("""COMPUTED_VALUE"""),45655.709603599535)</f>
        <v>45655.7096</v>
      </c>
      <c r="B1396" s="4"/>
      <c r="C1396" s="4"/>
      <c r="D1396" s="4"/>
      <c r="E1396" s="4"/>
      <c r="F1396" s="4"/>
      <c r="G1396" s="85">
        <f>IFERROR(__xludf.DUMMYFUNCTION("""COMPUTED_VALUE"""),45658.709027777775)</f>
        <v>45658.70903</v>
      </c>
      <c r="H1396" s="85" t="str">
        <f>IFERROR(__xludf.DUMMYFUNCTION("""COMPUTED_VALUE"""),"Estimate ")</f>
        <v>Estimate </v>
      </c>
      <c r="I1396" s="4" t="str">
        <f>IFERROR(__xludf.DUMMYFUNCTION("""COMPUTED_VALUE"""),"shivani")</f>
        <v>shivani</v>
      </c>
    </row>
    <row r="1397">
      <c r="A1397" s="85">
        <f>IFERROR(__xludf.DUMMYFUNCTION("""COMPUTED_VALUE"""),45655.710649479166)</f>
        <v>45655.71065</v>
      </c>
      <c r="B1397" s="4"/>
      <c r="C1397" s="4"/>
      <c r="D1397" s="4"/>
      <c r="E1397" s="4"/>
      <c r="F1397" s="4"/>
      <c r="G1397" s="85">
        <f>IFERROR(__xludf.DUMMYFUNCTION("""COMPUTED_VALUE"""),45658.71041666667)</f>
        <v>45658.71042</v>
      </c>
      <c r="H1397" s="85" t="str">
        <f>IFERROR(__xludf.DUMMYFUNCTION("""COMPUTED_VALUE"""),"Estimate ")</f>
        <v>Estimate </v>
      </c>
      <c r="I1397" s="4" t="str">
        <f>IFERROR(__xludf.DUMMYFUNCTION("""COMPUTED_VALUE"""),"shivani")</f>
        <v>shivani</v>
      </c>
    </row>
    <row r="1398">
      <c r="A1398" s="85">
        <f>IFERROR(__xludf.DUMMYFUNCTION("""COMPUTED_VALUE"""),45704.599190567125)</f>
        <v>45704.59919</v>
      </c>
      <c r="B1398" s="4"/>
      <c r="C1398" s="4"/>
      <c r="D1398" s="4"/>
      <c r="E1398" s="4"/>
      <c r="F1398" s="4"/>
      <c r="G1398" s="85">
        <f>IFERROR(__xludf.DUMMYFUNCTION("""COMPUTED_VALUE"""),45707.59861111111)</f>
        <v>45707.59861</v>
      </c>
      <c r="H1398" s="85" t="str">
        <f>IFERROR(__xludf.DUMMYFUNCTION("""COMPUTED_VALUE"""),"Estimate ")</f>
        <v>Estimate </v>
      </c>
      <c r="I1398" s="4" t="str">
        <f>IFERROR(__xludf.DUMMYFUNCTION("""COMPUTED_VALUE"""),"shivani")</f>
        <v>shivani</v>
      </c>
    </row>
    <row r="1399">
      <c r="A1399" s="85">
        <f>IFERROR(__xludf.DUMMYFUNCTION("""COMPUTED_VALUE"""),45711.77508305555)</f>
        <v>45711.77508</v>
      </c>
      <c r="B1399" s="4"/>
      <c r="C1399" s="4"/>
      <c r="D1399" s="4"/>
      <c r="E1399" s="4"/>
      <c r="F1399" s="4"/>
      <c r="G1399" s="85">
        <f>IFERROR(__xludf.DUMMYFUNCTION("""COMPUTED_VALUE"""),45714.775)</f>
        <v>45714.775</v>
      </c>
      <c r="H1399" s="85" t="str">
        <f>IFERROR(__xludf.DUMMYFUNCTION("""COMPUTED_VALUE"""),"Estimate ")</f>
        <v>Estimate </v>
      </c>
      <c r="I1399" s="4" t="str">
        <f>IFERROR(__xludf.DUMMYFUNCTION("""COMPUTED_VALUE"""),"shivani")</f>
        <v>shivani</v>
      </c>
    </row>
    <row r="1400">
      <c r="A1400" s="85">
        <f>IFERROR(__xludf.DUMMYFUNCTION("""COMPUTED_VALUE"""),45711.77634748843)</f>
        <v>45711.77635</v>
      </c>
      <c r="B1400" s="4"/>
      <c r="C1400" s="4"/>
      <c r="D1400" s="4"/>
      <c r="E1400" s="4"/>
      <c r="F1400" s="4"/>
      <c r="G1400" s="85">
        <f>IFERROR(__xludf.DUMMYFUNCTION("""COMPUTED_VALUE"""),45714.77569444444)</f>
        <v>45714.77569</v>
      </c>
      <c r="H1400" s="85" t="str">
        <f>IFERROR(__xludf.DUMMYFUNCTION("""COMPUTED_VALUE"""),"Estimate ")</f>
        <v>Estimate </v>
      </c>
      <c r="I1400" s="4" t="str">
        <f>IFERROR(__xludf.DUMMYFUNCTION("""COMPUTED_VALUE"""),"shivani")</f>
        <v>shivani</v>
      </c>
    </row>
    <row r="1401">
      <c r="A1401" s="85">
        <f>IFERROR(__xludf.DUMMYFUNCTION("""COMPUTED_VALUE"""),45711.77793788195)</f>
        <v>45711.77794</v>
      </c>
      <c r="B1401" s="4"/>
      <c r="C1401" s="4"/>
      <c r="D1401" s="4"/>
      <c r="E1401" s="4"/>
      <c r="F1401" s="4"/>
      <c r="G1401" s="85">
        <f>IFERROR(__xludf.DUMMYFUNCTION("""COMPUTED_VALUE"""),45714.77777777778)</f>
        <v>45714.77778</v>
      </c>
      <c r="H1401" s="85" t="str">
        <f>IFERROR(__xludf.DUMMYFUNCTION("""COMPUTED_VALUE"""),"Estimate ")</f>
        <v>Estimate </v>
      </c>
      <c r="I1401" s="4" t="str">
        <f>IFERROR(__xludf.DUMMYFUNCTION("""COMPUTED_VALUE"""),"shivani")</f>
        <v>shivani</v>
      </c>
    </row>
    <row r="1402">
      <c r="A1402" s="85">
        <f>IFERROR(__xludf.DUMMYFUNCTION("""COMPUTED_VALUE"""),45711.7798912963)</f>
        <v>45711.77989</v>
      </c>
      <c r="B1402" s="4"/>
      <c r="C1402" s="4"/>
      <c r="D1402" s="4"/>
      <c r="E1402" s="4"/>
      <c r="F1402" s="4"/>
      <c r="G1402" s="85">
        <f>IFERROR(__xludf.DUMMYFUNCTION("""COMPUTED_VALUE"""),45714.77986111111)</f>
        <v>45714.77986</v>
      </c>
      <c r="H1402" s="85" t="str">
        <f>IFERROR(__xludf.DUMMYFUNCTION("""COMPUTED_VALUE"""),"Estimate ")</f>
        <v>Estimate </v>
      </c>
      <c r="I1402" s="4" t="str">
        <f>IFERROR(__xludf.DUMMYFUNCTION("""COMPUTED_VALUE"""),"shivani")</f>
        <v>shivani</v>
      </c>
    </row>
    <row r="1403">
      <c r="A1403" s="85">
        <f>IFERROR(__xludf.DUMMYFUNCTION("""COMPUTED_VALUE"""),45711.78377572916)</f>
        <v>45711.78378</v>
      </c>
      <c r="B1403" s="4"/>
      <c r="C1403" s="4"/>
      <c r="D1403" s="4"/>
      <c r="E1403" s="4"/>
      <c r="F1403" s="4"/>
      <c r="G1403" s="85">
        <f>IFERROR(__xludf.DUMMYFUNCTION("""COMPUTED_VALUE"""),45714.78333333333)</f>
        <v>45714.78333</v>
      </c>
      <c r="H1403" s="85" t="str">
        <f>IFERROR(__xludf.DUMMYFUNCTION("""COMPUTED_VALUE"""),"Estimate ")</f>
        <v>Estimate </v>
      </c>
      <c r="I1403" s="4" t="str">
        <f>IFERROR(__xludf.DUMMYFUNCTION("""COMPUTED_VALUE"""),"shivani")</f>
        <v>shivani</v>
      </c>
    </row>
    <row r="1404">
      <c r="A1404" s="85">
        <f>IFERROR(__xludf.DUMMYFUNCTION("""COMPUTED_VALUE"""),45715.67185819444)</f>
        <v>45715.67186</v>
      </c>
      <c r="B1404" s="4"/>
      <c r="C1404" s="4"/>
      <c r="D1404" s="4"/>
      <c r="E1404" s="4"/>
      <c r="F1404" s="4"/>
      <c r="G1404" s="85">
        <f>IFERROR(__xludf.DUMMYFUNCTION("""COMPUTED_VALUE"""),45717.67152777778)</f>
        <v>45717.67153</v>
      </c>
      <c r="H1404" s="85" t="str">
        <f>IFERROR(__xludf.DUMMYFUNCTION("""COMPUTED_VALUE"""),"Estimate ")</f>
        <v>Estimate </v>
      </c>
      <c r="I1404" s="4" t="str">
        <f>IFERROR(__xludf.DUMMYFUNCTION("""COMPUTED_VALUE"""),"shivani")</f>
        <v>shivani</v>
      </c>
    </row>
    <row r="1405">
      <c r="A1405" s="85">
        <f>IFERROR(__xludf.DUMMYFUNCTION("""COMPUTED_VALUE"""),45715.67656490741)</f>
        <v>45715.67656</v>
      </c>
      <c r="B1405" s="4"/>
      <c r="C1405" s="4"/>
      <c r="D1405" s="4"/>
      <c r="E1405" s="4"/>
      <c r="F1405" s="4"/>
      <c r="G1405" s="85">
        <f>IFERROR(__xludf.DUMMYFUNCTION("""COMPUTED_VALUE"""),45717.67638888889)</f>
        <v>45717.67639</v>
      </c>
      <c r="H1405" s="85" t="str">
        <f>IFERROR(__xludf.DUMMYFUNCTION("""COMPUTED_VALUE"""),"Estimate ")</f>
        <v>Estimate </v>
      </c>
      <c r="I1405" s="4" t="str">
        <f>IFERROR(__xludf.DUMMYFUNCTION("""COMPUTED_VALUE"""),"shivani")</f>
        <v>shivani</v>
      </c>
    </row>
    <row r="1406">
      <c r="A1406" s="85">
        <f>IFERROR(__xludf.DUMMYFUNCTION("""COMPUTED_VALUE"""),45721.70481887732)</f>
        <v>45721.70482</v>
      </c>
      <c r="B1406" s="4"/>
      <c r="C1406" s="4"/>
      <c r="D1406" s="4"/>
      <c r="E1406" s="4"/>
      <c r="F1406" s="4"/>
      <c r="G1406" s="85">
        <f>IFERROR(__xludf.DUMMYFUNCTION("""COMPUTED_VALUE"""),45723.70416666666)</f>
        <v>45723.70417</v>
      </c>
      <c r="H1406" s="85" t="str">
        <f>IFERROR(__xludf.DUMMYFUNCTION("""COMPUTED_VALUE"""),"Estimate ")</f>
        <v>Estimate </v>
      </c>
      <c r="I1406" s="4" t="str">
        <f>IFERROR(__xludf.DUMMYFUNCTION("""COMPUTED_VALUE"""),"shivani")</f>
        <v>shivani</v>
      </c>
    </row>
    <row r="1407">
      <c r="A1407" s="85">
        <f>IFERROR(__xludf.DUMMYFUNCTION("""COMPUTED_VALUE"""),45723.69785721065)</f>
        <v>45723.69786</v>
      </c>
      <c r="B1407" s="4"/>
      <c r="C1407" s="4"/>
      <c r="D1407" s="4"/>
      <c r="E1407" s="4"/>
      <c r="F1407" s="4"/>
      <c r="G1407" s="85">
        <f>IFERROR(__xludf.DUMMYFUNCTION("""COMPUTED_VALUE"""),45725.697222222225)</f>
        <v>45725.69722</v>
      </c>
      <c r="H1407" s="85" t="str">
        <f>IFERROR(__xludf.DUMMYFUNCTION("""COMPUTED_VALUE"""),"Estimate ")</f>
        <v>Estimate </v>
      </c>
      <c r="I1407" s="4" t="str">
        <f>IFERROR(__xludf.DUMMYFUNCTION("""COMPUTED_VALUE"""),"shivani")</f>
        <v>shivani</v>
      </c>
    </row>
    <row r="1408">
      <c r="A1408" s="85">
        <f>IFERROR(__xludf.DUMMYFUNCTION("""COMPUTED_VALUE"""),45723.70490146991)</f>
        <v>45723.7049</v>
      </c>
      <c r="B1408" s="4"/>
      <c r="C1408" s="4"/>
      <c r="D1408" s="4"/>
      <c r="E1408" s="4"/>
      <c r="F1408" s="4"/>
      <c r="G1408" s="85">
        <f>IFERROR(__xludf.DUMMYFUNCTION("""COMPUTED_VALUE"""),45725.70486111111)</f>
        <v>45725.70486</v>
      </c>
      <c r="H1408" s="85" t="str">
        <f>IFERROR(__xludf.DUMMYFUNCTION("""COMPUTED_VALUE"""),"Estimate ")</f>
        <v>Estimate </v>
      </c>
      <c r="I1408" s="4" t="str">
        <f>IFERROR(__xludf.DUMMYFUNCTION("""COMPUTED_VALUE"""),"shivani")</f>
        <v>shivani</v>
      </c>
    </row>
    <row r="1409">
      <c r="A1409" s="85">
        <f>IFERROR(__xludf.DUMMYFUNCTION("""COMPUTED_VALUE"""),45727.7316980787)</f>
        <v>45727.7317</v>
      </c>
      <c r="B1409" s="4"/>
      <c r="C1409" s="4"/>
      <c r="D1409" s="4"/>
      <c r="E1409" s="4"/>
      <c r="F1409" s="4"/>
      <c r="G1409" s="85">
        <f>IFERROR(__xludf.DUMMYFUNCTION("""COMPUTED_VALUE"""),45729.73125)</f>
        <v>45729.73125</v>
      </c>
      <c r="H1409" s="85" t="str">
        <f>IFERROR(__xludf.DUMMYFUNCTION("""COMPUTED_VALUE"""),"Estimate ")</f>
        <v>Estimate </v>
      </c>
      <c r="I1409" s="4" t="str">
        <f>IFERROR(__xludf.DUMMYFUNCTION("""COMPUTED_VALUE"""),"shivani")</f>
        <v>shivani</v>
      </c>
    </row>
    <row r="1410">
      <c r="A1410" s="85">
        <f>IFERROR(__xludf.DUMMYFUNCTION("""COMPUTED_VALUE"""),45727.74250353009)</f>
        <v>45727.7425</v>
      </c>
      <c r="B1410" s="4"/>
      <c r="C1410" s="4"/>
      <c r="D1410" s="4"/>
      <c r="E1410" s="4"/>
      <c r="F1410" s="4"/>
      <c r="G1410" s="85">
        <f>IFERROR(__xludf.DUMMYFUNCTION("""COMPUTED_VALUE"""),45729.742361111115)</f>
        <v>45729.74236</v>
      </c>
      <c r="H1410" s="85" t="str">
        <f>IFERROR(__xludf.DUMMYFUNCTION("""COMPUTED_VALUE"""),"Estimate ")</f>
        <v>Estimate </v>
      </c>
      <c r="I1410" s="4" t="str">
        <f>IFERROR(__xludf.DUMMYFUNCTION("""COMPUTED_VALUE"""),"shivani")</f>
        <v>shivani</v>
      </c>
    </row>
    <row r="1411">
      <c r="A1411" s="85">
        <f>IFERROR(__xludf.DUMMYFUNCTION("""COMPUTED_VALUE"""),45729.535630694445)</f>
        <v>45729.53563</v>
      </c>
      <c r="B1411" s="4"/>
      <c r="C1411" s="4"/>
      <c r="D1411" s="4"/>
      <c r="E1411" s="4"/>
      <c r="F1411" s="4"/>
      <c r="G1411" s="85">
        <f>IFERROR(__xludf.DUMMYFUNCTION("""COMPUTED_VALUE"""),45731.535416666666)</f>
        <v>45731.53542</v>
      </c>
      <c r="H1411" s="85" t="str">
        <f>IFERROR(__xludf.DUMMYFUNCTION("""COMPUTED_VALUE"""),"Estimate ")</f>
        <v>Estimate </v>
      </c>
      <c r="I1411" s="4" t="str">
        <f>IFERROR(__xludf.DUMMYFUNCTION("""COMPUTED_VALUE"""),"shivani")</f>
        <v>shivani</v>
      </c>
    </row>
    <row r="1412">
      <c r="A1412" s="85">
        <f>IFERROR(__xludf.DUMMYFUNCTION("""COMPUTED_VALUE"""),45737.507457291664)</f>
        <v>45737.50746</v>
      </c>
      <c r="B1412" s="4"/>
      <c r="C1412" s="4"/>
      <c r="D1412" s="4"/>
      <c r="E1412" s="4"/>
      <c r="F1412" s="4"/>
      <c r="G1412" s="85">
        <f>IFERROR(__xludf.DUMMYFUNCTION("""COMPUTED_VALUE"""),45739.506944444445)</f>
        <v>45739.50694</v>
      </c>
      <c r="H1412" s="85" t="str">
        <f>IFERROR(__xludf.DUMMYFUNCTION("""COMPUTED_VALUE"""),"Estimate ")</f>
        <v>Estimate </v>
      </c>
      <c r="I1412" s="4" t="str">
        <f>IFERROR(__xludf.DUMMYFUNCTION("""COMPUTED_VALUE"""),"shivani")</f>
        <v>shivani</v>
      </c>
    </row>
    <row r="1413">
      <c r="A1413" s="85">
        <f>IFERROR(__xludf.DUMMYFUNCTION("""COMPUTED_VALUE"""),45737.63729546296)</f>
        <v>45737.6373</v>
      </c>
      <c r="B1413" s="4"/>
      <c r="C1413" s="4"/>
      <c r="D1413" s="4"/>
      <c r="E1413" s="4"/>
      <c r="F1413" s="4"/>
      <c r="G1413" s="85">
        <f>IFERROR(__xludf.DUMMYFUNCTION("""COMPUTED_VALUE"""),45739.63680555555)</f>
        <v>45739.63681</v>
      </c>
      <c r="H1413" s="85" t="str">
        <f>IFERROR(__xludf.DUMMYFUNCTION("""COMPUTED_VALUE"""),"Estimate ")</f>
        <v>Estimate </v>
      </c>
      <c r="I1413" s="4" t="str">
        <f>IFERROR(__xludf.DUMMYFUNCTION("""COMPUTED_VALUE"""),"shivani")</f>
        <v>shivani</v>
      </c>
    </row>
    <row r="1414">
      <c r="A1414" s="85">
        <f>IFERROR(__xludf.DUMMYFUNCTION("""COMPUTED_VALUE"""),45742.60968710648)</f>
        <v>45742.60969</v>
      </c>
      <c r="B1414" s="4"/>
      <c r="C1414" s="4"/>
      <c r="D1414" s="4"/>
      <c r="E1414" s="4"/>
      <c r="F1414" s="4"/>
      <c r="G1414" s="85">
        <f>IFERROR(__xludf.DUMMYFUNCTION("""COMPUTED_VALUE"""),45744.60902777778)</f>
        <v>45744.60903</v>
      </c>
      <c r="H1414" s="85" t="str">
        <f>IFERROR(__xludf.DUMMYFUNCTION("""COMPUTED_VALUE"""),"Estimate ")</f>
        <v>Estimate </v>
      </c>
      <c r="I1414" s="4" t="str">
        <f>IFERROR(__xludf.DUMMYFUNCTION("""COMPUTED_VALUE"""),"shivani")</f>
        <v>shivani</v>
      </c>
    </row>
    <row r="1415">
      <c r="A1415" s="85">
        <f>IFERROR(__xludf.DUMMYFUNCTION("""COMPUTED_VALUE"""),45742.62317315972)</f>
        <v>45742.62317</v>
      </c>
      <c r="B1415" s="4"/>
      <c r="C1415" s="4"/>
      <c r="D1415" s="4"/>
      <c r="E1415" s="4"/>
      <c r="F1415" s="4"/>
      <c r="G1415" s="85">
        <f>IFERROR(__xludf.DUMMYFUNCTION("""COMPUTED_VALUE"""),45744.62291666667)</f>
        <v>45744.62292</v>
      </c>
      <c r="H1415" s="85" t="str">
        <f>IFERROR(__xludf.DUMMYFUNCTION("""COMPUTED_VALUE"""),"Estimate ")</f>
        <v>Estimate </v>
      </c>
      <c r="I1415" s="4" t="str">
        <f>IFERROR(__xludf.DUMMYFUNCTION("""COMPUTED_VALUE"""),"shivani")</f>
        <v>shivani</v>
      </c>
    </row>
    <row r="1416">
      <c r="A1416" s="85">
        <f>IFERROR(__xludf.DUMMYFUNCTION("""COMPUTED_VALUE"""),45742.62734488426)</f>
        <v>45742.62734</v>
      </c>
      <c r="B1416" s="4"/>
      <c r="C1416" s="4"/>
      <c r="D1416" s="4"/>
      <c r="E1416" s="4"/>
      <c r="F1416" s="4"/>
      <c r="G1416" s="85">
        <f>IFERROR(__xludf.DUMMYFUNCTION("""COMPUTED_VALUE"""),45744.62708333333)</f>
        <v>45744.62708</v>
      </c>
      <c r="H1416" s="85" t="str">
        <f>IFERROR(__xludf.DUMMYFUNCTION("""COMPUTED_VALUE"""),"Estimate ")</f>
        <v>Estimate </v>
      </c>
      <c r="I1416" s="4" t="str">
        <f>IFERROR(__xludf.DUMMYFUNCTION("""COMPUTED_VALUE"""),"shivani")</f>
        <v>shivani</v>
      </c>
    </row>
    <row r="1417">
      <c r="A1417" s="85">
        <f>IFERROR(__xludf.DUMMYFUNCTION("""COMPUTED_VALUE"""),45745.80031135416)</f>
        <v>45745.80031</v>
      </c>
      <c r="B1417" s="4"/>
      <c r="C1417" s="4"/>
      <c r="D1417" s="4"/>
      <c r="E1417" s="4"/>
      <c r="F1417" s="4"/>
      <c r="G1417" s="85">
        <f>IFERROR(__xludf.DUMMYFUNCTION("""COMPUTED_VALUE"""),45748.8)</f>
        <v>45748.8</v>
      </c>
      <c r="H1417" s="85" t="str">
        <f>IFERROR(__xludf.DUMMYFUNCTION("""COMPUTED_VALUE"""),"Estimate ")</f>
        <v>Estimate </v>
      </c>
      <c r="I1417" s="4" t="str">
        <f>IFERROR(__xludf.DUMMYFUNCTION("""COMPUTED_VALUE"""),"shivani")</f>
        <v>shivani</v>
      </c>
    </row>
    <row r="1418">
      <c r="A1418" s="85">
        <f>IFERROR(__xludf.DUMMYFUNCTION("""COMPUTED_VALUE"""),45746.78644425926)</f>
        <v>45746.78644</v>
      </c>
      <c r="B1418" s="4"/>
      <c r="C1418" s="4"/>
      <c r="D1418" s="4"/>
      <c r="E1418" s="4"/>
      <c r="F1418" s="4"/>
      <c r="G1418" s="85">
        <f>IFERROR(__xludf.DUMMYFUNCTION("""COMPUTED_VALUE"""),45749.78611111111)</f>
        <v>45749.78611</v>
      </c>
      <c r="H1418" s="85" t="str">
        <f>IFERROR(__xludf.DUMMYFUNCTION("""COMPUTED_VALUE"""),"Estimate ")</f>
        <v>Estimate </v>
      </c>
      <c r="I1418" s="4" t="str">
        <f>IFERROR(__xludf.DUMMYFUNCTION("""COMPUTED_VALUE"""),"shivani")</f>
        <v>shivani</v>
      </c>
    </row>
    <row r="1419">
      <c r="A1419" s="85">
        <f>IFERROR(__xludf.DUMMYFUNCTION("""COMPUTED_VALUE"""),45756.56836965278)</f>
        <v>45756.56837</v>
      </c>
      <c r="B1419" s="4"/>
      <c r="C1419" s="4"/>
      <c r="D1419" s="4"/>
      <c r="E1419" s="4"/>
      <c r="F1419" s="4"/>
      <c r="G1419" s="85">
        <f>IFERROR(__xludf.DUMMYFUNCTION("""COMPUTED_VALUE"""),45758.56805555556)</f>
        <v>45758.56806</v>
      </c>
      <c r="H1419" s="85" t="str">
        <f>IFERROR(__xludf.DUMMYFUNCTION("""COMPUTED_VALUE"""),"Estimate ")</f>
        <v>Estimate </v>
      </c>
      <c r="I1419" s="4" t="str">
        <f>IFERROR(__xludf.DUMMYFUNCTION("""COMPUTED_VALUE"""),"shivani")</f>
        <v>shivani</v>
      </c>
    </row>
    <row r="1420">
      <c r="A1420" s="85">
        <f>IFERROR(__xludf.DUMMYFUNCTION("""COMPUTED_VALUE"""),45756.67019167824)</f>
        <v>45756.67019</v>
      </c>
      <c r="B1420" s="4"/>
      <c r="C1420" s="4"/>
      <c r="D1420" s="4"/>
      <c r="E1420" s="4"/>
      <c r="F1420" s="4"/>
      <c r="G1420" s="85">
        <f>IFERROR(__xludf.DUMMYFUNCTION("""COMPUTED_VALUE"""),45758.67013888889)</f>
        <v>45758.67014</v>
      </c>
      <c r="H1420" s="85" t="str">
        <f>IFERROR(__xludf.DUMMYFUNCTION("""COMPUTED_VALUE"""),"Estimate ")</f>
        <v>Estimate </v>
      </c>
      <c r="I1420" s="4" t="str">
        <f>IFERROR(__xludf.DUMMYFUNCTION("""COMPUTED_VALUE"""),"shivani")</f>
        <v>shivani</v>
      </c>
    </row>
    <row r="1421">
      <c r="A1421" s="85">
        <f>IFERROR(__xludf.DUMMYFUNCTION("""COMPUTED_VALUE"""),45756.67329765046)</f>
        <v>45756.6733</v>
      </c>
      <c r="B1421" s="4"/>
      <c r="C1421" s="4"/>
      <c r="D1421" s="4"/>
      <c r="E1421" s="4"/>
      <c r="F1421" s="4"/>
      <c r="G1421" s="85">
        <f>IFERROR(__xludf.DUMMYFUNCTION("""COMPUTED_VALUE"""),45758.67291666666)</f>
        <v>45758.67292</v>
      </c>
      <c r="H1421" s="85" t="str">
        <f>IFERROR(__xludf.DUMMYFUNCTION("""COMPUTED_VALUE"""),"Estimate ")</f>
        <v>Estimate </v>
      </c>
      <c r="I1421" s="4" t="str">
        <f>IFERROR(__xludf.DUMMYFUNCTION("""COMPUTED_VALUE"""),"shivani")</f>
        <v>shivani</v>
      </c>
    </row>
    <row r="1422">
      <c r="A1422" s="85">
        <f>IFERROR(__xludf.DUMMYFUNCTION("""COMPUTED_VALUE"""),45756.67577902778)</f>
        <v>45756.67578</v>
      </c>
      <c r="B1422" s="4"/>
      <c r="C1422" s="4"/>
      <c r="D1422" s="4"/>
      <c r="E1422" s="4"/>
      <c r="F1422" s="4"/>
      <c r="G1422" s="85">
        <f>IFERROR(__xludf.DUMMYFUNCTION("""COMPUTED_VALUE"""),45758.67569444445)</f>
        <v>45758.67569</v>
      </c>
      <c r="H1422" s="85" t="str">
        <f>IFERROR(__xludf.DUMMYFUNCTION("""COMPUTED_VALUE"""),"Estimate ")</f>
        <v>Estimate </v>
      </c>
      <c r="I1422" s="4" t="str">
        <f>IFERROR(__xludf.DUMMYFUNCTION("""COMPUTED_VALUE"""),"shivani")</f>
        <v>shivani</v>
      </c>
    </row>
    <row r="1423">
      <c r="A1423" s="85">
        <f>IFERROR(__xludf.DUMMYFUNCTION("""COMPUTED_VALUE"""),45756.67919015046)</f>
        <v>45756.67919</v>
      </c>
      <c r="B1423" s="4"/>
      <c r="C1423" s="4"/>
      <c r="D1423" s="4"/>
      <c r="E1423" s="4"/>
      <c r="F1423" s="4"/>
      <c r="G1423" s="85">
        <f>IFERROR(__xludf.DUMMYFUNCTION("""COMPUTED_VALUE"""),45758.67916666667)</f>
        <v>45758.67917</v>
      </c>
      <c r="H1423" s="85" t="str">
        <f>IFERROR(__xludf.DUMMYFUNCTION("""COMPUTED_VALUE"""),"Estimate ")</f>
        <v>Estimate </v>
      </c>
      <c r="I1423" s="4" t="str">
        <f>IFERROR(__xludf.DUMMYFUNCTION("""COMPUTED_VALUE"""),"shivani")</f>
        <v>shivani</v>
      </c>
    </row>
    <row r="1424">
      <c r="A1424" s="85">
        <f>IFERROR(__xludf.DUMMYFUNCTION("""COMPUTED_VALUE"""),45756.68123456019)</f>
        <v>45756.68123</v>
      </c>
      <c r="B1424" s="4"/>
      <c r="C1424" s="4"/>
      <c r="D1424" s="4"/>
      <c r="E1424" s="4"/>
      <c r="F1424" s="4"/>
      <c r="G1424" s="85">
        <f>IFERROR(__xludf.DUMMYFUNCTION("""COMPUTED_VALUE"""),45758.680555555555)</f>
        <v>45758.68056</v>
      </c>
      <c r="H1424" s="85" t="str">
        <f>IFERROR(__xludf.DUMMYFUNCTION("""COMPUTED_VALUE"""),"Estimate ")</f>
        <v>Estimate </v>
      </c>
      <c r="I1424" s="4" t="str">
        <f>IFERROR(__xludf.DUMMYFUNCTION("""COMPUTED_VALUE"""),"shivani")</f>
        <v>shivani</v>
      </c>
    </row>
    <row r="1425">
      <c r="A1425" s="85">
        <f>IFERROR(__xludf.DUMMYFUNCTION("""COMPUTED_VALUE"""),45758.77180792824)</f>
        <v>45758.77181</v>
      </c>
      <c r="B1425" s="4"/>
      <c r="C1425" s="4"/>
      <c r="D1425" s="4"/>
      <c r="E1425" s="4"/>
      <c r="F1425" s="4"/>
      <c r="G1425" s="85">
        <f>IFERROR(__xludf.DUMMYFUNCTION("""COMPUTED_VALUE"""),45760.771527777775)</f>
        <v>45760.77153</v>
      </c>
      <c r="H1425" s="85" t="str">
        <f>IFERROR(__xludf.DUMMYFUNCTION("""COMPUTED_VALUE"""),"Estimate ")</f>
        <v>Estimate </v>
      </c>
      <c r="I1425" s="4" t="str">
        <f>IFERROR(__xludf.DUMMYFUNCTION("""COMPUTED_VALUE"""),"shivani")</f>
        <v>shivani</v>
      </c>
    </row>
    <row r="1426">
      <c r="A1426" s="85">
        <f>IFERROR(__xludf.DUMMYFUNCTION("""COMPUTED_VALUE"""),45758.77701493056)</f>
        <v>45758.77701</v>
      </c>
      <c r="B1426" s="4"/>
      <c r="C1426" s="4"/>
      <c r="D1426" s="4"/>
      <c r="E1426" s="4"/>
      <c r="F1426" s="4"/>
      <c r="G1426" s="85">
        <f>IFERROR(__xludf.DUMMYFUNCTION("""COMPUTED_VALUE"""),45760.77638888889)</f>
        <v>45760.77639</v>
      </c>
      <c r="H1426" s="85" t="str">
        <f>IFERROR(__xludf.DUMMYFUNCTION("""COMPUTED_VALUE"""),"Estimate ")</f>
        <v>Estimate </v>
      </c>
      <c r="I1426" s="4" t="str">
        <f>IFERROR(__xludf.DUMMYFUNCTION("""COMPUTED_VALUE"""),"shivani")</f>
        <v>shivani</v>
      </c>
    </row>
    <row r="1427">
      <c r="A1427" s="85">
        <f>IFERROR(__xludf.DUMMYFUNCTION("""COMPUTED_VALUE"""),45760.744818263884)</f>
        <v>45760.74482</v>
      </c>
      <c r="B1427" s="4"/>
      <c r="C1427" s="4"/>
      <c r="D1427" s="4"/>
      <c r="E1427" s="4"/>
      <c r="F1427" s="4"/>
      <c r="G1427" s="85">
        <f>IFERROR(__xludf.DUMMYFUNCTION("""COMPUTED_VALUE"""),45763.74444444444)</f>
        <v>45763.74444</v>
      </c>
      <c r="H1427" s="85" t="str">
        <f>IFERROR(__xludf.DUMMYFUNCTION("""COMPUTED_VALUE"""),"Estimate ")</f>
        <v>Estimate </v>
      </c>
      <c r="I1427" s="4" t="str">
        <f>IFERROR(__xludf.DUMMYFUNCTION("""COMPUTED_VALUE"""),"shivani")</f>
        <v>shivani</v>
      </c>
    </row>
    <row r="1428">
      <c r="A1428" s="85">
        <f>IFERROR(__xludf.DUMMYFUNCTION("""COMPUTED_VALUE"""),45774.6604670949)</f>
        <v>45774.66047</v>
      </c>
      <c r="B1428" s="4"/>
      <c r="C1428" s="4"/>
      <c r="D1428" s="4"/>
      <c r="E1428" s="4"/>
      <c r="F1428" s="4"/>
      <c r="G1428" s="85">
        <f>IFERROR(__xludf.DUMMYFUNCTION("""COMPUTED_VALUE"""),45777.660416666666)</f>
        <v>45777.66042</v>
      </c>
      <c r="H1428" s="85" t="str">
        <f>IFERROR(__xludf.DUMMYFUNCTION("""COMPUTED_VALUE"""),"Estimate ")</f>
        <v>Estimate </v>
      </c>
      <c r="I1428" s="4" t="str">
        <f>IFERROR(__xludf.DUMMYFUNCTION("""COMPUTED_VALUE"""),"shivani")</f>
        <v>shivani</v>
      </c>
    </row>
    <row r="1429">
      <c r="A1429" s="85">
        <f>IFERROR(__xludf.DUMMYFUNCTION("""COMPUTED_VALUE"""),45774.662177673614)</f>
        <v>45774.66218</v>
      </c>
      <c r="B1429" s="4"/>
      <c r="C1429" s="4"/>
      <c r="D1429" s="4"/>
      <c r="E1429" s="4"/>
      <c r="F1429" s="4"/>
      <c r="G1429" s="85">
        <f>IFERROR(__xludf.DUMMYFUNCTION("""COMPUTED_VALUE"""),45777.66180555556)</f>
        <v>45777.66181</v>
      </c>
      <c r="H1429" s="85" t="str">
        <f>IFERROR(__xludf.DUMMYFUNCTION("""COMPUTED_VALUE"""),"Estimate ")</f>
        <v>Estimate </v>
      </c>
      <c r="I1429" s="4" t="str">
        <f>IFERROR(__xludf.DUMMYFUNCTION("""COMPUTED_VALUE"""),"shivani")</f>
        <v>shivani</v>
      </c>
    </row>
    <row r="1430">
      <c r="A1430" s="85">
        <f>IFERROR(__xludf.DUMMYFUNCTION("""COMPUTED_VALUE"""),45777.62821949073)</f>
        <v>45777.62822</v>
      </c>
      <c r="B1430" s="4"/>
      <c r="C1430" s="4"/>
      <c r="D1430" s="4"/>
      <c r="E1430" s="4"/>
      <c r="F1430" s="4"/>
      <c r="G1430" s="85">
        <f>IFERROR(__xludf.DUMMYFUNCTION("""COMPUTED_VALUE"""),45779.62777777778)</f>
        <v>45779.62778</v>
      </c>
      <c r="H1430" s="85" t="str">
        <f>IFERROR(__xludf.DUMMYFUNCTION("""COMPUTED_VALUE"""),"Estimate ")</f>
        <v>Estimate </v>
      </c>
      <c r="I1430" s="4" t="str">
        <f>IFERROR(__xludf.DUMMYFUNCTION("""COMPUTED_VALUE"""),"shivani")</f>
        <v>shivani</v>
      </c>
    </row>
    <row r="1431">
      <c r="A1431" s="85">
        <f>IFERROR(__xludf.DUMMYFUNCTION("""COMPUTED_VALUE"""),45777.63249319444)</f>
        <v>45777.63249</v>
      </c>
      <c r="B1431" s="4"/>
      <c r="C1431" s="4"/>
      <c r="D1431" s="4"/>
      <c r="E1431" s="4"/>
      <c r="F1431" s="4"/>
      <c r="G1431" s="85">
        <f>IFERROR(__xludf.DUMMYFUNCTION("""COMPUTED_VALUE"""),45779.631944444445)</f>
        <v>45779.63194</v>
      </c>
      <c r="H1431" s="85" t="str">
        <f>IFERROR(__xludf.DUMMYFUNCTION("""COMPUTED_VALUE"""),"Estimate ")</f>
        <v>Estimate </v>
      </c>
      <c r="I1431" s="4" t="str">
        <f>IFERROR(__xludf.DUMMYFUNCTION("""COMPUTED_VALUE"""),"shivani")</f>
        <v>shivani</v>
      </c>
    </row>
    <row r="1432">
      <c r="A1432" s="85">
        <f>IFERROR(__xludf.DUMMYFUNCTION("""COMPUTED_VALUE"""),45791.59425136574)</f>
        <v>45791.59425</v>
      </c>
      <c r="B1432" s="4"/>
      <c r="C1432" s="4"/>
      <c r="D1432" s="4"/>
      <c r="E1432" s="4"/>
      <c r="F1432" s="4"/>
      <c r="G1432" s="85">
        <f>IFERROR(__xludf.DUMMYFUNCTION("""COMPUTED_VALUE"""),45793.59375)</f>
        <v>45793.59375</v>
      </c>
      <c r="H1432" s="85" t="str">
        <f>IFERROR(__xludf.DUMMYFUNCTION("""COMPUTED_VALUE"""),"Estimate ")</f>
        <v>Estimate </v>
      </c>
      <c r="I1432" s="4" t="str">
        <f>IFERROR(__xludf.DUMMYFUNCTION("""COMPUTED_VALUE"""),"shivani")</f>
        <v>shivani</v>
      </c>
    </row>
    <row r="1433">
      <c r="A1433" s="85">
        <f>IFERROR(__xludf.DUMMYFUNCTION("""COMPUTED_VALUE"""),45792.62288746528)</f>
        <v>45792.62289</v>
      </c>
      <c r="B1433" s="4"/>
      <c r="C1433" s="4"/>
      <c r="D1433" s="4"/>
      <c r="E1433" s="4"/>
      <c r="F1433" s="4"/>
      <c r="G1433" s="85">
        <f>IFERROR(__xludf.DUMMYFUNCTION("""COMPUTED_VALUE"""),45794.62222222222)</f>
        <v>45794.62222</v>
      </c>
      <c r="H1433" s="85" t="str">
        <f>IFERROR(__xludf.DUMMYFUNCTION("""COMPUTED_VALUE"""),"Estimate ")</f>
        <v>Estimate </v>
      </c>
      <c r="I1433" s="4" t="str">
        <f>IFERROR(__xludf.DUMMYFUNCTION("""COMPUTED_VALUE"""),"shivani")</f>
        <v>shivani</v>
      </c>
    </row>
    <row r="1434">
      <c r="A1434" s="85">
        <f>IFERROR(__xludf.DUMMYFUNCTION("""COMPUTED_VALUE"""),45792.642919004626)</f>
        <v>45792.64292</v>
      </c>
      <c r="B1434" s="4"/>
      <c r="C1434" s="4"/>
      <c r="D1434" s="4"/>
      <c r="E1434" s="4"/>
      <c r="F1434" s="4"/>
      <c r="G1434" s="85">
        <f>IFERROR(__xludf.DUMMYFUNCTION("""COMPUTED_VALUE"""),45794.64236111111)</f>
        <v>45794.64236</v>
      </c>
      <c r="H1434" s="85" t="str">
        <f>IFERROR(__xludf.DUMMYFUNCTION("""COMPUTED_VALUE"""),"Estimate ")</f>
        <v>Estimate </v>
      </c>
      <c r="I1434" s="4" t="str">
        <f>IFERROR(__xludf.DUMMYFUNCTION("""COMPUTED_VALUE"""),"shivani")</f>
        <v>shivani</v>
      </c>
    </row>
    <row r="1435">
      <c r="A1435" s="85">
        <f>IFERROR(__xludf.DUMMYFUNCTION("""COMPUTED_VALUE"""),45792.69952434028)</f>
        <v>45792.69952</v>
      </c>
      <c r="B1435" s="4"/>
      <c r="C1435" s="4"/>
      <c r="D1435" s="4"/>
      <c r="E1435" s="4"/>
      <c r="F1435" s="4"/>
      <c r="G1435" s="85">
        <f>IFERROR(__xludf.DUMMYFUNCTION("""COMPUTED_VALUE"""),45794.69930555555)</f>
        <v>45794.69931</v>
      </c>
      <c r="H1435" s="85" t="str">
        <f>IFERROR(__xludf.DUMMYFUNCTION("""COMPUTED_VALUE"""),"Estimate ")</f>
        <v>Estimate </v>
      </c>
      <c r="I1435" s="4" t="str">
        <f>IFERROR(__xludf.DUMMYFUNCTION("""COMPUTED_VALUE"""),"shivani")</f>
        <v>shivani</v>
      </c>
    </row>
    <row r="1436">
      <c r="A1436" s="85">
        <f>IFERROR(__xludf.DUMMYFUNCTION("""COMPUTED_VALUE"""),45797.69882071759)</f>
        <v>45797.69882</v>
      </c>
      <c r="B1436" s="4"/>
      <c r="C1436" s="4"/>
      <c r="D1436" s="4"/>
      <c r="E1436" s="4"/>
      <c r="F1436" s="4"/>
      <c r="G1436" s="85">
        <f>IFERROR(__xludf.DUMMYFUNCTION("""COMPUTED_VALUE"""),45799.69861111111)</f>
        <v>45799.69861</v>
      </c>
      <c r="H1436" s="85" t="str">
        <f>IFERROR(__xludf.DUMMYFUNCTION("""COMPUTED_VALUE"""),"Estimate ")</f>
        <v>Estimate </v>
      </c>
      <c r="I1436" s="4" t="str">
        <f>IFERROR(__xludf.DUMMYFUNCTION("""COMPUTED_VALUE"""),"shivani")</f>
        <v>shivani</v>
      </c>
    </row>
    <row r="1437">
      <c r="A1437" s="85">
        <f>IFERROR(__xludf.DUMMYFUNCTION("""COMPUTED_VALUE"""),45797.707489120374)</f>
        <v>45797.70749</v>
      </c>
      <c r="B1437" s="4"/>
      <c r="C1437" s="4"/>
      <c r="D1437" s="4"/>
      <c r="E1437" s="4"/>
      <c r="F1437" s="4"/>
      <c r="G1437" s="85">
        <f>IFERROR(__xludf.DUMMYFUNCTION("""COMPUTED_VALUE"""),45799.70694444445)</f>
        <v>45799.70694</v>
      </c>
      <c r="H1437" s="85" t="str">
        <f>IFERROR(__xludf.DUMMYFUNCTION("""COMPUTED_VALUE"""),"Estimate ")</f>
        <v>Estimate </v>
      </c>
      <c r="I1437" s="4" t="str">
        <f>IFERROR(__xludf.DUMMYFUNCTION("""COMPUTED_VALUE"""),"shivani")</f>
        <v>shivani</v>
      </c>
    </row>
    <row r="1438">
      <c r="A1438" s="85">
        <f>IFERROR(__xludf.DUMMYFUNCTION("""COMPUTED_VALUE"""),45799.651090046296)</f>
        <v>45799.65109</v>
      </c>
      <c r="B1438" s="4"/>
      <c r="C1438" s="4"/>
      <c r="D1438" s="4"/>
      <c r="E1438" s="4"/>
      <c r="F1438" s="4"/>
      <c r="G1438" s="85">
        <f>IFERROR(__xludf.DUMMYFUNCTION("""COMPUTED_VALUE"""),45801.65069444444)</f>
        <v>45801.65069</v>
      </c>
      <c r="H1438" s="85" t="str">
        <f>IFERROR(__xludf.DUMMYFUNCTION("""COMPUTED_VALUE"""),"Estimate ")</f>
        <v>Estimate </v>
      </c>
      <c r="I1438" s="4" t="str">
        <f>IFERROR(__xludf.DUMMYFUNCTION("""COMPUTED_VALUE"""),"shivani")</f>
        <v>shivani</v>
      </c>
    </row>
    <row r="1439">
      <c r="A1439" s="85">
        <f>IFERROR(__xludf.DUMMYFUNCTION("""COMPUTED_VALUE"""),45807.476224074075)</f>
        <v>45807.47622</v>
      </c>
      <c r="B1439" s="4"/>
      <c r="C1439" s="4"/>
      <c r="D1439" s="4"/>
      <c r="E1439" s="4"/>
      <c r="F1439" s="4"/>
      <c r="G1439" s="85">
        <f>IFERROR(__xludf.DUMMYFUNCTION("""COMPUTED_VALUE"""),45809.475694444445)</f>
        <v>45809.47569</v>
      </c>
      <c r="H1439" s="85" t="str">
        <f>IFERROR(__xludf.DUMMYFUNCTION("""COMPUTED_VALUE"""),"Estimate ")</f>
        <v>Estimate </v>
      </c>
      <c r="I1439" s="4" t="str">
        <f>IFERROR(__xludf.DUMMYFUNCTION("""COMPUTED_VALUE"""),"shivani")</f>
        <v>shivani</v>
      </c>
    </row>
    <row r="1440">
      <c r="A1440" s="85">
        <f>IFERROR(__xludf.DUMMYFUNCTION("""COMPUTED_VALUE"""),45811.57417144676)</f>
        <v>45811.57417</v>
      </c>
      <c r="B1440" s="4"/>
      <c r="C1440" s="4"/>
      <c r="D1440" s="4"/>
      <c r="E1440" s="4"/>
      <c r="F1440" s="4"/>
      <c r="G1440" s="85">
        <f>IFERROR(__xludf.DUMMYFUNCTION("""COMPUTED_VALUE"""),45813.57361111111)</f>
        <v>45813.57361</v>
      </c>
      <c r="H1440" s="85" t="str">
        <f>IFERROR(__xludf.DUMMYFUNCTION("""COMPUTED_VALUE"""),"Estimate ")</f>
        <v>Estimate </v>
      </c>
      <c r="I1440" s="4" t="str">
        <f>IFERROR(__xludf.DUMMYFUNCTION("""COMPUTED_VALUE"""),"shivani")</f>
        <v>shivani</v>
      </c>
    </row>
    <row r="1441">
      <c r="A1441" s="85">
        <f>IFERROR(__xludf.DUMMYFUNCTION("""COMPUTED_VALUE"""),45832.62573857639)</f>
        <v>45832.62574</v>
      </c>
      <c r="B1441" s="4"/>
      <c r="C1441" s="4"/>
      <c r="D1441" s="4"/>
      <c r="E1441" s="4"/>
      <c r="F1441" s="4"/>
      <c r="G1441" s="85">
        <f>IFERROR(__xludf.DUMMYFUNCTION("""COMPUTED_VALUE"""),45834.62569444445)</f>
        <v>45834.62569</v>
      </c>
      <c r="H1441" s="85" t="str">
        <f>IFERROR(__xludf.DUMMYFUNCTION("""COMPUTED_VALUE"""),"Estimate ")</f>
        <v>Estimate </v>
      </c>
      <c r="I1441" s="4" t="str">
        <f>IFERROR(__xludf.DUMMYFUNCTION("""COMPUTED_VALUE"""),"shivani")</f>
        <v>shivani</v>
      </c>
    </row>
    <row r="1442">
      <c r="A1442" s="85">
        <f>IFERROR(__xludf.DUMMYFUNCTION("""COMPUTED_VALUE"""),45832.636312650466)</f>
        <v>45832.63631</v>
      </c>
      <c r="B1442" s="4"/>
      <c r="C1442" s="4"/>
      <c r="D1442" s="4"/>
      <c r="E1442" s="4"/>
      <c r="F1442" s="4"/>
      <c r="G1442" s="85">
        <f>IFERROR(__xludf.DUMMYFUNCTION("""COMPUTED_VALUE"""),45834.63611111111)</f>
        <v>45834.63611</v>
      </c>
      <c r="H1442" s="85" t="str">
        <f>IFERROR(__xludf.DUMMYFUNCTION("""COMPUTED_VALUE"""),"Estimate ")</f>
        <v>Estimate </v>
      </c>
      <c r="I1442" s="4" t="str">
        <f>IFERROR(__xludf.DUMMYFUNCTION("""COMPUTED_VALUE"""),"shivani")</f>
        <v>shivani</v>
      </c>
    </row>
    <row r="1443">
      <c r="A1443" s="85">
        <f>IFERROR(__xludf.DUMMYFUNCTION("""COMPUTED_VALUE"""),45832.63746958333)</f>
        <v>45832.63747</v>
      </c>
      <c r="B1443" s="4"/>
      <c r="C1443" s="4"/>
      <c r="D1443" s="4"/>
      <c r="E1443" s="4"/>
      <c r="F1443" s="4"/>
      <c r="G1443" s="85">
        <f>IFERROR(__xludf.DUMMYFUNCTION("""COMPUTED_VALUE"""),45834.63680555555)</f>
        <v>45834.63681</v>
      </c>
      <c r="H1443" s="85" t="str">
        <f>IFERROR(__xludf.DUMMYFUNCTION("""COMPUTED_VALUE"""),"Estimate ")</f>
        <v>Estimate </v>
      </c>
      <c r="I1443" s="4" t="str">
        <f>IFERROR(__xludf.DUMMYFUNCTION("""COMPUTED_VALUE"""),"shivani")</f>
        <v>shivani</v>
      </c>
    </row>
    <row r="1444">
      <c r="A1444" s="85">
        <f>IFERROR(__xludf.DUMMYFUNCTION("""COMPUTED_VALUE"""),45832.639888935184)</f>
        <v>45832.63989</v>
      </c>
      <c r="B1444" s="4"/>
      <c r="C1444" s="4"/>
      <c r="D1444" s="4"/>
      <c r="E1444" s="4"/>
      <c r="F1444" s="4"/>
      <c r="G1444" s="85">
        <f>IFERROR(__xludf.DUMMYFUNCTION("""COMPUTED_VALUE"""),45834.63958333334)</f>
        <v>45834.63958</v>
      </c>
      <c r="H1444" s="85" t="str">
        <f>IFERROR(__xludf.DUMMYFUNCTION("""COMPUTED_VALUE"""),"Estimate ")</f>
        <v>Estimate </v>
      </c>
      <c r="I1444" s="4" t="str">
        <f>IFERROR(__xludf.DUMMYFUNCTION("""COMPUTED_VALUE"""),"shivani")</f>
        <v>shivani</v>
      </c>
    </row>
    <row r="1445">
      <c r="A1445" s="85">
        <f>IFERROR(__xludf.DUMMYFUNCTION("""COMPUTED_VALUE"""),45839.80263763889)</f>
        <v>45839.80264</v>
      </c>
      <c r="B1445" s="4"/>
      <c r="C1445" s="4"/>
      <c r="D1445" s="4"/>
      <c r="E1445" s="4"/>
      <c r="F1445" s="4"/>
      <c r="G1445" s="85">
        <f>IFERROR(__xludf.DUMMYFUNCTION("""COMPUTED_VALUE"""),45841.80208333333)</f>
        <v>45841.80208</v>
      </c>
      <c r="H1445" s="85" t="str">
        <f>IFERROR(__xludf.DUMMYFUNCTION("""COMPUTED_VALUE"""),"Estimate ")</f>
        <v>Estimate </v>
      </c>
      <c r="I1445" s="4" t="str">
        <f>IFERROR(__xludf.DUMMYFUNCTION("""COMPUTED_VALUE"""),"shivani")</f>
        <v>shivani</v>
      </c>
    </row>
    <row r="1446">
      <c r="A1446" s="85">
        <f>IFERROR(__xludf.DUMMYFUNCTION("""COMPUTED_VALUE"""),45841.47179575231)</f>
        <v>45841.4718</v>
      </c>
      <c r="B1446" s="4"/>
      <c r="C1446" s="4"/>
      <c r="D1446" s="4"/>
      <c r="E1446" s="4"/>
      <c r="F1446" s="4"/>
      <c r="G1446" s="85">
        <f>IFERROR(__xludf.DUMMYFUNCTION("""COMPUTED_VALUE"""),45843.47152777778)</f>
        <v>45843.47153</v>
      </c>
      <c r="H1446" s="85" t="str">
        <f>IFERROR(__xludf.DUMMYFUNCTION("""COMPUTED_VALUE"""),"Estimate ")</f>
        <v>Estimate </v>
      </c>
      <c r="I1446" s="4" t="str">
        <f>IFERROR(__xludf.DUMMYFUNCTION("""COMPUTED_VALUE"""),"shivani")</f>
        <v>shivani</v>
      </c>
    </row>
    <row r="1447">
      <c r="A1447" s="85">
        <f>IFERROR(__xludf.DUMMYFUNCTION("""COMPUTED_VALUE"""),45841.47334086805)</f>
        <v>45841.47334</v>
      </c>
      <c r="B1447" s="4"/>
      <c r="C1447" s="4"/>
      <c r="D1447" s="4"/>
      <c r="E1447" s="4"/>
      <c r="F1447" s="4"/>
      <c r="G1447" s="85">
        <f>IFERROR(__xludf.DUMMYFUNCTION("""COMPUTED_VALUE"""),45843.472916666666)</f>
        <v>45843.47292</v>
      </c>
      <c r="H1447" s="85" t="str">
        <f>IFERROR(__xludf.DUMMYFUNCTION("""COMPUTED_VALUE"""),"Estimate ")</f>
        <v>Estimate </v>
      </c>
      <c r="I1447" s="4" t="str">
        <f>IFERROR(__xludf.DUMMYFUNCTION("""COMPUTED_VALUE"""),"shivani")</f>
        <v>shivani</v>
      </c>
    </row>
    <row r="1448">
      <c r="A1448" s="85">
        <f>IFERROR(__xludf.DUMMYFUNCTION("""COMPUTED_VALUE"""),45849.53481667824)</f>
        <v>45849.53482</v>
      </c>
      <c r="B1448" s="4"/>
      <c r="C1448" s="4"/>
      <c r="D1448" s="4"/>
      <c r="E1448" s="4"/>
      <c r="F1448" s="4"/>
      <c r="G1448" s="85">
        <f>IFERROR(__xludf.DUMMYFUNCTION("""COMPUTED_VALUE"""),45851.53472222222)</f>
        <v>45851.53472</v>
      </c>
      <c r="H1448" s="85" t="str">
        <f>IFERROR(__xludf.DUMMYFUNCTION("""COMPUTED_VALUE"""),"Estimate ")</f>
        <v>Estimate </v>
      </c>
      <c r="I1448" s="4" t="str">
        <f>IFERROR(__xludf.DUMMYFUNCTION("""COMPUTED_VALUE"""),"shivani")</f>
        <v>shivani</v>
      </c>
    </row>
    <row r="1449">
      <c r="A1449" s="85">
        <f>IFERROR(__xludf.DUMMYFUNCTION("""COMPUTED_VALUE"""),45849.62748244213)</f>
        <v>45849.62748</v>
      </c>
      <c r="B1449" s="4"/>
      <c r="C1449" s="4"/>
      <c r="D1449" s="4"/>
      <c r="E1449" s="4"/>
      <c r="F1449" s="4"/>
      <c r="G1449" s="85">
        <f>IFERROR(__xludf.DUMMYFUNCTION("""COMPUTED_VALUE"""),45851.62708333333)</f>
        <v>45851.62708</v>
      </c>
      <c r="H1449" s="85" t="str">
        <f>IFERROR(__xludf.DUMMYFUNCTION("""COMPUTED_VALUE"""),"Estimate ")</f>
        <v>Estimate </v>
      </c>
      <c r="I1449" s="4" t="str">
        <f>IFERROR(__xludf.DUMMYFUNCTION("""COMPUTED_VALUE"""),"shivani")</f>
        <v>shivani</v>
      </c>
    </row>
    <row r="1450">
      <c r="A1450" s="85">
        <f>IFERROR(__xludf.DUMMYFUNCTION("""COMPUTED_VALUE"""),45849.62943394676)</f>
        <v>45849.62943</v>
      </c>
      <c r="B1450" s="4"/>
      <c r="C1450" s="4"/>
      <c r="D1450" s="4"/>
      <c r="E1450" s="4"/>
      <c r="F1450" s="4"/>
      <c r="G1450" s="85">
        <f>IFERROR(__xludf.DUMMYFUNCTION("""COMPUTED_VALUE"""),45851.629166666666)</f>
        <v>45851.62917</v>
      </c>
      <c r="H1450" s="85" t="str">
        <f>IFERROR(__xludf.DUMMYFUNCTION("""COMPUTED_VALUE"""),"Estimate ")</f>
        <v>Estimate </v>
      </c>
      <c r="I1450" s="4" t="str">
        <f>IFERROR(__xludf.DUMMYFUNCTION("""COMPUTED_VALUE"""),"shivani")</f>
        <v>shivani</v>
      </c>
    </row>
    <row r="1451">
      <c r="A1451" s="85">
        <f>IFERROR(__xludf.DUMMYFUNCTION("""COMPUTED_VALUE"""),45862.74334450231)</f>
        <v>45862.74334</v>
      </c>
      <c r="B1451" s="4"/>
      <c r="C1451" s="4"/>
      <c r="D1451" s="4"/>
      <c r="E1451" s="4"/>
      <c r="F1451" s="4"/>
      <c r="G1451" s="85">
        <f>IFERROR(__xludf.DUMMYFUNCTION("""COMPUTED_VALUE"""),45864.743055555555)</f>
        <v>45864.74306</v>
      </c>
      <c r="H1451" s="85" t="str">
        <f>IFERROR(__xludf.DUMMYFUNCTION("""COMPUTED_VALUE"""),"Estimate ")</f>
        <v>Estimate </v>
      </c>
      <c r="I1451" s="4" t="str">
        <f>IFERROR(__xludf.DUMMYFUNCTION("""COMPUTED_VALUE"""),"shivani")</f>
        <v>shivani</v>
      </c>
    </row>
    <row r="1452">
      <c r="A1452" s="85">
        <f>IFERROR(__xludf.DUMMYFUNCTION("""COMPUTED_VALUE"""),45862.749110613426)</f>
        <v>45862.74911</v>
      </c>
      <c r="B1452" s="4"/>
      <c r="C1452" s="4"/>
      <c r="D1452" s="4"/>
      <c r="E1452" s="4"/>
      <c r="F1452" s="4"/>
      <c r="G1452" s="85">
        <f>IFERROR(__xludf.DUMMYFUNCTION("""COMPUTED_VALUE"""),45864.74861111111)</f>
        <v>45864.74861</v>
      </c>
      <c r="H1452" s="85" t="str">
        <f>IFERROR(__xludf.DUMMYFUNCTION("""COMPUTED_VALUE"""),"Estimate ")</f>
        <v>Estimate </v>
      </c>
      <c r="I1452" s="4" t="str">
        <f>IFERROR(__xludf.DUMMYFUNCTION("""COMPUTED_VALUE"""),"shivani")</f>
        <v>shivani</v>
      </c>
    </row>
    <row r="1453">
      <c r="A1453" s="85">
        <f>IFERROR(__xludf.DUMMYFUNCTION("""COMPUTED_VALUE"""),45867.726722708336)</f>
        <v>45867.72672</v>
      </c>
      <c r="B1453" s="4"/>
      <c r="C1453" s="4"/>
      <c r="D1453" s="4"/>
      <c r="E1453" s="4"/>
      <c r="F1453" s="4"/>
      <c r="G1453" s="85">
        <f>IFERROR(__xludf.DUMMYFUNCTION("""COMPUTED_VALUE"""),45869.726388888885)</f>
        <v>45869.72639</v>
      </c>
      <c r="H1453" s="85" t="str">
        <f>IFERROR(__xludf.DUMMYFUNCTION("""COMPUTED_VALUE"""),"Estimate ")</f>
        <v>Estimate </v>
      </c>
      <c r="I1453" s="4" t="str">
        <f>IFERROR(__xludf.DUMMYFUNCTION("""COMPUTED_VALUE"""),"shivani")</f>
        <v>shivani</v>
      </c>
    </row>
    <row r="1454">
      <c r="A1454" s="85">
        <f>IFERROR(__xludf.DUMMYFUNCTION("""COMPUTED_VALUE"""),45867.729114016205)</f>
        <v>45867.72911</v>
      </c>
      <c r="B1454" s="4"/>
      <c r="C1454" s="4"/>
      <c r="D1454" s="4"/>
      <c r="E1454" s="4"/>
      <c r="F1454" s="4"/>
      <c r="G1454" s="85">
        <f>IFERROR(__xludf.DUMMYFUNCTION("""COMPUTED_VALUE"""),45869.728472222225)</f>
        <v>45869.72847</v>
      </c>
      <c r="H1454" s="85" t="str">
        <f>IFERROR(__xludf.DUMMYFUNCTION("""COMPUTED_VALUE"""),"Estimate ")</f>
        <v>Estimate </v>
      </c>
      <c r="I1454" s="4" t="str">
        <f>IFERROR(__xludf.DUMMYFUNCTION("""COMPUTED_VALUE"""),"shivani")</f>
        <v>shivani</v>
      </c>
    </row>
    <row r="1455">
      <c r="A1455" s="85">
        <f>IFERROR(__xludf.DUMMYFUNCTION("""COMPUTED_VALUE"""),45875.69951521991)</f>
        <v>45875.69952</v>
      </c>
      <c r="B1455" s="4"/>
      <c r="C1455" s="4"/>
      <c r="D1455" s="4"/>
      <c r="E1455" s="4"/>
      <c r="F1455" s="4"/>
      <c r="G1455" s="85">
        <f>IFERROR(__xludf.DUMMYFUNCTION("""COMPUTED_VALUE"""),45877.69930555555)</f>
        <v>45877.69931</v>
      </c>
      <c r="H1455" s="85" t="str">
        <f>IFERROR(__xludf.DUMMYFUNCTION("""COMPUTED_VALUE"""),"Estimate ")</f>
        <v>Estimate </v>
      </c>
      <c r="I1455" s="4" t="str">
        <f>IFERROR(__xludf.DUMMYFUNCTION("""COMPUTED_VALUE"""),"shivani")</f>
        <v>shivani</v>
      </c>
    </row>
    <row r="1456">
      <c r="A1456" s="85">
        <f>IFERROR(__xludf.DUMMYFUNCTION("""COMPUTED_VALUE"""),45875.70443155093)</f>
        <v>45875.70443</v>
      </c>
      <c r="B1456" s="4"/>
      <c r="C1456" s="4"/>
      <c r="D1456" s="4"/>
      <c r="E1456" s="4"/>
      <c r="F1456" s="4"/>
      <c r="G1456" s="85">
        <f>IFERROR(__xludf.DUMMYFUNCTION("""COMPUTED_VALUE"""),45877.70416666666)</f>
        <v>45877.70417</v>
      </c>
      <c r="H1456" s="85" t="str">
        <f>IFERROR(__xludf.DUMMYFUNCTION("""COMPUTED_VALUE"""),"Estimate ")</f>
        <v>Estimate </v>
      </c>
      <c r="I1456" s="4" t="str">
        <f>IFERROR(__xludf.DUMMYFUNCTION("""COMPUTED_VALUE"""),"shivani")</f>
        <v>shivani</v>
      </c>
    </row>
    <row r="1457">
      <c r="A1457" s="85">
        <f>IFERROR(__xludf.DUMMYFUNCTION("""COMPUTED_VALUE"""),45875.77540466435)</f>
        <v>45875.7754</v>
      </c>
      <c r="B1457" s="4"/>
      <c r="C1457" s="4"/>
      <c r="D1457" s="4"/>
      <c r="E1457" s="4"/>
      <c r="F1457" s="4"/>
      <c r="G1457" s="85">
        <f>IFERROR(__xludf.DUMMYFUNCTION("""COMPUTED_VALUE"""),45877.775)</f>
        <v>45877.775</v>
      </c>
      <c r="H1457" s="85" t="str">
        <f>IFERROR(__xludf.DUMMYFUNCTION("""COMPUTED_VALUE"""),"Estimate ")</f>
        <v>Estimate </v>
      </c>
      <c r="I1457" s="4" t="str">
        <f>IFERROR(__xludf.DUMMYFUNCTION("""COMPUTED_VALUE"""),"shivani")</f>
        <v>shivani</v>
      </c>
    </row>
    <row r="1458">
      <c r="A1458" s="85">
        <f>IFERROR(__xludf.DUMMYFUNCTION("""COMPUTED_VALUE"""),45875.78489589121)</f>
        <v>45875.7849</v>
      </c>
      <c r="B1458" s="4"/>
      <c r="C1458" s="4"/>
      <c r="D1458" s="4"/>
      <c r="E1458" s="4"/>
      <c r="F1458" s="4"/>
      <c r="G1458" s="85">
        <f>IFERROR(__xludf.DUMMYFUNCTION("""COMPUTED_VALUE"""),45877.78472222222)</f>
        <v>45877.78472</v>
      </c>
      <c r="H1458" s="85" t="str">
        <f>IFERROR(__xludf.DUMMYFUNCTION("""COMPUTED_VALUE"""),"Estimate ")</f>
        <v>Estimate </v>
      </c>
      <c r="I1458" s="4" t="str">
        <f>IFERROR(__xludf.DUMMYFUNCTION("""COMPUTED_VALUE"""),"shivani")</f>
        <v>shivani</v>
      </c>
    </row>
    <row r="1459">
      <c r="A1459" s="85">
        <f>IFERROR(__xludf.DUMMYFUNCTION("""COMPUTED_VALUE"""),45875.78598807871)</f>
        <v>45875.78599</v>
      </c>
      <c r="B1459" s="4"/>
      <c r="C1459" s="4"/>
      <c r="D1459" s="4"/>
      <c r="E1459" s="4"/>
      <c r="F1459" s="4"/>
      <c r="G1459" s="85">
        <f>IFERROR(__xludf.DUMMYFUNCTION("""COMPUTED_VALUE"""),45877.785416666666)</f>
        <v>45877.78542</v>
      </c>
      <c r="H1459" s="85" t="str">
        <f>IFERROR(__xludf.DUMMYFUNCTION("""COMPUTED_VALUE"""),"Estimate ")</f>
        <v>Estimate </v>
      </c>
      <c r="I1459" s="4" t="str">
        <f>IFERROR(__xludf.DUMMYFUNCTION("""COMPUTED_VALUE"""),"shivani")</f>
        <v>shivani</v>
      </c>
    </row>
    <row r="1460">
      <c r="A1460" s="85">
        <f>IFERROR(__xludf.DUMMYFUNCTION("""COMPUTED_VALUE"""),45875.787056469904)</f>
        <v>45875.78706</v>
      </c>
      <c r="B1460" s="4"/>
      <c r="C1460" s="4"/>
      <c r="D1460" s="4"/>
      <c r="E1460" s="4"/>
      <c r="F1460" s="4"/>
      <c r="G1460" s="85">
        <f>IFERROR(__xludf.DUMMYFUNCTION("""COMPUTED_VALUE"""),45877.78680555556)</f>
        <v>45877.78681</v>
      </c>
      <c r="H1460" s="85" t="str">
        <f>IFERROR(__xludf.DUMMYFUNCTION("""COMPUTED_VALUE"""),"Estimate ")</f>
        <v>Estimate </v>
      </c>
      <c r="I1460" s="4" t="str">
        <f>IFERROR(__xludf.DUMMYFUNCTION("""COMPUTED_VALUE"""),"shivani")</f>
        <v>shivani</v>
      </c>
    </row>
    <row r="1461">
      <c r="A1461" s="85">
        <f>IFERROR(__xludf.DUMMYFUNCTION("""COMPUTED_VALUE"""),45875.78962949074)</f>
        <v>45875.78963</v>
      </c>
      <c r="B1461" s="4"/>
      <c r="C1461" s="4"/>
      <c r="D1461" s="4"/>
      <c r="E1461" s="4"/>
      <c r="F1461" s="4"/>
      <c r="G1461" s="85">
        <f>IFERROR(__xludf.DUMMYFUNCTION("""COMPUTED_VALUE"""),45877.78958333333)</f>
        <v>45877.78958</v>
      </c>
      <c r="H1461" s="85" t="str">
        <f>IFERROR(__xludf.DUMMYFUNCTION("""COMPUTED_VALUE"""),"Estimate ")</f>
        <v>Estimate </v>
      </c>
      <c r="I1461" s="4" t="str">
        <f>IFERROR(__xludf.DUMMYFUNCTION("""COMPUTED_VALUE"""),"shivani")</f>
        <v>shivani</v>
      </c>
    </row>
    <row r="1462">
      <c r="A1462" s="85">
        <f>IFERROR(__xludf.DUMMYFUNCTION("""COMPUTED_VALUE"""),45875.79033065972)</f>
        <v>45875.79033</v>
      </c>
      <c r="B1462" s="4"/>
      <c r="C1462" s="4"/>
      <c r="D1462" s="4"/>
      <c r="E1462" s="4"/>
      <c r="F1462" s="4"/>
      <c r="G1462" s="85">
        <f>IFERROR(__xludf.DUMMYFUNCTION("""COMPUTED_VALUE"""),45877.79027777778)</f>
        <v>45877.79028</v>
      </c>
      <c r="H1462" s="85" t="str">
        <f>IFERROR(__xludf.DUMMYFUNCTION("""COMPUTED_VALUE"""),"Estimate ")</f>
        <v>Estimate </v>
      </c>
      <c r="I1462" s="4" t="str">
        <f>IFERROR(__xludf.DUMMYFUNCTION("""COMPUTED_VALUE"""),"shivani")</f>
        <v>shivani</v>
      </c>
    </row>
    <row r="1463">
      <c r="A1463" s="85">
        <f>IFERROR(__xludf.DUMMYFUNCTION("""COMPUTED_VALUE"""),45885.62114478009)</f>
        <v>45885.62114</v>
      </c>
      <c r="B1463" s="4"/>
      <c r="C1463" s="4"/>
      <c r="D1463" s="4"/>
      <c r="E1463" s="4"/>
      <c r="F1463" s="4"/>
      <c r="G1463" s="85">
        <f>IFERROR(__xludf.DUMMYFUNCTION("""COMPUTED_VALUE"""),45888.620833333334)</f>
        <v>45888.62083</v>
      </c>
      <c r="H1463" s="85" t="str">
        <f>IFERROR(__xludf.DUMMYFUNCTION("""COMPUTED_VALUE"""),"Estimate ")</f>
        <v>Estimate </v>
      </c>
      <c r="I1463" s="4" t="str">
        <f>IFERROR(__xludf.DUMMYFUNCTION("""COMPUTED_VALUE"""),"shivani")</f>
        <v>shivani</v>
      </c>
    </row>
    <row r="1464">
      <c r="A1464" s="85">
        <f>IFERROR(__xludf.DUMMYFUNCTION("""COMPUTED_VALUE"""),45891.79784738426)</f>
        <v>45891.79785</v>
      </c>
      <c r="B1464" s="4"/>
      <c r="C1464" s="4"/>
      <c r="D1464" s="4"/>
      <c r="E1464" s="4"/>
      <c r="F1464" s="4"/>
      <c r="G1464" s="85">
        <f>IFERROR(__xludf.DUMMYFUNCTION("""COMPUTED_VALUE"""),45893.79722222222)</f>
        <v>45893.79722</v>
      </c>
      <c r="H1464" s="85" t="str">
        <f>IFERROR(__xludf.DUMMYFUNCTION("""COMPUTED_VALUE"""),"Estimate ")</f>
        <v>Estimate </v>
      </c>
      <c r="I1464" s="4" t="str">
        <f>IFERROR(__xludf.DUMMYFUNCTION("""COMPUTED_VALUE"""),"shivani")</f>
        <v>shivani</v>
      </c>
    </row>
    <row r="1465">
      <c r="A1465" s="85">
        <f>IFERROR(__xludf.DUMMYFUNCTION("""COMPUTED_VALUE"""),45893.73446230324)</f>
        <v>45893.73446</v>
      </c>
      <c r="B1465" s="4"/>
      <c r="C1465" s="4"/>
      <c r="D1465" s="4"/>
      <c r="E1465" s="4"/>
      <c r="F1465" s="4"/>
      <c r="G1465" s="85">
        <f>IFERROR(__xludf.DUMMYFUNCTION("""COMPUTED_VALUE"""),45896.73402777778)</f>
        <v>45896.73403</v>
      </c>
      <c r="H1465" s="85" t="str">
        <f>IFERROR(__xludf.DUMMYFUNCTION("""COMPUTED_VALUE"""),"Estimate ")</f>
        <v>Estimate </v>
      </c>
      <c r="I1465" s="4" t="str">
        <f>IFERROR(__xludf.DUMMYFUNCTION("""COMPUTED_VALUE"""),"shivani")</f>
        <v>shivani</v>
      </c>
    </row>
    <row r="1466">
      <c r="A1466" s="85">
        <f>IFERROR(__xludf.DUMMYFUNCTION("""COMPUTED_VALUE"""),45909.46113246528)</f>
        <v>45909.46113</v>
      </c>
      <c r="B1466" s="4"/>
      <c r="C1466" s="4"/>
      <c r="D1466" s="4"/>
      <c r="E1466" s="4"/>
      <c r="F1466" s="4"/>
      <c r="G1466" s="85">
        <f>IFERROR(__xludf.DUMMYFUNCTION("""COMPUTED_VALUE"""),45911.461111111115)</f>
        <v>45911.46111</v>
      </c>
      <c r="H1466" s="85" t="str">
        <f>IFERROR(__xludf.DUMMYFUNCTION("""COMPUTED_VALUE"""),"Estimate ")</f>
        <v>Estimate </v>
      </c>
      <c r="I1466" s="4" t="str">
        <f>IFERROR(__xludf.DUMMYFUNCTION("""COMPUTED_VALUE"""),"shivani")</f>
        <v>shivani</v>
      </c>
    </row>
    <row r="1467">
      <c r="A1467" s="85">
        <f>IFERROR(__xludf.DUMMYFUNCTION("""COMPUTED_VALUE"""),45920.64054797454)</f>
        <v>45920.64055</v>
      </c>
      <c r="B1467" s="4"/>
      <c r="C1467" s="4"/>
      <c r="D1467" s="4"/>
      <c r="E1467" s="4"/>
      <c r="F1467" s="4"/>
      <c r="G1467" s="85">
        <f>IFERROR(__xludf.DUMMYFUNCTION("""COMPUTED_VALUE"""),45923.64027777778)</f>
        <v>45923.64028</v>
      </c>
      <c r="H1467" s="85" t="str">
        <f>IFERROR(__xludf.DUMMYFUNCTION("""COMPUTED_VALUE"""),"Estimate ")</f>
        <v>Estimate </v>
      </c>
      <c r="I1467" s="4" t="str">
        <f>IFERROR(__xludf.DUMMYFUNCTION("""COMPUTED_VALUE"""),"shivani")</f>
        <v>shivani</v>
      </c>
    </row>
    <row r="1468">
      <c r="A1468" s="85">
        <f>IFERROR(__xludf.DUMMYFUNCTION("""COMPUTED_VALUE"""),45920.64255)</f>
        <v>45920.64255</v>
      </c>
      <c r="B1468" s="4"/>
      <c r="C1468" s="4"/>
      <c r="D1468" s="4"/>
      <c r="E1468" s="4"/>
      <c r="F1468" s="4"/>
      <c r="G1468" s="85">
        <f>IFERROR(__xludf.DUMMYFUNCTION("""COMPUTED_VALUE"""),45923.64236111111)</f>
        <v>45923.64236</v>
      </c>
      <c r="H1468" s="85" t="str">
        <f>IFERROR(__xludf.DUMMYFUNCTION("""COMPUTED_VALUE"""),"Estimate ")</f>
        <v>Estimate </v>
      </c>
      <c r="I1468" s="4" t="str">
        <f>IFERROR(__xludf.DUMMYFUNCTION("""COMPUTED_VALUE"""),"shivani")</f>
        <v>shivani</v>
      </c>
    </row>
    <row r="1469">
      <c r="A1469" s="85">
        <f>IFERROR(__xludf.DUMMYFUNCTION("""COMPUTED_VALUE"""),45920.652943298606)</f>
        <v>45920.65294</v>
      </c>
      <c r="B1469" s="4"/>
      <c r="C1469" s="4"/>
      <c r="D1469" s="4"/>
      <c r="E1469" s="4"/>
      <c r="F1469" s="4"/>
      <c r="G1469" s="85">
        <f>IFERROR(__xludf.DUMMYFUNCTION("""COMPUTED_VALUE"""),45923.65277777778)</f>
        <v>45923.65278</v>
      </c>
      <c r="H1469" s="85" t="str">
        <f>IFERROR(__xludf.DUMMYFUNCTION("""COMPUTED_VALUE"""),"Estimate ")</f>
        <v>Estimate </v>
      </c>
      <c r="I1469" s="4" t="str">
        <f>IFERROR(__xludf.DUMMYFUNCTION("""COMPUTED_VALUE"""),"shivani")</f>
        <v>shivani</v>
      </c>
    </row>
    <row r="1470">
      <c r="A1470" s="85">
        <f>IFERROR(__xludf.DUMMYFUNCTION("""COMPUTED_VALUE"""),45921.45847008102)</f>
        <v>45921.45847</v>
      </c>
      <c r="B1470" s="4"/>
      <c r="C1470" s="4"/>
      <c r="D1470" s="4"/>
      <c r="E1470" s="4"/>
      <c r="F1470" s="4"/>
      <c r="G1470" s="85">
        <f>IFERROR(__xludf.DUMMYFUNCTION("""COMPUTED_VALUE"""),45924.45833333333)</f>
        <v>45924.45833</v>
      </c>
      <c r="H1470" s="85" t="str">
        <f>IFERROR(__xludf.DUMMYFUNCTION("""COMPUTED_VALUE"""),"Estimate ")</f>
        <v>Estimate </v>
      </c>
      <c r="I1470" s="4" t="str">
        <f>IFERROR(__xludf.DUMMYFUNCTION("""COMPUTED_VALUE"""),"shivani")</f>
        <v>shivani</v>
      </c>
    </row>
    <row r="1471">
      <c r="A1471" s="85">
        <f>IFERROR(__xludf.DUMMYFUNCTION("""COMPUTED_VALUE"""),45924.444565150465)</f>
        <v>45924.44457</v>
      </c>
      <c r="B1471" s="4"/>
      <c r="C1471" s="4"/>
      <c r="D1471" s="4"/>
      <c r="E1471" s="4"/>
      <c r="F1471" s="4"/>
      <c r="G1471" s="85">
        <f>IFERROR(__xludf.DUMMYFUNCTION("""COMPUTED_VALUE"""),45926.444444444445)</f>
        <v>45926.44444</v>
      </c>
      <c r="H1471" s="85" t="str">
        <f>IFERROR(__xludf.DUMMYFUNCTION("""COMPUTED_VALUE"""),"Estimate ")</f>
        <v>Estimate </v>
      </c>
      <c r="I1471" s="4" t="str">
        <f>IFERROR(__xludf.DUMMYFUNCTION("""COMPUTED_VALUE"""),"shivani")</f>
        <v>shivani</v>
      </c>
    </row>
    <row r="1472">
      <c r="A1472" s="85">
        <f>IFERROR(__xludf.DUMMYFUNCTION("""COMPUTED_VALUE"""),45924.44895893519)</f>
        <v>45924.44896</v>
      </c>
      <c r="B1472" s="4"/>
      <c r="C1472" s="4"/>
      <c r="D1472" s="4"/>
      <c r="E1472" s="4"/>
      <c r="F1472" s="4"/>
      <c r="G1472" s="85">
        <f>IFERROR(__xludf.DUMMYFUNCTION("""COMPUTED_VALUE"""),45926.44861111111)</f>
        <v>45926.44861</v>
      </c>
      <c r="H1472" s="85" t="str">
        <f>IFERROR(__xludf.DUMMYFUNCTION("""COMPUTED_VALUE"""),"Estimate ")</f>
        <v>Estimate </v>
      </c>
      <c r="I1472" s="4" t="str">
        <f>IFERROR(__xludf.DUMMYFUNCTION("""COMPUTED_VALUE"""),"shivani")</f>
        <v>shivani</v>
      </c>
    </row>
    <row r="1473">
      <c r="A1473" s="85">
        <f>IFERROR(__xludf.DUMMYFUNCTION("""COMPUTED_VALUE"""),45924.449562118054)</f>
        <v>45924.44956</v>
      </c>
      <c r="B1473" s="4"/>
      <c r="C1473" s="4"/>
      <c r="D1473" s="4"/>
      <c r="E1473" s="4"/>
      <c r="F1473" s="4"/>
      <c r="G1473" s="85">
        <f>IFERROR(__xludf.DUMMYFUNCTION("""COMPUTED_VALUE"""),45926.44930555555)</f>
        <v>45926.44931</v>
      </c>
      <c r="H1473" s="85" t="str">
        <f>IFERROR(__xludf.DUMMYFUNCTION("""COMPUTED_VALUE"""),"Estimate ")</f>
        <v>Estimate </v>
      </c>
      <c r="I1473" s="4" t="str">
        <f>IFERROR(__xludf.DUMMYFUNCTION("""COMPUTED_VALUE"""),"shivani")</f>
        <v>shivani</v>
      </c>
    </row>
    <row r="1474">
      <c r="A1474" s="85">
        <f>IFERROR(__xludf.DUMMYFUNCTION("""COMPUTED_VALUE"""),45928.44418310185)</f>
        <v>45928.44418</v>
      </c>
      <c r="B1474" s="4"/>
      <c r="C1474" s="4"/>
      <c r="D1474" s="4"/>
      <c r="E1474" s="4"/>
      <c r="F1474" s="4"/>
      <c r="G1474" s="85">
        <f>IFERROR(__xludf.DUMMYFUNCTION("""COMPUTED_VALUE"""),45931.44375)</f>
        <v>45931.44375</v>
      </c>
      <c r="H1474" s="85" t="str">
        <f>IFERROR(__xludf.DUMMYFUNCTION("""COMPUTED_VALUE"""),"Estimate ")</f>
        <v>Estimate </v>
      </c>
      <c r="I1474" s="4" t="str">
        <f>IFERROR(__xludf.DUMMYFUNCTION("""COMPUTED_VALUE"""),"shivani")</f>
        <v>shivani</v>
      </c>
    </row>
    <row r="1475">
      <c r="A1475" s="85">
        <f>IFERROR(__xludf.DUMMYFUNCTION("""COMPUTED_VALUE"""),45931.451847847224)</f>
        <v>45931.45185</v>
      </c>
      <c r="B1475" s="4"/>
      <c r="C1475" s="4"/>
      <c r="D1475" s="4"/>
      <c r="E1475" s="4"/>
      <c r="F1475" s="4"/>
      <c r="G1475" s="85">
        <f>IFERROR(__xludf.DUMMYFUNCTION("""COMPUTED_VALUE"""),45933.45138888889)</f>
        <v>45933.45139</v>
      </c>
      <c r="H1475" s="85" t="str">
        <f>IFERROR(__xludf.DUMMYFUNCTION("""COMPUTED_VALUE"""),"Estimate ")</f>
        <v>Estimate </v>
      </c>
      <c r="I1475" s="4" t="str">
        <f>IFERROR(__xludf.DUMMYFUNCTION("""COMPUTED_VALUE"""),"shivani")</f>
        <v>shivani</v>
      </c>
    </row>
    <row r="1476">
      <c r="A1476" s="85">
        <f>IFERROR(__xludf.DUMMYFUNCTION("""COMPUTED_VALUE"""),45934.64233290509)</f>
        <v>45934.64233</v>
      </c>
      <c r="B1476" s="4"/>
      <c r="C1476" s="4"/>
      <c r="D1476" s="4"/>
      <c r="E1476" s="4"/>
      <c r="F1476" s="4"/>
      <c r="G1476" s="85">
        <f>IFERROR(__xludf.DUMMYFUNCTION("""COMPUTED_VALUE"""),45937.64166666666)</f>
        <v>45937.64167</v>
      </c>
      <c r="H1476" s="85" t="str">
        <f>IFERROR(__xludf.DUMMYFUNCTION("""COMPUTED_VALUE"""),"Estimate ")</f>
        <v>Estimate </v>
      </c>
      <c r="I1476" s="4" t="str">
        <f>IFERROR(__xludf.DUMMYFUNCTION("""COMPUTED_VALUE"""),"shivani")</f>
        <v>shivani</v>
      </c>
    </row>
    <row r="1477">
      <c r="A1477" s="85">
        <f>IFERROR(__xludf.DUMMYFUNCTION("""COMPUTED_VALUE"""),45935.46206034722)</f>
        <v>45935.46206</v>
      </c>
      <c r="B1477" s="4"/>
      <c r="C1477" s="4"/>
      <c r="D1477" s="4"/>
      <c r="E1477" s="4"/>
      <c r="F1477" s="4"/>
      <c r="G1477" s="85">
        <f>IFERROR(__xludf.DUMMYFUNCTION("""COMPUTED_VALUE"""),45938.461805555555)</f>
        <v>45938.46181</v>
      </c>
      <c r="H1477" s="85" t="str">
        <f>IFERROR(__xludf.DUMMYFUNCTION("""COMPUTED_VALUE"""),"Estimate ")</f>
        <v>Estimate </v>
      </c>
      <c r="I1477" s="4" t="str">
        <f>IFERROR(__xludf.DUMMYFUNCTION("""COMPUTED_VALUE"""),"shivani")</f>
        <v>shivani</v>
      </c>
    </row>
    <row r="1478">
      <c r="A1478" s="85">
        <f>IFERROR(__xludf.DUMMYFUNCTION("""COMPUTED_VALUE"""),45936.69461479167)</f>
        <v>45936.69461</v>
      </c>
      <c r="B1478" s="4"/>
      <c r="C1478" s="4"/>
      <c r="D1478" s="4"/>
      <c r="E1478" s="4"/>
      <c r="F1478" s="4"/>
      <c r="G1478" s="85">
        <f>IFERROR(__xludf.DUMMYFUNCTION("""COMPUTED_VALUE"""),45938.694444444445)</f>
        <v>45938.69444</v>
      </c>
      <c r="H1478" s="85" t="str">
        <f>IFERROR(__xludf.DUMMYFUNCTION("""COMPUTED_VALUE"""),"Estimate ")</f>
        <v>Estimate </v>
      </c>
      <c r="I1478" s="4" t="str">
        <f>IFERROR(__xludf.DUMMYFUNCTION("""COMPUTED_VALUE"""),"shivani")</f>
        <v>shivani</v>
      </c>
    </row>
    <row r="1479">
      <c r="A1479" s="85">
        <f>IFERROR(__xludf.DUMMYFUNCTION("""COMPUTED_VALUE"""),45936.69752415509)</f>
        <v>45936.69752</v>
      </c>
      <c r="B1479" s="4"/>
      <c r="C1479" s="4"/>
      <c r="D1479" s="4"/>
      <c r="E1479" s="4"/>
      <c r="F1479" s="4"/>
      <c r="G1479" s="85">
        <f>IFERROR(__xludf.DUMMYFUNCTION("""COMPUTED_VALUE"""),45938.697222222225)</f>
        <v>45938.69722</v>
      </c>
      <c r="H1479" s="85" t="str">
        <f>IFERROR(__xludf.DUMMYFUNCTION("""COMPUTED_VALUE"""),"Estimate ")</f>
        <v>Estimate </v>
      </c>
      <c r="I1479" s="4" t="str">
        <f>IFERROR(__xludf.DUMMYFUNCTION("""COMPUTED_VALUE"""),"shivani")</f>
        <v>shivani</v>
      </c>
    </row>
    <row r="1480">
      <c r="A1480" s="85">
        <f>IFERROR(__xludf.DUMMYFUNCTION("""COMPUTED_VALUE"""),45936.70209178241)</f>
        <v>45936.70209</v>
      </c>
      <c r="B1480" s="4"/>
      <c r="C1480" s="4"/>
      <c r="D1480" s="4"/>
      <c r="E1480" s="4"/>
      <c r="F1480" s="4"/>
      <c r="G1480" s="85">
        <f>IFERROR(__xludf.DUMMYFUNCTION("""COMPUTED_VALUE"""),45938.70208333334)</f>
        <v>45938.70208</v>
      </c>
      <c r="H1480" s="85" t="str">
        <f>IFERROR(__xludf.DUMMYFUNCTION("""COMPUTED_VALUE"""),"Estimate ")</f>
        <v>Estimate </v>
      </c>
      <c r="I1480" s="4" t="str">
        <f>IFERROR(__xludf.DUMMYFUNCTION("""COMPUTED_VALUE"""),"shivani")</f>
        <v>shivani</v>
      </c>
    </row>
    <row r="1481">
      <c r="A1481" s="85">
        <f>IFERROR(__xludf.DUMMYFUNCTION("""COMPUTED_VALUE"""),45937.6595540625)</f>
        <v>45937.65955</v>
      </c>
      <c r="B1481" s="4"/>
      <c r="C1481" s="4"/>
      <c r="D1481" s="4"/>
      <c r="E1481" s="4"/>
      <c r="F1481" s="4"/>
      <c r="G1481" s="85">
        <f>IFERROR(__xludf.DUMMYFUNCTION("""COMPUTED_VALUE"""),45939.65902777778)</f>
        <v>45939.65903</v>
      </c>
      <c r="H1481" s="85" t="str">
        <f>IFERROR(__xludf.DUMMYFUNCTION("""COMPUTED_VALUE"""),"Estimate ")</f>
        <v>Estimate </v>
      </c>
      <c r="I1481" s="4" t="str">
        <f>IFERROR(__xludf.DUMMYFUNCTION("""COMPUTED_VALUE"""),"shivani")</f>
        <v>shivani</v>
      </c>
    </row>
    <row r="1482">
      <c r="A1482" s="85">
        <f>IFERROR(__xludf.DUMMYFUNCTION("""COMPUTED_VALUE"""),45937.71661416667)</f>
        <v>45937.71661</v>
      </c>
      <c r="B1482" s="4"/>
      <c r="C1482" s="4"/>
      <c r="D1482" s="4"/>
      <c r="E1482" s="4"/>
      <c r="F1482" s="4"/>
      <c r="G1482" s="85">
        <f>IFERROR(__xludf.DUMMYFUNCTION("""COMPUTED_VALUE"""),45939.71597222222)</f>
        <v>45939.71597</v>
      </c>
      <c r="H1482" s="85" t="str">
        <f>IFERROR(__xludf.DUMMYFUNCTION("""COMPUTED_VALUE"""),"Estimate ")</f>
        <v>Estimate </v>
      </c>
      <c r="I1482" s="4" t="str">
        <f>IFERROR(__xludf.DUMMYFUNCTION("""COMPUTED_VALUE"""),"shivani")</f>
        <v>shivani</v>
      </c>
    </row>
    <row r="1483">
      <c r="A1483" s="85">
        <f>IFERROR(__xludf.DUMMYFUNCTION("""COMPUTED_VALUE"""),45940.61953866899)</f>
        <v>45940.61954</v>
      </c>
      <c r="B1483" s="4"/>
      <c r="C1483" s="4"/>
      <c r="D1483" s="4"/>
      <c r="E1483" s="4"/>
      <c r="F1483" s="4"/>
      <c r="G1483" s="85">
        <f>IFERROR(__xludf.DUMMYFUNCTION("""COMPUTED_VALUE"""),45942.61944444444)</f>
        <v>45942.61944</v>
      </c>
      <c r="H1483" s="85" t="str">
        <f>IFERROR(__xludf.DUMMYFUNCTION("""COMPUTED_VALUE"""),"Estimate ")</f>
        <v>Estimate </v>
      </c>
      <c r="I1483" s="4" t="str">
        <f>IFERROR(__xludf.DUMMYFUNCTION("""COMPUTED_VALUE"""),"shivani")</f>
        <v>shivani</v>
      </c>
    </row>
    <row r="1484">
      <c r="A1484" s="85">
        <f>IFERROR(__xludf.DUMMYFUNCTION("""COMPUTED_VALUE"""),45940.621481539354)</f>
        <v>45940.62148</v>
      </c>
      <c r="B1484" s="4"/>
      <c r="C1484" s="4"/>
      <c r="D1484" s="4"/>
      <c r="E1484" s="4"/>
      <c r="F1484" s="4"/>
      <c r="G1484" s="85">
        <f>IFERROR(__xludf.DUMMYFUNCTION("""COMPUTED_VALUE"""),45942.620833333334)</f>
        <v>45942.62083</v>
      </c>
      <c r="H1484" s="85" t="str">
        <f>IFERROR(__xludf.DUMMYFUNCTION("""COMPUTED_VALUE"""),"Estimate ")</f>
        <v>Estimate </v>
      </c>
      <c r="I1484" s="4" t="str">
        <f>IFERROR(__xludf.DUMMYFUNCTION("""COMPUTED_VALUE"""),"shivani")</f>
        <v>shivani</v>
      </c>
    </row>
    <row r="1485">
      <c r="A1485" s="85">
        <f>IFERROR(__xludf.DUMMYFUNCTION("""COMPUTED_VALUE"""),45940.623434375)</f>
        <v>45940.62343</v>
      </c>
      <c r="B1485" s="4"/>
      <c r="C1485" s="4"/>
      <c r="D1485" s="4"/>
      <c r="E1485" s="4"/>
      <c r="F1485" s="4"/>
      <c r="G1485" s="85">
        <f>IFERROR(__xludf.DUMMYFUNCTION("""COMPUTED_VALUE"""),45942.62291666667)</f>
        <v>45942.62292</v>
      </c>
      <c r="H1485" s="85" t="str">
        <f>IFERROR(__xludf.DUMMYFUNCTION("""COMPUTED_VALUE"""),"Estimate ")</f>
        <v>Estimate </v>
      </c>
      <c r="I1485" s="4" t="str">
        <f>IFERROR(__xludf.DUMMYFUNCTION("""COMPUTED_VALUE"""),"shivani")</f>
        <v>shivani</v>
      </c>
    </row>
    <row r="1486">
      <c r="A1486" s="85">
        <f>IFERROR(__xludf.DUMMYFUNCTION("""COMPUTED_VALUE"""),45940.62748594907)</f>
        <v>45940.62749</v>
      </c>
      <c r="B1486" s="4"/>
      <c r="C1486" s="4"/>
      <c r="D1486" s="4"/>
      <c r="E1486" s="4"/>
      <c r="F1486" s="4"/>
      <c r="G1486" s="85">
        <f>IFERROR(__xludf.DUMMYFUNCTION("""COMPUTED_VALUE"""),45942.62708333333)</f>
        <v>45942.62708</v>
      </c>
      <c r="H1486" s="85" t="str">
        <f>IFERROR(__xludf.DUMMYFUNCTION("""COMPUTED_VALUE"""),"Estimate ")</f>
        <v>Estimate </v>
      </c>
      <c r="I1486" s="4" t="str">
        <f>IFERROR(__xludf.DUMMYFUNCTION("""COMPUTED_VALUE"""),"shivani")</f>
        <v>shivani</v>
      </c>
    </row>
    <row r="1487">
      <c r="A1487" s="85">
        <f>IFERROR(__xludf.DUMMYFUNCTION("""COMPUTED_VALUE"""),45943.50451518519)</f>
        <v>45943.50452</v>
      </c>
      <c r="B1487" s="4"/>
      <c r="C1487" s="4"/>
      <c r="D1487" s="4"/>
      <c r="E1487" s="4"/>
      <c r="F1487" s="4"/>
      <c r="G1487" s="85">
        <f>IFERROR(__xludf.DUMMYFUNCTION("""COMPUTED_VALUE"""),45945.504166666666)</f>
        <v>45945.50417</v>
      </c>
      <c r="H1487" s="85" t="str">
        <f>IFERROR(__xludf.DUMMYFUNCTION("""COMPUTED_VALUE"""),"Estimate ")</f>
        <v>Estimate </v>
      </c>
      <c r="I1487" s="4" t="str">
        <f>IFERROR(__xludf.DUMMYFUNCTION("""COMPUTED_VALUE"""),"shivani")</f>
        <v>shivani</v>
      </c>
    </row>
    <row r="1488">
      <c r="A1488" s="85">
        <f>IFERROR(__xludf.DUMMYFUNCTION("""COMPUTED_VALUE"""),45943.505268368055)</f>
        <v>45943.50527</v>
      </c>
      <c r="B1488" s="4"/>
      <c r="C1488" s="4"/>
      <c r="D1488" s="4"/>
      <c r="E1488" s="4"/>
      <c r="F1488" s="4"/>
      <c r="G1488" s="85">
        <f>IFERROR(__xludf.DUMMYFUNCTION("""COMPUTED_VALUE"""),45945.50486111111)</f>
        <v>45945.50486</v>
      </c>
      <c r="H1488" s="85" t="str">
        <f>IFERROR(__xludf.DUMMYFUNCTION("""COMPUTED_VALUE"""),"Estimate ")</f>
        <v>Estimate </v>
      </c>
      <c r="I1488" s="4" t="str">
        <f>IFERROR(__xludf.DUMMYFUNCTION("""COMPUTED_VALUE"""),"shivani")</f>
        <v>shivani</v>
      </c>
    </row>
    <row r="1489">
      <c r="A1489" s="85">
        <f>IFERROR(__xludf.DUMMYFUNCTION("""COMPUTED_VALUE"""),45943.50615736112)</f>
        <v>45943.50616</v>
      </c>
      <c r="B1489" s="4"/>
      <c r="C1489" s="4"/>
      <c r="D1489" s="4"/>
      <c r="E1489" s="4"/>
      <c r="F1489" s="4"/>
      <c r="G1489" s="85">
        <f>IFERROR(__xludf.DUMMYFUNCTION("""COMPUTED_VALUE"""),45945.50555555556)</f>
        <v>45945.50556</v>
      </c>
      <c r="H1489" s="85" t="str">
        <f>IFERROR(__xludf.DUMMYFUNCTION("""COMPUTED_VALUE"""),"Estimate ")</f>
        <v>Estimate </v>
      </c>
      <c r="I1489" s="4" t="str">
        <f>IFERROR(__xludf.DUMMYFUNCTION("""COMPUTED_VALUE"""),"shivani")</f>
        <v>shivani</v>
      </c>
    </row>
    <row r="1490">
      <c r="A1490" s="85">
        <f>IFERROR(__xludf.DUMMYFUNCTION("""COMPUTED_VALUE"""),45943.507548981484)</f>
        <v>45943.50755</v>
      </c>
      <c r="B1490" s="4"/>
      <c r="C1490" s="4"/>
      <c r="D1490" s="4"/>
      <c r="E1490" s="4"/>
      <c r="F1490" s="4"/>
      <c r="G1490" s="85">
        <f>IFERROR(__xludf.DUMMYFUNCTION("""COMPUTED_VALUE"""),45945.506944444445)</f>
        <v>45945.50694</v>
      </c>
      <c r="H1490" s="85" t="str">
        <f>IFERROR(__xludf.DUMMYFUNCTION("""COMPUTED_VALUE"""),"Estimate ")</f>
        <v>Estimate </v>
      </c>
      <c r="I1490" s="4" t="str">
        <f>IFERROR(__xludf.DUMMYFUNCTION("""COMPUTED_VALUE"""),"shivani")</f>
        <v>shivani</v>
      </c>
    </row>
    <row r="1491">
      <c r="A1491" s="85">
        <f>IFERROR(__xludf.DUMMYFUNCTION("""COMPUTED_VALUE"""),45943.50843770833)</f>
        <v>45943.50844</v>
      </c>
      <c r="B1491" s="4"/>
      <c r="C1491" s="4"/>
      <c r="D1491" s="4"/>
      <c r="E1491" s="4"/>
      <c r="F1491" s="4"/>
      <c r="G1491" s="85">
        <f>IFERROR(__xludf.DUMMYFUNCTION("""COMPUTED_VALUE"""),45945.50833333333)</f>
        <v>45945.50833</v>
      </c>
      <c r="H1491" s="85" t="str">
        <f>IFERROR(__xludf.DUMMYFUNCTION("""COMPUTED_VALUE"""),"Estimate ")</f>
        <v>Estimate </v>
      </c>
      <c r="I1491" s="4" t="str">
        <f>IFERROR(__xludf.DUMMYFUNCTION("""COMPUTED_VALUE"""),"shivani")</f>
        <v>shivani</v>
      </c>
    </row>
    <row r="1492">
      <c r="A1492" s="85">
        <f>IFERROR(__xludf.DUMMYFUNCTION("""COMPUTED_VALUE"""),45943.50923506944)</f>
        <v>45943.50924</v>
      </c>
      <c r="B1492" s="4"/>
      <c r="C1492" s="4"/>
      <c r="D1492" s="4"/>
      <c r="E1492" s="4"/>
      <c r="F1492" s="4"/>
      <c r="G1492" s="85">
        <f>IFERROR(__xludf.DUMMYFUNCTION("""COMPUTED_VALUE"""),45945.50902777778)</f>
        <v>45945.50903</v>
      </c>
      <c r="H1492" s="85" t="str">
        <f>IFERROR(__xludf.DUMMYFUNCTION("""COMPUTED_VALUE"""),"Estimate ")</f>
        <v>Estimate </v>
      </c>
      <c r="I1492" s="4" t="str">
        <f>IFERROR(__xludf.DUMMYFUNCTION("""COMPUTED_VALUE"""),"shivani")</f>
        <v>shivani</v>
      </c>
    </row>
    <row r="1493">
      <c r="A1493" s="85">
        <f>IFERROR(__xludf.DUMMYFUNCTION("""COMPUTED_VALUE"""),45943.511449398145)</f>
        <v>45943.51145</v>
      </c>
      <c r="B1493" s="4"/>
      <c r="C1493" s="4"/>
      <c r="D1493" s="4"/>
      <c r="E1493" s="4"/>
      <c r="F1493" s="4"/>
      <c r="G1493" s="85">
        <f>IFERROR(__xludf.DUMMYFUNCTION("""COMPUTED_VALUE"""),45945.51111111111)</f>
        <v>45945.51111</v>
      </c>
      <c r="H1493" s="85" t="str">
        <f>IFERROR(__xludf.DUMMYFUNCTION("""COMPUTED_VALUE"""),"Estimate ")</f>
        <v>Estimate </v>
      </c>
      <c r="I1493" s="4" t="str">
        <f>IFERROR(__xludf.DUMMYFUNCTION("""COMPUTED_VALUE"""),"shivani")</f>
        <v>shivani</v>
      </c>
    </row>
    <row r="1494">
      <c r="A1494" s="85">
        <f>IFERROR(__xludf.DUMMYFUNCTION("""COMPUTED_VALUE"""),45943.704364398145)</f>
        <v>45943.70436</v>
      </c>
      <c r="B1494" s="4"/>
      <c r="C1494" s="4"/>
      <c r="D1494" s="4"/>
      <c r="E1494" s="4"/>
      <c r="F1494" s="4"/>
      <c r="G1494" s="85">
        <f>IFERROR(__xludf.DUMMYFUNCTION("""COMPUTED_VALUE"""),45945.70416666666)</f>
        <v>45945.70417</v>
      </c>
      <c r="H1494" s="85" t="str">
        <f>IFERROR(__xludf.DUMMYFUNCTION("""COMPUTED_VALUE"""),"Estimate ")</f>
        <v>Estimate </v>
      </c>
      <c r="I1494" s="4" t="str">
        <f>IFERROR(__xludf.DUMMYFUNCTION("""COMPUTED_VALUE"""),"shivani")</f>
        <v>shivani</v>
      </c>
    </row>
    <row r="1495">
      <c r="A1495" s="85">
        <f>IFERROR(__xludf.DUMMYFUNCTION("""COMPUTED_VALUE"""),45953.61774033565)</f>
        <v>45953.61774</v>
      </c>
      <c r="B1495" s="4"/>
      <c r="C1495" s="4"/>
      <c r="D1495" s="4"/>
      <c r="E1495" s="4"/>
      <c r="F1495" s="4"/>
      <c r="G1495" s="85">
        <f>IFERROR(__xludf.DUMMYFUNCTION("""COMPUTED_VALUE"""),45955.617361111115)</f>
        <v>45955.61736</v>
      </c>
      <c r="H1495" s="85" t="str">
        <f>IFERROR(__xludf.DUMMYFUNCTION("""COMPUTED_VALUE"""),"Estimate ")</f>
        <v>Estimate </v>
      </c>
      <c r="I1495" s="4" t="str">
        <f>IFERROR(__xludf.DUMMYFUNCTION("""COMPUTED_VALUE"""),"shivani")</f>
        <v>shivani</v>
      </c>
    </row>
    <row r="1496">
      <c r="A1496" s="85">
        <f>IFERROR(__xludf.DUMMYFUNCTION("""COMPUTED_VALUE"""),45953.641726574075)</f>
        <v>45953.64173</v>
      </c>
      <c r="B1496" s="4"/>
      <c r="C1496" s="4"/>
      <c r="D1496" s="4"/>
      <c r="E1496" s="4"/>
      <c r="F1496" s="4"/>
      <c r="G1496" s="85">
        <f>IFERROR(__xludf.DUMMYFUNCTION("""COMPUTED_VALUE"""),45955.64166666666)</f>
        <v>45955.64167</v>
      </c>
      <c r="H1496" s="85" t="str">
        <f>IFERROR(__xludf.DUMMYFUNCTION("""COMPUTED_VALUE"""),"Estimate ")</f>
        <v>Estimate </v>
      </c>
      <c r="I1496" s="4" t="str">
        <f>IFERROR(__xludf.DUMMYFUNCTION("""COMPUTED_VALUE"""),"shivani")</f>
        <v>shivani</v>
      </c>
    </row>
    <row r="1497">
      <c r="A1497" s="85">
        <f>IFERROR(__xludf.DUMMYFUNCTION("""COMPUTED_VALUE"""),45953.65946837963)</f>
        <v>45953.65947</v>
      </c>
      <c r="B1497" s="4"/>
      <c r="C1497" s="4"/>
      <c r="D1497" s="4"/>
      <c r="E1497" s="4"/>
      <c r="F1497" s="4"/>
      <c r="G1497" s="85">
        <f>IFERROR(__xludf.DUMMYFUNCTION("""COMPUTED_VALUE"""),45955.65902777778)</f>
        <v>45955.65903</v>
      </c>
      <c r="H1497" s="85" t="str">
        <f>IFERROR(__xludf.DUMMYFUNCTION("""COMPUTED_VALUE"""),"Estimate ")</f>
        <v>Estimate </v>
      </c>
      <c r="I1497" s="4" t="str">
        <f>IFERROR(__xludf.DUMMYFUNCTION("""COMPUTED_VALUE"""),"shivani")</f>
        <v>shivani</v>
      </c>
    </row>
    <row r="1498">
      <c r="A1498" s="85">
        <f>IFERROR(__xludf.DUMMYFUNCTION("""COMPUTED_VALUE"""),45969.48252637732)</f>
        <v>45969.48253</v>
      </c>
      <c r="B1498" s="4"/>
      <c r="C1498" s="4"/>
      <c r="D1498" s="4"/>
      <c r="E1498" s="4"/>
      <c r="F1498" s="4"/>
      <c r="G1498" s="85">
        <f>IFERROR(__xludf.DUMMYFUNCTION("""COMPUTED_VALUE"""),45972.481944444444)</f>
        <v>45972.48194</v>
      </c>
      <c r="H1498" s="85" t="str">
        <f>IFERROR(__xludf.DUMMYFUNCTION("""COMPUTED_VALUE"""),"Estimate ")</f>
        <v>Estimate </v>
      </c>
      <c r="I1498" s="4" t="str">
        <f>IFERROR(__xludf.DUMMYFUNCTION("""COMPUTED_VALUE"""),"shivani")</f>
        <v>shivani</v>
      </c>
    </row>
    <row r="1499">
      <c r="A1499" s="85">
        <f>IFERROR(__xludf.DUMMYFUNCTION("""COMPUTED_VALUE"""),45969.48671556713)</f>
        <v>45969.48672</v>
      </c>
      <c r="B1499" s="4"/>
      <c r="C1499" s="4"/>
      <c r="D1499" s="4"/>
      <c r="E1499" s="4"/>
      <c r="F1499" s="4"/>
      <c r="G1499" s="85">
        <f>IFERROR(__xludf.DUMMYFUNCTION("""COMPUTED_VALUE"""),45972.48611111111)</f>
        <v>45972.48611</v>
      </c>
      <c r="H1499" s="85" t="str">
        <f>IFERROR(__xludf.DUMMYFUNCTION("""COMPUTED_VALUE"""),"Estimate ")</f>
        <v>Estimate </v>
      </c>
      <c r="I1499" s="4" t="str">
        <f>IFERROR(__xludf.DUMMYFUNCTION("""COMPUTED_VALUE"""),"shivani")</f>
        <v>shivani</v>
      </c>
    </row>
    <row r="1500">
      <c r="A1500" s="85">
        <f>IFERROR(__xludf.DUMMYFUNCTION("""COMPUTED_VALUE"""),45969.489836574074)</f>
        <v>45969.48984</v>
      </c>
      <c r="B1500" s="4"/>
      <c r="C1500" s="4"/>
      <c r="D1500" s="4"/>
      <c r="E1500" s="4"/>
      <c r="F1500" s="4"/>
      <c r="G1500" s="85">
        <f>IFERROR(__xludf.DUMMYFUNCTION("""COMPUTED_VALUE"""),45972.48958333333)</f>
        <v>45972.48958</v>
      </c>
      <c r="H1500" s="85" t="str">
        <f>IFERROR(__xludf.DUMMYFUNCTION("""COMPUTED_VALUE"""),"Estimate ")</f>
        <v>Estimate </v>
      </c>
      <c r="I1500" s="4" t="str">
        <f>IFERROR(__xludf.DUMMYFUNCTION("""COMPUTED_VALUE"""),"shivani")</f>
        <v>shivani</v>
      </c>
    </row>
    <row r="1501">
      <c r="A1501" s="85">
        <f>IFERROR(__xludf.DUMMYFUNCTION("""COMPUTED_VALUE"""),45969.49170528936)</f>
        <v>45969.49171</v>
      </c>
      <c r="B1501" s="4"/>
      <c r="C1501" s="4"/>
      <c r="D1501" s="4"/>
      <c r="E1501" s="4"/>
      <c r="F1501" s="4"/>
      <c r="G1501" s="85">
        <f>IFERROR(__xludf.DUMMYFUNCTION("""COMPUTED_VALUE"""),45972.49166666667)</f>
        <v>45972.49167</v>
      </c>
      <c r="H1501" s="85" t="str">
        <f>IFERROR(__xludf.DUMMYFUNCTION("""COMPUTED_VALUE"""),"Estimate ")</f>
        <v>Estimate </v>
      </c>
      <c r="I1501" s="4" t="str">
        <f>IFERROR(__xludf.DUMMYFUNCTION("""COMPUTED_VALUE"""),"shivani")</f>
        <v>shivani</v>
      </c>
    </row>
    <row r="1502">
      <c r="A1502" s="85">
        <f>IFERROR(__xludf.DUMMYFUNCTION("""COMPUTED_VALUE"""),45969.66087284722)</f>
        <v>45969.66087</v>
      </c>
      <c r="B1502" s="4"/>
      <c r="C1502" s="4"/>
      <c r="D1502" s="4"/>
      <c r="E1502" s="4"/>
      <c r="F1502" s="4"/>
      <c r="G1502" s="85">
        <f>IFERROR(__xludf.DUMMYFUNCTION("""COMPUTED_VALUE"""),45972.660416666666)</f>
        <v>45972.66042</v>
      </c>
      <c r="H1502" s="85" t="str">
        <f>IFERROR(__xludf.DUMMYFUNCTION("""COMPUTED_VALUE"""),"Estimate ")</f>
        <v>Estimate </v>
      </c>
      <c r="I1502" s="4" t="str">
        <f>IFERROR(__xludf.DUMMYFUNCTION("""COMPUTED_VALUE"""),"shivani")</f>
        <v>shivani</v>
      </c>
    </row>
    <row r="1503">
      <c r="A1503" s="85">
        <f>IFERROR(__xludf.DUMMYFUNCTION("""COMPUTED_VALUE"""),45969.66544569444)</f>
        <v>45969.66545</v>
      </c>
      <c r="B1503" s="4"/>
      <c r="C1503" s="4"/>
      <c r="D1503" s="4"/>
      <c r="E1503" s="4"/>
      <c r="F1503" s="4"/>
      <c r="G1503" s="85">
        <f>IFERROR(__xludf.DUMMYFUNCTION("""COMPUTED_VALUE"""),45972.66527777778)</f>
        <v>45972.66528</v>
      </c>
      <c r="H1503" s="85" t="str">
        <f>IFERROR(__xludf.DUMMYFUNCTION("""COMPUTED_VALUE"""),"Estimate ")</f>
        <v>Estimate </v>
      </c>
      <c r="I1503" s="4" t="str">
        <f>IFERROR(__xludf.DUMMYFUNCTION("""COMPUTED_VALUE"""),"shivani")</f>
        <v>shivani</v>
      </c>
    </row>
    <row r="1504">
      <c r="A1504" s="85">
        <f>IFERROR(__xludf.DUMMYFUNCTION("""COMPUTED_VALUE"""),45969.66631677083)</f>
        <v>45969.66632</v>
      </c>
      <c r="B1504" s="4"/>
      <c r="C1504" s="4"/>
      <c r="D1504" s="4"/>
      <c r="E1504" s="4"/>
      <c r="F1504" s="4"/>
      <c r="G1504" s="85">
        <f>IFERROR(__xludf.DUMMYFUNCTION("""COMPUTED_VALUE"""),45972.665972222225)</f>
        <v>45972.66597</v>
      </c>
      <c r="H1504" s="85" t="str">
        <f>IFERROR(__xludf.DUMMYFUNCTION("""COMPUTED_VALUE"""),"Estimate ")</f>
        <v>Estimate </v>
      </c>
      <c r="I1504" s="4" t="str">
        <f>IFERROR(__xludf.DUMMYFUNCTION("""COMPUTED_VALUE"""),"shivani")</f>
        <v>shivani</v>
      </c>
    </row>
    <row r="1505">
      <c r="A1505" s="85">
        <f>IFERROR(__xludf.DUMMYFUNCTION("""COMPUTED_VALUE"""),45969.66752710648)</f>
        <v>45969.66753</v>
      </c>
      <c r="B1505" s="4"/>
      <c r="C1505" s="4"/>
      <c r="D1505" s="4"/>
      <c r="E1505" s="4"/>
      <c r="F1505" s="4"/>
      <c r="G1505" s="85">
        <f>IFERROR(__xludf.DUMMYFUNCTION("""COMPUTED_VALUE"""),45972.66736111111)</f>
        <v>45972.66736</v>
      </c>
      <c r="H1505" s="85" t="str">
        <f>IFERROR(__xludf.DUMMYFUNCTION("""COMPUTED_VALUE"""),"Estimate ")</f>
        <v>Estimate </v>
      </c>
      <c r="I1505" s="4" t="str">
        <f>IFERROR(__xludf.DUMMYFUNCTION("""COMPUTED_VALUE"""),"shivani")</f>
        <v>shivani</v>
      </c>
    </row>
    <row r="1506">
      <c r="A1506" s="85">
        <f>IFERROR(__xludf.DUMMYFUNCTION("""COMPUTED_VALUE"""),45969.66915135417)</f>
        <v>45969.66915</v>
      </c>
      <c r="B1506" s="4"/>
      <c r="C1506" s="4"/>
      <c r="D1506" s="4"/>
      <c r="E1506" s="4"/>
      <c r="F1506" s="4"/>
      <c r="G1506" s="85">
        <f>IFERROR(__xludf.DUMMYFUNCTION("""COMPUTED_VALUE"""),45972.66875)</f>
        <v>45972.66875</v>
      </c>
      <c r="H1506" s="85" t="str">
        <f>IFERROR(__xludf.DUMMYFUNCTION("""COMPUTED_VALUE"""),"Estimate ")</f>
        <v>Estimate </v>
      </c>
      <c r="I1506" s="4" t="str">
        <f>IFERROR(__xludf.DUMMYFUNCTION("""COMPUTED_VALUE"""),"shivani")</f>
        <v>shivani</v>
      </c>
    </row>
    <row r="1507">
      <c r="A1507" s="85">
        <f>IFERROR(__xludf.DUMMYFUNCTION("""COMPUTED_VALUE"""),45972.52396494213)</f>
        <v>45972.52396</v>
      </c>
      <c r="B1507" s="4"/>
      <c r="C1507" s="4"/>
      <c r="D1507" s="4"/>
      <c r="E1507" s="4"/>
      <c r="F1507" s="4"/>
      <c r="G1507" s="85">
        <f>IFERROR(__xludf.DUMMYFUNCTION("""COMPUTED_VALUE"""),45974.523611111115)</f>
        <v>45974.52361</v>
      </c>
      <c r="H1507" s="85" t="str">
        <f>IFERROR(__xludf.DUMMYFUNCTION("""COMPUTED_VALUE"""),"Estimate ")</f>
        <v>Estimate </v>
      </c>
      <c r="I1507" s="4" t="str">
        <f>IFERROR(__xludf.DUMMYFUNCTION("""COMPUTED_VALUE"""),"shivani")</f>
        <v>shivani</v>
      </c>
    </row>
    <row r="1508">
      <c r="A1508" s="85">
        <f>IFERROR(__xludf.DUMMYFUNCTION("""COMPUTED_VALUE"""),45972.55423697917)</f>
        <v>45972.55424</v>
      </c>
      <c r="B1508" s="4"/>
      <c r="C1508" s="4"/>
      <c r="D1508" s="4"/>
      <c r="E1508" s="4"/>
      <c r="F1508" s="4"/>
      <c r="G1508" s="85">
        <f>IFERROR(__xludf.DUMMYFUNCTION("""COMPUTED_VALUE"""),45974.55416666667)</f>
        <v>45974.55417</v>
      </c>
      <c r="H1508" s="85" t="str">
        <f>IFERROR(__xludf.DUMMYFUNCTION("""COMPUTED_VALUE"""),"Estimate ")</f>
        <v>Estimate </v>
      </c>
      <c r="I1508" s="4" t="str">
        <f>IFERROR(__xludf.DUMMYFUNCTION("""COMPUTED_VALUE"""),"shivani")</f>
        <v>shivani</v>
      </c>
    </row>
    <row r="1509">
      <c r="A1509" s="85">
        <f>IFERROR(__xludf.DUMMYFUNCTION("""COMPUTED_VALUE"""),45972.57629430555)</f>
        <v>45972.57629</v>
      </c>
      <c r="B1509" s="4"/>
      <c r="C1509" s="4"/>
      <c r="D1509" s="4"/>
      <c r="E1509" s="4"/>
      <c r="F1509" s="4"/>
      <c r="G1509" s="85">
        <f>IFERROR(__xludf.DUMMYFUNCTION("""COMPUTED_VALUE"""),45974.575694444444)</f>
        <v>45974.57569</v>
      </c>
      <c r="H1509" s="85" t="str">
        <f>IFERROR(__xludf.DUMMYFUNCTION("""COMPUTED_VALUE"""),"Estimate ")</f>
        <v>Estimate </v>
      </c>
      <c r="I1509" s="4" t="str">
        <f>IFERROR(__xludf.DUMMYFUNCTION("""COMPUTED_VALUE"""),"shivani")</f>
        <v>shivani</v>
      </c>
    </row>
    <row r="1510">
      <c r="A1510" s="85">
        <f>IFERROR(__xludf.DUMMYFUNCTION("""COMPUTED_VALUE"""),45972.577502754626)</f>
        <v>45972.5775</v>
      </c>
      <c r="B1510" s="4"/>
      <c r="C1510" s="4"/>
      <c r="D1510" s="4"/>
      <c r="E1510" s="4"/>
      <c r="F1510" s="4"/>
      <c r="G1510" s="85">
        <f>IFERROR(__xludf.DUMMYFUNCTION("""COMPUTED_VALUE"""),45974.57708333334)</f>
        <v>45974.57708</v>
      </c>
      <c r="H1510" s="85" t="str">
        <f>IFERROR(__xludf.DUMMYFUNCTION("""COMPUTED_VALUE"""),"Estimate ")</f>
        <v>Estimate </v>
      </c>
      <c r="I1510" s="4" t="str">
        <f>IFERROR(__xludf.DUMMYFUNCTION("""COMPUTED_VALUE"""),"shivani")</f>
        <v>shivani</v>
      </c>
    </row>
    <row r="1511">
      <c r="A1511" s="85">
        <f>IFERROR(__xludf.DUMMYFUNCTION("""COMPUTED_VALUE"""),45972.57851228009)</f>
        <v>45972.57851</v>
      </c>
      <c r="B1511" s="4"/>
      <c r="C1511" s="4"/>
      <c r="D1511" s="4"/>
      <c r="E1511" s="4"/>
      <c r="F1511" s="4"/>
      <c r="G1511" s="85">
        <f>IFERROR(__xludf.DUMMYFUNCTION("""COMPUTED_VALUE"""),45974.57847222222)</f>
        <v>45974.57847</v>
      </c>
      <c r="H1511" s="85" t="str">
        <f>IFERROR(__xludf.DUMMYFUNCTION("""COMPUTED_VALUE"""),"Estimate ")</f>
        <v>Estimate </v>
      </c>
      <c r="I1511" s="4" t="str">
        <f>IFERROR(__xludf.DUMMYFUNCTION("""COMPUTED_VALUE"""),"shivani")</f>
        <v>shivani</v>
      </c>
    </row>
    <row r="1512">
      <c r="A1512" s="85">
        <f>IFERROR(__xludf.DUMMYFUNCTION("""COMPUTED_VALUE"""),45972.57944231482)</f>
        <v>45972.57944</v>
      </c>
      <c r="B1512" s="4"/>
      <c r="C1512" s="4"/>
      <c r="D1512" s="4"/>
      <c r="E1512" s="4"/>
      <c r="F1512" s="4"/>
      <c r="G1512" s="85">
        <f>IFERROR(__xludf.DUMMYFUNCTION("""COMPUTED_VALUE"""),45974.57916666666)</f>
        <v>45974.57917</v>
      </c>
      <c r="H1512" s="85" t="str">
        <f>IFERROR(__xludf.DUMMYFUNCTION("""COMPUTED_VALUE"""),"Estimate ")</f>
        <v>Estimate </v>
      </c>
      <c r="I1512" s="4" t="str">
        <f>IFERROR(__xludf.DUMMYFUNCTION("""COMPUTED_VALUE"""),"shivani")</f>
        <v>shivani</v>
      </c>
    </row>
    <row r="1513">
      <c r="A1513" s="85">
        <f>IFERROR(__xludf.DUMMYFUNCTION("""COMPUTED_VALUE"""),45977.61698918981)</f>
        <v>45977.61699</v>
      </c>
      <c r="B1513" s="4"/>
      <c r="C1513" s="4"/>
      <c r="D1513" s="4"/>
      <c r="E1513" s="4"/>
      <c r="F1513" s="4"/>
      <c r="G1513" s="85">
        <f>IFERROR(__xludf.DUMMYFUNCTION("""COMPUTED_VALUE"""),45980.61666666667)</f>
        <v>45980.61667</v>
      </c>
      <c r="H1513" s="85" t="str">
        <f>IFERROR(__xludf.DUMMYFUNCTION("""COMPUTED_VALUE"""),"Estimate ")</f>
        <v>Estimate </v>
      </c>
      <c r="I1513" s="4" t="str">
        <f>IFERROR(__xludf.DUMMYFUNCTION("""COMPUTED_VALUE"""),"shivani")</f>
        <v>shivani</v>
      </c>
    </row>
    <row r="1514">
      <c r="A1514" s="85">
        <f>IFERROR(__xludf.DUMMYFUNCTION("""COMPUTED_VALUE"""),45977.619937476855)</f>
        <v>45977.61994</v>
      </c>
      <c r="B1514" s="4"/>
      <c r="C1514" s="4"/>
      <c r="D1514" s="4"/>
      <c r="E1514" s="4"/>
      <c r="F1514" s="4"/>
      <c r="G1514" s="85">
        <f>IFERROR(__xludf.DUMMYFUNCTION("""COMPUTED_VALUE"""),45980.61944444444)</f>
        <v>45980.61944</v>
      </c>
      <c r="H1514" s="85" t="str">
        <f>IFERROR(__xludf.DUMMYFUNCTION("""COMPUTED_VALUE"""),"Estimate ")</f>
        <v>Estimate </v>
      </c>
      <c r="I1514" s="4" t="str">
        <f>IFERROR(__xludf.DUMMYFUNCTION("""COMPUTED_VALUE"""),"shivani")</f>
        <v>shivani</v>
      </c>
    </row>
    <row r="1515">
      <c r="A1515" s="85">
        <f>IFERROR(__xludf.DUMMYFUNCTION("""COMPUTED_VALUE"""),45989.555480034716)</f>
        <v>45989.55548</v>
      </c>
      <c r="B1515" s="4"/>
      <c r="C1515" s="4"/>
      <c r="D1515" s="4"/>
      <c r="E1515" s="4"/>
      <c r="F1515" s="4"/>
      <c r="G1515" s="85">
        <f>IFERROR(__xludf.DUMMYFUNCTION("""COMPUTED_VALUE"""),45991.554861111115)</f>
        <v>45991.55486</v>
      </c>
      <c r="H1515" s="85" t="str">
        <f>IFERROR(__xludf.DUMMYFUNCTION("""COMPUTED_VALUE"""),"Estimate ")</f>
        <v>Estimate </v>
      </c>
      <c r="I1515" s="4" t="str">
        <f>IFERROR(__xludf.DUMMYFUNCTION("""COMPUTED_VALUE"""),"shivani")</f>
        <v>shivani</v>
      </c>
    </row>
    <row r="1516">
      <c r="A1516" s="85">
        <f>IFERROR(__xludf.DUMMYFUNCTION("""COMPUTED_VALUE"""),45989.55688300925)</f>
        <v>45989.55688</v>
      </c>
      <c r="B1516" s="4"/>
      <c r="C1516" s="4"/>
      <c r="D1516" s="4"/>
      <c r="E1516" s="4"/>
      <c r="F1516" s="4"/>
      <c r="G1516" s="85">
        <f>IFERROR(__xludf.DUMMYFUNCTION("""COMPUTED_VALUE"""),45991.55625)</f>
        <v>45991.55625</v>
      </c>
      <c r="H1516" s="85" t="str">
        <f>IFERROR(__xludf.DUMMYFUNCTION("""COMPUTED_VALUE"""),"Estimate ")</f>
        <v>Estimate </v>
      </c>
      <c r="I1516" s="4" t="str">
        <f>IFERROR(__xludf.DUMMYFUNCTION("""COMPUTED_VALUE"""),"shivani")</f>
        <v>shivani</v>
      </c>
    </row>
    <row r="1517">
      <c r="A1517" s="85">
        <f>IFERROR(__xludf.DUMMYFUNCTION("""COMPUTED_VALUE"""),46050.781717488426)</f>
        <v>46050.78172</v>
      </c>
      <c r="B1517" s="4"/>
      <c r="C1517" s="4"/>
      <c r="D1517" s="4"/>
      <c r="E1517" s="4"/>
      <c r="F1517" s="4"/>
      <c r="G1517" s="85">
        <f>IFERROR(__xludf.DUMMYFUNCTION("""COMPUTED_VALUE"""),46052.78125)</f>
        <v>46052.78125</v>
      </c>
      <c r="H1517" s="85" t="str">
        <f>IFERROR(__xludf.DUMMYFUNCTION("""COMPUTED_VALUE"""),"Estimate ")</f>
        <v>Estimate </v>
      </c>
      <c r="I1517" s="4" t="str">
        <f>IFERROR(__xludf.DUMMYFUNCTION("""COMPUTED_VALUE"""),"shivani")</f>
        <v>shivani</v>
      </c>
    </row>
    <row r="1518">
      <c r="A1518" s="85">
        <f>IFERROR(__xludf.DUMMYFUNCTION("""COMPUTED_VALUE"""),46050.79806152778)</f>
        <v>46050.79806</v>
      </c>
      <c r="B1518" s="4"/>
      <c r="C1518" s="4"/>
      <c r="D1518" s="4"/>
      <c r="E1518" s="4"/>
      <c r="F1518" s="4"/>
      <c r="G1518" s="85">
        <f>IFERROR(__xludf.DUMMYFUNCTION("""COMPUTED_VALUE"""),46052.79791666666)</f>
        <v>46052.79792</v>
      </c>
      <c r="H1518" s="85" t="str">
        <f>IFERROR(__xludf.DUMMYFUNCTION("""COMPUTED_VALUE"""),"Estimate ")</f>
        <v>Estimate </v>
      </c>
      <c r="I1518" s="4" t="str">
        <f>IFERROR(__xludf.DUMMYFUNCTION("""COMPUTED_VALUE"""),"shivani")</f>
        <v>shivani</v>
      </c>
    </row>
    <row r="1519">
      <c r="A1519" s="85">
        <f>IFERROR(__xludf.DUMMYFUNCTION("""COMPUTED_VALUE"""),46051.66056063658)</f>
        <v>46051.66056</v>
      </c>
      <c r="B1519" s="4"/>
      <c r="C1519" s="4"/>
      <c r="D1519" s="4"/>
      <c r="E1519" s="4"/>
      <c r="F1519" s="4"/>
      <c r="G1519" s="85">
        <f>IFERROR(__xludf.DUMMYFUNCTION("""COMPUTED_VALUE"""),46053.660416666666)</f>
        <v>46053.66042</v>
      </c>
      <c r="H1519" s="85" t="str">
        <f>IFERROR(__xludf.DUMMYFUNCTION("""COMPUTED_VALUE"""),"Estimate ")</f>
        <v>Estimate </v>
      </c>
      <c r="I1519" s="4" t="str">
        <f>IFERROR(__xludf.DUMMYFUNCTION("""COMPUTED_VALUE"""),"shivani")</f>
        <v>shivani</v>
      </c>
    </row>
    <row r="1520">
      <c r="A1520" s="85">
        <f>IFERROR(__xludf.DUMMYFUNCTION("""COMPUTED_VALUE"""),46051.66212524305)</f>
        <v>46051.66213</v>
      </c>
      <c r="B1520" s="4"/>
      <c r="C1520" s="4"/>
      <c r="D1520" s="4"/>
      <c r="E1520" s="4"/>
      <c r="F1520" s="4"/>
      <c r="G1520" s="85">
        <f>IFERROR(__xludf.DUMMYFUNCTION("""COMPUTED_VALUE"""),46053.66180555556)</f>
        <v>46053.66181</v>
      </c>
      <c r="H1520" s="85" t="str">
        <f>IFERROR(__xludf.DUMMYFUNCTION("""COMPUTED_VALUE"""),"Estimate ")</f>
        <v>Estimate </v>
      </c>
      <c r="I1520" s="4" t="str">
        <f>IFERROR(__xludf.DUMMYFUNCTION("""COMPUTED_VALUE"""),"shivani")</f>
        <v>shivani</v>
      </c>
    </row>
    <row r="1521">
      <c r="A1521" s="85">
        <f>IFERROR(__xludf.DUMMYFUNCTION("""COMPUTED_VALUE"""),46051.699569293974)</f>
        <v>46051.69957</v>
      </c>
      <c r="B1521" s="4"/>
      <c r="C1521" s="4"/>
      <c r="D1521" s="4"/>
      <c r="E1521" s="4"/>
      <c r="F1521" s="4"/>
      <c r="G1521" s="85">
        <f>IFERROR(__xludf.DUMMYFUNCTION("""COMPUTED_VALUE"""),46053.69930555555)</f>
        <v>46053.69931</v>
      </c>
      <c r="H1521" s="85" t="str">
        <f>IFERROR(__xludf.DUMMYFUNCTION("""COMPUTED_VALUE"""),"Estimate ")</f>
        <v>Estimate </v>
      </c>
      <c r="I1521" s="4" t="str">
        <f>IFERROR(__xludf.DUMMYFUNCTION("""COMPUTED_VALUE"""),"shivani")</f>
        <v>shivani</v>
      </c>
    </row>
    <row r="1522">
      <c r="A1522" s="85">
        <f>IFERROR(__xludf.DUMMYFUNCTION("""COMPUTED_VALUE"""),46051.70065262732)</f>
        <v>46051.70065</v>
      </c>
      <c r="B1522" s="4"/>
      <c r="C1522" s="4"/>
      <c r="D1522" s="4"/>
      <c r="E1522" s="4"/>
      <c r="F1522" s="4"/>
      <c r="G1522" s="85">
        <f>IFERROR(__xludf.DUMMYFUNCTION("""COMPUTED_VALUE"""),46053.7)</f>
        <v>46053.7</v>
      </c>
      <c r="H1522" s="85" t="str">
        <f>IFERROR(__xludf.DUMMYFUNCTION("""COMPUTED_VALUE"""),"Estimate ")</f>
        <v>Estimate </v>
      </c>
      <c r="I1522" s="4" t="str">
        <f>IFERROR(__xludf.DUMMYFUNCTION("""COMPUTED_VALUE"""),"shivani")</f>
        <v>shivani</v>
      </c>
    </row>
    <row r="1523">
      <c r="A1523" s="85">
        <f>IFERROR(__xludf.DUMMYFUNCTION("""COMPUTED_VALUE"""),46051.77481296296)</f>
        <v>46051.77481</v>
      </c>
      <c r="B1523" s="4"/>
      <c r="C1523" s="4"/>
      <c r="D1523" s="4"/>
      <c r="E1523" s="4"/>
      <c r="F1523" s="4"/>
      <c r="G1523" s="85">
        <f>IFERROR(__xludf.DUMMYFUNCTION("""COMPUTED_VALUE"""),46053.774305555555)</f>
        <v>46053.77431</v>
      </c>
      <c r="H1523" s="85" t="str">
        <f>IFERROR(__xludf.DUMMYFUNCTION("""COMPUTED_VALUE"""),"Estimate ")</f>
        <v>Estimate </v>
      </c>
      <c r="I1523" s="4" t="str">
        <f>IFERROR(__xludf.DUMMYFUNCTION("""COMPUTED_VALUE"""),"shivani")</f>
        <v>shivani</v>
      </c>
    </row>
    <row r="1524">
      <c r="A1524" s="85">
        <f>IFERROR(__xludf.DUMMYFUNCTION("""COMPUTED_VALUE"""),46051.776015057876)</f>
        <v>46051.77602</v>
      </c>
      <c r="B1524" s="4"/>
      <c r="C1524" s="4"/>
      <c r="D1524" s="4"/>
      <c r="E1524" s="4"/>
      <c r="F1524" s="4"/>
      <c r="G1524" s="85">
        <f>IFERROR(__xludf.DUMMYFUNCTION("""COMPUTED_VALUE"""),46053.77569444444)</f>
        <v>46053.77569</v>
      </c>
      <c r="H1524" s="85" t="str">
        <f>IFERROR(__xludf.DUMMYFUNCTION("""COMPUTED_VALUE"""),"Estimate ")</f>
        <v>Estimate </v>
      </c>
      <c r="I1524" s="4" t="str">
        <f>IFERROR(__xludf.DUMMYFUNCTION("""COMPUTED_VALUE"""),"shivani")</f>
        <v>shivani</v>
      </c>
    </row>
    <row r="1525">
      <c r="A1525" s="85">
        <f>IFERROR(__xludf.DUMMYFUNCTION("""COMPUTED_VALUE"""),46051.785749097224)</f>
        <v>46051.78575</v>
      </c>
      <c r="B1525" s="4"/>
      <c r="C1525" s="4"/>
      <c r="D1525" s="4"/>
      <c r="E1525" s="4"/>
      <c r="F1525" s="4"/>
      <c r="G1525" s="85">
        <f>IFERROR(__xludf.DUMMYFUNCTION("""COMPUTED_VALUE"""),46053.785416666666)</f>
        <v>46053.78542</v>
      </c>
      <c r="H1525" s="85" t="str">
        <f>IFERROR(__xludf.DUMMYFUNCTION("""COMPUTED_VALUE"""),"Estimate ")</f>
        <v>Estimate </v>
      </c>
      <c r="I1525" s="4" t="str">
        <f>IFERROR(__xludf.DUMMYFUNCTION("""COMPUTED_VALUE"""),"shivani")</f>
        <v>shivani</v>
      </c>
    </row>
    <row r="1526">
      <c r="A1526" s="85">
        <f>IFERROR(__xludf.DUMMYFUNCTION("""COMPUTED_VALUE"""),46053.78467376158)</f>
        <v>46053.78467</v>
      </c>
      <c r="B1526" s="4"/>
      <c r="C1526" s="4"/>
      <c r="D1526" s="4"/>
      <c r="E1526" s="4"/>
      <c r="F1526" s="4"/>
      <c r="G1526" s="85">
        <f>IFERROR(__xludf.DUMMYFUNCTION("""COMPUTED_VALUE"""),46056.78402777778)</f>
        <v>46056.78403</v>
      </c>
      <c r="H1526" s="85" t="str">
        <f>IFERROR(__xludf.DUMMYFUNCTION("""COMPUTED_VALUE"""),"Estimate ")</f>
        <v>Estimate </v>
      </c>
      <c r="I1526" s="4" t="str">
        <f>IFERROR(__xludf.DUMMYFUNCTION("""COMPUTED_VALUE"""),"shivani")</f>
        <v>shivani</v>
      </c>
    </row>
    <row r="1527">
      <c r="A1527" s="85">
        <f>IFERROR(__xludf.DUMMYFUNCTION("""COMPUTED_VALUE"""),46053.78603965278)</f>
        <v>46053.78604</v>
      </c>
      <c r="B1527" s="4"/>
      <c r="C1527" s="4"/>
      <c r="D1527" s="4"/>
      <c r="E1527" s="4"/>
      <c r="F1527" s="4"/>
      <c r="G1527" s="85">
        <f>IFERROR(__xludf.DUMMYFUNCTION("""COMPUTED_VALUE"""),46056.785416666666)</f>
        <v>46056.78542</v>
      </c>
      <c r="H1527" s="85" t="str">
        <f>IFERROR(__xludf.DUMMYFUNCTION("""COMPUTED_VALUE"""),"Estimate ")</f>
        <v>Estimate </v>
      </c>
      <c r="I1527" s="4" t="str">
        <f>IFERROR(__xludf.DUMMYFUNCTION("""COMPUTED_VALUE"""),"shivani")</f>
        <v>shivani</v>
      </c>
    </row>
    <row r="1528">
      <c r="A1528" s="85">
        <f>IFERROR(__xludf.DUMMYFUNCTION("""COMPUTED_VALUE"""),46053.789922916665)</f>
        <v>46053.78992</v>
      </c>
      <c r="B1528" s="4"/>
      <c r="C1528" s="4"/>
      <c r="D1528" s="4"/>
      <c r="E1528" s="4"/>
      <c r="F1528" s="4"/>
      <c r="G1528" s="85">
        <f>IFERROR(__xludf.DUMMYFUNCTION("""COMPUTED_VALUE"""),46056.78958333333)</f>
        <v>46056.78958</v>
      </c>
      <c r="H1528" s="85" t="str">
        <f>IFERROR(__xludf.DUMMYFUNCTION("""COMPUTED_VALUE"""),"Estimate ")</f>
        <v>Estimate </v>
      </c>
      <c r="I1528" s="4" t="str">
        <f>IFERROR(__xludf.DUMMYFUNCTION("""COMPUTED_VALUE"""),"shivani")</f>
        <v>shivani</v>
      </c>
    </row>
    <row r="1529">
      <c r="A1529" s="85">
        <f>IFERROR(__xludf.DUMMYFUNCTION("""COMPUTED_VALUE"""),46053.794895694446)</f>
        <v>46053.7949</v>
      </c>
      <c r="B1529" s="4"/>
      <c r="C1529" s="4"/>
      <c r="D1529" s="4"/>
      <c r="E1529" s="4"/>
      <c r="F1529" s="4"/>
      <c r="G1529" s="85">
        <f>IFERROR(__xludf.DUMMYFUNCTION("""COMPUTED_VALUE"""),46056.794444444444)</f>
        <v>46056.79444</v>
      </c>
      <c r="H1529" s="85" t="str">
        <f>IFERROR(__xludf.DUMMYFUNCTION("""COMPUTED_VALUE"""),"Estimate ")</f>
        <v>Estimate </v>
      </c>
      <c r="I1529" s="4" t="str">
        <f>IFERROR(__xludf.DUMMYFUNCTION("""COMPUTED_VALUE"""),"shivani")</f>
        <v>shivani</v>
      </c>
    </row>
    <row r="1530">
      <c r="A1530" s="85">
        <f>IFERROR(__xludf.DUMMYFUNCTION("""COMPUTED_VALUE"""),46054.6703527662)</f>
        <v>46054.67035</v>
      </c>
      <c r="B1530" s="4"/>
      <c r="C1530" s="4"/>
      <c r="D1530" s="4"/>
      <c r="E1530" s="4"/>
      <c r="F1530" s="4"/>
      <c r="G1530" s="85">
        <f>IFERROR(__xludf.DUMMYFUNCTION("""COMPUTED_VALUE"""),46057.67013888889)</f>
        <v>46057.67014</v>
      </c>
      <c r="H1530" s="85" t="str">
        <f>IFERROR(__xludf.DUMMYFUNCTION("""COMPUTED_VALUE"""),"Estimate ")</f>
        <v>Estimate </v>
      </c>
      <c r="I1530" s="4" t="str">
        <f>IFERROR(__xludf.DUMMYFUNCTION("""COMPUTED_VALUE"""),"shivani")</f>
        <v>shivani</v>
      </c>
    </row>
    <row r="1531">
      <c r="A1531" s="85">
        <f>IFERROR(__xludf.DUMMYFUNCTION("""COMPUTED_VALUE"""),46054.69218756944)</f>
        <v>46054.69219</v>
      </c>
      <c r="B1531" s="4"/>
      <c r="C1531" s="4"/>
      <c r="D1531" s="4"/>
      <c r="E1531" s="4"/>
      <c r="F1531" s="4"/>
      <c r="G1531" s="85">
        <f>IFERROR(__xludf.DUMMYFUNCTION("""COMPUTED_VALUE"""),46057.691666666666)</f>
        <v>46057.69167</v>
      </c>
      <c r="H1531" s="85" t="str">
        <f>IFERROR(__xludf.DUMMYFUNCTION("""COMPUTED_VALUE"""),"Estimate ")</f>
        <v>Estimate </v>
      </c>
      <c r="I1531" s="4" t="str">
        <f>IFERROR(__xludf.DUMMYFUNCTION("""COMPUTED_VALUE"""),"shivani")</f>
        <v>shivani</v>
      </c>
    </row>
    <row r="1532">
      <c r="A1532" s="85">
        <f>IFERROR(__xludf.DUMMYFUNCTION("""COMPUTED_VALUE"""),46054.694645717595)</f>
        <v>46054.69465</v>
      </c>
      <c r="B1532" s="4"/>
      <c r="C1532" s="4"/>
      <c r="D1532" s="4"/>
      <c r="E1532" s="4"/>
      <c r="F1532" s="4"/>
      <c r="G1532" s="85">
        <f>IFERROR(__xludf.DUMMYFUNCTION("""COMPUTED_VALUE"""),46057.694444444445)</f>
        <v>46057.69444</v>
      </c>
      <c r="H1532" s="85" t="str">
        <f>IFERROR(__xludf.DUMMYFUNCTION("""COMPUTED_VALUE"""),"Estimate ")</f>
        <v>Estimate </v>
      </c>
      <c r="I1532" s="4" t="str">
        <f>IFERROR(__xludf.DUMMYFUNCTION("""COMPUTED_VALUE"""),"shivani")</f>
        <v>shivani</v>
      </c>
    </row>
    <row r="1533">
      <c r="A1533" s="85">
        <f>IFERROR(__xludf.DUMMYFUNCTION("""COMPUTED_VALUE"""),46056.64485877315)</f>
        <v>46056.64486</v>
      </c>
      <c r="B1533" s="4"/>
      <c r="C1533" s="4"/>
      <c r="D1533" s="4"/>
      <c r="E1533" s="4"/>
      <c r="F1533" s="4"/>
      <c r="G1533" s="85">
        <f>IFERROR(__xludf.DUMMYFUNCTION("""COMPUTED_VALUE"""),46058.64444444445)</f>
        <v>46058.64444</v>
      </c>
      <c r="H1533" s="85" t="str">
        <f>IFERROR(__xludf.DUMMYFUNCTION("""COMPUTED_VALUE"""),"Estimate ")</f>
        <v>Estimate </v>
      </c>
      <c r="I1533" s="4" t="str">
        <f>IFERROR(__xludf.DUMMYFUNCTION("""COMPUTED_VALUE"""),"shivani")</f>
        <v>shivani</v>
      </c>
    </row>
    <row r="1534">
      <c r="A1534" s="85">
        <f>IFERROR(__xludf.DUMMYFUNCTION("""COMPUTED_VALUE"""),46061.69054046296)</f>
        <v>46061.69054</v>
      </c>
      <c r="B1534" s="4"/>
      <c r="C1534" s="4"/>
      <c r="D1534" s="4"/>
      <c r="E1534" s="4"/>
      <c r="F1534" s="4"/>
      <c r="G1534" s="85">
        <f>IFERROR(__xludf.DUMMYFUNCTION("""COMPUTED_VALUE"""),46064.69027777778)</f>
        <v>46064.69028</v>
      </c>
      <c r="H1534" s="85" t="str">
        <f>IFERROR(__xludf.DUMMYFUNCTION("""COMPUTED_VALUE"""),"Estimate ")</f>
        <v>Estimate </v>
      </c>
      <c r="I1534" s="4" t="str">
        <f>IFERROR(__xludf.DUMMYFUNCTION("""COMPUTED_VALUE"""),"shivani")</f>
        <v>shivani</v>
      </c>
    </row>
    <row r="1535">
      <c r="A1535" s="85">
        <f>IFERROR(__xludf.DUMMYFUNCTION("""COMPUTED_VALUE"""),46063.638297210644)</f>
        <v>46063.6383</v>
      </c>
      <c r="B1535" s="4"/>
      <c r="C1535" s="4"/>
      <c r="D1535" s="4"/>
      <c r="E1535" s="4"/>
      <c r="F1535" s="4"/>
      <c r="G1535" s="85">
        <f>IFERROR(__xludf.DUMMYFUNCTION("""COMPUTED_VALUE"""),46065.638194444444)</f>
        <v>46065.63819</v>
      </c>
      <c r="H1535" s="85" t="str">
        <f>IFERROR(__xludf.DUMMYFUNCTION("""COMPUTED_VALUE"""),"Estimate ")</f>
        <v>Estimate </v>
      </c>
      <c r="I1535" s="4" t="str">
        <f>IFERROR(__xludf.DUMMYFUNCTION("""COMPUTED_VALUE"""),"shivani")</f>
        <v>shivani</v>
      </c>
    </row>
    <row r="1536">
      <c r="A1536" s="85">
        <f>IFERROR(__xludf.DUMMYFUNCTION("""COMPUTED_VALUE"""),46063.68215496528)</f>
        <v>46063.68215</v>
      </c>
      <c r="B1536" s="4"/>
      <c r="C1536" s="4"/>
      <c r="D1536" s="4"/>
      <c r="E1536" s="4"/>
      <c r="F1536" s="4"/>
      <c r="G1536" s="85">
        <f>IFERROR(__xludf.DUMMYFUNCTION("""COMPUTED_VALUE"""),46065.68194444444)</f>
        <v>46065.68194</v>
      </c>
      <c r="H1536" s="85" t="str">
        <f>IFERROR(__xludf.DUMMYFUNCTION("""COMPUTED_VALUE"""),"Estimate ")</f>
        <v>Estimate </v>
      </c>
      <c r="I1536" s="4" t="str">
        <f>IFERROR(__xludf.DUMMYFUNCTION("""COMPUTED_VALUE"""),"shivani")</f>
        <v>shivani</v>
      </c>
    </row>
    <row r="1537">
      <c r="A1537" s="85">
        <f>IFERROR(__xludf.DUMMYFUNCTION("""COMPUTED_VALUE"""),46063.68331530092)</f>
        <v>46063.68332</v>
      </c>
      <c r="B1537" s="4"/>
      <c r="C1537" s="4"/>
      <c r="D1537" s="4"/>
      <c r="E1537" s="4"/>
      <c r="F1537" s="4"/>
      <c r="G1537" s="85">
        <f>IFERROR(__xludf.DUMMYFUNCTION("""COMPUTED_VALUE"""),46065.68263888889)</f>
        <v>46065.68264</v>
      </c>
      <c r="H1537" s="85" t="str">
        <f>IFERROR(__xludf.DUMMYFUNCTION("""COMPUTED_VALUE"""),"Estimate ")</f>
        <v>Estimate </v>
      </c>
      <c r="I1537" s="4" t="str">
        <f>IFERROR(__xludf.DUMMYFUNCTION("""COMPUTED_VALUE"""),"shivani")</f>
        <v>shivani</v>
      </c>
    </row>
    <row r="1538">
      <c r="A1538" s="85">
        <f>IFERROR(__xludf.DUMMYFUNCTION("""COMPUTED_VALUE"""),46063.73077907407)</f>
        <v>46063.73078</v>
      </c>
      <c r="B1538" s="4"/>
      <c r="C1538" s="4"/>
      <c r="D1538" s="4"/>
      <c r="E1538" s="4"/>
      <c r="F1538" s="4"/>
      <c r="G1538" s="85">
        <f>IFERROR(__xludf.DUMMYFUNCTION("""COMPUTED_VALUE"""),46065.73055555555)</f>
        <v>46065.73056</v>
      </c>
      <c r="H1538" s="85" t="str">
        <f>IFERROR(__xludf.DUMMYFUNCTION("""COMPUTED_VALUE"""),"Estimate ")</f>
        <v>Estimate </v>
      </c>
      <c r="I1538" s="4" t="str">
        <f>IFERROR(__xludf.DUMMYFUNCTION("""COMPUTED_VALUE"""),"shivani")</f>
        <v>shivani</v>
      </c>
    </row>
    <row r="1539">
      <c r="A1539" s="85">
        <f>IFERROR(__xludf.DUMMYFUNCTION("""COMPUTED_VALUE"""),46063.7380403125)</f>
        <v>46063.73804</v>
      </c>
      <c r="B1539" s="4"/>
      <c r="C1539" s="4"/>
      <c r="D1539" s="4"/>
      <c r="E1539" s="4"/>
      <c r="F1539" s="4"/>
      <c r="G1539" s="85">
        <f>IFERROR(__xludf.DUMMYFUNCTION("""COMPUTED_VALUE"""),46065.7375)</f>
        <v>46065.7375</v>
      </c>
      <c r="H1539" s="85" t="str">
        <f>IFERROR(__xludf.DUMMYFUNCTION("""COMPUTED_VALUE"""),"Estimate ")</f>
        <v>Estimate </v>
      </c>
      <c r="I1539" s="4" t="str">
        <f>IFERROR(__xludf.DUMMYFUNCTION("""COMPUTED_VALUE"""),"shivani")</f>
        <v>shivani</v>
      </c>
    </row>
    <row r="1540">
      <c r="A1540" s="85">
        <f>IFERROR(__xludf.DUMMYFUNCTION("""COMPUTED_VALUE"""),46063.741074212965)</f>
        <v>46063.74107</v>
      </c>
      <c r="B1540" s="4"/>
      <c r="C1540" s="4"/>
      <c r="D1540" s="4"/>
      <c r="E1540" s="4"/>
      <c r="F1540" s="4"/>
      <c r="G1540" s="85">
        <f>IFERROR(__xludf.DUMMYFUNCTION("""COMPUTED_VALUE"""),46065.74097222222)</f>
        <v>46065.74097</v>
      </c>
      <c r="H1540" s="85" t="str">
        <f>IFERROR(__xludf.DUMMYFUNCTION("""COMPUTED_VALUE"""),"Estimate ")</f>
        <v>Estimate </v>
      </c>
      <c r="I1540" s="4" t="str">
        <f>IFERROR(__xludf.DUMMYFUNCTION("""COMPUTED_VALUE"""),"shivani")</f>
        <v>shivani</v>
      </c>
    </row>
    <row r="1541">
      <c r="A1541" s="85">
        <f>IFERROR(__xludf.DUMMYFUNCTION("""COMPUTED_VALUE"""),46065.55628265046)</f>
        <v>46065.55628</v>
      </c>
      <c r="B1541" s="4"/>
      <c r="C1541" s="4"/>
      <c r="D1541" s="4"/>
      <c r="E1541" s="4"/>
      <c r="F1541" s="4"/>
      <c r="G1541" s="85">
        <f>IFERROR(__xludf.DUMMYFUNCTION("""COMPUTED_VALUE"""),46067.55625)</f>
        <v>46067.55625</v>
      </c>
      <c r="H1541" s="85" t="str">
        <f>IFERROR(__xludf.DUMMYFUNCTION("""COMPUTED_VALUE"""),"Estimate ")</f>
        <v>Estimate </v>
      </c>
      <c r="I1541" s="4" t="str">
        <f>IFERROR(__xludf.DUMMYFUNCTION("""COMPUTED_VALUE"""),"shivani")</f>
        <v>shivani</v>
      </c>
    </row>
    <row r="1542">
      <c r="A1542" s="85">
        <f>IFERROR(__xludf.DUMMYFUNCTION("""COMPUTED_VALUE"""),46066.673205983796)</f>
        <v>46066.67321</v>
      </c>
      <c r="B1542" s="4"/>
      <c r="C1542" s="4"/>
      <c r="D1542" s="4"/>
      <c r="E1542" s="4"/>
      <c r="F1542" s="4"/>
      <c r="G1542" s="85">
        <f>IFERROR(__xludf.DUMMYFUNCTION("""COMPUTED_VALUE"""),46068.67291666666)</f>
        <v>46068.67292</v>
      </c>
      <c r="H1542" s="85" t="str">
        <f>IFERROR(__xludf.DUMMYFUNCTION("""COMPUTED_VALUE"""),"Estimate ")</f>
        <v>Estimate </v>
      </c>
      <c r="I1542" s="4" t="str">
        <f>IFERROR(__xludf.DUMMYFUNCTION("""COMPUTED_VALUE"""),"shivani")</f>
        <v>shivani</v>
      </c>
    </row>
    <row r="1543">
      <c r="A1543" s="85">
        <f>IFERROR(__xludf.DUMMYFUNCTION("""COMPUTED_VALUE"""),46071.63034765046)</f>
        <v>46071.63035</v>
      </c>
      <c r="B1543" s="4"/>
      <c r="C1543" s="4"/>
      <c r="D1543" s="4"/>
      <c r="E1543" s="4"/>
      <c r="F1543" s="4"/>
      <c r="G1543" s="85">
        <f>IFERROR(__xludf.DUMMYFUNCTION("""COMPUTED_VALUE"""),46073.62986111111)</f>
        <v>46073.62986</v>
      </c>
      <c r="H1543" s="85" t="str">
        <f>IFERROR(__xludf.DUMMYFUNCTION("""COMPUTED_VALUE"""),"Estimate ")</f>
        <v>Estimate </v>
      </c>
      <c r="I1543" s="4" t="str">
        <f>IFERROR(__xludf.DUMMYFUNCTION("""COMPUTED_VALUE"""),"shivani")</f>
        <v>shivani</v>
      </c>
    </row>
    <row r="1544">
      <c r="A1544" s="85">
        <f>IFERROR(__xludf.DUMMYFUNCTION("""COMPUTED_VALUE"""),46071.63196976852)</f>
        <v>46071.63197</v>
      </c>
      <c r="B1544" s="4"/>
      <c r="C1544" s="4"/>
      <c r="D1544" s="4"/>
      <c r="E1544" s="4"/>
      <c r="F1544" s="4"/>
      <c r="G1544" s="85">
        <f>IFERROR(__xludf.DUMMYFUNCTION("""COMPUTED_VALUE"""),46073.631944444445)</f>
        <v>46073.63194</v>
      </c>
      <c r="H1544" s="85" t="str">
        <f>IFERROR(__xludf.DUMMYFUNCTION("""COMPUTED_VALUE"""),"Estimate ")</f>
        <v>Estimate </v>
      </c>
      <c r="I1544" s="4" t="str">
        <f>IFERROR(__xludf.DUMMYFUNCTION("""COMPUTED_VALUE"""),"shivani")</f>
        <v>shivani</v>
      </c>
    </row>
    <row r="1545">
      <c r="A1545" s="85">
        <f>IFERROR(__xludf.DUMMYFUNCTION("""COMPUTED_VALUE"""),46071.635500185184)</f>
        <v>46071.6355</v>
      </c>
      <c r="B1545" s="4"/>
      <c r="C1545" s="4"/>
      <c r="D1545" s="4"/>
      <c r="E1545" s="4"/>
      <c r="F1545" s="4"/>
      <c r="G1545" s="85">
        <f>IFERROR(__xludf.DUMMYFUNCTION("""COMPUTED_VALUE"""),46073.63541666667)</f>
        <v>46073.63542</v>
      </c>
      <c r="H1545" s="85" t="str">
        <f>IFERROR(__xludf.DUMMYFUNCTION("""COMPUTED_VALUE"""),"Estimate ")</f>
        <v>Estimate </v>
      </c>
      <c r="I1545" s="4" t="str">
        <f>IFERROR(__xludf.DUMMYFUNCTION("""COMPUTED_VALUE"""),"shivani")</f>
        <v>shivani</v>
      </c>
    </row>
    <row r="1546">
      <c r="A1546" s="85">
        <f>IFERROR(__xludf.DUMMYFUNCTION("""COMPUTED_VALUE"""),46071.65129074074)</f>
        <v>46071.65129</v>
      </c>
      <c r="B1546" s="4"/>
      <c r="C1546" s="4"/>
      <c r="D1546" s="4"/>
      <c r="E1546" s="4"/>
      <c r="F1546" s="4"/>
      <c r="G1546" s="85">
        <f>IFERROR(__xludf.DUMMYFUNCTION("""COMPUTED_VALUE"""),46073.65069444444)</f>
        <v>46073.65069</v>
      </c>
      <c r="H1546" s="85" t="str">
        <f>IFERROR(__xludf.DUMMYFUNCTION("""COMPUTED_VALUE"""),"Estimate ")</f>
        <v>Estimate </v>
      </c>
      <c r="I1546" s="4" t="str">
        <f>IFERROR(__xludf.DUMMYFUNCTION("""COMPUTED_VALUE"""),"shivani")</f>
        <v>shivani</v>
      </c>
    </row>
    <row r="1547">
      <c r="A1547" s="85">
        <f>IFERROR(__xludf.DUMMYFUNCTION("""COMPUTED_VALUE"""),46071.68975175926)</f>
        <v>46071.68975</v>
      </c>
      <c r="B1547" s="4"/>
      <c r="C1547" s="4"/>
      <c r="D1547" s="4"/>
      <c r="E1547" s="4"/>
      <c r="F1547" s="4"/>
      <c r="G1547" s="85">
        <f>IFERROR(__xludf.DUMMYFUNCTION("""COMPUTED_VALUE"""),46073.68958333333)</f>
        <v>46073.68958</v>
      </c>
      <c r="H1547" s="85" t="str">
        <f>IFERROR(__xludf.DUMMYFUNCTION("""COMPUTED_VALUE"""),"Estimate ")</f>
        <v>Estimate </v>
      </c>
      <c r="I1547" s="4" t="str">
        <f>IFERROR(__xludf.DUMMYFUNCTION("""COMPUTED_VALUE"""),"shivani")</f>
        <v>shivani</v>
      </c>
    </row>
    <row r="1548">
      <c r="A1548" s="85">
        <f>IFERROR(__xludf.DUMMYFUNCTION("""COMPUTED_VALUE"""),46071.69072321759)</f>
        <v>46071.69072</v>
      </c>
      <c r="B1548" s="4"/>
      <c r="C1548" s="4"/>
      <c r="D1548" s="4"/>
      <c r="E1548" s="4"/>
      <c r="F1548" s="4"/>
      <c r="G1548" s="85">
        <f>IFERROR(__xludf.DUMMYFUNCTION("""COMPUTED_VALUE"""),46073.69027777778)</f>
        <v>46073.69028</v>
      </c>
      <c r="H1548" s="85" t="str">
        <f>IFERROR(__xludf.DUMMYFUNCTION("""COMPUTED_VALUE"""),"Estimate ")</f>
        <v>Estimate </v>
      </c>
      <c r="I1548" s="4" t="str">
        <f>IFERROR(__xludf.DUMMYFUNCTION("""COMPUTED_VALUE"""),"shivani")</f>
        <v>shivani</v>
      </c>
    </row>
    <row r="1549">
      <c r="A1549" s="85">
        <f>IFERROR(__xludf.DUMMYFUNCTION("""COMPUTED_VALUE"""),46071.69227767361)</f>
        <v>46071.69228</v>
      </c>
      <c r="B1549" s="4"/>
      <c r="C1549" s="4"/>
      <c r="D1549" s="4"/>
      <c r="E1549" s="4"/>
      <c r="F1549" s="4"/>
      <c r="G1549" s="85">
        <f>IFERROR(__xludf.DUMMYFUNCTION("""COMPUTED_VALUE"""),46073.691666666666)</f>
        <v>46073.69167</v>
      </c>
      <c r="H1549" s="85" t="str">
        <f>IFERROR(__xludf.DUMMYFUNCTION("""COMPUTED_VALUE"""),"Estimate ")</f>
        <v>Estimate </v>
      </c>
      <c r="I1549" s="4" t="str">
        <f>IFERROR(__xludf.DUMMYFUNCTION("""COMPUTED_VALUE"""),"shivani")</f>
        <v>shivani</v>
      </c>
    </row>
    <row r="1550">
      <c r="A1550" s="85">
        <f>IFERROR(__xludf.DUMMYFUNCTION("""COMPUTED_VALUE"""),46071.69413215278)</f>
        <v>46071.69413</v>
      </c>
      <c r="B1550" s="4"/>
      <c r="C1550" s="4"/>
      <c r="D1550" s="4"/>
      <c r="E1550" s="4"/>
      <c r="F1550" s="4"/>
      <c r="G1550" s="85">
        <f>IFERROR(__xludf.DUMMYFUNCTION("""COMPUTED_VALUE"""),46073.69375)</f>
        <v>46073.69375</v>
      </c>
      <c r="H1550" s="85" t="str">
        <f>IFERROR(__xludf.DUMMYFUNCTION("""COMPUTED_VALUE"""),"Estimate ")</f>
        <v>Estimate </v>
      </c>
      <c r="I1550" s="4" t="str">
        <f>IFERROR(__xludf.DUMMYFUNCTION("""COMPUTED_VALUE"""),"shivani")</f>
        <v>shivani</v>
      </c>
    </row>
    <row r="1551">
      <c r="A1551" s="85">
        <f>IFERROR(__xludf.DUMMYFUNCTION("""COMPUTED_VALUE"""),46071.69669248842)</f>
        <v>46071.69669</v>
      </c>
      <c r="B1551" s="4"/>
      <c r="C1551" s="4"/>
      <c r="D1551" s="4"/>
      <c r="E1551" s="4"/>
      <c r="F1551" s="4"/>
      <c r="G1551" s="85">
        <f>IFERROR(__xludf.DUMMYFUNCTION("""COMPUTED_VALUE"""),46073.69652777778)</f>
        <v>46073.69653</v>
      </c>
      <c r="H1551" s="85" t="str">
        <f>IFERROR(__xludf.DUMMYFUNCTION("""COMPUTED_VALUE"""),"Estimate ")</f>
        <v>Estimate </v>
      </c>
      <c r="I1551" s="4" t="str">
        <f>IFERROR(__xludf.DUMMYFUNCTION("""COMPUTED_VALUE"""),"shivani")</f>
        <v>shivani</v>
      </c>
    </row>
    <row r="1552">
      <c r="A1552" s="85">
        <f>IFERROR(__xludf.DUMMYFUNCTION("""COMPUTED_VALUE"""),46071.69731023148)</f>
        <v>46071.69731</v>
      </c>
      <c r="B1552" s="4"/>
      <c r="C1552" s="4"/>
      <c r="D1552" s="4"/>
      <c r="E1552" s="4"/>
      <c r="F1552" s="4"/>
      <c r="G1552" s="85">
        <f>IFERROR(__xludf.DUMMYFUNCTION("""COMPUTED_VALUE"""),46073.697222222225)</f>
        <v>46073.69722</v>
      </c>
      <c r="H1552" s="85" t="str">
        <f>IFERROR(__xludf.DUMMYFUNCTION("""COMPUTED_VALUE"""),"Estimate ")</f>
        <v>Estimate </v>
      </c>
      <c r="I1552" s="4" t="str">
        <f>IFERROR(__xludf.DUMMYFUNCTION("""COMPUTED_VALUE"""),"shivani")</f>
        <v>shivani</v>
      </c>
    </row>
    <row r="1553">
      <c r="A1553" s="85">
        <f>IFERROR(__xludf.DUMMYFUNCTION("""COMPUTED_VALUE"""),46071.69839883102)</f>
        <v>46071.6984</v>
      </c>
      <c r="B1553" s="4"/>
      <c r="C1553" s="4"/>
      <c r="D1553" s="4"/>
      <c r="E1553" s="4"/>
      <c r="F1553" s="4"/>
      <c r="G1553" s="85">
        <f>IFERROR(__xludf.DUMMYFUNCTION("""COMPUTED_VALUE"""),46073.69791666667)</f>
        <v>46073.69792</v>
      </c>
      <c r="H1553" s="85" t="str">
        <f>IFERROR(__xludf.DUMMYFUNCTION("""COMPUTED_VALUE"""),"Estimate ")</f>
        <v>Estimate </v>
      </c>
      <c r="I1553" s="4" t="str">
        <f>IFERROR(__xludf.DUMMYFUNCTION("""COMPUTED_VALUE"""),"shivani")</f>
        <v>shivani</v>
      </c>
    </row>
    <row r="1554">
      <c r="A1554" s="85">
        <f>IFERROR(__xludf.DUMMYFUNCTION("""COMPUTED_VALUE"""),46071.69970346065)</f>
        <v>46071.6997</v>
      </c>
      <c r="B1554" s="4"/>
      <c r="C1554" s="4"/>
      <c r="D1554" s="4"/>
      <c r="E1554" s="4"/>
      <c r="F1554" s="4"/>
      <c r="G1554" s="85">
        <f>IFERROR(__xludf.DUMMYFUNCTION("""COMPUTED_VALUE"""),46073.69930555555)</f>
        <v>46073.69931</v>
      </c>
      <c r="H1554" s="85" t="str">
        <f>IFERROR(__xludf.DUMMYFUNCTION("""COMPUTED_VALUE"""),"Estimate ")</f>
        <v>Estimate </v>
      </c>
      <c r="I1554" s="4" t="str">
        <f>IFERROR(__xludf.DUMMYFUNCTION("""COMPUTED_VALUE"""),"shivani")</f>
        <v>shivani</v>
      </c>
    </row>
    <row r="1555">
      <c r="A1555" s="85">
        <f>IFERROR(__xludf.DUMMYFUNCTION("""COMPUTED_VALUE"""),46071.725750937505)</f>
        <v>46071.72575</v>
      </c>
      <c r="B1555" s="4"/>
      <c r="C1555" s="4"/>
      <c r="D1555" s="4"/>
      <c r="E1555" s="4"/>
      <c r="F1555" s="4"/>
      <c r="G1555" s="85">
        <f>IFERROR(__xludf.DUMMYFUNCTION("""COMPUTED_VALUE"""),46073.725694444445)</f>
        <v>46073.72569</v>
      </c>
      <c r="H1555" s="85" t="str">
        <f>IFERROR(__xludf.DUMMYFUNCTION("""COMPUTED_VALUE"""),"Estimate ")</f>
        <v>Estimate </v>
      </c>
      <c r="I1555" s="4" t="str">
        <f>IFERROR(__xludf.DUMMYFUNCTION("""COMPUTED_VALUE"""),"shivani")</f>
        <v>shivani</v>
      </c>
    </row>
    <row r="1556">
      <c r="A1556" s="85">
        <f>IFERROR(__xludf.DUMMYFUNCTION("""COMPUTED_VALUE"""),46072.62718079861)</f>
        <v>46072.62718</v>
      </c>
      <c r="B1556" s="4"/>
      <c r="C1556" s="4"/>
      <c r="D1556" s="4"/>
      <c r="E1556" s="4"/>
      <c r="F1556" s="4"/>
      <c r="G1556" s="85">
        <f>IFERROR(__xludf.DUMMYFUNCTION("""COMPUTED_VALUE"""),46074.62708333333)</f>
        <v>46074.62708</v>
      </c>
      <c r="H1556" s="85" t="str">
        <f>IFERROR(__xludf.DUMMYFUNCTION("""COMPUTED_VALUE"""),"Estimate ")</f>
        <v>Estimate </v>
      </c>
      <c r="I1556" s="4" t="str">
        <f>IFERROR(__xludf.DUMMYFUNCTION("""COMPUTED_VALUE"""),"shivani")</f>
        <v>shivani</v>
      </c>
    </row>
    <row r="1557">
      <c r="A1557" s="85">
        <f>IFERROR(__xludf.DUMMYFUNCTION("""COMPUTED_VALUE"""),46073.57575837963)</f>
        <v>46073.57576</v>
      </c>
      <c r="B1557" s="4"/>
      <c r="C1557" s="4"/>
      <c r="D1557" s="4"/>
      <c r="E1557" s="4"/>
      <c r="F1557" s="4"/>
      <c r="G1557" s="85">
        <f>IFERROR(__xludf.DUMMYFUNCTION("""COMPUTED_VALUE"""),46075.575694444444)</f>
        <v>46075.57569</v>
      </c>
      <c r="H1557" s="85" t="str">
        <f>IFERROR(__xludf.DUMMYFUNCTION("""COMPUTED_VALUE"""),"Estimate ")</f>
        <v>Estimate </v>
      </c>
      <c r="I1557" s="4" t="str">
        <f>IFERROR(__xludf.DUMMYFUNCTION("""COMPUTED_VALUE"""),"shivani")</f>
        <v>shivani</v>
      </c>
    </row>
    <row r="1558">
      <c r="A1558" s="85">
        <f>IFERROR(__xludf.DUMMYFUNCTION("""COMPUTED_VALUE"""),46073.57648481482)</f>
        <v>46073.57648</v>
      </c>
      <c r="B1558" s="4"/>
      <c r="C1558" s="4"/>
      <c r="D1558" s="4"/>
      <c r="E1558" s="4"/>
      <c r="F1558" s="4"/>
      <c r="G1558" s="85">
        <f>IFERROR(__xludf.DUMMYFUNCTION("""COMPUTED_VALUE"""),46075.57638888889)</f>
        <v>46075.57639</v>
      </c>
      <c r="H1558" s="85" t="str">
        <f>IFERROR(__xludf.DUMMYFUNCTION("""COMPUTED_VALUE"""),"Estimate ")</f>
        <v>Estimate </v>
      </c>
      <c r="I1558" s="4" t="str">
        <f>IFERROR(__xludf.DUMMYFUNCTION("""COMPUTED_VALUE"""),"shivani")</f>
        <v>shivani</v>
      </c>
    </row>
    <row r="1559">
      <c r="A1559" s="85">
        <f>IFERROR(__xludf.DUMMYFUNCTION("""COMPUTED_VALUE"""),46073.57792833334)</f>
        <v>46073.57793</v>
      </c>
      <c r="B1559" s="4"/>
      <c r="C1559" s="4"/>
      <c r="D1559" s="4"/>
      <c r="E1559" s="4"/>
      <c r="F1559" s="4"/>
      <c r="G1559" s="85">
        <f>IFERROR(__xludf.DUMMYFUNCTION("""COMPUTED_VALUE"""),46075.57777777778)</f>
        <v>46075.57778</v>
      </c>
      <c r="H1559" s="85" t="str">
        <f>IFERROR(__xludf.DUMMYFUNCTION("""COMPUTED_VALUE"""),"Estimate ")</f>
        <v>Estimate </v>
      </c>
      <c r="I1559" s="4" t="str">
        <f>IFERROR(__xludf.DUMMYFUNCTION("""COMPUTED_VALUE"""),"shivani")</f>
        <v>shivani</v>
      </c>
    </row>
    <row r="1560">
      <c r="A1560" s="85">
        <f>IFERROR(__xludf.DUMMYFUNCTION("""COMPUTED_VALUE"""),46073.774147013886)</f>
        <v>46073.77415</v>
      </c>
      <c r="B1560" s="4"/>
      <c r="C1560" s="4"/>
      <c r="D1560" s="4"/>
      <c r="E1560" s="4"/>
      <c r="F1560" s="4"/>
      <c r="G1560" s="85">
        <f>IFERROR(__xludf.DUMMYFUNCTION("""COMPUTED_VALUE"""),46075.773611111115)</f>
        <v>46075.77361</v>
      </c>
      <c r="H1560" s="85" t="str">
        <f>IFERROR(__xludf.DUMMYFUNCTION("""COMPUTED_VALUE"""),"Estimate ")</f>
        <v>Estimate </v>
      </c>
      <c r="I1560" s="4" t="str">
        <f>IFERROR(__xludf.DUMMYFUNCTION("""COMPUTED_VALUE"""),"shivani")</f>
        <v>shivani</v>
      </c>
    </row>
    <row r="1561">
      <c r="A1561" s="85">
        <f>IFERROR(__xludf.DUMMYFUNCTION("""COMPUTED_VALUE"""),46073.775217696755)</f>
        <v>46073.77522</v>
      </c>
      <c r="B1561" s="4"/>
      <c r="C1561" s="4"/>
      <c r="D1561" s="4"/>
      <c r="E1561" s="4"/>
      <c r="F1561" s="4"/>
      <c r="G1561" s="85">
        <f>IFERROR(__xludf.DUMMYFUNCTION("""COMPUTED_VALUE"""),46075.775)</f>
        <v>46075.775</v>
      </c>
      <c r="H1561" s="85" t="str">
        <f>IFERROR(__xludf.DUMMYFUNCTION("""COMPUTED_VALUE"""),"Estimate ")</f>
        <v>Estimate </v>
      </c>
      <c r="I1561" s="4" t="str">
        <f>IFERROR(__xludf.DUMMYFUNCTION("""COMPUTED_VALUE"""),"shivani")</f>
        <v>shivani</v>
      </c>
    </row>
    <row r="1562">
      <c r="A1562" s="85">
        <f>IFERROR(__xludf.DUMMYFUNCTION("""COMPUTED_VALUE"""),46073.776224699075)</f>
        <v>46073.77622</v>
      </c>
      <c r="B1562" s="4"/>
      <c r="C1562" s="4"/>
      <c r="D1562" s="4"/>
      <c r="E1562" s="4"/>
      <c r="F1562" s="4"/>
      <c r="G1562" s="85">
        <f>IFERROR(__xludf.DUMMYFUNCTION("""COMPUTED_VALUE"""),46075.77569444444)</f>
        <v>46075.77569</v>
      </c>
      <c r="H1562" s="85" t="str">
        <f>IFERROR(__xludf.DUMMYFUNCTION("""COMPUTED_VALUE"""),"Estimate ")</f>
        <v>Estimate </v>
      </c>
      <c r="I1562" s="4" t="str">
        <f>IFERROR(__xludf.DUMMYFUNCTION("""COMPUTED_VALUE"""),"shivani")</f>
        <v>shivani</v>
      </c>
    </row>
    <row r="1563">
      <c r="A1563" s="85">
        <f>IFERROR(__xludf.DUMMYFUNCTION("""COMPUTED_VALUE"""),46073.777313645835)</f>
        <v>46073.77731</v>
      </c>
      <c r="B1563" s="4"/>
      <c r="C1563" s="4"/>
      <c r="D1563" s="4"/>
      <c r="E1563" s="4"/>
      <c r="F1563" s="4"/>
      <c r="G1563" s="85">
        <f>IFERROR(__xludf.DUMMYFUNCTION("""COMPUTED_VALUE"""),46075.777083333334)</f>
        <v>46075.77708</v>
      </c>
      <c r="H1563" s="85" t="str">
        <f>IFERROR(__xludf.DUMMYFUNCTION("""COMPUTED_VALUE"""),"Estimate ")</f>
        <v>Estimate </v>
      </c>
      <c r="I1563" s="4" t="str">
        <f>IFERROR(__xludf.DUMMYFUNCTION("""COMPUTED_VALUE"""),"shivani")</f>
        <v>shivani</v>
      </c>
    </row>
    <row r="1564">
      <c r="A1564" s="85">
        <f>IFERROR(__xludf.DUMMYFUNCTION("""COMPUTED_VALUE"""),46073.777905393516)</f>
        <v>46073.77791</v>
      </c>
      <c r="B1564" s="4"/>
      <c r="C1564" s="4"/>
      <c r="D1564" s="4"/>
      <c r="E1564" s="4"/>
      <c r="F1564" s="4"/>
      <c r="G1564" s="85">
        <f>IFERROR(__xludf.DUMMYFUNCTION("""COMPUTED_VALUE"""),46075.77777777778)</f>
        <v>46075.77778</v>
      </c>
      <c r="H1564" s="85" t="str">
        <f>IFERROR(__xludf.DUMMYFUNCTION("""COMPUTED_VALUE"""),"Estimate ")</f>
        <v>Estimate </v>
      </c>
      <c r="I1564" s="4" t="str">
        <f>IFERROR(__xludf.DUMMYFUNCTION("""COMPUTED_VALUE"""),"shivani")</f>
        <v>shivani</v>
      </c>
    </row>
    <row r="1565">
      <c r="A1565" s="85">
        <f>IFERROR(__xludf.DUMMYFUNCTION("""COMPUTED_VALUE"""),46074.75605697916)</f>
        <v>46074.75606</v>
      </c>
      <c r="B1565" s="4"/>
      <c r="C1565" s="4"/>
      <c r="D1565" s="4"/>
      <c r="E1565" s="4"/>
      <c r="F1565" s="4"/>
      <c r="G1565" s="85">
        <f>IFERROR(__xludf.DUMMYFUNCTION("""COMPUTED_VALUE"""),46077.75555555556)</f>
        <v>46077.75556</v>
      </c>
      <c r="H1565" s="85" t="str">
        <f>IFERROR(__xludf.DUMMYFUNCTION("""COMPUTED_VALUE"""),"Estimate ")</f>
        <v>Estimate </v>
      </c>
      <c r="I1565" s="4" t="str">
        <f>IFERROR(__xludf.DUMMYFUNCTION("""COMPUTED_VALUE"""),"shivani")</f>
        <v>shivani</v>
      </c>
    </row>
    <row r="1566">
      <c r="A1566" s="85">
        <f>IFERROR(__xludf.DUMMYFUNCTION("""COMPUTED_VALUE"""),46074.75696460649)</f>
        <v>46074.75696</v>
      </c>
      <c r="B1566" s="4"/>
      <c r="C1566" s="4"/>
      <c r="D1566" s="4"/>
      <c r="E1566" s="4"/>
      <c r="F1566" s="4"/>
      <c r="G1566" s="85">
        <f>IFERROR(__xludf.DUMMYFUNCTION("""COMPUTED_VALUE"""),46077.756944444445)</f>
        <v>46077.75694</v>
      </c>
      <c r="H1566" s="85" t="str">
        <f>IFERROR(__xludf.DUMMYFUNCTION("""COMPUTED_VALUE"""),"Estimate ")</f>
        <v>Estimate </v>
      </c>
      <c r="I1566" s="4" t="str">
        <f>IFERROR(__xludf.DUMMYFUNCTION("""COMPUTED_VALUE"""),"shivani")</f>
        <v>shivani</v>
      </c>
    </row>
    <row r="1567">
      <c r="A1567" s="85">
        <f>IFERROR(__xludf.DUMMYFUNCTION("""COMPUTED_VALUE"""),46077.67712719907)</f>
        <v>46077.67713</v>
      </c>
      <c r="B1567" s="4"/>
      <c r="C1567" s="4"/>
      <c r="D1567" s="4"/>
      <c r="E1567" s="4"/>
      <c r="F1567" s="4"/>
      <c r="G1567" s="85">
        <f>IFERROR(__xludf.DUMMYFUNCTION("""COMPUTED_VALUE"""),46079.67708333333)</f>
        <v>46079.67708</v>
      </c>
      <c r="H1567" s="85" t="str">
        <f>IFERROR(__xludf.DUMMYFUNCTION("""COMPUTED_VALUE"""),"Estimate ")</f>
        <v>Estimate </v>
      </c>
      <c r="I1567" s="4" t="str">
        <f>IFERROR(__xludf.DUMMYFUNCTION("""COMPUTED_VALUE"""),"shivani")</f>
        <v>shivani</v>
      </c>
    </row>
    <row r="1568">
      <c r="A1568" s="85">
        <f>IFERROR(__xludf.DUMMYFUNCTION("""COMPUTED_VALUE"""),46077.67798118055)</f>
        <v>46077.67798</v>
      </c>
      <c r="B1568" s="4"/>
      <c r="C1568" s="4"/>
      <c r="D1568" s="4"/>
      <c r="E1568" s="4"/>
      <c r="F1568" s="4"/>
      <c r="G1568" s="85">
        <f>IFERROR(__xludf.DUMMYFUNCTION("""COMPUTED_VALUE"""),46079.677777777775)</f>
        <v>46079.67778</v>
      </c>
      <c r="H1568" s="85" t="str">
        <f>IFERROR(__xludf.DUMMYFUNCTION("""COMPUTED_VALUE"""),"Estimate ")</f>
        <v>Estimate </v>
      </c>
      <c r="I1568" s="4" t="str">
        <f>IFERROR(__xludf.DUMMYFUNCTION("""COMPUTED_VALUE"""),"shivani")</f>
        <v>shivani</v>
      </c>
    </row>
    <row r="1569">
      <c r="A1569" s="85">
        <f>IFERROR(__xludf.DUMMYFUNCTION("""COMPUTED_VALUE"""),46077.679128703705)</f>
        <v>46077.67913</v>
      </c>
      <c r="B1569" s="4"/>
      <c r="C1569" s="4"/>
      <c r="D1569" s="4"/>
      <c r="E1569" s="4"/>
      <c r="F1569" s="4"/>
      <c r="G1569" s="85">
        <f>IFERROR(__xludf.DUMMYFUNCTION("""COMPUTED_VALUE"""),46079.67847222222)</f>
        <v>46079.67847</v>
      </c>
      <c r="H1569" s="85" t="str">
        <f>IFERROR(__xludf.DUMMYFUNCTION("""COMPUTED_VALUE"""),"Estimate ")</f>
        <v>Estimate </v>
      </c>
      <c r="I1569" s="4" t="str">
        <f>IFERROR(__xludf.DUMMYFUNCTION("""COMPUTED_VALUE"""),"shivani")</f>
        <v>shivani</v>
      </c>
    </row>
    <row r="1570">
      <c r="A1570" s="85">
        <f>IFERROR(__xludf.DUMMYFUNCTION("""COMPUTED_VALUE"""),46077.70127006945)</f>
        <v>46077.70127</v>
      </c>
      <c r="B1570" s="4"/>
      <c r="C1570" s="4"/>
      <c r="D1570" s="4"/>
      <c r="E1570" s="4"/>
      <c r="F1570" s="4"/>
      <c r="G1570" s="85">
        <f>IFERROR(__xludf.DUMMYFUNCTION("""COMPUTED_VALUE"""),46079.700694444444)</f>
        <v>46079.70069</v>
      </c>
      <c r="H1570" s="85" t="str">
        <f>IFERROR(__xludf.DUMMYFUNCTION("""COMPUTED_VALUE"""),"Estimate ")</f>
        <v>Estimate </v>
      </c>
      <c r="I1570" s="4" t="str">
        <f>IFERROR(__xludf.DUMMYFUNCTION("""COMPUTED_VALUE"""),"shivani")</f>
        <v>shivani</v>
      </c>
    </row>
    <row r="1571">
      <c r="A1571" s="85">
        <f>IFERROR(__xludf.DUMMYFUNCTION("""COMPUTED_VALUE"""),46077.70210005787)</f>
        <v>46077.7021</v>
      </c>
      <c r="B1571" s="4"/>
      <c r="C1571" s="4"/>
      <c r="D1571" s="4"/>
      <c r="E1571" s="4"/>
      <c r="F1571" s="4"/>
      <c r="G1571" s="85">
        <f>IFERROR(__xludf.DUMMYFUNCTION("""COMPUTED_VALUE"""),46079.70208333334)</f>
        <v>46079.70208</v>
      </c>
      <c r="H1571" s="85" t="str">
        <f>IFERROR(__xludf.DUMMYFUNCTION("""COMPUTED_VALUE"""),"Estimate ")</f>
        <v>Estimate </v>
      </c>
      <c r="I1571" s="4" t="str">
        <f>IFERROR(__xludf.DUMMYFUNCTION("""COMPUTED_VALUE"""),"shivani")</f>
        <v>shivani</v>
      </c>
    </row>
    <row r="1572">
      <c r="A1572" s="85">
        <f>IFERROR(__xludf.DUMMYFUNCTION("""COMPUTED_VALUE"""),46077.70312690972)</f>
        <v>46077.70313</v>
      </c>
      <c r="B1572" s="4"/>
      <c r="C1572" s="4"/>
      <c r="D1572" s="4"/>
      <c r="E1572" s="4"/>
      <c r="F1572" s="4"/>
      <c r="G1572" s="85">
        <f>IFERROR(__xludf.DUMMYFUNCTION("""COMPUTED_VALUE"""),46079.70277777778)</f>
        <v>46079.70278</v>
      </c>
      <c r="H1572" s="85" t="str">
        <f>IFERROR(__xludf.DUMMYFUNCTION("""COMPUTED_VALUE"""),"Estimate ")</f>
        <v>Estimate </v>
      </c>
      <c r="I1572" s="4" t="str">
        <f>IFERROR(__xludf.DUMMYFUNCTION("""COMPUTED_VALUE"""),"shivani")</f>
        <v>shivani</v>
      </c>
    </row>
    <row r="1573">
      <c r="A1573" s="85">
        <f>IFERROR(__xludf.DUMMYFUNCTION("""COMPUTED_VALUE"""),46077.70426412037)</f>
        <v>46077.70426</v>
      </c>
      <c r="B1573" s="4"/>
      <c r="C1573" s="4"/>
      <c r="D1573" s="4"/>
      <c r="E1573" s="4"/>
      <c r="F1573" s="4"/>
      <c r="G1573" s="85">
        <f>IFERROR(__xludf.DUMMYFUNCTION("""COMPUTED_VALUE"""),46079.70416666666)</f>
        <v>46079.70417</v>
      </c>
      <c r="H1573" s="85" t="str">
        <f>IFERROR(__xludf.DUMMYFUNCTION("""COMPUTED_VALUE"""),"Estimate ")</f>
        <v>Estimate </v>
      </c>
      <c r="I1573" s="4" t="str">
        <f>IFERROR(__xludf.DUMMYFUNCTION("""COMPUTED_VALUE"""),"shivani")</f>
        <v>shivani</v>
      </c>
    </row>
    <row r="1574">
      <c r="A1574" s="85">
        <f>IFERROR(__xludf.DUMMYFUNCTION("""COMPUTED_VALUE"""),46077.71280695602)</f>
        <v>46077.71281</v>
      </c>
      <c r="B1574" s="4"/>
      <c r="C1574" s="4"/>
      <c r="D1574" s="4"/>
      <c r="E1574" s="4"/>
      <c r="F1574" s="4"/>
      <c r="G1574" s="85">
        <f>IFERROR(__xludf.DUMMYFUNCTION("""COMPUTED_VALUE"""),46079.7125)</f>
        <v>46079.7125</v>
      </c>
      <c r="H1574" s="85" t="str">
        <f>IFERROR(__xludf.DUMMYFUNCTION("""COMPUTED_VALUE"""),"Estimate ")</f>
        <v>Estimate </v>
      </c>
      <c r="I1574" s="4" t="str">
        <f>IFERROR(__xludf.DUMMYFUNCTION("""COMPUTED_VALUE"""),"shivani")</f>
        <v>shivani</v>
      </c>
    </row>
    <row r="1575">
      <c r="A1575" s="85">
        <f>IFERROR(__xludf.DUMMYFUNCTION("""COMPUTED_VALUE"""),46080.60648490741)</f>
        <v>46080.60648</v>
      </c>
      <c r="B1575" s="4"/>
      <c r="C1575" s="4"/>
      <c r="D1575" s="4"/>
      <c r="E1575" s="4"/>
      <c r="F1575" s="4"/>
      <c r="G1575" s="85">
        <f>IFERROR(__xludf.DUMMYFUNCTION("""COMPUTED_VALUE"""),46082.60625)</f>
        <v>46082.60625</v>
      </c>
      <c r="H1575" s="85" t="str">
        <f>IFERROR(__xludf.DUMMYFUNCTION("""COMPUTED_VALUE"""),"Estimate ")</f>
        <v>Estimate </v>
      </c>
      <c r="I1575" s="4" t="str">
        <f>IFERROR(__xludf.DUMMYFUNCTION("""COMPUTED_VALUE"""),"shivani")</f>
        <v>shivani</v>
      </c>
    </row>
    <row r="1576">
      <c r="A1576" s="85">
        <f>IFERROR(__xludf.DUMMYFUNCTION("""COMPUTED_VALUE"""),46080.60799247685)</f>
        <v>46080.60799</v>
      </c>
      <c r="B1576" s="4"/>
      <c r="C1576" s="4"/>
      <c r="D1576" s="4"/>
      <c r="E1576" s="4"/>
      <c r="F1576" s="4"/>
      <c r="G1576" s="85">
        <f>IFERROR(__xludf.DUMMYFUNCTION("""COMPUTED_VALUE"""),46082.60763888889)</f>
        <v>46082.60764</v>
      </c>
      <c r="H1576" s="85" t="str">
        <f>IFERROR(__xludf.DUMMYFUNCTION("""COMPUTED_VALUE"""),"Estimate ")</f>
        <v>Estimate </v>
      </c>
      <c r="I1576" s="4" t="str">
        <f>IFERROR(__xludf.DUMMYFUNCTION("""COMPUTED_VALUE"""),"shivani")</f>
        <v>shivani</v>
      </c>
    </row>
    <row r="1577">
      <c r="A1577" s="85">
        <f>IFERROR(__xludf.DUMMYFUNCTION("""COMPUTED_VALUE"""),46080.612097708334)</f>
        <v>46080.6121</v>
      </c>
      <c r="B1577" s="4"/>
      <c r="C1577" s="4"/>
      <c r="D1577" s="4"/>
      <c r="E1577" s="4"/>
      <c r="F1577" s="4"/>
      <c r="G1577" s="85">
        <f>IFERROR(__xludf.DUMMYFUNCTION("""COMPUTED_VALUE"""),46082.611805555556)</f>
        <v>46082.61181</v>
      </c>
      <c r="H1577" s="85" t="str">
        <f>IFERROR(__xludf.DUMMYFUNCTION("""COMPUTED_VALUE"""),"Estimate ")</f>
        <v>Estimate </v>
      </c>
      <c r="I1577" s="4" t="str">
        <f>IFERROR(__xludf.DUMMYFUNCTION("""COMPUTED_VALUE"""),"shivani")</f>
        <v>shivani</v>
      </c>
    </row>
    <row r="1578">
      <c r="A1578" s="85">
        <f>IFERROR(__xludf.DUMMYFUNCTION("""COMPUTED_VALUE"""),46080.613229305556)</f>
        <v>46080.61323</v>
      </c>
      <c r="B1578" s="4"/>
      <c r="C1578" s="4"/>
      <c r="D1578" s="4"/>
      <c r="E1578" s="4"/>
      <c r="F1578" s="4"/>
      <c r="G1578" s="85">
        <f>IFERROR(__xludf.DUMMYFUNCTION("""COMPUTED_VALUE"""),46082.61319444445)</f>
        <v>46082.61319</v>
      </c>
      <c r="H1578" s="85" t="str">
        <f>IFERROR(__xludf.DUMMYFUNCTION("""COMPUTED_VALUE"""),"Estimate ")</f>
        <v>Estimate </v>
      </c>
      <c r="I1578" s="4" t="str">
        <f>IFERROR(__xludf.DUMMYFUNCTION("""COMPUTED_VALUE"""),"shivani")</f>
        <v>shivani</v>
      </c>
    </row>
    <row r="1579">
      <c r="A1579" s="85">
        <f>IFERROR(__xludf.DUMMYFUNCTION("""COMPUTED_VALUE"""),46080.644814189814)</f>
        <v>46080.64481</v>
      </c>
      <c r="B1579" s="4"/>
      <c r="C1579" s="4"/>
      <c r="D1579" s="4"/>
      <c r="E1579" s="4"/>
      <c r="F1579" s="4"/>
      <c r="G1579" s="85">
        <f>IFERROR(__xludf.DUMMYFUNCTION("""COMPUTED_VALUE"""),46082.64444444445)</f>
        <v>46082.64444</v>
      </c>
      <c r="H1579" s="85" t="str">
        <f>IFERROR(__xludf.DUMMYFUNCTION("""COMPUTED_VALUE"""),"Estimate ")</f>
        <v>Estimate </v>
      </c>
      <c r="I1579" s="4" t="str">
        <f>IFERROR(__xludf.DUMMYFUNCTION("""COMPUTED_VALUE"""),"shivani")</f>
        <v>shivani</v>
      </c>
    </row>
    <row r="1580">
      <c r="A1580" s="85">
        <f>IFERROR(__xludf.DUMMYFUNCTION("""COMPUTED_VALUE"""),46080.71246012731)</f>
        <v>46080.71246</v>
      </c>
      <c r="B1580" s="4"/>
      <c r="C1580" s="4"/>
      <c r="D1580" s="4"/>
      <c r="E1580" s="4"/>
      <c r="F1580" s="4"/>
      <c r="G1580" s="85">
        <f>IFERROR(__xludf.DUMMYFUNCTION("""COMPUTED_VALUE"""),46082.711805555555)</f>
        <v>46082.71181</v>
      </c>
      <c r="H1580" s="85" t="str">
        <f>IFERROR(__xludf.DUMMYFUNCTION("""COMPUTED_VALUE"""),"Estimate ")</f>
        <v>Estimate </v>
      </c>
      <c r="I1580" s="4" t="str">
        <f>IFERROR(__xludf.DUMMYFUNCTION("""COMPUTED_VALUE"""),"shivani")</f>
        <v>shivani</v>
      </c>
    </row>
    <row r="1581">
      <c r="A1581" s="85">
        <f>IFERROR(__xludf.DUMMYFUNCTION("""COMPUTED_VALUE"""),46080.71320274305)</f>
        <v>46080.7132</v>
      </c>
      <c r="B1581" s="4"/>
      <c r="C1581" s="4"/>
      <c r="D1581" s="4"/>
      <c r="E1581" s="4"/>
      <c r="F1581" s="4"/>
      <c r="G1581" s="85">
        <f>IFERROR(__xludf.DUMMYFUNCTION("""COMPUTED_VALUE"""),46082.71319444444)</f>
        <v>46082.71319</v>
      </c>
      <c r="H1581" s="85" t="str">
        <f>IFERROR(__xludf.DUMMYFUNCTION("""COMPUTED_VALUE"""),"Estimate ")</f>
        <v>Estimate </v>
      </c>
      <c r="I1581" s="4" t="str">
        <f>IFERROR(__xludf.DUMMYFUNCTION("""COMPUTED_VALUE"""),"shivani")</f>
        <v>shivani</v>
      </c>
    </row>
    <row r="1582">
      <c r="A1582" s="85">
        <f>IFERROR(__xludf.DUMMYFUNCTION("""COMPUTED_VALUE"""),46080.71532631944)</f>
        <v>46080.71533</v>
      </c>
      <c r="B1582" s="4"/>
      <c r="C1582" s="4"/>
      <c r="D1582" s="4"/>
      <c r="E1582" s="4"/>
      <c r="F1582" s="4"/>
      <c r="G1582" s="85">
        <f>IFERROR(__xludf.DUMMYFUNCTION("""COMPUTED_VALUE"""),46082.71527777778)</f>
        <v>46082.71528</v>
      </c>
      <c r="H1582" s="85" t="str">
        <f>IFERROR(__xludf.DUMMYFUNCTION("""COMPUTED_VALUE"""),"Estimate ")</f>
        <v>Estimate </v>
      </c>
      <c r="I1582" s="4" t="str">
        <f>IFERROR(__xludf.DUMMYFUNCTION("""COMPUTED_VALUE"""),"shivani")</f>
        <v>shivani</v>
      </c>
    </row>
    <row r="1583">
      <c r="A1583" s="85">
        <f>IFERROR(__xludf.DUMMYFUNCTION("""COMPUTED_VALUE"""),46101.66062457176)</f>
        <v>46101.66062</v>
      </c>
      <c r="B1583" s="4"/>
      <c r="C1583" s="4"/>
      <c r="D1583" s="4"/>
      <c r="E1583" s="4"/>
      <c r="F1583" s="4"/>
      <c r="G1583" s="85">
        <f>IFERROR(__xludf.DUMMYFUNCTION("""COMPUTED_VALUE"""),46103.660416666666)</f>
        <v>46103.66042</v>
      </c>
      <c r="H1583" s="85" t="str">
        <f>IFERROR(__xludf.DUMMYFUNCTION("""COMPUTED_VALUE"""),"Estimate ")</f>
        <v>Estimate </v>
      </c>
      <c r="I1583" s="4" t="str">
        <f>IFERROR(__xludf.DUMMYFUNCTION("""COMPUTED_VALUE"""),"shivani")</f>
        <v>shivani</v>
      </c>
    </row>
    <row r="1584">
      <c r="A1584" s="85">
        <f>IFERROR(__xludf.DUMMYFUNCTION("""COMPUTED_VALUE"""),46101.66182459491)</f>
        <v>46101.66182</v>
      </c>
      <c r="B1584" s="4"/>
      <c r="C1584" s="4"/>
      <c r="D1584" s="4"/>
      <c r="E1584" s="4"/>
      <c r="F1584" s="4"/>
      <c r="G1584" s="85">
        <f>IFERROR(__xludf.DUMMYFUNCTION("""COMPUTED_VALUE"""),46103.66180555556)</f>
        <v>46103.66181</v>
      </c>
      <c r="H1584" s="85" t="str">
        <f>IFERROR(__xludf.DUMMYFUNCTION("""COMPUTED_VALUE"""),"Estimate ")</f>
        <v>Estimate </v>
      </c>
      <c r="I1584" s="4" t="str">
        <f>IFERROR(__xludf.DUMMYFUNCTION("""COMPUTED_VALUE"""),"shivani")</f>
        <v>shivani</v>
      </c>
    </row>
    <row r="1585">
      <c r="A1585" s="85">
        <f>IFERROR(__xludf.DUMMYFUNCTION("""COMPUTED_VALUE"""),46101.663225034725)</f>
        <v>46101.66323</v>
      </c>
      <c r="B1585" s="4"/>
      <c r="C1585" s="4"/>
      <c r="D1585" s="4"/>
      <c r="E1585" s="4"/>
      <c r="F1585" s="4"/>
      <c r="G1585" s="85">
        <f>IFERROR(__xludf.DUMMYFUNCTION("""COMPUTED_VALUE"""),46103.663194444445)</f>
        <v>46103.66319</v>
      </c>
      <c r="H1585" s="85" t="str">
        <f>IFERROR(__xludf.DUMMYFUNCTION("""COMPUTED_VALUE"""),"Estimate ")</f>
        <v>Estimate </v>
      </c>
      <c r="I1585" s="4" t="str">
        <f>IFERROR(__xludf.DUMMYFUNCTION("""COMPUTED_VALUE"""),"shivani")</f>
        <v>shivani</v>
      </c>
    </row>
    <row r="1586">
      <c r="A1586" s="85">
        <f>IFERROR(__xludf.DUMMYFUNCTION("""COMPUTED_VALUE"""),46101.66571261574)</f>
        <v>46101.66571</v>
      </c>
      <c r="B1586" s="4"/>
      <c r="C1586" s="4"/>
      <c r="D1586" s="4"/>
      <c r="E1586" s="4"/>
      <c r="F1586" s="4"/>
      <c r="G1586" s="85">
        <f>IFERROR(__xludf.DUMMYFUNCTION("""COMPUTED_VALUE"""),46103.66527777778)</f>
        <v>46103.66528</v>
      </c>
      <c r="H1586" s="85" t="str">
        <f>IFERROR(__xludf.DUMMYFUNCTION("""COMPUTED_VALUE"""),"Estimate ")</f>
        <v>Estimate </v>
      </c>
      <c r="I1586" s="4" t="str">
        <f>IFERROR(__xludf.DUMMYFUNCTION("""COMPUTED_VALUE"""),"shivani")</f>
        <v>shivani</v>
      </c>
    </row>
    <row r="1587">
      <c r="A1587" s="85">
        <f>IFERROR(__xludf.DUMMYFUNCTION("""COMPUTED_VALUE"""),46101.66664472222)</f>
        <v>46101.66664</v>
      </c>
      <c r="B1587" s="4"/>
      <c r="C1587" s="4"/>
      <c r="D1587" s="4"/>
      <c r="E1587" s="4"/>
      <c r="F1587" s="4"/>
      <c r="G1587" s="85">
        <f>IFERROR(__xludf.DUMMYFUNCTION("""COMPUTED_VALUE"""),46103.665972222225)</f>
        <v>46103.66597</v>
      </c>
      <c r="H1587" s="85" t="str">
        <f>IFERROR(__xludf.DUMMYFUNCTION("""COMPUTED_VALUE"""),"Estimate ")</f>
        <v>Estimate </v>
      </c>
      <c r="I1587" s="4" t="str">
        <f>IFERROR(__xludf.DUMMYFUNCTION("""COMPUTED_VALUE"""),"shivani")</f>
        <v>shivani</v>
      </c>
    </row>
    <row r="1588">
      <c r="A1588" s="85">
        <f>IFERROR(__xludf.DUMMYFUNCTION("""COMPUTED_VALUE"""),46101.66945747685)</f>
        <v>46101.66946</v>
      </c>
      <c r="B1588" s="4"/>
      <c r="C1588" s="4"/>
      <c r="D1588" s="4"/>
      <c r="E1588" s="4"/>
      <c r="F1588" s="4"/>
      <c r="G1588" s="85">
        <f>IFERROR(__xludf.DUMMYFUNCTION("""COMPUTED_VALUE"""),46103.669444444444)</f>
        <v>46103.66944</v>
      </c>
      <c r="H1588" s="85" t="str">
        <f>IFERROR(__xludf.DUMMYFUNCTION("""COMPUTED_VALUE"""),"Estimate ")</f>
        <v>Estimate </v>
      </c>
      <c r="I1588" s="4" t="str">
        <f>IFERROR(__xludf.DUMMYFUNCTION("""COMPUTED_VALUE"""),"shivani")</f>
        <v>shivani</v>
      </c>
    </row>
    <row r="1589">
      <c r="A1589" s="85">
        <f>IFERROR(__xludf.DUMMYFUNCTION("""COMPUTED_VALUE"""),46101.670473275466)</f>
        <v>46101.67047</v>
      </c>
      <c r="B1589" s="4"/>
      <c r="C1589" s="4"/>
      <c r="D1589" s="4"/>
      <c r="E1589" s="4"/>
      <c r="F1589" s="4"/>
      <c r="G1589" s="85">
        <f>IFERROR(__xludf.DUMMYFUNCTION("""COMPUTED_VALUE"""),46103.67013888889)</f>
        <v>46103.67014</v>
      </c>
      <c r="H1589" s="85" t="str">
        <f>IFERROR(__xludf.DUMMYFUNCTION("""COMPUTED_VALUE"""),"Estimate ")</f>
        <v>Estimate </v>
      </c>
      <c r="I1589" s="4" t="str">
        <f>IFERROR(__xludf.DUMMYFUNCTION("""COMPUTED_VALUE"""),"shivani")</f>
        <v>shivani</v>
      </c>
    </row>
    <row r="1590">
      <c r="A1590" s="85">
        <f>IFERROR(__xludf.DUMMYFUNCTION("""COMPUTED_VALUE"""),46101.672076840274)</f>
        <v>46101.67208</v>
      </c>
      <c r="B1590" s="4"/>
      <c r="C1590" s="4"/>
      <c r="D1590" s="4"/>
      <c r="E1590" s="4"/>
      <c r="F1590" s="4"/>
      <c r="G1590" s="85">
        <f>IFERROR(__xludf.DUMMYFUNCTION("""COMPUTED_VALUE"""),46103.67152777778)</f>
        <v>46103.67153</v>
      </c>
      <c r="H1590" s="85" t="str">
        <f>IFERROR(__xludf.DUMMYFUNCTION("""COMPUTED_VALUE"""),"Estimate ")</f>
        <v>Estimate </v>
      </c>
      <c r="I1590" s="4" t="str">
        <f>IFERROR(__xludf.DUMMYFUNCTION("""COMPUTED_VALUE"""),"shivani")</f>
        <v>shivani</v>
      </c>
    </row>
    <row r="1591">
      <c r="A1591" s="85">
        <f>IFERROR(__xludf.DUMMYFUNCTION("""COMPUTED_VALUE"""),46101.67282074074)</f>
        <v>46101.67282</v>
      </c>
      <c r="B1591" s="4"/>
      <c r="C1591" s="4"/>
      <c r="D1591" s="4"/>
      <c r="E1591" s="4"/>
      <c r="F1591" s="4"/>
      <c r="G1591" s="85">
        <f>IFERROR(__xludf.DUMMYFUNCTION("""COMPUTED_VALUE"""),46103.67222222222)</f>
        <v>46103.67222</v>
      </c>
      <c r="H1591" s="85" t="str">
        <f>IFERROR(__xludf.DUMMYFUNCTION("""COMPUTED_VALUE"""),"Estimate ")</f>
        <v>Estimate </v>
      </c>
      <c r="I1591" s="4" t="str">
        <f>IFERROR(__xludf.DUMMYFUNCTION("""COMPUTED_VALUE"""),"shivani")</f>
        <v>shivani</v>
      </c>
    </row>
    <row r="1592">
      <c r="A1592" s="85">
        <f>IFERROR(__xludf.DUMMYFUNCTION("""COMPUTED_VALUE"""),46101.67404405093)</f>
        <v>46101.67404</v>
      </c>
      <c r="B1592" s="4"/>
      <c r="C1592" s="4"/>
      <c r="D1592" s="4"/>
      <c r="E1592" s="4"/>
      <c r="F1592" s="4"/>
      <c r="G1592" s="85">
        <f>IFERROR(__xludf.DUMMYFUNCTION("""COMPUTED_VALUE"""),46103.67361111111)</f>
        <v>46103.67361</v>
      </c>
      <c r="H1592" s="85" t="str">
        <f>IFERROR(__xludf.DUMMYFUNCTION("""COMPUTED_VALUE"""),"Estimate ")</f>
        <v>Estimate </v>
      </c>
      <c r="I1592" s="4" t="str">
        <f>IFERROR(__xludf.DUMMYFUNCTION("""COMPUTED_VALUE"""),"shivani")</f>
        <v>shivani</v>
      </c>
    </row>
    <row r="1593">
      <c r="A1593" s="85">
        <f>IFERROR(__xludf.DUMMYFUNCTION("""COMPUTED_VALUE"""),46101.68754391204)</f>
        <v>46101.68754</v>
      </c>
      <c r="B1593" s="4"/>
      <c r="C1593" s="4"/>
      <c r="D1593" s="4"/>
      <c r="E1593" s="4"/>
      <c r="F1593" s="4"/>
      <c r="G1593" s="85">
        <f>IFERROR(__xludf.DUMMYFUNCTION("""COMPUTED_VALUE"""),46103.6875)</f>
        <v>46103.6875</v>
      </c>
      <c r="H1593" s="85" t="str">
        <f>IFERROR(__xludf.DUMMYFUNCTION("""COMPUTED_VALUE"""),"Estimate ")</f>
        <v>Estimate </v>
      </c>
      <c r="I1593" s="4" t="str">
        <f>IFERROR(__xludf.DUMMYFUNCTION("""COMPUTED_VALUE"""),"shivani")</f>
        <v>shivani</v>
      </c>
    </row>
    <row r="1594">
      <c r="A1594" s="85">
        <f>IFERROR(__xludf.DUMMYFUNCTION("""COMPUTED_VALUE"""),46101.689569988426)</f>
        <v>46101.68957</v>
      </c>
      <c r="B1594" s="4"/>
      <c r="C1594" s="4"/>
      <c r="D1594" s="4"/>
      <c r="E1594" s="4"/>
      <c r="F1594" s="4"/>
      <c r="G1594" s="85">
        <f>IFERROR(__xludf.DUMMYFUNCTION("""COMPUTED_VALUE"""),46103.68888888889)</f>
        <v>46103.68889</v>
      </c>
      <c r="H1594" s="85" t="str">
        <f>IFERROR(__xludf.DUMMYFUNCTION("""COMPUTED_VALUE"""),"Estimate ")</f>
        <v>Estimate </v>
      </c>
      <c r="I1594" s="4" t="str">
        <f>IFERROR(__xludf.DUMMYFUNCTION("""COMPUTED_VALUE"""),"shivani")</f>
        <v>shivani</v>
      </c>
    </row>
    <row r="1595">
      <c r="A1595" s="85">
        <f>IFERROR(__xludf.DUMMYFUNCTION("""COMPUTED_VALUE"""),46101.69138381944)</f>
        <v>46101.69138</v>
      </c>
      <c r="B1595" s="4"/>
      <c r="C1595" s="4"/>
      <c r="D1595" s="4"/>
      <c r="E1595" s="4"/>
      <c r="F1595" s="4"/>
      <c r="G1595" s="85">
        <f>IFERROR(__xludf.DUMMYFUNCTION("""COMPUTED_VALUE"""),46103.69097222222)</f>
        <v>46103.69097</v>
      </c>
      <c r="H1595" s="85" t="str">
        <f>IFERROR(__xludf.DUMMYFUNCTION("""COMPUTED_VALUE"""),"Estimate ")</f>
        <v>Estimate </v>
      </c>
      <c r="I1595" s="4" t="str">
        <f>IFERROR(__xludf.DUMMYFUNCTION("""COMPUTED_VALUE"""),"shivani")</f>
        <v>shivani</v>
      </c>
    </row>
    <row r="1596">
      <c r="A1596" s="85">
        <f>IFERROR(__xludf.DUMMYFUNCTION("""COMPUTED_VALUE"""),46101.692505648156)</f>
        <v>46101.69251</v>
      </c>
      <c r="B1596" s="4"/>
      <c r="C1596" s="4"/>
      <c r="D1596" s="4"/>
      <c r="E1596" s="4"/>
      <c r="F1596" s="4"/>
      <c r="G1596" s="85">
        <f>IFERROR(__xludf.DUMMYFUNCTION("""COMPUTED_VALUE"""),46103.69236111111)</f>
        <v>46103.69236</v>
      </c>
      <c r="H1596" s="85" t="str">
        <f>IFERROR(__xludf.DUMMYFUNCTION("""COMPUTED_VALUE"""),"Estimate ")</f>
        <v>Estimate </v>
      </c>
      <c r="I1596" s="4" t="str">
        <f>IFERROR(__xludf.DUMMYFUNCTION("""COMPUTED_VALUE"""),"shivani")</f>
        <v>shivani</v>
      </c>
    </row>
    <row r="1597">
      <c r="A1597" s="85">
        <f>IFERROR(__xludf.DUMMYFUNCTION("""COMPUTED_VALUE"""),46101.695504131945)</f>
        <v>46101.6955</v>
      </c>
      <c r="B1597" s="4"/>
      <c r="C1597" s="4"/>
      <c r="D1597" s="4"/>
      <c r="E1597" s="4"/>
      <c r="F1597" s="4"/>
      <c r="G1597" s="85">
        <f>IFERROR(__xludf.DUMMYFUNCTION("""COMPUTED_VALUE"""),46103.695138888885)</f>
        <v>46103.69514</v>
      </c>
      <c r="H1597" s="85" t="str">
        <f>IFERROR(__xludf.DUMMYFUNCTION("""COMPUTED_VALUE"""),"Estimate ")</f>
        <v>Estimate </v>
      </c>
      <c r="I1597" s="4" t="str">
        <f>IFERROR(__xludf.DUMMYFUNCTION("""COMPUTED_VALUE"""),"shivani")</f>
        <v>shivani</v>
      </c>
    </row>
    <row r="1598">
      <c r="A1598" s="85">
        <f>IFERROR(__xludf.DUMMYFUNCTION("""COMPUTED_VALUE"""),46103.54792748842)</f>
        <v>46103.54793</v>
      </c>
      <c r="B1598" s="4"/>
      <c r="C1598" s="4"/>
      <c r="D1598" s="4"/>
      <c r="E1598" s="4"/>
      <c r="F1598" s="4"/>
      <c r="G1598" s="85">
        <f>IFERROR(__xludf.DUMMYFUNCTION("""COMPUTED_VALUE"""),46106.54791666666)</f>
        <v>46106.54792</v>
      </c>
      <c r="H1598" s="85" t="str">
        <f>IFERROR(__xludf.DUMMYFUNCTION("""COMPUTED_VALUE"""),"Estimate ")</f>
        <v>Estimate </v>
      </c>
      <c r="I1598" s="4" t="str">
        <f>IFERROR(__xludf.DUMMYFUNCTION("""COMPUTED_VALUE"""),"shivani")</f>
        <v>shivani</v>
      </c>
    </row>
    <row r="1599">
      <c r="A1599" s="85">
        <f>IFERROR(__xludf.DUMMYFUNCTION("""COMPUTED_VALUE"""),46103.54960123843)</f>
        <v>46103.5496</v>
      </c>
      <c r="B1599" s="4"/>
      <c r="C1599" s="4"/>
      <c r="D1599" s="4"/>
      <c r="E1599" s="4"/>
      <c r="F1599" s="4"/>
      <c r="G1599" s="85">
        <f>IFERROR(__xludf.DUMMYFUNCTION("""COMPUTED_VALUE"""),46106.549305555556)</f>
        <v>46106.54931</v>
      </c>
      <c r="H1599" s="85" t="str">
        <f>IFERROR(__xludf.DUMMYFUNCTION("""COMPUTED_VALUE"""),"Estimate ")</f>
        <v>Estimate </v>
      </c>
      <c r="I1599" s="4" t="str">
        <f>IFERROR(__xludf.DUMMYFUNCTION("""COMPUTED_VALUE"""),"shivani")</f>
        <v>shivani</v>
      </c>
    </row>
    <row r="1600">
      <c r="A1600" s="85">
        <f>IFERROR(__xludf.DUMMYFUNCTION("""COMPUTED_VALUE"""),46103.55085421297)</f>
        <v>46103.55085</v>
      </c>
      <c r="B1600" s="4"/>
      <c r="C1600" s="4"/>
      <c r="D1600" s="4"/>
      <c r="E1600" s="4"/>
      <c r="F1600" s="4"/>
      <c r="G1600" s="85">
        <f>IFERROR(__xludf.DUMMYFUNCTION("""COMPUTED_VALUE"""),46106.55069444445)</f>
        <v>46106.55069</v>
      </c>
      <c r="H1600" s="85" t="str">
        <f>IFERROR(__xludf.DUMMYFUNCTION("""COMPUTED_VALUE"""),"Estimate ")</f>
        <v>Estimate </v>
      </c>
      <c r="I1600" s="4" t="str">
        <f>IFERROR(__xludf.DUMMYFUNCTION("""COMPUTED_VALUE"""),"shivani")</f>
        <v>shivani</v>
      </c>
    </row>
    <row r="1601">
      <c r="A1601" s="85">
        <f>IFERROR(__xludf.DUMMYFUNCTION("""COMPUTED_VALUE"""),46103.55193194444)</f>
        <v>46103.55193</v>
      </c>
      <c r="B1601" s="4"/>
      <c r="C1601" s="4"/>
      <c r="D1601" s="4"/>
      <c r="E1601" s="4"/>
      <c r="F1601" s="4"/>
      <c r="G1601" s="85">
        <f>IFERROR(__xludf.DUMMYFUNCTION("""COMPUTED_VALUE"""),46106.55138888889)</f>
        <v>46106.55139</v>
      </c>
      <c r="H1601" s="85" t="str">
        <f>IFERROR(__xludf.DUMMYFUNCTION("""COMPUTED_VALUE"""),"Estimate ")</f>
        <v>Estimate </v>
      </c>
      <c r="I1601" s="4" t="str">
        <f>IFERROR(__xludf.DUMMYFUNCTION("""COMPUTED_VALUE"""),"shivani")</f>
        <v>shivani</v>
      </c>
    </row>
    <row r="1602">
      <c r="A1602" s="85">
        <f>IFERROR(__xludf.DUMMYFUNCTION("""COMPUTED_VALUE"""),46106.6772397338)</f>
        <v>46106.67724</v>
      </c>
      <c r="B1602" s="4"/>
      <c r="C1602" s="4"/>
      <c r="D1602" s="4"/>
      <c r="E1602" s="4"/>
      <c r="F1602" s="4"/>
      <c r="G1602" s="85">
        <f>IFERROR(__xludf.DUMMYFUNCTION("""COMPUTED_VALUE"""),46108.67708333333)</f>
        <v>46108.67708</v>
      </c>
      <c r="H1602" s="85" t="str">
        <f>IFERROR(__xludf.DUMMYFUNCTION("""COMPUTED_VALUE"""),"Estimate ")</f>
        <v>Estimate </v>
      </c>
      <c r="I1602" s="4" t="str">
        <f>IFERROR(__xludf.DUMMYFUNCTION("""COMPUTED_VALUE"""),"shivani")</f>
        <v>shivani</v>
      </c>
    </row>
    <row r="1603">
      <c r="A1603" s="85">
        <f>IFERROR(__xludf.DUMMYFUNCTION("""COMPUTED_VALUE"""),46106.6805202662)</f>
        <v>46106.68052</v>
      </c>
      <c r="B1603" s="4"/>
      <c r="C1603" s="4"/>
      <c r="D1603" s="4"/>
      <c r="E1603" s="4"/>
      <c r="F1603" s="4"/>
      <c r="G1603" s="85">
        <f>IFERROR(__xludf.DUMMYFUNCTION("""COMPUTED_VALUE"""),46108.679861111115)</f>
        <v>46108.67986</v>
      </c>
      <c r="H1603" s="85" t="str">
        <f>IFERROR(__xludf.DUMMYFUNCTION("""COMPUTED_VALUE"""),"Estimate ")</f>
        <v>Estimate </v>
      </c>
      <c r="I1603" s="4" t="str">
        <f>IFERROR(__xludf.DUMMYFUNCTION("""COMPUTED_VALUE"""),"shivani")</f>
        <v>shivani</v>
      </c>
    </row>
    <row r="1604">
      <c r="A1604" s="85">
        <f>IFERROR(__xludf.DUMMYFUNCTION("""COMPUTED_VALUE"""),46106.68196140046)</f>
        <v>46106.68196</v>
      </c>
      <c r="B1604" s="4"/>
      <c r="C1604" s="4"/>
      <c r="D1604" s="4"/>
      <c r="E1604" s="4"/>
      <c r="F1604" s="4"/>
      <c r="G1604" s="85">
        <f>IFERROR(__xludf.DUMMYFUNCTION("""COMPUTED_VALUE"""),46108.68194444444)</f>
        <v>46108.68194</v>
      </c>
      <c r="H1604" s="85" t="str">
        <f>IFERROR(__xludf.DUMMYFUNCTION("""COMPUTED_VALUE"""),"Estimate ")</f>
        <v>Estimate </v>
      </c>
      <c r="I1604" s="4" t="str">
        <f>IFERROR(__xludf.DUMMYFUNCTION("""COMPUTED_VALUE"""),"shivani")</f>
        <v>shivani</v>
      </c>
    </row>
    <row r="1605">
      <c r="A1605" s="85">
        <f>IFERROR(__xludf.DUMMYFUNCTION("""COMPUTED_VALUE"""),46106.68293159722)</f>
        <v>46106.68293</v>
      </c>
      <c r="B1605" s="4"/>
      <c r="C1605" s="4"/>
      <c r="D1605" s="4"/>
      <c r="E1605" s="4"/>
      <c r="F1605" s="4"/>
      <c r="G1605" s="85">
        <f>IFERROR(__xludf.DUMMYFUNCTION("""COMPUTED_VALUE"""),46108.68263888889)</f>
        <v>46108.68264</v>
      </c>
      <c r="H1605" s="85" t="str">
        <f>IFERROR(__xludf.DUMMYFUNCTION("""COMPUTED_VALUE"""),"Estimate ")</f>
        <v>Estimate </v>
      </c>
      <c r="I1605" s="4" t="str">
        <f>IFERROR(__xludf.DUMMYFUNCTION("""COMPUTED_VALUE"""),"shivani")</f>
        <v>shivani</v>
      </c>
    </row>
    <row r="1606">
      <c r="A1606" s="85">
        <f>IFERROR(__xludf.DUMMYFUNCTION("""COMPUTED_VALUE"""),46106.687812129625)</f>
        <v>46106.68781</v>
      </c>
      <c r="B1606" s="4"/>
      <c r="C1606" s="4"/>
      <c r="D1606" s="4"/>
      <c r="E1606" s="4"/>
      <c r="F1606" s="4"/>
      <c r="G1606" s="85">
        <f>IFERROR(__xludf.DUMMYFUNCTION("""COMPUTED_VALUE"""),46108.6875)</f>
        <v>46108.6875</v>
      </c>
      <c r="H1606" s="85" t="str">
        <f>IFERROR(__xludf.DUMMYFUNCTION("""COMPUTED_VALUE"""),"Estimate ")</f>
        <v>Estimate </v>
      </c>
      <c r="I1606" s="4" t="str">
        <f>IFERROR(__xludf.DUMMYFUNCTION("""COMPUTED_VALUE"""),"shivani")</f>
        <v>shivani</v>
      </c>
    </row>
    <row r="1607">
      <c r="A1607" s="85">
        <f>IFERROR(__xludf.DUMMYFUNCTION("""COMPUTED_VALUE"""),46106.68922125)</f>
        <v>46106.68922</v>
      </c>
      <c r="B1607" s="4"/>
      <c r="C1607" s="4"/>
      <c r="D1607" s="4"/>
      <c r="E1607" s="4"/>
      <c r="F1607" s="4"/>
      <c r="G1607" s="85">
        <f>IFERROR(__xludf.DUMMYFUNCTION("""COMPUTED_VALUE"""),46108.68888888889)</f>
        <v>46108.68889</v>
      </c>
      <c r="H1607" s="85" t="str">
        <f>IFERROR(__xludf.DUMMYFUNCTION("""COMPUTED_VALUE"""),"Estimate ")</f>
        <v>Estimate </v>
      </c>
      <c r="I1607" s="4" t="str">
        <f>IFERROR(__xludf.DUMMYFUNCTION("""COMPUTED_VALUE"""),"shivani")</f>
        <v>shivani</v>
      </c>
    </row>
    <row r="1608">
      <c r="A1608" s="85">
        <f>IFERROR(__xludf.DUMMYFUNCTION("""COMPUTED_VALUE"""),46106.698751226846)</f>
        <v>46106.69875</v>
      </c>
      <c r="B1608" s="4"/>
      <c r="C1608" s="4"/>
      <c r="D1608" s="4"/>
      <c r="E1608" s="4"/>
      <c r="F1608" s="4"/>
      <c r="G1608" s="85">
        <f>IFERROR(__xludf.DUMMYFUNCTION("""COMPUTED_VALUE"""),46108.69861111111)</f>
        <v>46108.69861</v>
      </c>
      <c r="H1608" s="85" t="str">
        <f>IFERROR(__xludf.DUMMYFUNCTION("""COMPUTED_VALUE"""),"Estimate ")</f>
        <v>Estimate </v>
      </c>
      <c r="I1608" s="4" t="str">
        <f>IFERROR(__xludf.DUMMYFUNCTION("""COMPUTED_VALUE"""),"shivani")</f>
        <v>shivani</v>
      </c>
    </row>
    <row r="1609">
      <c r="A1609" s="85">
        <f>IFERROR(__xludf.DUMMYFUNCTION("""COMPUTED_VALUE"""),46106.69948716435)</f>
        <v>46106.69949</v>
      </c>
      <c r="B1609" s="4"/>
      <c r="C1609" s="4"/>
      <c r="D1609" s="4"/>
      <c r="E1609" s="4"/>
      <c r="F1609" s="4"/>
      <c r="G1609" s="85">
        <f>IFERROR(__xludf.DUMMYFUNCTION("""COMPUTED_VALUE"""),46108.69930555555)</f>
        <v>46108.69931</v>
      </c>
      <c r="H1609" s="85" t="str">
        <f>IFERROR(__xludf.DUMMYFUNCTION("""COMPUTED_VALUE"""),"Estimate ")</f>
        <v>Estimate </v>
      </c>
      <c r="I1609" s="4" t="str">
        <f>IFERROR(__xludf.DUMMYFUNCTION("""COMPUTED_VALUE"""),"shivani")</f>
        <v>shivani</v>
      </c>
    </row>
    <row r="1610">
      <c r="A1610" s="85">
        <f>IFERROR(__xludf.DUMMYFUNCTION("""COMPUTED_VALUE"""),46106.702505023146)</f>
        <v>46106.70251</v>
      </c>
      <c r="B1610" s="4"/>
      <c r="C1610" s="4"/>
      <c r="D1610" s="4"/>
      <c r="E1610" s="4"/>
      <c r="F1610" s="4"/>
      <c r="G1610" s="85">
        <f>IFERROR(__xludf.DUMMYFUNCTION("""COMPUTED_VALUE"""),46108.70208333334)</f>
        <v>46108.70208</v>
      </c>
      <c r="H1610" s="85" t="str">
        <f>IFERROR(__xludf.DUMMYFUNCTION("""COMPUTED_VALUE"""),"Estimate ")</f>
        <v>Estimate </v>
      </c>
      <c r="I1610" s="4" t="str">
        <f>IFERROR(__xludf.DUMMYFUNCTION("""COMPUTED_VALUE"""),"shivani")</f>
        <v>shivani</v>
      </c>
    </row>
    <row r="1611">
      <c r="A1611" s="85">
        <f>IFERROR(__xludf.DUMMYFUNCTION("""COMPUTED_VALUE"""),46106.70475030092)</f>
        <v>46106.70475</v>
      </c>
      <c r="B1611" s="4"/>
      <c r="C1611" s="4"/>
      <c r="D1611" s="4"/>
      <c r="E1611" s="4"/>
      <c r="F1611" s="4"/>
      <c r="G1611" s="85">
        <f>IFERROR(__xludf.DUMMYFUNCTION("""COMPUTED_VALUE"""),46108.70416666666)</f>
        <v>46108.70417</v>
      </c>
      <c r="H1611" s="85" t="str">
        <f>IFERROR(__xludf.DUMMYFUNCTION("""COMPUTED_VALUE"""),"Estimate ")</f>
        <v>Estimate </v>
      </c>
      <c r="I1611" s="4" t="str">
        <f>IFERROR(__xludf.DUMMYFUNCTION("""COMPUTED_VALUE"""),"shivani")</f>
        <v>shivani</v>
      </c>
    </row>
    <row r="1612">
      <c r="A1612" s="85">
        <f>IFERROR(__xludf.DUMMYFUNCTION("""COMPUTED_VALUE"""),46106.705356701386)</f>
        <v>46106.70536</v>
      </c>
      <c r="B1612" s="4"/>
      <c r="C1612" s="4"/>
      <c r="D1612" s="4"/>
      <c r="E1612" s="4"/>
      <c r="F1612" s="4"/>
      <c r="G1612" s="85">
        <f>IFERROR(__xludf.DUMMYFUNCTION("""COMPUTED_VALUE"""),46108.70486111111)</f>
        <v>46108.70486</v>
      </c>
      <c r="H1612" s="85" t="str">
        <f>IFERROR(__xludf.DUMMYFUNCTION("""COMPUTED_VALUE"""),"Estimate ")</f>
        <v>Estimate </v>
      </c>
      <c r="I1612" s="4" t="str">
        <f>IFERROR(__xludf.DUMMYFUNCTION("""COMPUTED_VALUE"""),"shivani")</f>
        <v>shivani</v>
      </c>
    </row>
    <row r="1613">
      <c r="A1613" s="85">
        <f>IFERROR(__xludf.DUMMYFUNCTION("""COMPUTED_VALUE"""),46106.70614899306)</f>
        <v>46106.70615</v>
      </c>
      <c r="B1613" s="4"/>
      <c r="C1613" s="4"/>
      <c r="D1613" s="4"/>
      <c r="E1613" s="4"/>
      <c r="F1613" s="4"/>
      <c r="G1613" s="85">
        <f>IFERROR(__xludf.DUMMYFUNCTION("""COMPUTED_VALUE"""),46108.705555555556)</f>
        <v>46108.70556</v>
      </c>
      <c r="H1613" s="85" t="str">
        <f>IFERROR(__xludf.DUMMYFUNCTION("""COMPUTED_VALUE"""),"Estimate ")</f>
        <v>Estimate </v>
      </c>
      <c r="I1613" s="4" t="str">
        <f>IFERROR(__xludf.DUMMYFUNCTION("""COMPUTED_VALUE"""),"shivani")</f>
        <v>shivani</v>
      </c>
    </row>
    <row r="1614">
      <c r="A1614" s="85">
        <f>IFERROR(__xludf.DUMMYFUNCTION("""COMPUTED_VALUE"""),46106.70667568287)</f>
        <v>46106.70668</v>
      </c>
      <c r="B1614" s="4"/>
      <c r="C1614" s="4"/>
      <c r="D1614" s="4"/>
      <c r="E1614" s="4"/>
      <c r="F1614" s="4"/>
      <c r="G1614" s="85">
        <f>IFERROR(__xludf.DUMMYFUNCTION("""COMPUTED_VALUE"""),46108.70625)</f>
        <v>46108.70625</v>
      </c>
      <c r="H1614" s="85" t="str">
        <f>IFERROR(__xludf.DUMMYFUNCTION("""COMPUTED_VALUE"""),"Estimate ")</f>
        <v>Estimate </v>
      </c>
      <c r="I1614" s="4" t="str">
        <f>IFERROR(__xludf.DUMMYFUNCTION("""COMPUTED_VALUE"""),"shivani")</f>
        <v>shivani</v>
      </c>
    </row>
    <row r="1615">
      <c r="A1615" s="85">
        <f>IFERROR(__xludf.DUMMYFUNCTION("""COMPUTED_VALUE"""),46107.51857429399)</f>
        <v>46107.51857</v>
      </c>
      <c r="B1615" s="4"/>
      <c r="C1615" s="4"/>
      <c r="D1615" s="4"/>
      <c r="E1615" s="4"/>
      <c r="F1615" s="4"/>
      <c r="G1615" s="85">
        <f>IFERROR(__xludf.DUMMYFUNCTION("""COMPUTED_VALUE"""),46109.518055555556)</f>
        <v>46109.51806</v>
      </c>
      <c r="H1615" s="85" t="str">
        <f>IFERROR(__xludf.DUMMYFUNCTION("""COMPUTED_VALUE"""),"Estimate ")</f>
        <v>Estimate </v>
      </c>
      <c r="I1615" s="4" t="str">
        <f>IFERROR(__xludf.DUMMYFUNCTION("""COMPUTED_VALUE"""),"shivani")</f>
        <v>shivani</v>
      </c>
    </row>
    <row r="1616">
      <c r="A1616" s="85">
        <f>IFERROR(__xludf.DUMMYFUNCTION("""COMPUTED_VALUE"""),46107.519986238425)</f>
        <v>46107.51999</v>
      </c>
      <c r="B1616" s="4"/>
      <c r="C1616" s="4"/>
      <c r="D1616" s="4"/>
      <c r="E1616" s="4"/>
      <c r="F1616" s="4"/>
      <c r="G1616" s="85">
        <f>IFERROR(__xludf.DUMMYFUNCTION("""COMPUTED_VALUE"""),46109.51944444445)</f>
        <v>46109.51944</v>
      </c>
      <c r="H1616" s="85" t="str">
        <f>IFERROR(__xludf.DUMMYFUNCTION("""COMPUTED_VALUE"""),"Estimate ")</f>
        <v>Estimate </v>
      </c>
      <c r="I1616" s="4" t="str">
        <f>IFERROR(__xludf.DUMMYFUNCTION("""COMPUTED_VALUE"""),"shivani")</f>
        <v>shivani</v>
      </c>
    </row>
    <row r="1617">
      <c r="A1617" s="85">
        <f>IFERROR(__xludf.DUMMYFUNCTION("""COMPUTED_VALUE"""),46107.520765787034)</f>
        <v>46107.52077</v>
      </c>
      <c r="B1617" s="4"/>
      <c r="C1617" s="4"/>
      <c r="D1617" s="4"/>
      <c r="E1617" s="4"/>
      <c r="F1617" s="4"/>
      <c r="G1617" s="85">
        <f>IFERROR(__xludf.DUMMYFUNCTION("""COMPUTED_VALUE"""),46109.52013888889)</f>
        <v>46109.52014</v>
      </c>
      <c r="H1617" s="85" t="str">
        <f>IFERROR(__xludf.DUMMYFUNCTION("""COMPUTED_VALUE"""),"Estimate ")</f>
        <v>Estimate </v>
      </c>
      <c r="I1617" s="4" t="str">
        <f>IFERROR(__xludf.DUMMYFUNCTION("""COMPUTED_VALUE"""),"shivani")</f>
        <v>shivani</v>
      </c>
    </row>
    <row r="1618">
      <c r="A1618" s="85">
        <f>IFERROR(__xludf.DUMMYFUNCTION("""COMPUTED_VALUE"""),46107.52201247685)</f>
        <v>46107.52201</v>
      </c>
      <c r="B1618" s="4"/>
      <c r="C1618" s="4"/>
      <c r="D1618" s="4"/>
      <c r="E1618" s="4"/>
      <c r="F1618" s="4"/>
      <c r="G1618" s="85">
        <f>IFERROR(__xludf.DUMMYFUNCTION("""COMPUTED_VALUE"""),46109.521527777775)</f>
        <v>46109.52153</v>
      </c>
      <c r="H1618" s="85" t="str">
        <f>IFERROR(__xludf.DUMMYFUNCTION("""COMPUTED_VALUE"""),"Estimate ")</f>
        <v>Estimate </v>
      </c>
      <c r="I1618" s="4" t="str">
        <f>IFERROR(__xludf.DUMMYFUNCTION("""COMPUTED_VALUE"""),"shivani")</f>
        <v>shivani</v>
      </c>
    </row>
    <row r="1619">
      <c r="A1619" s="85">
        <f>IFERROR(__xludf.DUMMYFUNCTION("""COMPUTED_VALUE"""),46107.52255375)</f>
        <v>46107.52255</v>
      </c>
      <c r="B1619" s="4"/>
      <c r="C1619" s="4"/>
      <c r="D1619" s="4"/>
      <c r="E1619" s="4"/>
      <c r="F1619" s="4"/>
      <c r="G1619" s="85">
        <f>IFERROR(__xludf.DUMMYFUNCTION("""COMPUTED_VALUE"""),46109.52222222222)</f>
        <v>46109.52222</v>
      </c>
      <c r="H1619" s="85" t="str">
        <f>IFERROR(__xludf.DUMMYFUNCTION("""COMPUTED_VALUE"""),"Estimate ")</f>
        <v>Estimate </v>
      </c>
      <c r="I1619" s="4" t="str">
        <f>IFERROR(__xludf.DUMMYFUNCTION("""COMPUTED_VALUE"""),"shivani")</f>
        <v>shivani</v>
      </c>
    </row>
    <row r="1620">
      <c r="A1620" s="85">
        <f>IFERROR(__xludf.DUMMYFUNCTION("""COMPUTED_VALUE"""),46107.52405850695)</f>
        <v>46107.52406</v>
      </c>
      <c r="B1620" s="4"/>
      <c r="C1620" s="4"/>
      <c r="D1620" s="4"/>
      <c r="E1620" s="4"/>
      <c r="F1620" s="4"/>
      <c r="G1620" s="85">
        <f>IFERROR(__xludf.DUMMYFUNCTION("""COMPUTED_VALUE"""),46109.523611111115)</f>
        <v>46109.52361</v>
      </c>
      <c r="H1620" s="85" t="str">
        <f>IFERROR(__xludf.DUMMYFUNCTION("""COMPUTED_VALUE"""),"Estimate ")</f>
        <v>Estimate </v>
      </c>
      <c r="I1620" s="4" t="str">
        <f>IFERROR(__xludf.DUMMYFUNCTION("""COMPUTED_VALUE"""),"shivani")</f>
        <v>shivani</v>
      </c>
    </row>
    <row r="1621">
      <c r="A1621" s="85">
        <f>IFERROR(__xludf.DUMMYFUNCTION("""COMPUTED_VALUE"""),46107.524771956014)</f>
        <v>46107.52477</v>
      </c>
      <c r="B1621" s="4"/>
      <c r="C1621" s="4"/>
      <c r="D1621" s="4"/>
      <c r="E1621" s="4"/>
      <c r="F1621" s="4"/>
      <c r="G1621" s="85">
        <f>IFERROR(__xludf.DUMMYFUNCTION("""COMPUTED_VALUE"""),46109.524305555555)</f>
        <v>46109.52431</v>
      </c>
      <c r="H1621" s="85" t="str">
        <f>IFERROR(__xludf.DUMMYFUNCTION("""COMPUTED_VALUE"""),"Estimate ")</f>
        <v>Estimate </v>
      </c>
      <c r="I1621" s="4" t="str">
        <f>IFERROR(__xludf.DUMMYFUNCTION("""COMPUTED_VALUE"""),"shivani")</f>
        <v>shivani</v>
      </c>
    </row>
    <row r="1622">
      <c r="A1622" s="85">
        <f>IFERROR(__xludf.DUMMYFUNCTION("""COMPUTED_VALUE"""),46107.527878402776)</f>
        <v>46107.52788</v>
      </c>
      <c r="B1622" s="4"/>
      <c r="C1622" s="4"/>
      <c r="D1622" s="4"/>
      <c r="E1622" s="4"/>
      <c r="F1622" s="4"/>
      <c r="G1622" s="85">
        <f>IFERROR(__xludf.DUMMYFUNCTION("""COMPUTED_VALUE"""),46109.52777777778)</f>
        <v>46109.52778</v>
      </c>
      <c r="H1622" s="85" t="str">
        <f>IFERROR(__xludf.DUMMYFUNCTION("""COMPUTED_VALUE"""),"Estimate ")</f>
        <v>Estimate </v>
      </c>
      <c r="I1622" s="4" t="str">
        <f>IFERROR(__xludf.DUMMYFUNCTION("""COMPUTED_VALUE"""),"shivani")</f>
        <v>shivani</v>
      </c>
    </row>
    <row r="1623">
      <c r="A1623" s="85">
        <f>IFERROR(__xludf.DUMMYFUNCTION("""COMPUTED_VALUE"""),46107.528615613424)</f>
        <v>46107.52862</v>
      </c>
      <c r="B1623" s="4"/>
      <c r="C1623" s="4"/>
      <c r="D1623" s="4"/>
      <c r="E1623" s="4"/>
      <c r="F1623" s="4"/>
      <c r="G1623" s="85">
        <f>IFERROR(__xludf.DUMMYFUNCTION("""COMPUTED_VALUE"""),46109.52847222222)</f>
        <v>46109.52847</v>
      </c>
      <c r="H1623" s="85" t="str">
        <f>IFERROR(__xludf.DUMMYFUNCTION("""COMPUTED_VALUE"""),"Estimate ")</f>
        <v>Estimate </v>
      </c>
      <c r="I1623" s="4" t="str">
        <f>IFERROR(__xludf.DUMMYFUNCTION("""COMPUTED_VALUE"""),"shivani")</f>
        <v>shivani</v>
      </c>
    </row>
    <row r="1624">
      <c r="A1624" s="85">
        <f>IFERROR(__xludf.DUMMYFUNCTION("""COMPUTED_VALUE"""),46107.52926181713)</f>
        <v>46107.52926</v>
      </c>
      <c r="B1624" s="4"/>
      <c r="C1624" s="4"/>
      <c r="D1624" s="4"/>
      <c r="E1624" s="4"/>
      <c r="F1624" s="4"/>
      <c r="G1624" s="85">
        <f>IFERROR(__xludf.DUMMYFUNCTION("""COMPUTED_VALUE"""),46109.52916666667)</f>
        <v>46109.52917</v>
      </c>
      <c r="H1624" s="85" t="str">
        <f>IFERROR(__xludf.DUMMYFUNCTION("""COMPUTED_VALUE"""),"Estimate ")</f>
        <v>Estimate </v>
      </c>
      <c r="I1624" s="4" t="str">
        <f>IFERROR(__xludf.DUMMYFUNCTION("""COMPUTED_VALUE"""),"shivani")</f>
        <v>shivani</v>
      </c>
    </row>
    <row r="1625">
      <c r="A1625" s="85">
        <f>IFERROR(__xludf.DUMMYFUNCTION("""COMPUTED_VALUE"""),46107.530233321755)</f>
        <v>46107.53023</v>
      </c>
      <c r="B1625" s="4"/>
      <c r="C1625" s="4"/>
      <c r="D1625" s="4"/>
      <c r="E1625" s="4"/>
      <c r="F1625" s="4"/>
      <c r="G1625" s="85">
        <f>IFERROR(__xludf.DUMMYFUNCTION("""COMPUTED_VALUE"""),46109.52986111111)</f>
        <v>46109.52986</v>
      </c>
      <c r="H1625" s="85" t="str">
        <f>IFERROR(__xludf.DUMMYFUNCTION("""COMPUTED_VALUE"""),"Estimate ")</f>
        <v>Estimate </v>
      </c>
      <c r="I1625" s="4" t="str">
        <f>IFERROR(__xludf.DUMMYFUNCTION("""COMPUTED_VALUE"""),"shivani")</f>
        <v>shivani</v>
      </c>
    </row>
    <row r="1626">
      <c r="A1626" s="85">
        <f>IFERROR(__xludf.DUMMYFUNCTION("""COMPUTED_VALUE"""),46107.530823437504)</f>
        <v>46107.53082</v>
      </c>
      <c r="B1626" s="4"/>
      <c r="C1626" s="4"/>
      <c r="D1626" s="4"/>
      <c r="E1626" s="4"/>
      <c r="F1626" s="4"/>
      <c r="G1626" s="85">
        <f>IFERROR(__xludf.DUMMYFUNCTION("""COMPUTED_VALUE"""),46109.53055555555)</f>
        <v>46109.53056</v>
      </c>
      <c r="H1626" s="85" t="str">
        <f>IFERROR(__xludf.DUMMYFUNCTION("""COMPUTED_VALUE"""),"Estimate ")</f>
        <v>Estimate </v>
      </c>
      <c r="I1626" s="4" t="str">
        <f>IFERROR(__xludf.DUMMYFUNCTION("""COMPUTED_VALUE"""),"shivani")</f>
        <v>shivani</v>
      </c>
    </row>
    <row r="1627">
      <c r="A1627" s="85">
        <f>IFERROR(__xludf.DUMMYFUNCTION("""COMPUTED_VALUE"""),46108.53716248842)</f>
        <v>46108.53716</v>
      </c>
      <c r="B1627" s="4"/>
      <c r="C1627" s="4"/>
      <c r="D1627" s="4"/>
      <c r="E1627" s="4"/>
      <c r="F1627" s="4"/>
      <c r="G1627" s="85">
        <f>IFERROR(__xludf.DUMMYFUNCTION("""COMPUTED_VALUE"""),46110.53680555556)</f>
        <v>46110.53681</v>
      </c>
      <c r="H1627" s="85" t="str">
        <f>IFERROR(__xludf.DUMMYFUNCTION("""COMPUTED_VALUE"""),"Estimate ")</f>
        <v>Estimate </v>
      </c>
      <c r="I1627" s="4" t="str">
        <f>IFERROR(__xludf.DUMMYFUNCTION("""COMPUTED_VALUE"""),"shivani")</f>
        <v>shivani</v>
      </c>
    </row>
    <row r="1628">
      <c r="A1628" s="85">
        <f>IFERROR(__xludf.DUMMYFUNCTION("""COMPUTED_VALUE"""),46108.53772075231)</f>
        <v>46108.53772</v>
      </c>
      <c r="B1628" s="4"/>
      <c r="C1628" s="4"/>
      <c r="D1628" s="4"/>
      <c r="E1628" s="4"/>
      <c r="F1628" s="4"/>
      <c r="G1628" s="85">
        <f>IFERROR(__xludf.DUMMYFUNCTION("""COMPUTED_VALUE"""),46110.5375)</f>
        <v>46110.5375</v>
      </c>
      <c r="H1628" s="85" t="str">
        <f>IFERROR(__xludf.DUMMYFUNCTION("""COMPUTED_VALUE"""),"Estimate ")</f>
        <v>Estimate </v>
      </c>
      <c r="I1628" s="4" t="str">
        <f>IFERROR(__xludf.DUMMYFUNCTION("""COMPUTED_VALUE"""),"shivani")</f>
        <v>shivani</v>
      </c>
    </row>
    <row r="1629">
      <c r="A1629" s="85">
        <f>IFERROR(__xludf.DUMMYFUNCTION("""COMPUTED_VALUE"""),46108.53833795139)</f>
        <v>46108.53834</v>
      </c>
      <c r="B1629" s="4"/>
      <c r="C1629" s="4"/>
      <c r="D1629" s="4"/>
      <c r="E1629" s="4"/>
      <c r="F1629" s="4"/>
      <c r="G1629" s="85">
        <f>IFERROR(__xludf.DUMMYFUNCTION("""COMPUTED_VALUE"""),46110.538194444445)</f>
        <v>46110.53819</v>
      </c>
      <c r="H1629" s="85" t="str">
        <f>IFERROR(__xludf.DUMMYFUNCTION("""COMPUTED_VALUE"""),"Estimate ")</f>
        <v>Estimate </v>
      </c>
      <c r="I1629" s="4" t="str">
        <f>IFERROR(__xludf.DUMMYFUNCTION("""COMPUTED_VALUE"""),"shivani")</f>
        <v>shivani</v>
      </c>
    </row>
    <row r="1630">
      <c r="A1630" s="85">
        <f>IFERROR(__xludf.DUMMYFUNCTION("""COMPUTED_VALUE"""),46108.70045128472)</f>
        <v>46108.70045</v>
      </c>
      <c r="B1630" s="4"/>
      <c r="C1630" s="4"/>
      <c r="D1630" s="4"/>
      <c r="E1630" s="4"/>
      <c r="F1630" s="4"/>
      <c r="G1630" s="85">
        <f>IFERROR(__xludf.DUMMYFUNCTION("""COMPUTED_VALUE"""),46110.7)</f>
        <v>46110.7</v>
      </c>
      <c r="H1630" s="85" t="str">
        <f>IFERROR(__xludf.DUMMYFUNCTION("""COMPUTED_VALUE"""),"Estimate ")</f>
        <v>Estimate </v>
      </c>
      <c r="I1630" s="4" t="str">
        <f>IFERROR(__xludf.DUMMYFUNCTION("""COMPUTED_VALUE"""),"shivani")</f>
        <v>shivani</v>
      </c>
    </row>
    <row r="1631">
      <c r="A1631" s="85">
        <f>IFERROR(__xludf.DUMMYFUNCTION("""COMPUTED_VALUE"""),46108.70991989583)</f>
        <v>46108.70992</v>
      </c>
      <c r="B1631" s="4"/>
      <c r="C1631" s="4"/>
      <c r="D1631" s="4"/>
      <c r="E1631" s="4"/>
      <c r="F1631" s="4"/>
      <c r="G1631" s="85">
        <f>IFERROR(__xludf.DUMMYFUNCTION("""COMPUTED_VALUE"""),46110.70972222222)</f>
        <v>46110.70972</v>
      </c>
      <c r="H1631" s="85" t="str">
        <f>IFERROR(__xludf.DUMMYFUNCTION("""COMPUTED_VALUE"""),"Estimate ")</f>
        <v>Estimate </v>
      </c>
      <c r="I1631" s="4" t="str">
        <f>IFERROR(__xludf.DUMMYFUNCTION("""COMPUTED_VALUE"""),"shivani")</f>
        <v>shivani</v>
      </c>
    </row>
    <row r="1632">
      <c r="A1632" s="85">
        <f>IFERROR(__xludf.DUMMYFUNCTION("""COMPUTED_VALUE"""),46108.71102711805)</f>
        <v>46108.71103</v>
      </c>
      <c r="B1632" s="4"/>
      <c r="C1632" s="4"/>
      <c r="D1632" s="4"/>
      <c r="E1632" s="4"/>
      <c r="F1632" s="4"/>
      <c r="G1632" s="85">
        <f>IFERROR(__xludf.DUMMYFUNCTION("""COMPUTED_VALUE"""),46110.71041666667)</f>
        <v>46110.71042</v>
      </c>
      <c r="H1632" s="85" t="str">
        <f>IFERROR(__xludf.DUMMYFUNCTION("""COMPUTED_VALUE"""),"Estimate ")</f>
        <v>Estimate </v>
      </c>
      <c r="I1632" s="4" t="str">
        <f>IFERROR(__xludf.DUMMYFUNCTION("""COMPUTED_VALUE"""),"shivani")</f>
        <v>shivani</v>
      </c>
    </row>
    <row r="1633">
      <c r="A1633" s="85">
        <f>IFERROR(__xludf.DUMMYFUNCTION("""COMPUTED_VALUE"""),46108.730359664354)</f>
        <v>46108.73036</v>
      </c>
      <c r="B1633" s="4"/>
      <c r="C1633" s="4"/>
      <c r="D1633" s="4"/>
      <c r="E1633" s="4"/>
      <c r="F1633" s="4"/>
      <c r="G1633" s="85">
        <f>IFERROR(__xludf.DUMMYFUNCTION("""COMPUTED_VALUE"""),46110.72986111111)</f>
        <v>46110.72986</v>
      </c>
      <c r="H1633" s="85" t="str">
        <f>IFERROR(__xludf.DUMMYFUNCTION("""COMPUTED_VALUE"""),"Estimate ")</f>
        <v>Estimate </v>
      </c>
      <c r="I1633" s="4" t="str">
        <f>IFERROR(__xludf.DUMMYFUNCTION("""COMPUTED_VALUE"""),"shivani")</f>
        <v>shivani</v>
      </c>
    </row>
    <row r="1634">
      <c r="A1634" s="85">
        <f>IFERROR(__xludf.DUMMYFUNCTION("""COMPUTED_VALUE"""),46108.753825902786)</f>
        <v>46108.75383</v>
      </c>
      <c r="B1634" s="4"/>
      <c r="C1634" s="4"/>
      <c r="D1634" s="4"/>
      <c r="E1634" s="4"/>
      <c r="F1634" s="4"/>
      <c r="G1634" s="85">
        <f>IFERROR(__xludf.DUMMYFUNCTION("""COMPUTED_VALUE"""),46110.75347222222)</f>
        <v>46110.75347</v>
      </c>
      <c r="H1634" s="85" t="str">
        <f>IFERROR(__xludf.DUMMYFUNCTION("""COMPUTED_VALUE"""),"Estimate ")</f>
        <v>Estimate </v>
      </c>
      <c r="I1634" s="4" t="str">
        <f>IFERROR(__xludf.DUMMYFUNCTION("""COMPUTED_VALUE"""),"shivani")</f>
        <v>shivani</v>
      </c>
    </row>
    <row r="1635">
      <c r="A1635" s="85">
        <f>IFERROR(__xludf.DUMMYFUNCTION("""COMPUTED_VALUE"""),46108.75442907408)</f>
        <v>46108.75443</v>
      </c>
      <c r="B1635" s="4"/>
      <c r="C1635" s="4"/>
      <c r="D1635" s="4"/>
      <c r="E1635" s="4"/>
      <c r="F1635" s="4"/>
      <c r="G1635" s="85">
        <f>IFERROR(__xludf.DUMMYFUNCTION("""COMPUTED_VALUE"""),46110.754166666666)</f>
        <v>46110.75417</v>
      </c>
      <c r="H1635" s="85" t="str">
        <f>IFERROR(__xludf.DUMMYFUNCTION("""COMPUTED_VALUE"""),"Estimate ")</f>
        <v>Estimate </v>
      </c>
      <c r="I1635" s="4" t="str">
        <f>IFERROR(__xludf.DUMMYFUNCTION("""COMPUTED_VALUE"""),"shivani")</f>
        <v>shivani</v>
      </c>
    </row>
    <row r="1636">
      <c r="A1636" s="85">
        <f>IFERROR(__xludf.DUMMYFUNCTION("""COMPUTED_VALUE"""),46108.75516170139)</f>
        <v>46108.75516</v>
      </c>
      <c r="B1636" s="4"/>
      <c r="C1636" s="4"/>
      <c r="D1636" s="4"/>
      <c r="E1636" s="4"/>
      <c r="F1636" s="4"/>
      <c r="G1636" s="85">
        <f>IFERROR(__xludf.DUMMYFUNCTION("""COMPUTED_VALUE"""),46110.75486111111)</f>
        <v>46110.75486</v>
      </c>
      <c r="H1636" s="85" t="str">
        <f>IFERROR(__xludf.DUMMYFUNCTION("""COMPUTED_VALUE"""),"Estimate ")</f>
        <v>Estimate </v>
      </c>
      <c r="I1636" s="4" t="str">
        <f>IFERROR(__xludf.DUMMYFUNCTION("""COMPUTED_VALUE"""),"shivani")</f>
        <v>shivani</v>
      </c>
    </row>
    <row r="1637">
      <c r="A1637" s="85">
        <f>IFERROR(__xludf.DUMMYFUNCTION("""COMPUTED_VALUE"""),46108.75575738426)</f>
        <v>46108.75576</v>
      </c>
      <c r="B1637" s="4"/>
      <c r="C1637" s="4"/>
      <c r="D1637" s="4"/>
      <c r="E1637" s="4"/>
      <c r="F1637" s="4"/>
      <c r="G1637" s="85">
        <f>IFERROR(__xludf.DUMMYFUNCTION("""COMPUTED_VALUE"""),46110.75555555556)</f>
        <v>46110.75556</v>
      </c>
      <c r="H1637" s="85" t="str">
        <f>IFERROR(__xludf.DUMMYFUNCTION("""COMPUTED_VALUE"""),"Estimate ")</f>
        <v>Estimate </v>
      </c>
      <c r="I1637" s="4" t="str">
        <f>IFERROR(__xludf.DUMMYFUNCTION("""COMPUTED_VALUE"""),"shivani")</f>
        <v>shivani</v>
      </c>
    </row>
    <row r="1638">
      <c r="A1638" s="85">
        <f>IFERROR(__xludf.DUMMYFUNCTION("""COMPUTED_VALUE"""),46112.64736521991)</f>
        <v>46112.64737</v>
      </c>
      <c r="B1638" s="4"/>
      <c r="C1638" s="4"/>
      <c r="D1638" s="4"/>
      <c r="E1638" s="4"/>
      <c r="F1638" s="4"/>
      <c r="G1638" s="85">
        <f>IFERROR(__xludf.DUMMYFUNCTION("""COMPUTED_VALUE"""),46114.64722222222)</f>
        <v>46114.64722</v>
      </c>
      <c r="H1638" s="85" t="str">
        <f>IFERROR(__xludf.DUMMYFUNCTION("""COMPUTED_VALUE"""),"Estimate ")</f>
        <v>Estimate </v>
      </c>
      <c r="I1638" s="4" t="str">
        <f>IFERROR(__xludf.DUMMYFUNCTION("""COMPUTED_VALUE"""),"shivani")</f>
        <v>shivani</v>
      </c>
    </row>
    <row r="1639">
      <c r="A1639" s="85">
        <f>IFERROR(__xludf.DUMMYFUNCTION("""COMPUTED_VALUE"""),46113.64407106481)</f>
        <v>46113.64407</v>
      </c>
      <c r="B1639" s="4"/>
      <c r="C1639" s="4"/>
      <c r="D1639" s="4"/>
      <c r="E1639" s="4"/>
      <c r="F1639" s="4"/>
      <c r="G1639" s="85">
        <f>IFERROR(__xludf.DUMMYFUNCTION("""COMPUTED_VALUE"""),46115.64375)</f>
        <v>46115.64375</v>
      </c>
      <c r="H1639" s="85" t="str">
        <f>IFERROR(__xludf.DUMMYFUNCTION("""COMPUTED_VALUE"""),"Estimate ")</f>
        <v>Estimate </v>
      </c>
      <c r="I1639" s="4" t="str">
        <f>IFERROR(__xludf.DUMMYFUNCTION("""COMPUTED_VALUE"""),"shivani")</f>
        <v>shivani</v>
      </c>
    </row>
    <row r="1640">
      <c r="A1640" s="85">
        <f>IFERROR(__xludf.DUMMYFUNCTION("""COMPUTED_VALUE"""),46113.64511704861)</f>
        <v>46113.64512</v>
      </c>
      <c r="B1640" s="4"/>
      <c r="C1640" s="4"/>
      <c r="D1640" s="4"/>
      <c r="E1640" s="4"/>
      <c r="F1640" s="4"/>
      <c r="G1640" s="85">
        <f>IFERROR(__xludf.DUMMYFUNCTION("""COMPUTED_VALUE"""),46115.64444444445)</f>
        <v>46115.64444</v>
      </c>
      <c r="H1640" s="85" t="str">
        <f>IFERROR(__xludf.DUMMYFUNCTION("""COMPUTED_VALUE"""),"Estimate ")</f>
        <v>Estimate </v>
      </c>
      <c r="I1640" s="4" t="str">
        <f>IFERROR(__xludf.DUMMYFUNCTION("""COMPUTED_VALUE"""),"shivani")</f>
        <v>shivani</v>
      </c>
    </row>
    <row r="1641">
      <c r="A1641" s="85">
        <f>IFERROR(__xludf.DUMMYFUNCTION("""COMPUTED_VALUE"""),46114.8094031713)</f>
        <v>46114.8094</v>
      </c>
      <c r="B1641" s="4"/>
      <c r="C1641" s="4"/>
      <c r="D1641" s="4"/>
      <c r="E1641" s="4"/>
      <c r="F1641" s="4"/>
      <c r="G1641" s="85">
        <f>IFERROR(__xludf.DUMMYFUNCTION("""COMPUTED_VALUE"""),46116.80902777778)</f>
        <v>46116.80903</v>
      </c>
      <c r="H1641" s="85" t="str">
        <f>IFERROR(__xludf.DUMMYFUNCTION("""COMPUTED_VALUE"""),"Estimate ")</f>
        <v>Estimate </v>
      </c>
      <c r="I1641" s="4" t="str">
        <f>IFERROR(__xludf.DUMMYFUNCTION("""COMPUTED_VALUE"""),"shivani")</f>
        <v>shivani</v>
      </c>
    </row>
    <row r="1642">
      <c r="A1642" s="85">
        <f>IFERROR(__xludf.DUMMYFUNCTION("""COMPUTED_VALUE"""),46115.51673164352)</f>
        <v>46115.51673</v>
      </c>
      <c r="B1642" s="4"/>
      <c r="C1642" s="4"/>
      <c r="D1642" s="4"/>
      <c r="E1642" s="4"/>
      <c r="F1642" s="4"/>
      <c r="G1642" s="85">
        <f>IFERROR(__xludf.DUMMYFUNCTION("""COMPUTED_VALUE"""),46117.51666666666)</f>
        <v>46117.51667</v>
      </c>
      <c r="H1642" s="85" t="str">
        <f>IFERROR(__xludf.DUMMYFUNCTION("""COMPUTED_VALUE"""),"Estimate ")</f>
        <v>Estimate </v>
      </c>
      <c r="I1642" s="4" t="str">
        <f>IFERROR(__xludf.DUMMYFUNCTION("""COMPUTED_VALUE"""),"shivani")</f>
        <v>shivani</v>
      </c>
    </row>
    <row r="1643">
      <c r="A1643" s="85">
        <f>IFERROR(__xludf.DUMMYFUNCTION("""COMPUTED_VALUE"""),46115.51740684028)</f>
        <v>46115.51741</v>
      </c>
      <c r="B1643" s="4"/>
      <c r="C1643" s="4"/>
      <c r="D1643" s="4"/>
      <c r="E1643" s="4"/>
      <c r="F1643" s="4"/>
      <c r="G1643" s="85">
        <f>IFERROR(__xludf.DUMMYFUNCTION("""COMPUTED_VALUE"""),46117.51736111111)</f>
        <v>46117.51736</v>
      </c>
      <c r="H1643" s="85" t="str">
        <f>IFERROR(__xludf.DUMMYFUNCTION("""COMPUTED_VALUE"""),"Estimate ")</f>
        <v>Estimate </v>
      </c>
      <c r="I1643" s="4" t="str">
        <f>IFERROR(__xludf.DUMMYFUNCTION("""COMPUTED_VALUE"""),"shivani")</f>
        <v>shivani</v>
      </c>
    </row>
    <row r="1644">
      <c r="A1644" s="85">
        <f>IFERROR(__xludf.DUMMYFUNCTION("""COMPUTED_VALUE"""),46115.519392581016)</f>
        <v>46115.51939</v>
      </c>
      <c r="B1644" s="4"/>
      <c r="C1644" s="4"/>
      <c r="D1644" s="4"/>
      <c r="E1644" s="4"/>
      <c r="F1644" s="4"/>
      <c r="G1644" s="85">
        <f>IFERROR(__xludf.DUMMYFUNCTION("""COMPUTED_VALUE"""),46117.51875)</f>
        <v>46117.51875</v>
      </c>
      <c r="H1644" s="85" t="str">
        <f>IFERROR(__xludf.DUMMYFUNCTION("""COMPUTED_VALUE"""),"Estimate ")</f>
        <v>Estimate </v>
      </c>
      <c r="I1644" s="4" t="str">
        <f>IFERROR(__xludf.DUMMYFUNCTION("""COMPUTED_VALUE"""),"shivani")</f>
        <v>shivani</v>
      </c>
    </row>
    <row r="1645">
      <c r="A1645" s="85">
        <f>IFERROR(__xludf.DUMMYFUNCTION("""COMPUTED_VALUE"""),46115.51986914352)</f>
        <v>46115.51987</v>
      </c>
      <c r="B1645" s="4"/>
      <c r="C1645" s="4"/>
      <c r="D1645" s="4"/>
      <c r="E1645" s="4"/>
      <c r="F1645" s="4"/>
      <c r="G1645" s="85">
        <f>IFERROR(__xludf.DUMMYFUNCTION("""COMPUTED_VALUE"""),46117.51944444445)</f>
        <v>46117.51944</v>
      </c>
      <c r="H1645" s="85" t="str">
        <f>IFERROR(__xludf.DUMMYFUNCTION("""COMPUTED_VALUE"""),"Estimate ")</f>
        <v>Estimate </v>
      </c>
      <c r="I1645" s="4" t="str">
        <f>IFERROR(__xludf.DUMMYFUNCTION("""COMPUTED_VALUE"""),"shivani")</f>
        <v>shivani</v>
      </c>
    </row>
    <row r="1646">
      <c r="A1646" s="85">
        <f>IFERROR(__xludf.DUMMYFUNCTION("""COMPUTED_VALUE"""),46115.520818379635)</f>
        <v>46115.52082</v>
      </c>
      <c r="B1646" s="4"/>
      <c r="C1646" s="4"/>
      <c r="D1646" s="4"/>
      <c r="E1646" s="4"/>
      <c r="F1646" s="4"/>
      <c r="G1646" s="85">
        <f>IFERROR(__xludf.DUMMYFUNCTION("""COMPUTED_VALUE"""),46117.52013888889)</f>
        <v>46117.52014</v>
      </c>
      <c r="H1646" s="85" t="str">
        <f>IFERROR(__xludf.DUMMYFUNCTION("""COMPUTED_VALUE"""),"Estimate ")</f>
        <v>Estimate </v>
      </c>
      <c r="I1646" s="4" t="str">
        <f>IFERROR(__xludf.DUMMYFUNCTION("""COMPUTED_VALUE"""),"shivani")</f>
        <v>shivani</v>
      </c>
    </row>
    <row r="1647">
      <c r="A1647" s="85">
        <f>IFERROR(__xludf.DUMMYFUNCTION("""COMPUTED_VALUE"""),46115.52198366898)</f>
        <v>46115.52198</v>
      </c>
      <c r="B1647" s="4"/>
      <c r="C1647" s="4"/>
      <c r="D1647" s="4"/>
      <c r="E1647" s="4"/>
      <c r="F1647" s="4"/>
      <c r="G1647" s="85">
        <f>IFERROR(__xludf.DUMMYFUNCTION("""COMPUTED_VALUE"""),46117.521527777775)</f>
        <v>46117.52153</v>
      </c>
      <c r="H1647" s="85" t="str">
        <f>IFERROR(__xludf.DUMMYFUNCTION("""COMPUTED_VALUE"""),"Estimate ")</f>
        <v>Estimate </v>
      </c>
      <c r="I1647" s="4" t="str">
        <f>IFERROR(__xludf.DUMMYFUNCTION("""COMPUTED_VALUE"""),"shivani")</f>
        <v>shivani</v>
      </c>
    </row>
    <row r="1648">
      <c r="A1648" s="85">
        <f>IFERROR(__xludf.DUMMYFUNCTION("""COMPUTED_VALUE"""),46115.52309693287)</f>
        <v>46115.5231</v>
      </c>
      <c r="B1648" s="4"/>
      <c r="C1648" s="4"/>
      <c r="D1648" s="4"/>
      <c r="E1648" s="4"/>
      <c r="F1648" s="4"/>
      <c r="G1648" s="85">
        <f>IFERROR(__xludf.DUMMYFUNCTION("""COMPUTED_VALUE"""),46117.52291666667)</f>
        <v>46117.52292</v>
      </c>
      <c r="H1648" s="85" t="str">
        <f>IFERROR(__xludf.DUMMYFUNCTION("""COMPUTED_VALUE"""),"Estimate ")</f>
        <v>Estimate </v>
      </c>
      <c r="I1648" s="4" t="str">
        <f>IFERROR(__xludf.DUMMYFUNCTION("""COMPUTED_VALUE"""),"shivani")</f>
        <v>shivani</v>
      </c>
    </row>
    <row r="1649">
      <c r="A1649" s="85">
        <f>IFERROR(__xludf.DUMMYFUNCTION("""COMPUTED_VALUE"""),46115.526960717594)</f>
        <v>46115.52696</v>
      </c>
      <c r="B1649" s="4"/>
      <c r="C1649" s="4"/>
      <c r="D1649" s="4"/>
      <c r="E1649" s="4"/>
      <c r="F1649" s="4"/>
      <c r="G1649" s="85">
        <f>IFERROR(__xludf.DUMMYFUNCTION("""COMPUTED_VALUE"""),46117.52638888889)</f>
        <v>46117.52639</v>
      </c>
      <c r="H1649" s="85" t="str">
        <f>IFERROR(__xludf.DUMMYFUNCTION("""COMPUTED_VALUE"""),"Estimate ")</f>
        <v>Estimate </v>
      </c>
      <c r="I1649" s="4" t="str">
        <f>IFERROR(__xludf.DUMMYFUNCTION("""COMPUTED_VALUE"""),"shivani")</f>
        <v>shivani</v>
      </c>
    </row>
    <row r="1650">
      <c r="A1650" s="85">
        <f>IFERROR(__xludf.DUMMYFUNCTION("""COMPUTED_VALUE"""),46115.52780506945)</f>
        <v>46115.52781</v>
      </c>
      <c r="B1650" s="4"/>
      <c r="C1650" s="4"/>
      <c r="D1650" s="4"/>
      <c r="E1650" s="4"/>
      <c r="F1650" s="4"/>
      <c r="G1650" s="85">
        <f>IFERROR(__xludf.DUMMYFUNCTION("""COMPUTED_VALUE"""),46117.52777777778)</f>
        <v>46117.52778</v>
      </c>
      <c r="H1650" s="85" t="str">
        <f>IFERROR(__xludf.DUMMYFUNCTION("""COMPUTED_VALUE"""),"Estimate ")</f>
        <v>Estimate </v>
      </c>
      <c r="I1650" s="4" t="str">
        <f>IFERROR(__xludf.DUMMYFUNCTION("""COMPUTED_VALUE"""),"shivani")</f>
        <v>shivani</v>
      </c>
    </row>
    <row r="1651">
      <c r="A1651" s="85">
        <f>IFERROR(__xludf.DUMMYFUNCTION("""COMPUTED_VALUE"""),46115.52897767361)</f>
        <v>46115.52898</v>
      </c>
      <c r="B1651" s="4"/>
      <c r="C1651" s="4"/>
      <c r="D1651" s="4"/>
      <c r="E1651" s="4"/>
      <c r="F1651" s="4"/>
      <c r="G1651" s="85">
        <f>IFERROR(__xludf.DUMMYFUNCTION("""COMPUTED_VALUE"""),46117.52847222222)</f>
        <v>46117.52847</v>
      </c>
      <c r="H1651" s="85" t="str">
        <f>IFERROR(__xludf.DUMMYFUNCTION("""COMPUTED_VALUE"""),"Estimate ")</f>
        <v>Estimate </v>
      </c>
      <c r="I1651" s="4" t="str">
        <f>IFERROR(__xludf.DUMMYFUNCTION("""COMPUTED_VALUE"""),"shivani")</f>
        <v>shivani</v>
      </c>
    </row>
    <row r="1652">
      <c r="A1652" s="85">
        <f>IFERROR(__xludf.DUMMYFUNCTION("""COMPUTED_VALUE"""),46115.529598518515)</f>
        <v>46115.5296</v>
      </c>
      <c r="B1652" s="4"/>
      <c r="C1652" s="4"/>
      <c r="D1652" s="4"/>
      <c r="E1652" s="4"/>
      <c r="F1652" s="4"/>
      <c r="G1652" s="85">
        <f>IFERROR(__xludf.DUMMYFUNCTION("""COMPUTED_VALUE"""),46117.52916666667)</f>
        <v>46117.52917</v>
      </c>
      <c r="H1652" s="85" t="str">
        <f>IFERROR(__xludf.DUMMYFUNCTION("""COMPUTED_VALUE"""),"Estimate ")</f>
        <v>Estimate </v>
      </c>
      <c r="I1652" s="4" t="str">
        <f>IFERROR(__xludf.DUMMYFUNCTION("""COMPUTED_VALUE"""),"shivani")</f>
        <v>shivani</v>
      </c>
    </row>
    <row r="1653">
      <c r="A1653" s="85">
        <f>IFERROR(__xludf.DUMMYFUNCTION("""COMPUTED_VALUE"""),46115.53035108796)</f>
        <v>46115.53035</v>
      </c>
      <c r="B1653" s="4"/>
      <c r="C1653" s="4"/>
      <c r="D1653" s="4"/>
      <c r="E1653" s="4"/>
      <c r="F1653" s="4"/>
      <c r="G1653" s="85">
        <f>IFERROR(__xludf.DUMMYFUNCTION("""COMPUTED_VALUE"""),46117.52986111111)</f>
        <v>46117.52986</v>
      </c>
      <c r="H1653" s="85" t="str">
        <f>IFERROR(__xludf.DUMMYFUNCTION("""COMPUTED_VALUE"""),"Estimate ")</f>
        <v>Estimate </v>
      </c>
      <c r="I1653" s="4" t="str">
        <f>IFERROR(__xludf.DUMMYFUNCTION("""COMPUTED_VALUE"""),"shivani")</f>
        <v>shivani</v>
      </c>
    </row>
    <row r="1654">
      <c r="A1654" s="85">
        <f>IFERROR(__xludf.DUMMYFUNCTION("""COMPUTED_VALUE"""),46115.531230601846)</f>
        <v>46115.53123</v>
      </c>
      <c r="B1654" s="4"/>
      <c r="C1654" s="4"/>
      <c r="D1654" s="4"/>
      <c r="E1654" s="4"/>
      <c r="F1654" s="4"/>
      <c r="G1654" s="85">
        <f>IFERROR(__xludf.DUMMYFUNCTION("""COMPUTED_VALUE"""),46117.53055555555)</f>
        <v>46117.53056</v>
      </c>
      <c r="H1654" s="85" t="str">
        <f>IFERROR(__xludf.DUMMYFUNCTION("""COMPUTED_VALUE"""),"Estimate ")</f>
        <v>Estimate </v>
      </c>
      <c r="I1654" s="4" t="str">
        <f>IFERROR(__xludf.DUMMYFUNCTION("""COMPUTED_VALUE"""),"shivani")</f>
        <v>shivani</v>
      </c>
    </row>
    <row r="1655">
      <c r="A1655" s="85">
        <f>IFERROR(__xludf.DUMMYFUNCTION("""COMPUTED_VALUE"""),46115.531987650465)</f>
        <v>46115.53199</v>
      </c>
      <c r="B1655" s="4"/>
      <c r="C1655" s="4"/>
      <c r="D1655" s="4"/>
      <c r="E1655" s="4"/>
      <c r="F1655" s="4"/>
      <c r="G1655" s="85">
        <f>IFERROR(__xludf.DUMMYFUNCTION("""COMPUTED_VALUE"""),46117.53194444445)</f>
        <v>46117.53194</v>
      </c>
      <c r="H1655" s="85" t="str">
        <f>IFERROR(__xludf.DUMMYFUNCTION("""COMPUTED_VALUE"""),"Estimate ")</f>
        <v>Estimate </v>
      </c>
      <c r="I1655" s="4" t="str">
        <f>IFERROR(__xludf.DUMMYFUNCTION("""COMPUTED_VALUE"""),"shivani")</f>
        <v>shivani</v>
      </c>
    </row>
    <row r="1656">
      <c r="A1656" s="85">
        <f>IFERROR(__xludf.DUMMYFUNCTION("""COMPUTED_VALUE"""),46115.53252501157)</f>
        <v>46115.53253</v>
      </c>
      <c r="B1656" s="4"/>
      <c r="C1656" s="4"/>
      <c r="D1656" s="4"/>
      <c r="E1656" s="4"/>
      <c r="F1656" s="4"/>
      <c r="G1656" s="85">
        <f>IFERROR(__xludf.DUMMYFUNCTION("""COMPUTED_VALUE"""),46117.53194444445)</f>
        <v>46117.53194</v>
      </c>
      <c r="H1656" s="85" t="str">
        <f>IFERROR(__xludf.DUMMYFUNCTION("""COMPUTED_VALUE"""),"Estimate ")</f>
        <v>Estimate </v>
      </c>
      <c r="I1656" s="4" t="str">
        <f>IFERROR(__xludf.DUMMYFUNCTION("""COMPUTED_VALUE"""),"shivani")</f>
        <v>shivani</v>
      </c>
    </row>
    <row r="1657">
      <c r="A1657" s="85">
        <f>IFERROR(__xludf.DUMMYFUNCTION("""COMPUTED_VALUE"""),46116.55296075231)</f>
        <v>46116.55296</v>
      </c>
      <c r="B1657" s="4"/>
      <c r="C1657" s="4"/>
      <c r="D1657" s="4"/>
      <c r="E1657" s="4"/>
      <c r="F1657" s="4"/>
      <c r="G1657" s="85">
        <f>IFERROR(__xludf.DUMMYFUNCTION("""COMPUTED_VALUE"""),46119.552777777775)</f>
        <v>46119.55278</v>
      </c>
      <c r="H1657" s="85" t="str">
        <f>IFERROR(__xludf.DUMMYFUNCTION("""COMPUTED_VALUE"""),"Estimate ")</f>
        <v>Estimate </v>
      </c>
      <c r="I1657" s="4" t="str">
        <f>IFERROR(__xludf.DUMMYFUNCTION("""COMPUTED_VALUE"""),"shivani")</f>
        <v>shivani</v>
      </c>
    </row>
    <row r="1658">
      <c r="A1658" s="85">
        <f>IFERROR(__xludf.DUMMYFUNCTION("""COMPUTED_VALUE"""),46116.56805699074)</f>
        <v>46116.56806</v>
      </c>
      <c r="B1658" s="4"/>
      <c r="C1658" s="4"/>
      <c r="D1658" s="4"/>
      <c r="E1658" s="4"/>
      <c r="F1658" s="4"/>
      <c r="G1658" s="85">
        <f>IFERROR(__xludf.DUMMYFUNCTION("""COMPUTED_VALUE"""),46119.56805555556)</f>
        <v>46119.56806</v>
      </c>
      <c r="H1658" s="85" t="str">
        <f>IFERROR(__xludf.DUMMYFUNCTION("""COMPUTED_VALUE"""),"Estimate ")</f>
        <v>Estimate </v>
      </c>
      <c r="I1658" s="4" t="str">
        <f>IFERROR(__xludf.DUMMYFUNCTION("""COMPUTED_VALUE"""),"shivani")</f>
        <v>shivani</v>
      </c>
    </row>
    <row r="1659">
      <c r="A1659" s="85">
        <f>IFERROR(__xludf.DUMMYFUNCTION("""COMPUTED_VALUE"""),46116.763366226856)</f>
        <v>46116.76337</v>
      </c>
      <c r="B1659" s="4"/>
      <c r="C1659" s="4"/>
      <c r="D1659" s="4"/>
      <c r="E1659" s="4"/>
      <c r="F1659" s="4"/>
      <c r="G1659" s="85">
        <f>IFERROR(__xludf.DUMMYFUNCTION("""COMPUTED_VALUE"""),46119.763194444444)</f>
        <v>46119.76319</v>
      </c>
      <c r="H1659" s="85" t="str">
        <f>IFERROR(__xludf.DUMMYFUNCTION("""COMPUTED_VALUE"""),"Estimate ")</f>
        <v>Estimate </v>
      </c>
      <c r="I1659" s="4" t="str">
        <f>IFERROR(__xludf.DUMMYFUNCTION("""COMPUTED_VALUE"""),"shivani")</f>
        <v>shivani</v>
      </c>
    </row>
    <row r="1660">
      <c r="A1660" s="85">
        <f>IFERROR(__xludf.DUMMYFUNCTION("""COMPUTED_VALUE"""),46117.65763002314)</f>
        <v>46117.65763</v>
      </c>
      <c r="B1660" s="4"/>
      <c r="C1660" s="4"/>
      <c r="D1660" s="4"/>
      <c r="E1660" s="4"/>
      <c r="F1660" s="4"/>
      <c r="G1660" s="85">
        <f>IFERROR(__xludf.DUMMYFUNCTION("""COMPUTED_VALUE"""),46120.65694444445)</f>
        <v>46120.65694</v>
      </c>
      <c r="H1660" s="85" t="str">
        <f>IFERROR(__xludf.DUMMYFUNCTION("""COMPUTED_VALUE"""),"Estimate ")</f>
        <v>Estimate </v>
      </c>
      <c r="I1660" s="4" t="str">
        <f>IFERROR(__xludf.DUMMYFUNCTION("""COMPUTED_VALUE"""),"shivani")</f>
        <v>shivani</v>
      </c>
    </row>
    <row r="1661">
      <c r="A1661" s="85">
        <f>IFERROR(__xludf.DUMMYFUNCTION("""COMPUTED_VALUE"""),46119.49787368055)</f>
        <v>46119.49787</v>
      </c>
      <c r="B1661" s="4"/>
      <c r="C1661" s="4"/>
      <c r="D1661" s="4"/>
      <c r="E1661" s="4"/>
      <c r="F1661" s="4"/>
      <c r="G1661" s="85">
        <f>IFERROR(__xludf.DUMMYFUNCTION("""COMPUTED_VALUE"""),46121.49722222222)</f>
        <v>46121.49722</v>
      </c>
      <c r="H1661" s="85" t="str">
        <f>IFERROR(__xludf.DUMMYFUNCTION("""COMPUTED_VALUE"""),"Estimate ")</f>
        <v>Estimate </v>
      </c>
      <c r="I1661" s="4" t="str">
        <f>IFERROR(__xludf.DUMMYFUNCTION("""COMPUTED_VALUE"""),"shivani")</f>
        <v>shivani</v>
      </c>
    </row>
    <row r="1662">
      <c r="A1662" s="85">
        <f>IFERROR(__xludf.DUMMYFUNCTION("""COMPUTED_VALUE"""),46119.49889930556)</f>
        <v>46119.4989</v>
      </c>
      <c r="B1662" s="4"/>
      <c r="C1662" s="4"/>
      <c r="D1662" s="4"/>
      <c r="E1662" s="4"/>
      <c r="F1662" s="4"/>
      <c r="G1662" s="85">
        <f>IFERROR(__xludf.DUMMYFUNCTION("""COMPUTED_VALUE"""),46121.49861111111)</f>
        <v>46121.49861</v>
      </c>
      <c r="H1662" s="85" t="str">
        <f>IFERROR(__xludf.DUMMYFUNCTION("""COMPUTED_VALUE"""),"Estimate ")</f>
        <v>Estimate </v>
      </c>
      <c r="I1662" s="4" t="str">
        <f>IFERROR(__xludf.DUMMYFUNCTION("""COMPUTED_VALUE"""),"shivani")</f>
        <v>shivani</v>
      </c>
    </row>
    <row r="1663">
      <c r="A1663" s="85">
        <f>IFERROR(__xludf.DUMMYFUNCTION("""COMPUTED_VALUE"""),46119.50170731481)</f>
        <v>46119.50171</v>
      </c>
      <c r="B1663" s="4"/>
      <c r="C1663" s="4"/>
      <c r="D1663" s="4"/>
      <c r="E1663" s="4"/>
      <c r="F1663" s="4"/>
      <c r="G1663" s="85">
        <f>IFERROR(__xludf.DUMMYFUNCTION("""COMPUTED_VALUE"""),46121.50138888889)</f>
        <v>46121.50139</v>
      </c>
      <c r="H1663" s="85" t="str">
        <f>IFERROR(__xludf.DUMMYFUNCTION("""COMPUTED_VALUE"""),"Estimate ")</f>
        <v>Estimate </v>
      </c>
      <c r="I1663" s="4" t="str">
        <f>IFERROR(__xludf.DUMMYFUNCTION("""COMPUTED_VALUE"""),"shivani")</f>
        <v>shivani</v>
      </c>
    </row>
    <row r="1664">
      <c r="A1664" s="85">
        <f>IFERROR(__xludf.DUMMYFUNCTION("""COMPUTED_VALUE"""),46119.50968229167)</f>
        <v>46119.50968</v>
      </c>
      <c r="B1664" s="4"/>
      <c r="C1664" s="4"/>
      <c r="D1664" s="4"/>
      <c r="E1664" s="4"/>
      <c r="F1664" s="4"/>
      <c r="G1664" s="85">
        <f>IFERROR(__xludf.DUMMYFUNCTION("""COMPUTED_VALUE"""),46121.50902777778)</f>
        <v>46121.50903</v>
      </c>
      <c r="H1664" s="85" t="str">
        <f>IFERROR(__xludf.DUMMYFUNCTION("""COMPUTED_VALUE"""),"Estimate ")</f>
        <v>Estimate </v>
      </c>
      <c r="I1664" s="4" t="str">
        <f>IFERROR(__xludf.DUMMYFUNCTION("""COMPUTED_VALUE"""),"shivani")</f>
        <v>shivani</v>
      </c>
    </row>
    <row r="1665">
      <c r="A1665" s="85">
        <f>IFERROR(__xludf.DUMMYFUNCTION("""COMPUTED_VALUE"""),46119.510325787036)</f>
        <v>46119.51033</v>
      </c>
      <c r="B1665" s="4"/>
      <c r="C1665" s="4"/>
      <c r="D1665" s="4"/>
      <c r="E1665" s="4"/>
      <c r="F1665" s="4"/>
      <c r="G1665" s="85">
        <f>IFERROR(__xludf.DUMMYFUNCTION("""COMPUTED_VALUE"""),46121.509722222225)</f>
        <v>46121.50972</v>
      </c>
      <c r="H1665" s="85" t="str">
        <f>IFERROR(__xludf.DUMMYFUNCTION("""COMPUTED_VALUE"""),"Estimate ")</f>
        <v>Estimate </v>
      </c>
      <c r="I1665" s="4" t="str">
        <f>IFERROR(__xludf.DUMMYFUNCTION("""COMPUTED_VALUE"""),"shivani")</f>
        <v>shivani</v>
      </c>
    </row>
    <row r="1666">
      <c r="A1666" s="85">
        <f>IFERROR(__xludf.DUMMYFUNCTION("""COMPUTED_VALUE"""),46119.51131421296)</f>
        <v>46119.51131</v>
      </c>
      <c r="B1666" s="4"/>
      <c r="C1666" s="4"/>
      <c r="D1666" s="4"/>
      <c r="E1666" s="4"/>
      <c r="F1666" s="4"/>
      <c r="G1666" s="85">
        <f>IFERROR(__xludf.DUMMYFUNCTION("""COMPUTED_VALUE"""),46121.51111111111)</f>
        <v>46121.51111</v>
      </c>
      <c r="H1666" s="85" t="str">
        <f>IFERROR(__xludf.DUMMYFUNCTION("""COMPUTED_VALUE"""),"Estimate ")</f>
        <v>Estimate </v>
      </c>
      <c r="I1666" s="4" t="str">
        <f>IFERROR(__xludf.DUMMYFUNCTION("""COMPUTED_VALUE"""),"shivani")</f>
        <v>shivani</v>
      </c>
    </row>
    <row r="1667">
      <c r="A1667" s="85">
        <f>IFERROR(__xludf.DUMMYFUNCTION("""COMPUTED_VALUE"""),46119.511862604166)</f>
        <v>46119.51186</v>
      </c>
      <c r="B1667" s="4"/>
      <c r="C1667" s="4"/>
      <c r="D1667" s="4"/>
      <c r="E1667" s="4"/>
      <c r="F1667" s="4"/>
      <c r="G1667" s="85">
        <f>IFERROR(__xludf.DUMMYFUNCTION("""COMPUTED_VALUE"""),46121.51180555555)</f>
        <v>46121.51181</v>
      </c>
      <c r="H1667" s="85" t="str">
        <f>IFERROR(__xludf.DUMMYFUNCTION("""COMPUTED_VALUE"""),"Estimate ")</f>
        <v>Estimate </v>
      </c>
      <c r="I1667" s="4" t="str">
        <f>IFERROR(__xludf.DUMMYFUNCTION("""COMPUTED_VALUE"""),"shivani")</f>
        <v>shivani</v>
      </c>
    </row>
    <row r="1668">
      <c r="A1668" s="85">
        <f>IFERROR(__xludf.DUMMYFUNCTION("""COMPUTED_VALUE"""),46119.512606979166)</f>
        <v>46119.51261</v>
      </c>
      <c r="B1668" s="4"/>
      <c r="C1668" s="4"/>
      <c r="D1668" s="4"/>
      <c r="E1668" s="4"/>
      <c r="F1668" s="4"/>
      <c r="G1668" s="85">
        <f>IFERROR(__xludf.DUMMYFUNCTION("""COMPUTED_VALUE"""),46121.5125)</f>
        <v>46121.5125</v>
      </c>
      <c r="H1668" s="85" t="str">
        <f>IFERROR(__xludf.DUMMYFUNCTION("""COMPUTED_VALUE"""),"Estimate ")</f>
        <v>Estimate </v>
      </c>
      <c r="I1668" s="4" t="str">
        <f>IFERROR(__xludf.DUMMYFUNCTION("""COMPUTED_VALUE"""),"shivani")</f>
        <v>shivani</v>
      </c>
    </row>
    <row r="1669">
      <c r="A1669" s="85">
        <f>IFERROR(__xludf.DUMMYFUNCTION("""COMPUTED_VALUE"""),46119.513964965285)</f>
        <v>46119.51396</v>
      </c>
      <c r="B1669" s="4"/>
      <c r="C1669" s="4"/>
      <c r="D1669" s="4"/>
      <c r="E1669" s="4"/>
      <c r="F1669" s="4"/>
      <c r="G1669" s="85">
        <f>IFERROR(__xludf.DUMMYFUNCTION("""COMPUTED_VALUE"""),46121.51388888889)</f>
        <v>46121.51389</v>
      </c>
      <c r="H1669" s="85" t="str">
        <f>IFERROR(__xludf.DUMMYFUNCTION("""COMPUTED_VALUE"""),"Estimate ")</f>
        <v>Estimate </v>
      </c>
      <c r="I1669" s="4" t="str">
        <f>IFERROR(__xludf.DUMMYFUNCTION("""COMPUTED_VALUE"""),"shivani")</f>
        <v>shivani</v>
      </c>
    </row>
    <row r="1670">
      <c r="A1670" s="85">
        <f>IFERROR(__xludf.DUMMYFUNCTION("""COMPUTED_VALUE"""),46119.515715937494)</f>
        <v>46119.51572</v>
      </c>
      <c r="B1670" s="4"/>
      <c r="C1670" s="4"/>
      <c r="D1670" s="4"/>
      <c r="E1670" s="4"/>
      <c r="F1670" s="4"/>
      <c r="G1670" s="85">
        <f>IFERROR(__xludf.DUMMYFUNCTION("""COMPUTED_VALUE"""),46121.51527777778)</f>
        <v>46121.51528</v>
      </c>
      <c r="H1670" s="85" t="str">
        <f>IFERROR(__xludf.DUMMYFUNCTION("""COMPUTED_VALUE"""),"Estimate ")</f>
        <v>Estimate </v>
      </c>
      <c r="I1670" s="4" t="str">
        <f>IFERROR(__xludf.DUMMYFUNCTION("""COMPUTED_VALUE"""),"shivani")</f>
        <v>shivani</v>
      </c>
    </row>
    <row r="1671">
      <c r="A1671" s="85">
        <f>IFERROR(__xludf.DUMMYFUNCTION("""COMPUTED_VALUE"""),46119.51656490741)</f>
        <v>46119.51656</v>
      </c>
      <c r="B1671" s="4"/>
      <c r="C1671" s="4"/>
      <c r="D1671" s="4"/>
      <c r="E1671" s="4"/>
      <c r="F1671" s="4"/>
      <c r="G1671" s="85">
        <f>IFERROR(__xludf.DUMMYFUNCTION("""COMPUTED_VALUE"""),46121.51597222222)</f>
        <v>46121.51597</v>
      </c>
      <c r="H1671" s="85" t="str">
        <f>IFERROR(__xludf.DUMMYFUNCTION("""COMPUTED_VALUE"""),"Estimate ")</f>
        <v>Estimate </v>
      </c>
      <c r="I1671" s="4" t="str">
        <f>IFERROR(__xludf.DUMMYFUNCTION("""COMPUTED_VALUE"""),"shivani")</f>
        <v>shivani</v>
      </c>
    </row>
    <row r="1672">
      <c r="A1672" s="85">
        <f>IFERROR(__xludf.DUMMYFUNCTION("""COMPUTED_VALUE"""),46119.51868108797)</f>
        <v>46119.51868</v>
      </c>
      <c r="B1672" s="4"/>
      <c r="C1672" s="4"/>
      <c r="D1672" s="4"/>
      <c r="E1672" s="4"/>
      <c r="F1672" s="4"/>
      <c r="G1672" s="85">
        <f>IFERROR(__xludf.DUMMYFUNCTION("""COMPUTED_VALUE"""),46121.518055555556)</f>
        <v>46121.51806</v>
      </c>
      <c r="H1672" s="85" t="str">
        <f>IFERROR(__xludf.DUMMYFUNCTION("""COMPUTED_VALUE"""),"Estimate ")</f>
        <v>Estimate </v>
      </c>
      <c r="I1672" s="4" t="str">
        <f>IFERROR(__xludf.DUMMYFUNCTION("""COMPUTED_VALUE"""),"shivani")</f>
        <v>shivani</v>
      </c>
    </row>
    <row r="1673">
      <c r="A1673" s="85">
        <f>IFERROR(__xludf.DUMMYFUNCTION("""COMPUTED_VALUE"""),46119.522383564814)</f>
        <v>46119.52238</v>
      </c>
      <c r="B1673" s="4"/>
      <c r="C1673" s="4"/>
      <c r="D1673" s="4"/>
      <c r="E1673" s="4"/>
      <c r="F1673" s="4"/>
      <c r="G1673" s="85">
        <f>IFERROR(__xludf.DUMMYFUNCTION("""COMPUTED_VALUE"""),46121.52222222222)</f>
        <v>46121.52222</v>
      </c>
      <c r="H1673" s="85" t="str">
        <f>IFERROR(__xludf.DUMMYFUNCTION("""COMPUTED_VALUE"""),"Estimate ")</f>
        <v>Estimate </v>
      </c>
      <c r="I1673" s="4" t="str">
        <f>IFERROR(__xludf.DUMMYFUNCTION("""COMPUTED_VALUE"""),"shivani")</f>
        <v>shivani</v>
      </c>
    </row>
    <row r="1674">
      <c r="A1674" s="85">
        <f>IFERROR(__xludf.DUMMYFUNCTION("""COMPUTED_VALUE"""),46119.5304121875)</f>
        <v>46119.53041</v>
      </c>
      <c r="B1674" s="4"/>
      <c r="C1674" s="4"/>
      <c r="D1674" s="4"/>
      <c r="E1674" s="4"/>
      <c r="F1674" s="4"/>
      <c r="G1674" s="85">
        <f>IFERROR(__xludf.DUMMYFUNCTION("""COMPUTED_VALUE"""),46121.52986111111)</f>
        <v>46121.52986</v>
      </c>
      <c r="H1674" s="85" t="str">
        <f>IFERROR(__xludf.DUMMYFUNCTION("""COMPUTED_VALUE"""),"Estimate ")</f>
        <v>Estimate </v>
      </c>
      <c r="I1674" s="4" t="str">
        <f>IFERROR(__xludf.DUMMYFUNCTION("""COMPUTED_VALUE"""),"shivani")</f>
        <v>shivani</v>
      </c>
    </row>
    <row r="1675">
      <c r="A1675" s="85">
        <f>IFERROR(__xludf.DUMMYFUNCTION("""COMPUTED_VALUE"""),46119.55873971065)</f>
        <v>46119.55874</v>
      </c>
      <c r="B1675" s="4"/>
      <c r="C1675" s="4"/>
      <c r="D1675" s="4"/>
      <c r="E1675" s="4"/>
      <c r="F1675" s="4"/>
      <c r="G1675" s="85">
        <f>IFERROR(__xludf.DUMMYFUNCTION("""COMPUTED_VALUE"""),46121.558333333334)</f>
        <v>46121.55833</v>
      </c>
      <c r="H1675" s="85" t="str">
        <f>IFERROR(__xludf.DUMMYFUNCTION("""COMPUTED_VALUE"""),"Estimate ")</f>
        <v>Estimate </v>
      </c>
      <c r="I1675" s="4" t="str">
        <f>IFERROR(__xludf.DUMMYFUNCTION("""COMPUTED_VALUE"""),"shivani")</f>
        <v>shivani</v>
      </c>
    </row>
    <row r="1676">
      <c r="A1676" s="85">
        <f>IFERROR(__xludf.DUMMYFUNCTION("""COMPUTED_VALUE"""),46119.560084004625)</f>
        <v>46119.56008</v>
      </c>
      <c r="B1676" s="4"/>
      <c r="C1676" s="4"/>
      <c r="D1676" s="4"/>
      <c r="E1676" s="4"/>
      <c r="F1676" s="4"/>
      <c r="G1676" s="85">
        <f>IFERROR(__xludf.DUMMYFUNCTION("""COMPUTED_VALUE"""),46121.55972222222)</f>
        <v>46121.55972</v>
      </c>
      <c r="H1676" s="85" t="str">
        <f>IFERROR(__xludf.DUMMYFUNCTION("""COMPUTED_VALUE"""),"Estimate ")</f>
        <v>Estimate </v>
      </c>
      <c r="I1676" s="4" t="str">
        <f>IFERROR(__xludf.DUMMYFUNCTION("""COMPUTED_VALUE"""),"shivani")</f>
        <v>shivani</v>
      </c>
    </row>
    <row r="1677">
      <c r="A1677" s="85">
        <f>IFERROR(__xludf.DUMMYFUNCTION("""COMPUTED_VALUE"""),46121.57022552083)</f>
        <v>46121.57023</v>
      </c>
      <c r="B1677" s="4"/>
      <c r="C1677" s="4"/>
      <c r="D1677" s="4"/>
      <c r="E1677" s="4"/>
      <c r="F1677" s="4"/>
      <c r="G1677" s="85">
        <f>IFERROR(__xludf.DUMMYFUNCTION("""COMPUTED_VALUE"""),46123.570138888885)</f>
        <v>46123.57014</v>
      </c>
      <c r="H1677" s="85" t="str">
        <f>IFERROR(__xludf.DUMMYFUNCTION("""COMPUTED_VALUE"""),"Estimate ")</f>
        <v>Estimate </v>
      </c>
      <c r="I1677" s="4" t="str">
        <f>IFERROR(__xludf.DUMMYFUNCTION("""COMPUTED_VALUE"""),"shivani")</f>
        <v>shivani</v>
      </c>
    </row>
    <row r="1678">
      <c r="A1678" s="85">
        <f>IFERROR(__xludf.DUMMYFUNCTION("""COMPUTED_VALUE"""),46121.57366202547)</f>
        <v>46121.57366</v>
      </c>
      <c r="B1678" s="4"/>
      <c r="C1678" s="4"/>
      <c r="D1678" s="4"/>
      <c r="E1678" s="4"/>
      <c r="F1678" s="4"/>
      <c r="G1678" s="85">
        <f>IFERROR(__xludf.DUMMYFUNCTION("""COMPUTED_VALUE"""),46123.57361111111)</f>
        <v>46123.57361</v>
      </c>
      <c r="H1678" s="85" t="str">
        <f>IFERROR(__xludf.DUMMYFUNCTION("""COMPUTED_VALUE"""),"Estimate ")</f>
        <v>Estimate </v>
      </c>
      <c r="I1678" s="4" t="str">
        <f>IFERROR(__xludf.DUMMYFUNCTION("""COMPUTED_VALUE"""),"shivani")</f>
        <v>shivani</v>
      </c>
    </row>
    <row r="1679">
      <c r="A1679" s="85">
        <f>IFERROR(__xludf.DUMMYFUNCTION("""COMPUTED_VALUE"""),46121.5749783912)</f>
        <v>46121.57498</v>
      </c>
      <c r="B1679" s="4"/>
      <c r="C1679" s="4"/>
      <c r="D1679" s="4"/>
      <c r="E1679" s="4"/>
      <c r="F1679" s="4"/>
      <c r="G1679" s="85">
        <f>IFERROR(__xludf.DUMMYFUNCTION("""COMPUTED_VALUE"""),46123.57430555555)</f>
        <v>46123.57431</v>
      </c>
      <c r="H1679" s="85" t="str">
        <f>IFERROR(__xludf.DUMMYFUNCTION("""COMPUTED_VALUE"""),"Estimate ")</f>
        <v>Estimate </v>
      </c>
      <c r="I1679" s="4" t="str">
        <f>IFERROR(__xludf.DUMMYFUNCTION("""COMPUTED_VALUE"""),"shivani")</f>
        <v>shivani</v>
      </c>
    </row>
    <row r="1680">
      <c r="A1680" s="85">
        <f>IFERROR(__xludf.DUMMYFUNCTION("""COMPUTED_VALUE"""),46121.57582097222)</f>
        <v>46121.57582</v>
      </c>
      <c r="B1680" s="4"/>
      <c r="C1680" s="4"/>
      <c r="D1680" s="4"/>
      <c r="E1680" s="4"/>
      <c r="F1680" s="4"/>
      <c r="G1680" s="85">
        <f>IFERROR(__xludf.DUMMYFUNCTION("""COMPUTED_VALUE"""),46123.575694444444)</f>
        <v>46123.57569</v>
      </c>
      <c r="H1680" s="85" t="str">
        <f>IFERROR(__xludf.DUMMYFUNCTION("""COMPUTED_VALUE"""),"Estimate ")</f>
        <v>Estimate </v>
      </c>
      <c r="I1680" s="4" t="str">
        <f>IFERROR(__xludf.DUMMYFUNCTION("""COMPUTED_VALUE"""),"shivani")</f>
        <v>shivani</v>
      </c>
    </row>
    <row r="1681">
      <c r="A1681" s="85">
        <f>IFERROR(__xludf.DUMMYFUNCTION("""COMPUTED_VALUE"""),46121.5768347801)</f>
        <v>46121.57683</v>
      </c>
      <c r="B1681" s="4"/>
      <c r="C1681" s="4"/>
      <c r="D1681" s="4"/>
      <c r="E1681" s="4"/>
      <c r="F1681" s="4"/>
      <c r="G1681" s="85">
        <f>IFERROR(__xludf.DUMMYFUNCTION("""COMPUTED_VALUE"""),46123.57638888889)</f>
        <v>46123.57639</v>
      </c>
      <c r="H1681" s="85" t="str">
        <f>IFERROR(__xludf.DUMMYFUNCTION("""COMPUTED_VALUE"""),"Estimate ")</f>
        <v>Estimate </v>
      </c>
      <c r="I1681" s="4" t="str">
        <f>IFERROR(__xludf.DUMMYFUNCTION("""COMPUTED_VALUE"""),"shivani")</f>
        <v>shivani</v>
      </c>
    </row>
    <row r="1682">
      <c r="A1682" s="85">
        <f>IFERROR(__xludf.DUMMYFUNCTION("""COMPUTED_VALUE"""),46121.57766634259)</f>
        <v>46121.57767</v>
      </c>
      <c r="B1682" s="4"/>
      <c r="C1682" s="4"/>
      <c r="D1682" s="4"/>
      <c r="E1682" s="4"/>
      <c r="F1682" s="4"/>
      <c r="G1682" s="85">
        <f>IFERROR(__xludf.DUMMYFUNCTION("""COMPUTED_VALUE"""),46123.57708333334)</f>
        <v>46123.57708</v>
      </c>
      <c r="H1682" s="85" t="str">
        <f>IFERROR(__xludf.DUMMYFUNCTION("""COMPUTED_VALUE"""),"Estimate ")</f>
        <v>Estimate </v>
      </c>
      <c r="I1682" s="4" t="str">
        <f>IFERROR(__xludf.DUMMYFUNCTION("""COMPUTED_VALUE"""),"shivani")</f>
        <v>shivani</v>
      </c>
    </row>
    <row r="1683">
      <c r="A1683" s="85">
        <f>IFERROR(__xludf.DUMMYFUNCTION("""COMPUTED_VALUE"""),46121.57814700231)</f>
        <v>46121.57815</v>
      </c>
      <c r="B1683" s="4"/>
      <c r="C1683" s="4"/>
      <c r="D1683" s="4"/>
      <c r="E1683" s="4"/>
      <c r="F1683" s="4"/>
      <c r="G1683" s="85">
        <f>IFERROR(__xludf.DUMMYFUNCTION("""COMPUTED_VALUE"""),46123.57777777778)</f>
        <v>46123.57778</v>
      </c>
      <c r="H1683" s="85" t="str">
        <f>IFERROR(__xludf.DUMMYFUNCTION("""COMPUTED_VALUE"""),"Estimate ")</f>
        <v>Estimate </v>
      </c>
      <c r="I1683" s="4" t="str">
        <f>IFERROR(__xludf.DUMMYFUNCTION("""COMPUTED_VALUE"""),"shivani")</f>
        <v>shivani</v>
      </c>
    </row>
    <row r="1684">
      <c r="A1684" s="85">
        <f>IFERROR(__xludf.DUMMYFUNCTION("""COMPUTED_VALUE"""),46121.63955434028)</f>
        <v>46121.63955</v>
      </c>
      <c r="B1684" s="4"/>
      <c r="C1684" s="4"/>
      <c r="D1684" s="4"/>
      <c r="E1684" s="4"/>
      <c r="F1684" s="4"/>
      <c r="G1684" s="85">
        <f>IFERROR(__xludf.DUMMYFUNCTION("""COMPUTED_VALUE"""),46123.63888888889)</f>
        <v>46123.63889</v>
      </c>
      <c r="H1684" s="85" t="str">
        <f>IFERROR(__xludf.DUMMYFUNCTION("""COMPUTED_VALUE"""),"Estimate ")</f>
        <v>Estimate </v>
      </c>
      <c r="I1684" s="4" t="str">
        <f>IFERROR(__xludf.DUMMYFUNCTION("""COMPUTED_VALUE"""),"shivani")</f>
        <v>shivani</v>
      </c>
    </row>
    <row r="1685">
      <c r="A1685" s="85">
        <f>IFERROR(__xludf.DUMMYFUNCTION("""COMPUTED_VALUE"""),46122.738596909716)</f>
        <v>46122.7386</v>
      </c>
      <c r="B1685" s="4"/>
      <c r="C1685" s="4"/>
      <c r="D1685" s="4"/>
      <c r="E1685" s="4"/>
      <c r="F1685" s="4"/>
      <c r="G1685" s="85">
        <f>IFERROR(__xludf.DUMMYFUNCTION("""COMPUTED_VALUE"""),46124.73819444445)</f>
        <v>46124.73819</v>
      </c>
      <c r="H1685" s="85" t="str">
        <f>IFERROR(__xludf.DUMMYFUNCTION("""COMPUTED_VALUE"""),"Estimate ")</f>
        <v>Estimate </v>
      </c>
      <c r="I1685" s="4" t="str">
        <f>IFERROR(__xludf.DUMMYFUNCTION("""COMPUTED_VALUE"""),"shivani")</f>
        <v>shivani</v>
      </c>
    </row>
    <row r="1686">
      <c r="A1686" s="85">
        <f>IFERROR(__xludf.DUMMYFUNCTION("""COMPUTED_VALUE"""),46122.81245434028)</f>
        <v>46122.81245</v>
      </c>
      <c r="B1686" s="4"/>
      <c r="C1686" s="4"/>
      <c r="D1686" s="4"/>
      <c r="E1686" s="4"/>
      <c r="F1686" s="4"/>
      <c r="G1686" s="85">
        <f>IFERROR(__xludf.DUMMYFUNCTION("""COMPUTED_VALUE"""),46124.81180555555)</f>
        <v>46124.81181</v>
      </c>
      <c r="H1686" s="85" t="str">
        <f>IFERROR(__xludf.DUMMYFUNCTION("""COMPUTED_VALUE"""),"Estimate ")</f>
        <v>Estimate </v>
      </c>
      <c r="I1686" s="4" t="str">
        <f>IFERROR(__xludf.DUMMYFUNCTION("""COMPUTED_VALUE"""),"shivani")</f>
        <v>shivani</v>
      </c>
    </row>
    <row r="1687">
      <c r="A1687" s="85">
        <f>IFERROR(__xludf.DUMMYFUNCTION("""COMPUTED_VALUE"""),46122.81306083333)</f>
        <v>46122.81306</v>
      </c>
      <c r="B1687" s="4"/>
      <c r="C1687" s="4"/>
      <c r="D1687" s="4"/>
      <c r="E1687" s="4"/>
      <c r="F1687" s="4"/>
      <c r="G1687" s="85">
        <f>IFERROR(__xludf.DUMMYFUNCTION("""COMPUTED_VALUE"""),46124.8125)</f>
        <v>46124.8125</v>
      </c>
      <c r="H1687" s="85" t="str">
        <f>IFERROR(__xludf.DUMMYFUNCTION("""COMPUTED_VALUE"""),"Estimate ")</f>
        <v>Estimate </v>
      </c>
      <c r="I1687" s="4" t="str">
        <f>IFERROR(__xludf.DUMMYFUNCTION("""COMPUTED_VALUE"""),"shivani")</f>
        <v>shivani</v>
      </c>
    </row>
    <row r="1688">
      <c r="A1688" s="85">
        <f>IFERROR(__xludf.DUMMYFUNCTION("""COMPUTED_VALUE"""),46122.81412824074)</f>
        <v>46122.81413</v>
      </c>
      <c r="B1688" s="4"/>
      <c r="C1688" s="4"/>
      <c r="D1688" s="4"/>
      <c r="E1688" s="4"/>
      <c r="F1688" s="4"/>
      <c r="G1688" s="85">
        <f>IFERROR(__xludf.DUMMYFUNCTION("""COMPUTED_VALUE"""),46124.81388888889)</f>
        <v>46124.81389</v>
      </c>
      <c r="H1688" s="85" t="str">
        <f>IFERROR(__xludf.DUMMYFUNCTION("""COMPUTED_VALUE"""),"Estimate ")</f>
        <v>Estimate </v>
      </c>
      <c r="I1688" s="4" t="str">
        <f>IFERROR(__xludf.DUMMYFUNCTION("""COMPUTED_VALUE"""),"shivani")</f>
        <v>shivani</v>
      </c>
    </row>
    <row r="1689">
      <c r="A1689" s="85">
        <f>IFERROR(__xludf.DUMMYFUNCTION("""COMPUTED_VALUE"""),46124.649367025464)</f>
        <v>46124.64937</v>
      </c>
      <c r="B1689" s="4"/>
      <c r="C1689" s="4"/>
      <c r="D1689" s="4"/>
      <c r="E1689" s="4"/>
      <c r="F1689" s="4"/>
      <c r="G1689" s="85">
        <f>IFERROR(__xludf.DUMMYFUNCTION("""COMPUTED_VALUE"""),46127.649305555555)</f>
        <v>46127.64931</v>
      </c>
      <c r="H1689" s="85" t="str">
        <f>IFERROR(__xludf.DUMMYFUNCTION("""COMPUTED_VALUE"""),"Estimate ")</f>
        <v>Estimate </v>
      </c>
      <c r="I1689" s="4" t="str">
        <f>IFERROR(__xludf.DUMMYFUNCTION("""COMPUTED_VALUE"""),"shivani")</f>
        <v>shivani</v>
      </c>
    </row>
    <row r="1690">
      <c r="A1690" s="85">
        <f>IFERROR(__xludf.DUMMYFUNCTION("""COMPUTED_VALUE"""),46124.65044618055)</f>
        <v>46124.65045</v>
      </c>
      <c r="B1690" s="4"/>
      <c r="C1690" s="4"/>
      <c r="D1690" s="4"/>
      <c r="E1690" s="4"/>
      <c r="F1690" s="4"/>
      <c r="G1690" s="85">
        <f>IFERROR(__xludf.DUMMYFUNCTION("""COMPUTED_VALUE"""),46127.65)</f>
        <v>46127.65</v>
      </c>
      <c r="H1690" s="85" t="str">
        <f>IFERROR(__xludf.DUMMYFUNCTION("""COMPUTED_VALUE"""),"Estimate ")</f>
        <v>Estimate </v>
      </c>
      <c r="I1690" s="4" t="str">
        <f>IFERROR(__xludf.DUMMYFUNCTION("""COMPUTED_VALUE"""),"shivani")</f>
        <v>shivani</v>
      </c>
    </row>
    <row r="1691">
      <c r="A1691" s="85">
        <f>IFERROR(__xludf.DUMMYFUNCTION("""COMPUTED_VALUE"""),46124.65186181713)</f>
        <v>46124.65186</v>
      </c>
      <c r="B1691" s="4"/>
      <c r="C1691" s="4"/>
      <c r="D1691" s="4"/>
      <c r="E1691" s="4"/>
      <c r="F1691" s="4"/>
      <c r="G1691" s="85">
        <f>IFERROR(__xludf.DUMMYFUNCTION("""COMPUTED_VALUE"""),46127.65138888889)</f>
        <v>46127.65139</v>
      </c>
      <c r="H1691" s="85" t="str">
        <f>IFERROR(__xludf.DUMMYFUNCTION("""COMPUTED_VALUE"""),"Estimate ")</f>
        <v>Estimate </v>
      </c>
      <c r="I1691" s="4" t="str">
        <f>IFERROR(__xludf.DUMMYFUNCTION("""COMPUTED_VALUE"""),"shivani")</f>
        <v>shivani</v>
      </c>
    </row>
    <row r="1692">
      <c r="A1692" s="85">
        <f>IFERROR(__xludf.DUMMYFUNCTION("""COMPUTED_VALUE"""),46124.74215358796)</f>
        <v>46124.74215</v>
      </c>
      <c r="B1692" s="4"/>
      <c r="C1692" s="4"/>
      <c r="D1692" s="4"/>
      <c r="E1692" s="4"/>
      <c r="F1692" s="4"/>
      <c r="G1692" s="85">
        <f>IFERROR(__xludf.DUMMYFUNCTION("""COMPUTED_VALUE"""),46127.74166666667)</f>
        <v>46127.74167</v>
      </c>
      <c r="H1692" s="85" t="str">
        <f>IFERROR(__xludf.DUMMYFUNCTION("""COMPUTED_VALUE"""),"Estimate ")</f>
        <v>Estimate </v>
      </c>
      <c r="I1692" s="4" t="str">
        <f>IFERROR(__xludf.DUMMYFUNCTION("""COMPUTED_VALUE"""),"shivani")</f>
        <v>shivani</v>
      </c>
    </row>
    <row r="1693">
      <c r="A1693" s="85">
        <f>IFERROR(__xludf.DUMMYFUNCTION("""COMPUTED_VALUE"""),46124.752144398146)</f>
        <v>46124.75214</v>
      </c>
      <c r="B1693" s="4"/>
      <c r="C1693" s="4"/>
      <c r="D1693" s="4"/>
      <c r="E1693" s="4"/>
      <c r="F1693" s="4"/>
      <c r="G1693" s="85">
        <f>IFERROR(__xludf.DUMMYFUNCTION("""COMPUTED_VALUE"""),46127.75208333333)</f>
        <v>46127.75208</v>
      </c>
      <c r="H1693" s="85" t="str">
        <f>IFERROR(__xludf.DUMMYFUNCTION("""COMPUTED_VALUE"""),"Estimate ")</f>
        <v>Estimate </v>
      </c>
      <c r="I1693" s="4" t="str">
        <f>IFERROR(__xludf.DUMMYFUNCTION("""COMPUTED_VALUE"""),"shivani")</f>
        <v>shivani</v>
      </c>
    </row>
    <row r="1694">
      <c r="A1694" s="85">
        <f>IFERROR(__xludf.DUMMYFUNCTION("""COMPUTED_VALUE"""),46124.78223263889)</f>
        <v>46124.78223</v>
      </c>
      <c r="B1694" s="4"/>
      <c r="C1694" s="4"/>
      <c r="D1694" s="4"/>
      <c r="E1694" s="4"/>
      <c r="F1694" s="4"/>
      <c r="G1694" s="85">
        <f>IFERROR(__xludf.DUMMYFUNCTION("""COMPUTED_VALUE"""),46127.78194444445)</f>
        <v>46127.78194</v>
      </c>
      <c r="H1694" s="85" t="str">
        <f>IFERROR(__xludf.DUMMYFUNCTION("""COMPUTED_VALUE"""),"Estimate ")</f>
        <v>Estimate </v>
      </c>
      <c r="I1694" s="4" t="str">
        <f>IFERROR(__xludf.DUMMYFUNCTION("""COMPUTED_VALUE"""),"shivani")</f>
        <v>shivani</v>
      </c>
    </row>
    <row r="1695">
      <c r="A1695" s="85">
        <f>IFERROR(__xludf.DUMMYFUNCTION("""COMPUTED_VALUE"""),46127.797109374995)</f>
        <v>46127.79711</v>
      </c>
      <c r="B1695" s="4"/>
      <c r="C1695" s="4"/>
      <c r="D1695" s="4"/>
      <c r="E1695" s="4"/>
      <c r="F1695" s="4"/>
      <c r="G1695" s="85">
        <f>IFERROR(__xludf.DUMMYFUNCTION("""COMPUTED_VALUE"""),46129.79652777778)</f>
        <v>46129.79653</v>
      </c>
      <c r="H1695" s="85" t="str">
        <f>IFERROR(__xludf.DUMMYFUNCTION("""COMPUTED_VALUE"""),"Estimate ")</f>
        <v>Estimate </v>
      </c>
      <c r="I1695" s="4" t="str">
        <f>IFERROR(__xludf.DUMMYFUNCTION("""COMPUTED_VALUE"""),"shivani")</f>
        <v>shivani</v>
      </c>
    </row>
    <row r="1696">
      <c r="A1696" s="85">
        <f>IFERROR(__xludf.DUMMYFUNCTION("""COMPUTED_VALUE"""),46127.79924074074)</f>
        <v>46127.79924</v>
      </c>
      <c r="B1696" s="4"/>
      <c r="C1696" s="4"/>
      <c r="D1696" s="4"/>
      <c r="E1696" s="4"/>
      <c r="F1696" s="4"/>
      <c r="G1696" s="85">
        <f>IFERROR(__xludf.DUMMYFUNCTION("""COMPUTED_VALUE"""),46129.79861111111)</f>
        <v>46129.79861</v>
      </c>
      <c r="H1696" s="85" t="str">
        <f>IFERROR(__xludf.DUMMYFUNCTION("""COMPUTED_VALUE"""),"Estimate ")</f>
        <v>Estimate </v>
      </c>
      <c r="I1696" s="4" t="str">
        <f>IFERROR(__xludf.DUMMYFUNCTION("""COMPUTED_VALUE"""),"shivani")</f>
        <v>shivani</v>
      </c>
    </row>
    <row r="1697">
      <c r="A1697" s="85">
        <f>IFERROR(__xludf.DUMMYFUNCTION("""COMPUTED_VALUE"""),46127.80392719907)</f>
        <v>46127.80393</v>
      </c>
      <c r="B1697" s="4"/>
      <c r="C1697" s="4"/>
      <c r="D1697" s="4"/>
      <c r="E1697" s="4"/>
      <c r="F1697" s="4"/>
      <c r="G1697" s="85">
        <f>IFERROR(__xludf.DUMMYFUNCTION("""COMPUTED_VALUE"""),46129.80347222222)</f>
        <v>46129.80347</v>
      </c>
      <c r="H1697" s="85" t="str">
        <f>IFERROR(__xludf.DUMMYFUNCTION("""COMPUTED_VALUE"""),"Estimate ")</f>
        <v>Estimate </v>
      </c>
      <c r="I1697" s="4" t="str">
        <f>IFERROR(__xludf.DUMMYFUNCTION("""COMPUTED_VALUE"""),"shivani")</f>
        <v>shivani</v>
      </c>
    </row>
    <row r="1698">
      <c r="A1698" s="85">
        <f>IFERROR(__xludf.DUMMYFUNCTION("""COMPUTED_VALUE"""),46127.80618972222)</f>
        <v>46127.80619</v>
      </c>
      <c r="B1698" s="4"/>
      <c r="C1698" s="4"/>
      <c r="D1698" s="4"/>
      <c r="E1698" s="4"/>
      <c r="F1698" s="4"/>
      <c r="G1698" s="85">
        <f>IFERROR(__xludf.DUMMYFUNCTION("""COMPUTED_VALUE"""),46129.805555555555)</f>
        <v>46129.80556</v>
      </c>
      <c r="H1698" s="85" t="str">
        <f>IFERROR(__xludf.DUMMYFUNCTION("""COMPUTED_VALUE"""),"Estimate ")</f>
        <v>Estimate </v>
      </c>
      <c r="I1698" s="4" t="str">
        <f>IFERROR(__xludf.DUMMYFUNCTION("""COMPUTED_VALUE"""),"shivani")</f>
        <v>shivani</v>
      </c>
    </row>
    <row r="1699">
      <c r="A1699" s="85">
        <f>IFERROR(__xludf.DUMMYFUNCTION("""COMPUTED_VALUE"""),46127.810688923615)</f>
        <v>46127.81069</v>
      </c>
      <c r="B1699" s="4"/>
      <c r="C1699" s="4"/>
      <c r="D1699" s="4"/>
      <c r="E1699" s="4"/>
      <c r="F1699" s="4"/>
      <c r="G1699" s="85">
        <f>IFERROR(__xludf.DUMMYFUNCTION("""COMPUTED_VALUE"""),46129.81041666667)</f>
        <v>46129.81042</v>
      </c>
      <c r="H1699" s="85" t="str">
        <f>IFERROR(__xludf.DUMMYFUNCTION("""COMPUTED_VALUE"""),"Estimate ")</f>
        <v>Estimate </v>
      </c>
      <c r="I1699" s="4" t="str">
        <f>IFERROR(__xludf.DUMMYFUNCTION("""COMPUTED_VALUE"""),"shivani")</f>
        <v>shivani</v>
      </c>
    </row>
    <row r="1700">
      <c r="A1700" s="85">
        <f>IFERROR(__xludf.DUMMYFUNCTION("""COMPUTED_VALUE"""),44626.51324093749)</f>
        <v>44626.51324</v>
      </c>
      <c r="B1700" s="4"/>
      <c r="C1700" s="4"/>
      <c r="D1700" s="4"/>
      <c r="E1700" s="4"/>
      <c r="F1700" s="4"/>
      <c r="G1700" s="85">
        <f>IFERROR(__xludf.DUMMYFUNCTION("""COMPUTED_VALUE"""),44918.75)</f>
        <v>44918.75</v>
      </c>
      <c r="H1700" s="85" t="str">
        <f>IFERROR(__xludf.DUMMYFUNCTION("""COMPUTED_VALUE"""),"Contact for any order update")</f>
        <v>Contact for any order update</v>
      </c>
      <c r="I1700" s="4" t="str">
        <f>IFERROR(__xludf.DUMMYFUNCTION("""COMPUTED_VALUE"""),"Kajal")</f>
        <v>Kajal</v>
      </c>
    </row>
    <row r="1701">
      <c r="A1701" s="85">
        <f>IFERROR(__xludf.DUMMYFUNCTION("""COMPUTED_VALUE"""),44728.738535462966)</f>
        <v>44728.73854</v>
      </c>
      <c r="B1701" s="4"/>
      <c r="C1701" s="4"/>
      <c r="D1701" s="4"/>
      <c r="E1701" s="4"/>
      <c r="F1701" s="4"/>
      <c r="G1701" s="85">
        <f>IFERROR(__xludf.DUMMYFUNCTION("""COMPUTED_VALUE"""),44745.75)</f>
        <v>44745.75</v>
      </c>
      <c r="H1701" s="85" t="str">
        <f>IFERROR(__xludf.DUMMYFUNCTION("""COMPUTED_VALUE"""),"Contact for any order update")</f>
        <v>Contact for any order update</v>
      </c>
      <c r="I1701" s="4" t="str">
        <f>IFERROR(__xludf.DUMMYFUNCTION("""COMPUTED_VALUE"""),"Kajal")</f>
        <v>Kajal</v>
      </c>
    </row>
    <row r="1702">
      <c r="A1702" s="85">
        <f>IFERROR(__xludf.DUMMYFUNCTION("""COMPUTED_VALUE"""),44730.70899471064)</f>
        <v>44730.70899</v>
      </c>
      <c r="B1702" s="4"/>
      <c r="C1702" s="4"/>
      <c r="D1702" s="4"/>
      <c r="E1702" s="4"/>
      <c r="F1702" s="4"/>
      <c r="G1702" s="85">
        <f>IFERROR(__xludf.DUMMYFUNCTION("""COMPUTED_VALUE"""),44778.75)</f>
        <v>44778.75</v>
      </c>
      <c r="H1702" s="85" t="str">
        <f>IFERROR(__xludf.DUMMYFUNCTION("""COMPUTED_VALUE"""),"Contact for any order update")</f>
        <v>Contact for any order update</v>
      </c>
      <c r="I1702" s="4" t="str">
        <f>IFERROR(__xludf.DUMMYFUNCTION("""COMPUTED_VALUE"""),"Kajal")</f>
        <v>Kajal</v>
      </c>
    </row>
    <row r="1703">
      <c r="A1703" s="85">
        <f>IFERROR(__xludf.DUMMYFUNCTION("""COMPUTED_VALUE"""),44730.710912905095)</f>
        <v>44730.71091</v>
      </c>
      <c r="B1703" s="4"/>
      <c r="C1703" s="4"/>
      <c r="D1703" s="4"/>
      <c r="E1703" s="4"/>
      <c r="F1703" s="4"/>
      <c r="G1703" s="85">
        <f>IFERROR(__xludf.DUMMYFUNCTION("""COMPUTED_VALUE"""),44778.75)</f>
        <v>44778.75</v>
      </c>
      <c r="H1703" s="85" t="str">
        <f>IFERROR(__xludf.DUMMYFUNCTION("""COMPUTED_VALUE"""),"Contact for any order update")</f>
        <v>Contact for any order update</v>
      </c>
      <c r="I1703" s="4" t="str">
        <f>IFERROR(__xludf.DUMMYFUNCTION("""COMPUTED_VALUE"""),"Kajal")</f>
        <v>Kajal</v>
      </c>
    </row>
    <row r="1704">
      <c r="A1704" s="85">
        <f>IFERROR(__xludf.DUMMYFUNCTION("""COMPUTED_VALUE"""),44741.75047413194)</f>
        <v>44741.75047</v>
      </c>
      <c r="B1704" s="4"/>
      <c r="C1704" s="4"/>
      <c r="D1704" s="4"/>
      <c r="E1704" s="4"/>
      <c r="F1704" s="4"/>
      <c r="G1704" s="85">
        <f>IFERROR(__xludf.DUMMYFUNCTION("""COMPUTED_VALUE"""),44761.75)</f>
        <v>44761.75</v>
      </c>
      <c r="H1704" s="85" t="str">
        <f>IFERROR(__xludf.DUMMYFUNCTION("""COMPUTED_VALUE"""),"Contact for any order update")</f>
        <v>Contact for any order update</v>
      </c>
      <c r="I1704" s="4" t="str">
        <f>IFERROR(__xludf.DUMMYFUNCTION("""COMPUTED_VALUE"""),"Kajal")</f>
        <v>Kajal</v>
      </c>
    </row>
    <row r="1705">
      <c r="A1705" s="85">
        <f>IFERROR(__xludf.DUMMYFUNCTION("""COMPUTED_VALUE"""),44741.75163284722)</f>
        <v>44741.75163</v>
      </c>
      <c r="B1705" s="4"/>
      <c r="C1705" s="4"/>
      <c r="D1705" s="4"/>
      <c r="E1705" s="4"/>
      <c r="F1705" s="4"/>
      <c r="G1705" s="85">
        <f>IFERROR(__xludf.DUMMYFUNCTION("""COMPUTED_VALUE"""),44747.75)</f>
        <v>44747.75</v>
      </c>
      <c r="H1705" s="85" t="str">
        <f>IFERROR(__xludf.DUMMYFUNCTION("""COMPUTED_VALUE"""),"Contact for any order update")</f>
        <v>Contact for any order update</v>
      </c>
      <c r="I1705" s="4" t="str">
        <f>IFERROR(__xludf.DUMMYFUNCTION("""COMPUTED_VALUE"""),"Kajal")</f>
        <v>Kajal</v>
      </c>
    </row>
    <row r="1706">
      <c r="A1706" s="85">
        <f>IFERROR(__xludf.DUMMYFUNCTION("""COMPUTED_VALUE"""),44743.57284453704)</f>
        <v>44743.57284</v>
      </c>
      <c r="B1706" s="4"/>
      <c r="C1706" s="4"/>
      <c r="D1706" s="4"/>
      <c r="E1706" s="4"/>
      <c r="F1706" s="4"/>
      <c r="G1706" s="85">
        <f>IFERROR(__xludf.DUMMYFUNCTION("""COMPUTED_VALUE"""),44773.75)</f>
        <v>44773.75</v>
      </c>
      <c r="H1706" s="85" t="str">
        <f>IFERROR(__xludf.DUMMYFUNCTION("""COMPUTED_VALUE"""),"Contact for any order update")</f>
        <v>Contact for any order update</v>
      </c>
      <c r="I1706" s="4" t="str">
        <f>IFERROR(__xludf.DUMMYFUNCTION("""COMPUTED_VALUE"""),"Kajal")</f>
        <v>Kajal</v>
      </c>
    </row>
    <row r="1707">
      <c r="A1707" s="85">
        <f>IFERROR(__xludf.DUMMYFUNCTION("""COMPUTED_VALUE"""),44743.6722993287)</f>
        <v>44743.6723</v>
      </c>
      <c r="B1707" s="4"/>
      <c r="C1707" s="4"/>
      <c r="D1707" s="4"/>
      <c r="E1707" s="4"/>
      <c r="F1707" s="4"/>
      <c r="G1707" s="85">
        <f>IFERROR(__xludf.DUMMYFUNCTION("""COMPUTED_VALUE"""),44767.75)</f>
        <v>44767.75</v>
      </c>
      <c r="H1707" s="85" t="str">
        <f>IFERROR(__xludf.DUMMYFUNCTION("""COMPUTED_VALUE"""),"Contact for any order update")</f>
        <v>Contact for any order update</v>
      </c>
      <c r="I1707" s="4" t="str">
        <f>IFERROR(__xludf.DUMMYFUNCTION("""COMPUTED_VALUE"""),"Kajal")</f>
        <v>Kajal</v>
      </c>
    </row>
    <row r="1708">
      <c r="A1708" s="85">
        <f>IFERROR(__xludf.DUMMYFUNCTION("""COMPUTED_VALUE"""),44744.65057268519)</f>
        <v>44744.65057</v>
      </c>
      <c r="B1708" s="4"/>
      <c r="C1708" s="4"/>
      <c r="D1708" s="4"/>
      <c r="E1708" s="4"/>
      <c r="F1708" s="4"/>
      <c r="G1708" s="85">
        <f>IFERROR(__xludf.DUMMYFUNCTION("""COMPUTED_VALUE"""),44745.75)</f>
        <v>44745.75</v>
      </c>
      <c r="H1708" s="85" t="str">
        <f>IFERROR(__xludf.DUMMYFUNCTION("""COMPUTED_VALUE"""),"Contact for any order update")</f>
        <v>Contact for any order update</v>
      </c>
      <c r="I1708" s="4" t="str">
        <f>IFERROR(__xludf.DUMMYFUNCTION("""COMPUTED_VALUE"""),"Kajal")</f>
        <v>Kajal</v>
      </c>
    </row>
    <row r="1709">
      <c r="A1709" s="85">
        <f>IFERROR(__xludf.DUMMYFUNCTION("""COMPUTED_VALUE"""),44745.765673263886)</f>
        <v>44745.76567</v>
      </c>
      <c r="B1709" s="4"/>
      <c r="C1709" s="4"/>
      <c r="D1709" s="4"/>
      <c r="E1709" s="4"/>
      <c r="F1709" s="4"/>
      <c r="G1709" s="85">
        <f>IFERROR(__xludf.DUMMYFUNCTION("""COMPUTED_VALUE"""),44747.75)</f>
        <v>44747.75</v>
      </c>
      <c r="H1709" s="85" t="str">
        <f>IFERROR(__xludf.DUMMYFUNCTION("""COMPUTED_VALUE"""),"Contact for any order update")</f>
        <v>Contact for any order update</v>
      </c>
      <c r="I1709" s="4" t="str">
        <f>IFERROR(__xludf.DUMMYFUNCTION("""COMPUTED_VALUE"""),"Kajal")</f>
        <v>Kajal</v>
      </c>
    </row>
    <row r="1710">
      <c r="A1710" s="85">
        <f>IFERROR(__xludf.DUMMYFUNCTION("""COMPUTED_VALUE"""),44752.5635445949)</f>
        <v>44752.56354</v>
      </c>
      <c r="B1710" s="4"/>
      <c r="C1710" s="4"/>
      <c r="D1710" s="4"/>
      <c r="E1710" s="4"/>
      <c r="F1710" s="4"/>
      <c r="G1710" s="85">
        <f>IFERROR(__xludf.DUMMYFUNCTION("""COMPUTED_VALUE"""),44761.75)</f>
        <v>44761.75</v>
      </c>
      <c r="H1710" s="85" t="str">
        <f>IFERROR(__xludf.DUMMYFUNCTION("""COMPUTED_VALUE"""),"Contact for any order update")</f>
        <v>Contact for any order update</v>
      </c>
      <c r="I1710" s="4" t="str">
        <f>IFERROR(__xludf.DUMMYFUNCTION("""COMPUTED_VALUE"""),"Kajal")</f>
        <v>Kajal</v>
      </c>
    </row>
    <row r="1711">
      <c r="A1711" s="85">
        <f>IFERROR(__xludf.DUMMYFUNCTION("""COMPUTED_VALUE"""),44754.54739295139)</f>
        <v>44754.54739</v>
      </c>
      <c r="B1711" s="4"/>
      <c r="C1711" s="4"/>
      <c r="D1711" s="4"/>
      <c r="E1711" s="4"/>
      <c r="F1711" s="4"/>
      <c r="G1711" s="85">
        <f>IFERROR(__xludf.DUMMYFUNCTION("""COMPUTED_VALUE"""),44754.75)</f>
        <v>44754.75</v>
      </c>
      <c r="H1711" s="85" t="str">
        <f>IFERROR(__xludf.DUMMYFUNCTION("""COMPUTED_VALUE"""),"Contact for any order update")</f>
        <v>Contact for any order update</v>
      </c>
      <c r="I1711" s="4" t="str">
        <f>IFERROR(__xludf.DUMMYFUNCTION("""COMPUTED_VALUE"""),"Kajal")</f>
        <v>Kajal</v>
      </c>
    </row>
    <row r="1712">
      <c r="A1712" s="85">
        <f>IFERROR(__xludf.DUMMYFUNCTION("""COMPUTED_VALUE"""),44754.582654861115)</f>
        <v>44754.58265</v>
      </c>
      <c r="B1712" s="4"/>
      <c r="C1712" s="4"/>
      <c r="D1712" s="4"/>
      <c r="E1712" s="4"/>
      <c r="F1712" s="4"/>
      <c r="G1712" s="85">
        <f>IFERROR(__xludf.DUMMYFUNCTION("""COMPUTED_VALUE"""),44757.75)</f>
        <v>44757.75</v>
      </c>
      <c r="H1712" s="85" t="str">
        <f>IFERROR(__xludf.DUMMYFUNCTION("""COMPUTED_VALUE"""),"Contact for any order update")</f>
        <v>Contact for any order update</v>
      </c>
      <c r="I1712" s="4" t="str">
        <f>IFERROR(__xludf.DUMMYFUNCTION("""COMPUTED_VALUE"""),"Kajal")</f>
        <v>Kajal</v>
      </c>
    </row>
    <row r="1713">
      <c r="A1713" s="85">
        <f>IFERROR(__xludf.DUMMYFUNCTION("""COMPUTED_VALUE"""),44754.611883680554)</f>
        <v>44754.61188</v>
      </c>
      <c r="B1713" s="4"/>
      <c r="C1713" s="4"/>
      <c r="D1713" s="4"/>
      <c r="E1713" s="4"/>
      <c r="F1713" s="4"/>
      <c r="G1713" s="85">
        <f>IFERROR(__xludf.DUMMYFUNCTION("""COMPUTED_VALUE"""),44757.75)</f>
        <v>44757.75</v>
      </c>
      <c r="H1713" s="85" t="str">
        <f>IFERROR(__xludf.DUMMYFUNCTION("""COMPUTED_VALUE"""),"Contact for any order update")</f>
        <v>Contact for any order update</v>
      </c>
      <c r="I1713" s="4" t="str">
        <f>IFERROR(__xludf.DUMMYFUNCTION("""COMPUTED_VALUE"""),"Kajal")</f>
        <v>Kajal</v>
      </c>
    </row>
    <row r="1714">
      <c r="A1714" s="85">
        <f>IFERROR(__xludf.DUMMYFUNCTION("""COMPUTED_VALUE"""),44758.59361398148)</f>
        <v>44758.59361</v>
      </c>
      <c r="B1714" s="4"/>
      <c r="C1714" s="4"/>
      <c r="D1714" s="4"/>
      <c r="E1714" s="4"/>
      <c r="F1714" s="4"/>
      <c r="G1714" s="85">
        <f>IFERROR(__xludf.DUMMYFUNCTION("""COMPUTED_VALUE"""),44776.75)</f>
        <v>44776.75</v>
      </c>
      <c r="H1714" s="85" t="str">
        <f>IFERROR(__xludf.DUMMYFUNCTION("""COMPUTED_VALUE"""),"Contact for any order update")</f>
        <v>Contact for any order update</v>
      </c>
      <c r="I1714" s="4" t="str">
        <f>IFERROR(__xludf.DUMMYFUNCTION("""COMPUTED_VALUE"""),"Kajal")</f>
        <v>Kajal</v>
      </c>
    </row>
    <row r="1715">
      <c r="A1715" s="85">
        <f>IFERROR(__xludf.DUMMYFUNCTION("""COMPUTED_VALUE"""),44766.62871347222)</f>
        <v>44766.62871</v>
      </c>
      <c r="B1715" s="4"/>
      <c r="C1715" s="4"/>
      <c r="D1715" s="4"/>
      <c r="E1715" s="4"/>
      <c r="F1715" s="4"/>
      <c r="G1715" s="85">
        <f>IFERROR(__xludf.DUMMYFUNCTION("""COMPUTED_VALUE"""),44773.75)</f>
        <v>44773.75</v>
      </c>
      <c r="H1715" s="85" t="str">
        <f>IFERROR(__xludf.DUMMYFUNCTION("""COMPUTED_VALUE"""),"Contact for any order update")</f>
        <v>Contact for any order update</v>
      </c>
      <c r="I1715" s="4" t="str">
        <f>IFERROR(__xludf.DUMMYFUNCTION("""COMPUTED_VALUE"""),"Kajal")</f>
        <v>Kajal</v>
      </c>
    </row>
    <row r="1716">
      <c r="A1716" s="85">
        <f>IFERROR(__xludf.DUMMYFUNCTION("""COMPUTED_VALUE"""),44769.72175194444)</f>
        <v>44769.72175</v>
      </c>
      <c r="B1716" s="4"/>
      <c r="C1716" s="4"/>
      <c r="D1716" s="4"/>
      <c r="E1716" s="4"/>
      <c r="F1716" s="4"/>
      <c r="G1716" s="85">
        <f>IFERROR(__xludf.DUMMYFUNCTION("""COMPUTED_VALUE"""),44778.75)</f>
        <v>44778.75</v>
      </c>
      <c r="H1716" s="85" t="str">
        <f>IFERROR(__xludf.DUMMYFUNCTION("""COMPUTED_VALUE"""),"Contact for any order update")</f>
        <v>Contact for any order update</v>
      </c>
      <c r="I1716" s="4" t="str">
        <f>IFERROR(__xludf.DUMMYFUNCTION("""COMPUTED_VALUE"""),"Kajal")</f>
        <v>Kajal</v>
      </c>
    </row>
    <row r="1717">
      <c r="A1717" s="85">
        <f>IFERROR(__xludf.DUMMYFUNCTION("""COMPUTED_VALUE"""),44776.69932450232)</f>
        <v>44776.69932</v>
      </c>
      <c r="B1717" s="4"/>
      <c r="C1717" s="4"/>
      <c r="D1717" s="4"/>
      <c r="E1717" s="4"/>
      <c r="F1717" s="4"/>
      <c r="G1717" s="85">
        <f>IFERROR(__xludf.DUMMYFUNCTION("""COMPUTED_VALUE"""),44777.75)</f>
        <v>44777.75</v>
      </c>
      <c r="H1717" s="85" t="str">
        <f>IFERROR(__xludf.DUMMYFUNCTION("""COMPUTED_VALUE"""),"Contact for any order update")</f>
        <v>Contact for any order update</v>
      </c>
      <c r="I1717" s="4" t="str">
        <f>IFERROR(__xludf.DUMMYFUNCTION("""COMPUTED_VALUE"""),"Kajal")</f>
        <v>Kajal</v>
      </c>
    </row>
    <row r="1718">
      <c r="A1718" s="85">
        <f>IFERROR(__xludf.DUMMYFUNCTION("""COMPUTED_VALUE"""),44785.58831273148)</f>
        <v>44785.58831</v>
      </c>
      <c r="B1718" s="4"/>
      <c r="C1718" s="4"/>
      <c r="D1718" s="4"/>
      <c r="E1718" s="4"/>
      <c r="F1718" s="4"/>
      <c r="G1718" s="85">
        <f>IFERROR(__xludf.DUMMYFUNCTION("""COMPUTED_VALUE"""),44792.75)</f>
        <v>44792.75</v>
      </c>
      <c r="H1718" s="85" t="str">
        <f>IFERROR(__xludf.DUMMYFUNCTION("""COMPUTED_VALUE"""),"Contact for any order update")</f>
        <v>Contact for any order update</v>
      </c>
      <c r="I1718" s="4" t="str">
        <f>IFERROR(__xludf.DUMMYFUNCTION("""COMPUTED_VALUE"""),"Kajal")</f>
        <v>Kajal</v>
      </c>
    </row>
    <row r="1719">
      <c r="A1719" s="85">
        <f>IFERROR(__xludf.DUMMYFUNCTION("""COMPUTED_VALUE"""),44799.51714034723)</f>
        <v>44799.51714</v>
      </c>
      <c r="B1719" s="4"/>
      <c r="C1719" s="4"/>
      <c r="D1719" s="4"/>
      <c r="E1719" s="4"/>
      <c r="F1719" s="4"/>
      <c r="G1719" s="85">
        <f>IFERROR(__xludf.DUMMYFUNCTION("""COMPUTED_VALUE"""),44800.75)</f>
        <v>44800.75</v>
      </c>
      <c r="H1719" s="85" t="str">
        <f>IFERROR(__xludf.DUMMYFUNCTION("""COMPUTED_VALUE"""),"Contact for any order update")</f>
        <v>Contact for any order update</v>
      </c>
      <c r="I1719" s="4" t="str">
        <f>IFERROR(__xludf.DUMMYFUNCTION("""COMPUTED_VALUE"""),"Kajal")</f>
        <v>Kajal</v>
      </c>
    </row>
    <row r="1720">
      <c r="A1720" s="85">
        <f>IFERROR(__xludf.DUMMYFUNCTION("""COMPUTED_VALUE"""),44799.69036552083)</f>
        <v>44799.69037</v>
      </c>
      <c r="B1720" s="4"/>
      <c r="C1720" s="4"/>
      <c r="D1720" s="4"/>
      <c r="E1720" s="4"/>
      <c r="F1720" s="4"/>
      <c r="G1720" s="85">
        <f>IFERROR(__xludf.DUMMYFUNCTION("""COMPUTED_VALUE"""),44802.75)</f>
        <v>44802.75</v>
      </c>
      <c r="H1720" s="85" t="str">
        <f>IFERROR(__xludf.DUMMYFUNCTION("""COMPUTED_VALUE"""),"Contact for any order update")</f>
        <v>Contact for any order update</v>
      </c>
      <c r="I1720" s="4" t="str">
        <f>IFERROR(__xludf.DUMMYFUNCTION("""COMPUTED_VALUE"""),"Kajal")</f>
        <v>Kajal</v>
      </c>
    </row>
    <row r="1721">
      <c r="A1721" s="85">
        <f>IFERROR(__xludf.DUMMYFUNCTION("""COMPUTED_VALUE"""),44800.58004550926)</f>
        <v>44800.58005</v>
      </c>
      <c r="B1721" s="4"/>
      <c r="C1721" s="4"/>
      <c r="D1721" s="4"/>
      <c r="E1721" s="4"/>
      <c r="F1721" s="4"/>
      <c r="G1721" s="85">
        <f>IFERROR(__xludf.DUMMYFUNCTION("""COMPUTED_VALUE"""),44809.75)</f>
        <v>44809.75</v>
      </c>
      <c r="H1721" s="85" t="str">
        <f>IFERROR(__xludf.DUMMYFUNCTION("""COMPUTED_VALUE"""),"Contact for any order update")</f>
        <v>Contact for any order update</v>
      </c>
      <c r="I1721" s="4" t="str">
        <f>IFERROR(__xludf.DUMMYFUNCTION("""COMPUTED_VALUE"""),"Kajal")</f>
        <v>Kajal</v>
      </c>
    </row>
    <row r="1722">
      <c r="A1722" s="85">
        <f>IFERROR(__xludf.DUMMYFUNCTION("""COMPUTED_VALUE"""),44800.6816653125)</f>
        <v>44800.68167</v>
      </c>
      <c r="B1722" s="4"/>
      <c r="C1722" s="4"/>
      <c r="D1722" s="4"/>
      <c r="E1722" s="4"/>
      <c r="F1722" s="4"/>
      <c r="G1722" s="85">
        <f>IFERROR(__xludf.DUMMYFUNCTION("""COMPUTED_VALUE"""),44809.75)</f>
        <v>44809.75</v>
      </c>
      <c r="H1722" s="85" t="str">
        <f>IFERROR(__xludf.DUMMYFUNCTION("""COMPUTED_VALUE"""),"Contact for any order update")</f>
        <v>Contact for any order update</v>
      </c>
      <c r="I1722" s="4" t="str">
        <f>IFERROR(__xludf.DUMMYFUNCTION("""COMPUTED_VALUE"""),"Kajal")</f>
        <v>Kajal</v>
      </c>
    </row>
    <row r="1723">
      <c r="A1723" s="85">
        <f>IFERROR(__xludf.DUMMYFUNCTION("""COMPUTED_VALUE"""),44810.65718100694)</f>
        <v>44810.65718</v>
      </c>
      <c r="B1723" s="4"/>
      <c r="C1723" s="4"/>
      <c r="D1723" s="4"/>
      <c r="E1723" s="4"/>
      <c r="F1723" s="4"/>
      <c r="G1723" s="85">
        <f>IFERROR(__xludf.DUMMYFUNCTION("""COMPUTED_VALUE"""),44815.75)</f>
        <v>44815.75</v>
      </c>
      <c r="H1723" s="85" t="str">
        <f>IFERROR(__xludf.DUMMYFUNCTION("""COMPUTED_VALUE"""),"Contact for any order update")</f>
        <v>Contact for any order update</v>
      </c>
      <c r="I1723" s="4" t="str">
        <f>IFERROR(__xludf.DUMMYFUNCTION("""COMPUTED_VALUE"""),"Kajal")</f>
        <v>Kajal</v>
      </c>
    </row>
    <row r="1724">
      <c r="A1724" s="85">
        <f>IFERROR(__xludf.DUMMYFUNCTION("""COMPUTED_VALUE"""),44821.748007974544)</f>
        <v>44821.74801</v>
      </c>
      <c r="B1724" s="4"/>
      <c r="C1724" s="4"/>
      <c r="D1724" s="4"/>
      <c r="E1724" s="4"/>
      <c r="F1724" s="4"/>
      <c r="G1724" s="85">
        <f>IFERROR(__xludf.DUMMYFUNCTION("""COMPUTED_VALUE"""),44822.75)</f>
        <v>44822.75</v>
      </c>
      <c r="H1724" s="85" t="str">
        <f>IFERROR(__xludf.DUMMYFUNCTION("""COMPUTED_VALUE"""),"Contact for any order update")</f>
        <v>Contact for any order update</v>
      </c>
      <c r="I1724" s="4" t="str">
        <f>IFERROR(__xludf.DUMMYFUNCTION("""COMPUTED_VALUE"""),"Kajal")</f>
        <v>Kajal</v>
      </c>
    </row>
    <row r="1725">
      <c r="A1725" s="85">
        <f>IFERROR(__xludf.DUMMYFUNCTION("""COMPUTED_VALUE"""),44822.63233273148)</f>
        <v>44822.63233</v>
      </c>
      <c r="B1725" s="4"/>
      <c r="C1725" s="4"/>
      <c r="D1725" s="4"/>
      <c r="E1725" s="4"/>
      <c r="F1725" s="4"/>
      <c r="G1725" s="85">
        <f>IFERROR(__xludf.DUMMYFUNCTION("""COMPUTED_VALUE"""),44823.75)</f>
        <v>44823.75</v>
      </c>
      <c r="H1725" s="85" t="str">
        <f>IFERROR(__xludf.DUMMYFUNCTION("""COMPUTED_VALUE"""),"Contact for any order update")</f>
        <v>Contact for any order update</v>
      </c>
      <c r="I1725" s="4" t="str">
        <f>IFERROR(__xludf.DUMMYFUNCTION("""COMPUTED_VALUE"""),"Kajal")</f>
        <v>Kajal</v>
      </c>
    </row>
    <row r="1726">
      <c r="A1726" s="85">
        <f>IFERROR(__xludf.DUMMYFUNCTION("""COMPUTED_VALUE"""),44869.47152958334)</f>
        <v>44869.47153</v>
      </c>
      <c r="B1726" s="4"/>
      <c r="C1726" s="4"/>
      <c r="D1726" s="4"/>
      <c r="E1726" s="4"/>
      <c r="F1726" s="4"/>
      <c r="G1726" s="85">
        <f>IFERROR(__xludf.DUMMYFUNCTION("""COMPUTED_VALUE"""),44923.75)</f>
        <v>44923.75</v>
      </c>
      <c r="H1726" s="85" t="str">
        <f>IFERROR(__xludf.DUMMYFUNCTION("""COMPUTED_VALUE"""),"Contact for any order update")</f>
        <v>Contact for any order update</v>
      </c>
      <c r="I1726" s="4" t="str">
        <f>IFERROR(__xludf.DUMMYFUNCTION("""COMPUTED_VALUE"""),"Kajal")</f>
        <v>Kajal</v>
      </c>
    </row>
    <row r="1727">
      <c r="A1727" s="85">
        <f>IFERROR(__xludf.DUMMYFUNCTION("""COMPUTED_VALUE"""),44869.473721793984)</f>
        <v>44869.47372</v>
      </c>
      <c r="B1727" s="4"/>
      <c r="C1727" s="4"/>
      <c r="D1727" s="4"/>
      <c r="E1727" s="4"/>
      <c r="F1727" s="4"/>
      <c r="G1727" s="85">
        <f>IFERROR(__xludf.DUMMYFUNCTION("""COMPUTED_VALUE"""),44919.75)</f>
        <v>44919.75</v>
      </c>
      <c r="H1727" s="85" t="str">
        <f>IFERROR(__xludf.DUMMYFUNCTION("""COMPUTED_VALUE"""),"Contact for any order update")</f>
        <v>Contact for any order update</v>
      </c>
      <c r="I1727" s="4" t="str">
        <f>IFERROR(__xludf.DUMMYFUNCTION("""COMPUTED_VALUE"""),"Kajal")</f>
        <v>Kajal</v>
      </c>
    </row>
    <row r="1728">
      <c r="A1728" s="85">
        <f>IFERROR(__xludf.DUMMYFUNCTION("""COMPUTED_VALUE"""),44873.50643604167)</f>
        <v>44873.50644</v>
      </c>
      <c r="B1728" s="4"/>
      <c r="C1728" s="4"/>
      <c r="D1728" s="4"/>
      <c r="E1728" s="4"/>
      <c r="F1728" s="4"/>
      <c r="G1728" s="85">
        <f>IFERROR(__xludf.DUMMYFUNCTION("""COMPUTED_VALUE"""),44901.75)</f>
        <v>44901.75</v>
      </c>
      <c r="H1728" s="85" t="str">
        <f>IFERROR(__xludf.DUMMYFUNCTION("""COMPUTED_VALUE"""),"Contact for any order update")</f>
        <v>Contact for any order update</v>
      </c>
      <c r="I1728" s="4" t="str">
        <f>IFERROR(__xludf.DUMMYFUNCTION("""COMPUTED_VALUE"""),"Kajal")</f>
        <v>Kajal</v>
      </c>
    </row>
    <row r="1729">
      <c r="A1729" s="85">
        <f>IFERROR(__xludf.DUMMYFUNCTION("""COMPUTED_VALUE"""),44876.55136582176)</f>
        <v>44876.55137</v>
      </c>
      <c r="B1729" s="4"/>
      <c r="C1729" s="4"/>
      <c r="D1729" s="4"/>
      <c r="E1729" s="4"/>
      <c r="F1729" s="4"/>
      <c r="G1729" s="85">
        <f>IFERROR(__xludf.DUMMYFUNCTION("""COMPUTED_VALUE"""),44877.75)</f>
        <v>44877.75</v>
      </c>
      <c r="H1729" s="85" t="str">
        <f>IFERROR(__xludf.DUMMYFUNCTION("""COMPUTED_VALUE"""),"Contact for any order update")</f>
        <v>Contact for any order update</v>
      </c>
      <c r="I1729" s="4" t="str">
        <f>IFERROR(__xludf.DUMMYFUNCTION("""COMPUTED_VALUE"""),"Kajal")</f>
        <v>Kajal</v>
      </c>
    </row>
    <row r="1730">
      <c r="A1730" s="85">
        <f>IFERROR(__xludf.DUMMYFUNCTION("""COMPUTED_VALUE"""),44883.60046538194)</f>
        <v>44883.60047</v>
      </c>
      <c r="B1730" s="4"/>
      <c r="C1730" s="4"/>
      <c r="D1730" s="4"/>
      <c r="E1730" s="4"/>
      <c r="F1730" s="4"/>
      <c r="G1730" s="85">
        <f>IFERROR(__xludf.DUMMYFUNCTION("""COMPUTED_VALUE"""),44917.75)</f>
        <v>44917.75</v>
      </c>
      <c r="H1730" s="85" t="str">
        <f>IFERROR(__xludf.DUMMYFUNCTION("""COMPUTED_VALUE"""),"Contact for any order update")</f>
        <v>Contact for any order update</v>
      </c>
      <c r="I1730" s="4" t="str">
        <f>IFERROR(__xludf.DUMMYFUNCTION("""COMPUTED_VALUE"""),"Kajal")</f>
        <v>Kajal</v>
      </c>
    </row>
    <row r="1731">
      <c r="A1731" s="85">
        <f>IFERROR(__xludf.DUMMYFUNCTION("""COMPUTED_VALUE"""),44884.57283962963)</f>
        <v>44884.57284</v>
      </c>
      <c r="B1731" s="4"/>
      <c r="C1731" s="4"/>
      <c r="D1731" s="4"/>
      <c r="E1731" s="4"/>
      <c r="F1731" s="4"/>
      <c r="G1731" s="85">
        <f>IFERROR(__xludf.DUMMYFUNCTION("""COMPUTED_VALUE"""),44917.75)</f>
        <v>44917.75</v>
      </c>
      <c r="H1731" s="85" t="str">
        <f>IFERROR(__xludf.DUMMYFUNCTION("""COMPUTED_VALUE"""),"Contact for any order update")</f>
        <v>Contact for any order update</v>
      </c>
      <c r="I1731" s="4" t="str">
        <f>IFERROR(__xludf.DUMMYFUNCTION("""COMPUTED_VALUE"""),"Kajal")</f>
        <v>Kajal</v>
      </c>
    </row>
    <row r="1732">
      <c r="A1732" s="85">
        <f>IFERROR(__xludf.DUMMYFUNCTION("""COMPUTED_VALUE"""),44884.5736787037)</f>
        <v>44884.57368</v>
      </c>
      <c r="B1732" s="4"/>
      <c r="C1732" s="4"/>
      <c r="D1732" s="4"/>
      <c r="E1732" s="4"/>
      <c r="F1732" s="4"/>
      <c r="G1732" s="85">
        <f>IFERROR(__xludf.DUMMYFUNCTION("""COMPUTED_VALUE"""),44917.75)</f>
        <v>44917.75</v>
      </c>
      <c r="H1732" s="85" t="str">
        <f>IFERROR(__xludf.DUMMYFUNCTION("""COMPUTED_VALUE"""),"Contact for any order update")</f>
        <v>Contact for any order update</v>
      </c>
      <c r="I1732" s="4" t="str">
        <f>IFERROR(__xludf.DUMMYFUNCTION("""COMPUTED_VALUE"""),"Kajal")</f>
        <v>Kajal</v>
      </c>
    </row>
    <row r="1733">
      <c r="A1733" s="85">
        <f>IFERROR(__xludf.DUMMYFUNCTION("""COMPUTED_VALUE"""),44887.45078572916)</f>
        <v>44887.45079</v>
      </c>
      <c r="B1733" s="4"/>
      <c r="C1733" s="4"/>
      <c r="D1733" s="4"/>
      <c r="E1733" s="4"/>
      <c r="F1733" s="4"/>
      <c r="G1733" s="85">
        <f>IFERROR(__xludf.DUMMYFUNCTION("""COMPUTED_VALUE"""),44917.75)</f>
        <v>44917.75</v>
      </c>
      <c r="H1733" s="85" t="str">
        <f>IFERROR(__xludf.DUMMYFUNCTION("""COMPUTED_VALUE"""),"Contact for any order update")</f>
        <v>Contact for any order update</v>
      </c>
      <c r="I1733" s="4" t="str">
        <f>IFERROR(__xludf.DUMMYFUNCTION("""COMPUTED_VALUE"""),"Kajal")</f>
        <v>Kajal</v>
      </c>
    </row>
    <row r="1734">
      <c r="A1734" s="85">
        <f>IFERROR(__xludf.DUMMYFUNCTION("""COMPUTED_VALUE"""),44887.56955421296)</f>
        <v>44887.56955</v>
      </c>
      <c r="B1734" s="4"/>
      <c r="C1734" s="4"/>
      <c r="D1734" s="4"/>
      <c r="E1734" s="4"/>
      <c r="F1734" s="4"/>
      <c r="G1734" s="85">
        <f>IFERROR(__xludf.DUMMYFUNCTION("""COMPUTED_VALUE"""),44917.75)</f>
        <v>44917.75</v>
      </c>
      <c r="H1734" s="85" t="str">
        <f>IFERROR(__xludf.DUMMYFUNCTION("""COMPUTED_VALUE"""),"Contact for any order update")</f>
        <v>Contact for any order update</v>
      </c>
      <c r="I1734" s="4" t="str">
        <f>IFERROR(__xludf.DUMMYFUNCTION("""COMPUTED_VALUE"""),"Kajal")</f>
        <v>Kajal</v>
      </c>
    </row>
    <row r="1735">
      <c r="A1735" s="85">
        <f>IFERROR(__xludf.DUMMYFUNCTION("""COMPUTED_VALUE"""),44890.49453783565)</f>
        <v>44890.49454</v>
      </c>
      <c r="B1735" s="4"/>
      <c r="C1735" s="4"/>
      <c r="D1735" s="4"/>
      <c r="E1735" s="4"/>
      <c r="F1735" s="4"/>
      <c r="G1735" s="85">
        <f>IFERROR(__xludf.DUMMYFUNCTION("""COMPUTED_VALUE"""),44917.75)</f>
        <v>44917.75</v>
      </c>
      <c r="H1735" s="85" t="str">
        <f>IFERROR(__xludf.DUMMYFUNCTION("""COMPUTED_VALUE"""),"Contact for any order update")</f>
        <v>Contact for any order update</v>
      </c>
      <c r="I1735" s="4" t="str">
        <f>IFERROR(__xludf.DUMMYFUNCTION("""COMPUTED_VALUE"""),"Kajal")</f>
        <v>Kajal</v>
      </c>
    </row>
    <row r="1736">
      <c r="A1736" s="85">
        <f>IFERROR(__xludf.DUMMYFUNCTION("""COMPUTED_VALUE"""),44891.74546582176)</f>
        <v>44891.74547</v>
      </c>
      <c r="B1736" s="4"/>
      <c r="C1736" s="4"/>
      <c r="D1736" s="4"/>
      <c r="E1736" s="4"/>
      <c r="F1736" s="4"/>
      <c r="G1736" s="85">
        <f>IFERROR(__xludf.DUMMYFUNCTION("""COMPUTED_VALUE"""),44904.75)</f>
        <v>44904.75</v>
      </c>
      <c r="H1736" s="85" t="str">
        <f>IFERROR(__xludf.DUMMYFUNCTION("""COMPUTED_VALUE"""),"Contact for any order update")</f>
        <v>Contact for any order update</v>
      </c>
      <c r="I1736" s="4" t="str">
        <f>IFERROR(__xludf.DUMMYFUNCTION("""COMPUTED_VALUE"""),"Kajal")</f>
        <v>Kajal</v>
      </c>
    </row>
    <row r="1737">
      <c r="A1737" s="85">
        <f>IFERROR(__xludf.DUMMYFUNCTION("""COMPUTED_VALUE"""),44901.49481008102)</f>
        <v>44901.49481</v>
      </c>
      <c r="B1737" s="4"/>
      <c r="C1737" s="4"/>
      <c r="D1737" s="4"/>
      <c r="E1737" s="4"/>
      <c r="F1737" s="4"/>
      <c r="G1737" s="85">
        <f>IFERROR(__xludf.DUMMYFUNCTION("""COMPUTED_VALUE"""),44922.75)</f>
        <v>44922.75</v>
      </c>
      <c r="H1737" s="85" t="str">
        <f>IFERROR(__xludf.DUMMYFUNCTION("""COMPUTED_VALUE"""),"Contact for any order update")</f>
        <v>Contact for any order update</v>
      </c>
      <c r="I1737" s="4" t="str">
        <f>IFERROR(__xludf.DUMMYFUNCTION("""COMPUTED_VALUE"""),"Kajal")</f>
        <v>Kajal</v>
      </c>
    </row>
    <row r="1738">
      <c r="A1738" s="85">
        <f>IFERROR(__xludf.DUMMYFUNCTION("""COMPUTED_VALUE"""),44901.49693206019)</f>
        <v>44901.49693</v>
      </c>
      <c r="B1738" s="4"/>
      <c r="C1738" s="4"/>
      <c r="D1738" s="4"/>
      <c r="E1738" s="4"/>
      <c r="F1738" s="4"/>
      <c r="G1738" s="85">
        <f>IFERROR(__xludf.DUMMYFUNCTION("""COMPUTED_VALUE"""),44904.75)</f>
        <v>44904.75</v>
      </c>
      <c r="H1738" s="85" t="str">
        <f>IFERROR(__xludf.DUMMYFUNCTION("""COMPUTED_VALUE"""),"Contact for any order update")</f>
        <v>Contact for any order update</v>
      </c>
      <c r="I1738" s="4" t="str">
        <f>IFERROR(__xludf.DUMMYFUNCTION("""COMPUTED_VALUE"""),"Kajal")</f>
        <v>Kajal</v>
      </c>
    </row>
    <row r="1739">
      <c r="A1739" s="85">
        <f>IFERROR(__xludf.DUMMYFUNCTION("""COMPUTED_VALUE"""),44903.79242989583)</f>
        <v>44903.79243</v>
      </c>
      <c r="B1739" s="4"/>
      <c r="C1739" s="4"/>
      <c r="D1739" s="4"/>
      <c r="E1739" s="4"/>
      <c r="F1739" s="4"/>
      <c r="G1739" s="85">
        <f>IFERROR(__xludf.DUMMYFUNCTION("""COMPUTED_VALUE"""),44906.75)</f>
        <v>44906.75</v>
      </c>
      <c r="H1739" s="85" t="str">
        <f>IFERROR(__xludf.DUMMYFUNCTION("""COMPUTED_VALUE"""),"Contact for any order update")</f>
        <v>Contact for any order update</v>
      </c>
      <c r="I1739" s="4" t="str">
        <f>IFERROR(__xludf.DUMMYFUNCTION("""COMPUTED_VALUE"""),"Kajal")</f>
        <v>Kajal</v>
      </c>
    </row>
    <row r="1740">
      <c r="A1740" s="85">
        <f>IFERROR(__xludf.DUMMYFUNCTION("""COMPUTED_VALUE"""),44908.80371424768)</f>
        <v>44908.80371</v>
      </c>
      <c r="B1740" s="4"/>
      <c r="C1740" s="4"/>
      <c r="D1740" s="4"/>
      <c r="E1740" s="4"/>
      <c r="F1740" s="4"/>
      <c r="G1740" s="85">
        <f>IFERROR(__xludf.DUMMYFUNCTION("""COMPUTED_VALUE"""),44922.75)</f>
        <v>44922.75</v>
      </c>
      <c r="H1740" s="85" t="str">
        <f>IFERROR(__xludf.DUMMYFUNCTION("""COMPUTED_VALUE"""),"Contact for any order update")</f>
        <v>Contact for any order update</v>
      </c>
      <c r="I1740" s="4" t="str">
        <f>IFERROR(__xludf.DUMMYFUNCTION("""COMPUTED_VALUE"""),"Kajal")</f>
        <v>Kajal</v>
      </c>
    </row>
    <row r="1741">
      <c r="A1741" s="85">
        <f>IFERROR(__xludf.DUMMYFUNCTION("""COMPUTED_VALUE"""),44915.53562688658)</f>
        <v>44915.53563</v>
      </c>
      <c r="B1741" s="4"/>
      <c r="C1741" s="4"/>
      <c r="D1741" s="4"/>
      <c r="E1741" s="4"/>
      <c r="F1741" s="4"/>
      <c r="G1741" s="85">
        <f>IFERROR(__xludf.DUMMYFUNCTION("""COMPUTED_VALUE"""),44919.75)</f>
        <v>44919.75</v>
      </c>
      <c r="H1741" s="85" t="str">
        <f>IFERROR(__xludf.DUMMYFUNCTION("""COMPUTED_VALUE"""),"Contact for any order update")</f>
        <v>Contact for any order update</v>
      </c>
      <c r="I1741" s="4" t="str">
        <f>IFERROR(__xludf.DUMMYFUNCTION("""COMPUTED_VALUE"""),"Kajal")</f>
        <v>Kajal</v>
      </c>
    </row>
    <row r="1742">
      <c r="A1742" s="85">
        <f>IFERROR(__xludf.DUMMYFUNCTION("""COMPUTED_VALUE"""),44915.53701262731)</f>
        <v>44915.53701</v>
      </c>
      <c r="B1742" s="4"/>
      <c r="C1742" s="4"/>
      <c r="D1742" s="4"/>
      <c r="E1742" s="4"/>
      <c r="F1742" s="4"/>
      <c r="G1742" s="85">
        <f>IFERROR(__xludf.DUMMYFUNCTION("""COMPUTED_VALUE"""),44919.75)</f>
        <v>44919.75</v>
      </c>
      <c r="H1742" s="85" t="str">
        <f>IFERROR(__xludf.DUMMYFUNCTION("""COMPUTED_VALUE"""),"Contact for any order update")</f>
        <v>Contact for any order update</v>
      </c>
      <c r="I1742" s="4" t="str">
        <f>IFERROR(__xludf.DUMMYFUNCTION("""COMPUTED_VALUE"""),"Kajal")</f>
        <v>Kajal</v>
      </c>
    </row>
    <row r="1743">
      <c r="A1743" s="85">
        <f>IFERROR(__xludf.DUMMYFUNCTION("""COMPUTED_VALUE"""),44919.773756296294)</f>
        <v>44919.77376</v>
      </c>
      <c r="B1743" s="4"/>
      <c r="C1743" s="4"/>
      <c r="D1743" s="4"/>
      <c r="E1743" s="4"/>
      <c r="F1743" s="4"/>
      <c r="G1743" s="85">
        <f>IFERROR(__xludf.DUMMYFUNCTION("""COMPUTED_VALUE"""),44929.75)</f>
        <v>44929.75</v>
      </c>
      <c r="H1743" s="85" t="str">
        <f>IFERROR(__xludf.DUMMYFUNCTION("""COMPUTED_VALUE"""),"Contact for any order update")</f>
        <v>Contact for any order update</v>
      </c>
      <c r="I1743" s="4" t="str">
        <f>IFERROR(__xludf.DUMMYFUNCTION("""COMPUTED_VALUE"""),"Kajal")</f>
        <v>Kajal</v>
      </c>
    </row>
    <row r="1744">
      <c r="A1744" s="85">
        <f>IFERROR(__xludf.DUMMYFUNCTION("""COMPUTED_VALUE"""),44919.774540937506)</f>
        <v>44919.77454</v>
      </c>
      <c r="B1744" s="4"/>
      <c r="C1744" s="4"/>
      <c r="D1744" s="4"/>
      <c r="E1744" s="4"/>
      <c r="F1744" s="4"/>
      <c r="G1744" s="85">
        <f>IFERROR(__xludf.DUMMYFUNCTION("""COMPUTED_VALUE"""),44925.75)</f>
        <v>44925.75</v>
      </c>
      <c r="H1744" s="85" t="str">
        <f>IFERROR(__xludf.DUMMYFUNCTION("""COMPUTED_VALUE"""),"Contact for any order update")</f>
        <v>Contact for any order update</v>
      </c>
      <c r="I1744" s="4" t="str">
        <f>IFERROR(__xludf.DUMMYFUNCTION("""COMPUTED_VALUE"""),"Kajal")</f>
        <v>Kajal</v>
      </c>
    </row>
    <row r="1745">
      <c r="A1745" s="85">
        <f>IFERROR(__xludf.DUMMYFUNCTION("""COMPUTED_VALUE"""),44919.77517219908)</f>
        <v>44919.77517</v>
      </c>
      <c r="B1745" s="4"/>
      <c r="C1745" s="4"/>
      <c r="D1745" s="4"/>
      <c r="E1745" s="4"/>
      <c r="F1745" s="4"/>
      <c r="G1745" s="85">
        <f>IFERROR(__xludf.DUMMYFUNCTION("""COMPUTED_VALUE"""),44926.75)</f>
        <v>44926.75</v>
      </c>
      <c r="H1745" s="85" t="str">
        <f>IFERROR(__xludf.DUMMYFUNCTION("""COMPUTED_VALUE"""),"Contact for any order update")</f>
        <v>Contact for any order update</v>
      </c>
      <c r="I1745" s="4" t="str">
        <f>IFERROR(__xludf.DUMMYFUNCTION("""COMPUTED_VALUE"""),"Kajal")</f>
        <v>Kajal</v>
      </c>
    </row>
    <row r="1746">
      <c r="A1746" s="85">
        <f>IFERROR(__xludf.DUMMYFUNCTION("""COMPUTED_VALUE"""),44919.77655202546)</f>
        <v>44919.77655</v>
      </c>
      <c r="B1746" s="4"/>
      <c r="C1746" s="4"/>
      <c r="D1746" s="4"/>
      <c r="E1746" s="4"/>
      <c r="F1746" s="4"/>
      <c r="G1746" s="85">
        <f>IFERROR(__xludf.DUMMYFUNCTION("""COMPUTED_VALUE"""),44926.75)</f>
        <v>44926.75</v>
      </c>
      <c r="H1746" s="85" t="str">
        <f>IFERROR(__xludf.DUMMYFUNCTION("""COMPUTED_VALUE"""),"Contact for any order update")</f>
        <v>Contact for any order update</v>
      </c>
      <c r="I1746" s="4" t="str">
        <f>IFERROR(__xludf.DUMMYFUNCTION("""COMPUTED_VALUE"""),"Kajal")</f>
        <v>Kajal</v>
      </c>
    </row>
    <row r="1747">
      <c r="A1747" s="85">
        <f>IFERROR(__xludf.DUMMYFUNCTION("""COMPUTED_VALUE"""),44920.77365482639)</f>
        <v>44920.77365</v>
      </c>
      <c r="B1747" s="4"/>
      <c r="C1747" s="4"/>
      <c r="D1747" s="4"/>
      <c r="E1747" s="4"/>
      <c r="F1747" s="4"/>
      <c r="G1747" s="85">
        <f>IFERROR(__xludf.DUMMYFUNCTION("""COMPUTED_VALUE"""),44920.75)</f>
        <v>44920.75</v>
      </c>
      <c r="H1747" s="85" t="str">
        <f>IFERROR(__xludf.DUMMYFUNCTION("""COMPUTED_VALUE"""),"Contact for any order update")</f>
        <v>Contact for any order update</v>
      </c>
      <c r="I1747" s="4" t="str">
        <f>IFERROR(__xludf.DUMMYFUNCTION("""COMPUTED_VALUE"""),"Kajal")</f>
        <v>Kajal</v>
      </c>
    </row>
    <row r="1748">
      <c r="A1748" s="85">
        <f>IFERROR(__xludf.DUMMYFUNCTION("""COMPUTED_VALUE"""),44625.56301008102)</f>
        <v>44625.56301</v>
      </c>
      <c r="B1748" s="4"/>
      <c r="C1748" s="4"/>
      <c r="D1748" s="4"/>
      <c r="E1748" s="4"/>
      <c r="F1748" s="4"/>
      <c r="G1748" s="85">
        <f>IFERROR(__xludf.DUMMYFUNCTION("""COMPUTED_VALUE"""),44729.71654454861)</f>
        <v>44729.71654</v>
      </c>
      <c r="H1748" s="85" t="str">
        <f>IFERROR(__xludf.DUMMYFUNCTION("""COMPUTED_VALUE"""),"Price Negotiation")</f>
        <v>Price Negotiation</v>
      </c>
      <c r="I1748" s="4" t="str">
        <f>IFERROR(__xludf.DUMMYFUNCTION("""COMPUTED_VALUE"""),"Kajal")</f>
        <v>Kajal</v>
      </c>
    </row>
    <row r="1749">
      <c r="A1749" s="85">
        <f>IFERROR(__xludf.DUMMYFUNCTION("""COMPUTED_VALUE"""),44680.73905730324)</f>
        <v>44680.73906</v>
      </c>
      <c r="B1749" s="4"/>
      <c r="C1749" s="4"/>
      <c r="D1749" s="4"/>
      <c r="E1749" s="4"/>
      <c r="F1749" s="4"/>
      <c r="G1749" s="85">
        <f>IFERROR(__xludf.DUMMYFUNCTION("""COMPUTED_VALUE"""),44734.66557454861)</f>
        <v>44734.66557</v>
      </c>
      <c r="H1749" s="85" t="str">
        <f>IFERROR(__xludf.DUMMYFUNCTION("""COMPUTED_VALUE"""),"Price Negotiation")</f>
        <v>Price Negotiation</v>
      </c>
      <c r="I1749" s="4" t="str">
        <f>IFERROR(__xludf.DUMMYFUNCTION("""COMPUTED_VALUE"""),"Kajal")</f>
        <v>Kajal</v>
      </c>
    </row>
    <row r="1750">
      <c r="A1750" s="85">
        <f>IFERROR(__xludf.DUMMYFUNCTION("""COMPUTED_VALUE"""),44877.48941255787)</f>
        <v>44877.48941</v>
      </c>
      <c r="B1750" s="4"/>
      <c r="C1750" s="4"/>
      <c r="D1750" s="4"/>
      <c r="E1750" s="4"/>
      <c r="F1750" s="4"/>
      <c r="G1750" s="85">
        <f>IFERROR(__xludf.DUMMYFUNCTION("""COMPUTED_VALUE"""),44885.50692849537)</f>
        <v>44885.50693</v>
      </c>
      <c r="H1750" s="85" t="str">
        <f>IFERROR(__xludf.DUMMYFUNCTION("""COMPUTED_VALUE"""),"Price Negotiation")</f>
        <v>Price Negotiation</v>
      </c>
      <c r="I1750" s="4" t="str">
        <f>IFERROR(__xludf.DUMMYFUNCTION("""COMPUTED_VALUE"""),"Kajal")</f>
        <v>Kajal</v>
      </c>
    </row>
    <row r="1751">
      <c r="A1751" s="85">
        <f>IFERROR(__xludf.DUMMYFUNCTION("""COMPUTED_VALUE"""),44912.62340542825)</f>
        <v>44912.62341</v>
      </c>
      <c r="B1751" s="4"/>
      <c r="C1751" s="4"/>
      <c r="D1751" s="4"/>
      <c r="E1751" s="4"/>
      <c r="F1751" s="4"/>
      <c r="G1751" s="85">
        <f>IFERROR(__xludf.DUMMYFUNCTION("""COMPUTED_VALUE"""),44917.738491550925)</f>
        <v>44917.73849</v>
      </c>
      <c r="H1751" s="85" t="str">
        <f>IFERROR(__xludf.DUMMYFUNCTION("""COMPUTED_VALUE"""),"Price Negotiation")</f>
        <v>Price Negotiation</v>
      </c>
      <c r="I1751" s="4" t="str">
        <f>IFERROR(__xludf.DUMMYFUNCTION("""COMPUTED_VALUE"""),"Kajal")</f>
        <v>Kajal</v>
      </c>
    </row>
    <row r="1752">
      <c r="A1752" s="85">
        <f>IFERROR(__xludf.DUMMYFUNCTION("""COMPUTED_VALUE"""),44915.72586797454)</f>
        <v>44915.72587</v>
      </c>
      <c r="B1752" s="4"/>
      <c r="C1752" s="4"/>
      <c r="D1752" s="4"/>
      <c r="E1752" s="4"/>
      <c r="F1752" s="4"/>
      <c r="G1752" s="85">
        <f>IFERROR(__xludf.DUMMYFUNCTION("""COMPUTED_VALUE"""),44917.732701712965)</f>
        <v>44917.7327</v>
      </c>
      <c r="H1752" s="85" t="str">
        <f>IFERROR(__xludf.DUMMYFUNCTION("""COMPUTED_VALUE"""),"Price Negotiation")</f>
        <v>Price Negotiation</v>
      </c>
      <c r="I1752" s="4" t="str">
        <f>IFERROR(__xludf.DUMMYFUNCTION("""COMPUTED_VALUE"""),"Kajal")</f>
        <v>Kajal</v>
      </c>
    </row>
    <row r="1753">
      <c r="A1753" s="85">
        <f>IFERROR(__xludf.DUMMYFUNCTION("""COMPUTED_VALUE"""),44915.7271371875)</f>
        <v>44915.72714</v>
      </c>
      <c r="B1753" s="4"/>
      <c r="C1753" s="4"/>
      <c r="D1753" s="4"/>
      <c r="E1753" s="4"/>
      <c r="F1753" s="4"/>
      <c r="G1753" s="85">
        <f>IFERROR(__xludf.DUMMYFUNCTION("""COMPUTED_VALUE"""),44917.73519168981)</f>
        <v>44917.73519</v>
      </c>
      <c r="H1753" s="85" t="str">
        <f>IFERROR(__xludf.DUMMYFUNCTION("""COMPUTED_VALUE"""),"Price Negotiation")</f>
        <v>Price Negotiation</v>
      </c>
      <c r="I1753" s="4" t="str">
        <f>IFERROR(__xludf.DUMMYFUNCTION("""COMPUTED_VALUE"""),"Kajal")</f>
        <v>Kajal</v>
      </c>
    </row>
    <row r="1754">
      <c r="A1754" s="85">
        <f>IFERROR(__xludf.DUMMYFUNCTION("""COMPUTED_VALUE"""),44915.74354685185)</f>
        <v>44915.74355</v>
      </c>
      <c r="B1754" s="4"/>
      <c r="C1754" s="4"/>
      <c r="D1754" s="4"/>
      <c r="E1754" s="4"/>
      <c r="F1754" s="4"/>
      <c r="G1754" s="85">
        <f>IFERROR(__xludf.DUMMYFUNCTION("""COMPUTED_VALUE"""),44917.732701712965)</f>
        <v>44917.7327</v>
      </c>
      <c r="H1754" s="85" t="str">
        <f>IFERROR(__xludf.DUMMYFUNCTION("""COMPUTED_VALUE"""),"Price Negotiation")</f>
        <v>Price Negotiation</v>
      </c>
      <c r="I1754" s="4" t="str">
        <f>IFERROR(__xludf.DUMMYFUNCTION("""COMPUTED_VALUE"""),"Kajal")</f>
        <v>Kajal</v>
      </c>
    </row>
    <row r="1755">
      <c r="A1755" s="85">
        <f>IFERROR(__xludf.DUMMYFUNCTION("""COMPUTED_VALUE"""),44915.75439134259)</f>
        <v>44915.75439</v>
      </c>
      <c r="B1755" s="4"/>
      <c r="C1755" s="4"/>
      <c r="D1755" s="4"/>
      <c r="E1755" s="4"/>
      <c r="F1755" s="4"/>
      <c r="G1755" s="85">
        <f>IFERROR(__xludf.DUMMYFUNCTION("""COMPUTED_VALUE"""),44917.732701712965)</f>
        <v>44917.7327</v>
      </c>
      <c r="H1755" s="85" t="str">
        <f>IFERROR(__xludf.DUMMYFUNCTION("""COMPUTED_VALUE"""),"Price Negotiation")</f>
        <v>Price Negotiation</v>
      </c>
      <c r="I1755" s="4" t="str">
        <f>IFERROR(__xludf.DUMMYFUNCTION("""COMPUTED_VALUE"""),"Kajal")</f>
        <v>Kajal</v>
      </c>
    </row>
    <row r="1756">
      <c r="A1756" s="85">
        <f>IFERROR(__xludf.DUMMYFUNCTION("""COMPUTED_VALUE"""),44680.73905730324)</f>
        <v>44680.73906</v>
      </c>
      <c r="B1756" s="4"/>
      <c r="C1756" s="4"/>
      <c r="D1756" s="4"/>
      <c r="E1756" s="4"/>
      <c r="F1756" s="4"/>
      <c r="G1756" s="85">
        <f>IFERROR(__xludf.DUMMYFUNCTION("""COMPUTED_VALUE"""),44735.66557454861)</f>
        <v>44735.66557</v>
      </c>
      <c r="H1756" s="85" t="str">
        <f>IFERROR(__xludf.DUMMYFUNCTION("""COMPUTED_VALUE"""),"Closure Finale")</f>
        <v>Closure Finale</v>
      </c>
      <c r="I1756" s="4" t="str">
        <f>IFERROR(__xludf.DUMMYFUNCTION("""COMPUTED_VALUE""")," ")</f>
        <v> </v>
      </c>
    </row>
    <row r="1757">
      <c r="A1757" s="85">
        <f>IFERROR(__xludf.DUMMYFUNCTION("""COMPUTED_VALUE"""),44770.69829177084)</f>
        <v>44770.69829</v>
      </c>
      <c r="B1757" s="4"/>
      <c r="C1757" s="4"/>
      <c r="D1757" s="4"/>
      <c r="E1757" s="4"/>
      <c r="F1757" s="4"/>
      <c r="G1757" s="85">
        <f>IFERROR(__xludf.DUMMYFUNCTION("""COMPUTED_VALUE"""),44778.49166666667)</f>
        <v>44778.49167</v>
      </c>
      <c r="H1757" s="85" t="str">
        <f>IFERROR(__xludf.DUMMYFUNCTION("""COMPUTED_VALUE"""),"Closure Finale")</f>
        <v>Closure Finale</v>
      </c>
      <c r="I1757" s="4" t="str">
        <f>IFERROR(__xludf.DUMMYFUNCTION("""COMPUTED_VALUE""")," ")</f>
        <v> </v>
      </c>
    </row>
    <row r="1758">
      <c r="A1758" s="85">
        <f>IFERROR(__xludf.DUMMYFUNCTION("""COMPUTED_VALUE"""),44793.58235989584)</f>
        <v>44793.58236</v>
      </c>
      <c r="B1758" s="4"/>
      <c r="C1758" s="4"/>
      <c r="D1758" s="4"/>
      <c r="E1758" s="4"/>
      <c r="F1758" s="4"/>
      <c r="G1758" s="85">
        <f>IFERROR(__xludf.DUMMYFUNCTION("""COMPUTED_VALUE"""),44816.51069863426)</f>
        <v>44816.5107</v>
      </c>
      <c r="H1758" s="85" t="str">
        <f>IFERROR(__xludf.DUMMYFUNCTION("""COMPUTED_VALUE"""),"Closure Finale")</f>
        <v>Closure Finale</v>
      </c>
      <c r="I1758" s="4" t="str">
        <f>IFERROR(__xludf.DUMMYFUNCTION("""COMPUTED_VALUE""")," ")</f>
        <v> </v>
      </c>
    </row>
    <row r="1759">
      <c r="A1759" s="85">
        <f>IFERROR(__xludf.DUMMYFUNCTION("""COMPUTED_VALUE"""),44825.44900121528)</f>
        <v>44825.449</v>
      </c>
      <c r="B1759" s="4"/>
      <c r="C1759" s="4"/>
      <c r="D1759" s="4"/>
      <c r="E1759" s="4"/>
      <c r="F1759" s="4"/>
      <c r="G1759" s="85">
        <f>IFERROR(__xludf.DUMMYFUNCTION("""COMPUTED_VALUE"""),44843.567636423606)</f>
        <v>44843.56764</v>
      </c>
      <c r="H1759" s="85" t="str">
        <f>IFERROR(__xludf.DUMMYFUNCTION("""COMPUTED_VALUE"""),"Closure Finale")</f>
        <v>Closure Finale</v>
      </c>
      <c r="I1759" s="4" t="str">
        <f>IFERROR(__xludf.DUMMYFUNCTION("""COMPUTED_VALUE""")," ")</f>
        <v> </v>
      </c>
    </row>
    <row r="1760">
      <c r="A1760" s="85">
        <f>IFERROR(__xludf.DUMMYFUNCTION("""COMPUTED_VALUE"""),44912.62340542825)</f>
        <v>44912.62341</v>
      </c>
      <c r="B1760" s="4"/>
      <c r="C1760" s="4"/>
      <c r="D1760" s="4"/>
      <c r="E1760" s="4"/>
      <c r="F1760" s="4"/>
      <c r="G1760" s="85">
        <f>IFERROR(__xludf.DUMMYFUNCTION("""COMPUTED_VALUE"""),44918.738491550925)</f>
        <v>44918.73849</v>
      </c>
      <c r="H1760" s="85" t="str">
        <f>IFERROR(__xludf.DUMMYFUNCTION("""COMPUTED_VALUE"""),"Closure Finale")</f>
        <v>Closure Finale</v>
      </c>
      <c r="I1760" s="4" t="str">
        <f>IFERROR(__xludf.DUMMYFUNCTION("""COMPUTED_VALUE""")," ")</f>
        <v> </v>
      </c>
    </row>
    <row r="1761">
      <c r="A1761" s="85">
        <f>IFERROR(__xludf.DUMMYFUNCTION("""COMPUTED_VALUE"""),44915.72586797454)</f>
        <v>44915.72587</v>
      </c>
      <c r="B1761" s="4"/>
      <c r="C1761" s="4"/>
      <c r="D1761" s="4"/>
      <c r="E1761" s="4"/>
      <c r="F1761" s="4"/>
      <c r="G1761" s="85">
        <f>IFERROR(__xludf.DUMMYFUNCTION("""COMPUTED_VALUE"""),44918.732701712965)</f>
        <v>44918.7327</v>
      </c>
      <c r="H1761" s="85" t="str">
        <f>IFERROR(__xludf.DUMMYFUNCTION("""COMPUTED_VALUE"""),"Closure Finale")</f>
        <v>Closure Finale</v>
      </c>
      <c r="I1761" s="4" t="str">
        <f>IFERROR(__xludf.DUMMYFUNCTION("""COMPUTED_VALUE""")," ")</f>
        <v> </v>
      </c>
    </row>
    <row r="1762">
      <c r="A1762" s="85">
        <f>IFERROR(__xludf.DUMMYFUNCTION("""COMPUTED_VALUE"""),44915.7271371875)</f>
        <v>44915.72714</v>
      </c>
      <c r="B1762" s="4"/>
      <c r="C1762" s="4"/>
      <c r="D1762" s="4"/>
      <c r="E1762" s="4"/>
      <c r="F1762" s="4"/>
      <c r="G1762" s="85">
        <f>IFERROR(__xludf.DUMMYFUNCTION("""COMPUTED_VALUE"""),44918.73519168981)</f>
        <v>44918.73519</v>
      </c>
      <c r="H1762" s="85" t="str">
        <f>IFERROR(__xludf.DUMMYFUNCTION("""COMPUTED_VALUE"""),"Closure Finale")</f>
        <v>Closure Finale</v>
      </c>
      <c r="I1762" s="4" t="str">
        <f>IFERROR(__xludf.DUMMYFUNCTION("""COMPUTED_VALUE""")," ")</f>
        <v> </v>
      </c>
    </row>
    <row r="1763">
      <c r="A1763" s="85">
        <f>IFERROR(__xludf.DUMMYFUNCTION("""COMPUTED_VALUE"""),44915.74354685185)</f>
        <v>44915.74355</v>
      </c>
      <c r="B1763" s="4"/>
      <c r="C1763" s="4"/>
      <c r="D1763" s="4"/>
      <c r="E1763" s="4"/>
      <c r="F1763" s="4"/>
      <c r="G1763" s="85">
        <f>IFERROR(__xludf.DUMMYFUNCTION("""COMPUTED_VALUE"""),44918.732701712965)</f>
        <v>44918.7327</v>
      </c>
      <c r="H1763" s="85" t="str">
        <f>IFERROR(__xludf.DUMMYFUNCTION("""COMPUTED_VALUE"""),"Closure Finale")</f>
        <v>Closure Finale</v>
      </c>
      <c r="I1763" s="4" t="str">
        <f>IFERROR(__xludf.DUMMYFUNCTION("""COMPUTED_VALUE""")," ")</f>
        <v> </v>
      </c>
    </row>
    <row r="1764">
      <c r="A1764" s="85">
        <f>IFERROR(__xludf.DUMMYFUNCTION("""COMPUTED_VALUE"""),44915.75439134259)</f>
        <v>44915.75439</v>
      </c>
      <c r="B1764" s="4"/>
      <c r="C1764" s="4"/>
      <c r="D1764" s="4"/>
      <c r="E1764" s="4"/>
      <c r="F1764" s="4"/>
      <c r="G1764" s="85">
        <f>IFERROR(__xludf.DUMMYFUNCTION("""COMPUTED_VALUE"""),44918.732701712965)</f>
        <v>44918.7327</v>
      </c>
      <c r="H1764" s="85" t="str">
        <f>IFERROR(__xludf.DUMMYFUNCTION("""COMPUTED_VALUE"""),"Closure Finale")</f>
        <v>Closure Finale</v>
      </c>
      <c r="I1764" s="4" t="str">
        <f>IFERROR(__xludf.DUMMYFUNCTION("""COMPUTED_VALUE""")," ")</f>
        <v> </v>
      </c>
    </row>
    <row r="1765">
      <c r="A1765" s="85"/>
      <c r="G1765" s="85"/>
      <c r="H1765" s="85"/>
    </row>
    <row r="1766">
      <c r="A1766" s="85"/>
      <c r="G1766" s="85"/>
      <c r="H1766" s="85"/>
    </row>
    <row r="1767">
      <c r="A1767" s="85"/>
      <c r="G1767" s="85"/>
      <c r="H1767" s="85"/>
    </row>
    <row r="1768">
      <c r="A1768" s="85"/>
      <c r="G1768" s="85"/>
      <c r="H1768" s="85"/>
    </row>
    <row r="1769">
      <c r="A1769" s="85"/>
      <c r="G1769" s="85"/>
      <c r="H1769" s="85"/>
    </row>
    <row r="1770">
      <c r="A1770" s="85"/>
      <c r="G1770" s="85"/>
      <c r="H1770" s="85"/>
    </row>
    <row r="1771">
      <c r="A1771" s="85"/>
      <c r="G1771" s="85"/>
      <c r="H1771" s="85"/>
    </row>
    <row r="1772">
      <c r="A1772" s="85"/>
      <c r="G1772" s="85"/>
      <c r="H1772" s="85"/>
    </row>
    <row r="1773">
      <c r="A1773" s="85"/>
      <c r="G1773" s="85"/>
      <c r="H1773" s="85"/>
    </row>
    <row r="1774">
      <c r="A1774" s="85"/>
      <c r="G1774" s="85"/>
      <c r="H1774" s="85"/>
    </row>
    <row r="1775">
      <c r="A1775" s="85"/>
      <c r="G1775" s="85"/>
      <c r="H1775" s="85"/>
    </row>
    <row r="1776">
      <c r="A1776" s="85"/>
      <c r="G1776" s="85"/>
      <c r="H1776" s="85"/>
    </row>
    <row r="1777">
      <c r="A1777" s="85"/>
      <c r="G1777" s="85"/>
      <c r="H1777" s="85"/>
    </row>
    <row r="1778">
      <c r="A1778" s="85"/>
      <c r="G1778" s="85"/>
      <c r="H1778" s="85"/>
    </row>
    <row r="1779">
      <c r="A1779" s="85"/>
      <c r="G1779" s="85"/>
      <c r="H1779" s="85"/>
    </row>
    <row r="1780">
      <c r="A1780" s="85"/>
      <c r="G1780" s="85"/>
      <c r="H1780" s="85"/>
    </row>
    <row r="1781">
      <c r="A1781" s="85"/>
      <c r="G1781" s="85"/>
      <c r="H1781" s="85"/>
    </row>
    <row r="1782">
      <c r="A1782" s="85"/>
      <c r="G1782" s="85"/>
      <c r="H1782" s="85"/>
    </row>
    <row r="1783">
      <c r="A1783" s="85"/>
      <c r="G1783" s="85"/>
      <c r="H1783" s="85"/>
    </row>
    <row r="1784">
      <c r="A1784" s="85"/>
      <c r="G1784" s="85"/>
      <c r="H1784" s="85"/>
    </row>
    <row r="1785">
      <c r="A1785" s="85"/>
      <c r="G1785" s="85"/>
      <c r="H1785" s="85"/>
    </row>
    <row r="1786">
      <c r="A1786" s="85"/>
      <c r="G1786" s="85"/>
      <c r="H1786" s="85"/>
    </row>
    <row r="1787">
      <c r="A1787" s="85"/>
      <c r="G1787" s="85"/>
      <c r="H1787" s="85"/>
    </row>
    <row r="1788">
      <c r="A1788" s="85"/>
      <c r="G1788" s="85"/>
      <c r="H1788" s="85"/>
    </row>
    <row r="1789">
      <c r="A1789" s="85"/>
      <c r="G1789" s="85"/>
      <c r="H1789" s="85"/>
    </row>
    <row r="1790">
      <c r="A1790" s="85"/>
      <c r="G1790" s="85"/>
      <c r="H1790" s="85"/>
    </row>
    <row r="1791">
      <c r="A1791" s="85"/>
      <c r="G1791" s="85"/>
      <c r="H1791" s="85"/>
    </row>
    <row r="1792">
      <c r="A1792" s="85"/>
      <c r="G1792" s="85"/>
      <c r="H1792" s="85"/>
    </row>
    <row r="1793">
      <c r="A1793" s="85"/>
      <c r="G1793" s="85"/>
      <c r="H1793" s="85"/>
    </row>
    <row r="1794">
      <c r="A1794" s="85"/>
      <c r="G1794" s="85"/>
      <c r="H1794" s="85"/>
    </row>
    <row r="1795">
      <c r="A1795" s="85"/>
      <c r="G1795" s="85"/>
      <c r="H1795" s="85"/>
    </row>
    <row r="1796">
      <c r="A1796" s="85"/>
      <c r="G1796" s="85"/>
      <c r="H1796" s="85"/>
    </row>
    <row r="1797">
      <c r="A1797" s="85"/>
      <c r="G1797" s="85"/>
      <c r="H1797" s="85"/>
    </row>
    <row r="1798">
      <c r="A1798" s="85"/>
      <c r="G1798" s="85"/>
      <c r="H1798" s="85"/>
    </row>
    <row r="1799">
      <c r="A1799" s="85"/>
      <c r="G1799" s="85"/>
      <c r="H1799" s="85"/>
    </row>
    <row r="1800">
      <c r="A1800" s="85"/>
      <c r="G1800" s="85"/>
      <c r="H1800" s="85"/>
    </row>
    <row r="1801">
      <c r="A1801" s="85"/>
      <c r="G1801" s="85"/>
      <c r="H1801" s="85"/>
    </row>
    <row r="1802">
      <c r="A1802" s="85"/>
      <c r="G1802" s="85"/>
      <c r="H1802" s="85"/>
    </row>
    <row r="1803">
      <c r="A1803" s="85"/>
      <c r="G1803" s="85"/>
      <c r="H1803" s="85"/>
    </row>
    <row r="1804">
      <c r="A1804" s="85"/>
      <c r="G1804" s="85"/>
      <c r="H1804" s="85"/>
    </row>
    <row r="1805">
      <c r="A1805" s="85"/>
      <c r="G1805" s="85"/>
      <c r="H1805" s="85"/>
    </row>
    <row r="1806">
      <c r="A1806" s="85"/>
      <c r="G1806" s="85"/>
      <c r="H1806" s="85"/>
    </row>
    <row r="1807">
      <c r="A1807" s="85"/>
      <c r="G1807" s="85"/>
      <c r="H1807" s="85"/>
    </row>
    <row r="1808">
      <c r="A1808" s="85"/>
      <c r="G1808" s="85"/>
      <c r="H1808" s="85"/>
    </row>
    <row r="1809">
      <c r="A1809" s="85"/>
      <c r="G1809" s="85"/>
      <c r="H1809" s="85"/>
    </row>
    <row r="1810">
      <c r="A1810" s="85"/>
      <c r="G1810" s="85"/>
      <c r="H1810" s="85"/>
    </row>
    <row r="1811">
      <c r="A1811" s="85"/>
      <c r="G1811" s="85"/>
      <c r="H1811" s="85"/>
    </row>
    <row r="1812">
      <c r="A1812" s="85"/>
      <c r="G1812" s="85"/>
      <c r="H1812" s="85"/>
    </row>
    <row r="1813">
      <c r="A1813" s="85"/>
      <c r="G1813" s="85"/>
      <c r="H1813" s="85"/>
    </row>
    <row r="1814">
      <c r="A1814" s="85"/>
      <c r="G1814" s="85"/>
      <c r="H1814" s="85"/>
    </row>
    <row r="1815">
      <c r="A1815" s="85"/>
      <c r="G1815" s="85"/>
      <c r="H1815" s="85"/>
    </row>
    <row r="1816">
      <c r="A1816" s="85"/>
      <c r="G1816" s="85"/>
      <c r="H1816" s="85"/>
    </row>
    <row r="1817">
      <c r="A1817" s="85"/>
      <c r="G1817" s="85"/>
      <c r="H1817" s="85"/>
    </row>
    <row r="1818">
      <c r="A1818" s="85"/>
      <c r="G1818" s="85"/>
      <c r="H1818" s="85"/>
    </row>
    <row r="1819">
      <c r="A1819" s="85"/>
      <c r="G1819" s="85"/>
      <c r="H1819" s="85"/>
    </row>
    <row r="1820">
      <c r="A1820" s="85"/>
      <c r="G1820" s="85"/>
      <c r="H1820" s="85"/>
    </row>
    <row r="1821">
      <c r="A1821" s="85"/>
      <c r="G1821" s="85"/>
      <c r="H1821" s="85"/>
    </row>
    <row r="1822">
      <c r="A1822" s="85"/>
      <c r="G1822" s="85"/>
      <c r="H1822" s="85"/>
    </row>
    <row r="1823">
      <c r="A1823" s="85"/>
      <c r="G1823" s="85"/>
      <c r="H1823" s="85"/>
    </row>
    <row r="1824">
      <c r="A1824" s="85"/>
      <c r="G1824" s="85"/>
      <c r="H1824" s="85"/>
    </row>
    <row r="1825">
      <c r="A1825" s="85"/>
      <c r="G1825" s="85"/>
      <c r="H1825" s="85"/>
    </row>
    <row r="1826">
      <c r="A1826" s="85"/>
      <c r="G1826" s="85"/>
      <c r="H1826" s="85"/>
    </row>
    <row r="1827">
      <c r="A1827" s="85"/>
      <c r="G1827" s="85"/>
      <c r="H1827" s="85"/>
    </row>
    <row r="1828">
      <c r="A1828" s="85"/>
      <c r="G1828" s="85"/>
      <c r="H1828" s="85"/>
    </row>
    <row r="1829">
      <c r="A1829" s="85"/>
      <c r="G1829" s="85"/>
      <c r="H1829" s="85"/>
    </row>
    <row r="1830">
      <c r="A1830" s="85"/>
      <c r="G1830" s="85"/>
      <c r="H1830" s="85"/>
    </row>
    <row r="1831">
      <c r="A1831" s="85"/>
      <c r="G1831" s="85"/>
      <c r="H1831" s="85"/>
    </row>
    <row r="1832">
      <c r="A1832" s="85"/>
      <c r="G1832" s="85"/>
      <c r="H1832" s="85"/>
    </row>
    <row r="1833">
      <c r="A1833" s="85"/>
      <c r="G1833" s="85"/>
      <c r="H1833" s="85"/>
    </row>
    <row r="1834">
      <c r="A1834" s="85"/>
      <c r="G1834" s="85"/>
      <c r="H1834" s="85"/>
    </row>
    <row r="1835">
      <c r="A1835" s="85"/>
      <c r="G1835" s="85"/>
      <c r="H1835" s="85"/>
    </row>
    <row r="1836">
      <c r="A1836" s="85"/>
      <c r="G1836" s="85"/>
      <c r="H1836" s="85"/>
    </row>
    <row r="1837">
      <c r="A1837" s="85"/>
      <c r="G1837" s="85"/>
      <c r="H1837" s="85"/>
    </row>
    <row r="1838">
      <c r="A1838" s="85"/>
      <c r="G1838" s="85"/>
      <c r="H1838" s="85"/>
    </row>
    <row r="1839">
      <c r="A1839" s="85"/>
      <c r="G1839" s="85"/>
      <c r="H1839" s="85"/>
    </row>
    <row r="1840">
      <c r="A1840" s="85"/>
      <c r="G1840" s="85"/>
      <c r="H1840" s="85"/>
    </row>
    <row r="1841">
      <c r="A1841" s="85"/>
      <c r="G1841" s="85"/>
      <c r="H1841" s="85"/>
    </row>
    <row r="1842">
      <c r="A1842" s="85"/>
      <c r="G1842" s="85"/>
      <c r="H1842" s="85"/>
    </row>
    <row r="1843">
      <c r="A1843" s="85"/>
      <c r="G1843" s="85"/>
      <c r="H1843" s="85"/>
    </row>
    <row r="1844">
      <c r="A1844" s="85"/>
      <c r="G1844" s="85"/>
      <c r="H1844" s="85"/>
    </row>
    <row r="1845">
      <c r="A1845" s="85"/>
      <c r="G1845" s="85"/>
      <c r="H1845" s="85"/>
    </row>
    <row r="1846">
      <c r="A1846" s="85"/>
      <c r="G1846" s="85"/>
      <c r="H1846" s="85"/>
    </row>
    <row r="1847">
      <c r="A1847" s="85"/>
      <c r="G1847" s="85"/>
      <c r="H1847" s="85"/>
    </row>
    <row r="1848">
      <c r="A1848" s="85"/>
      <c r="G1848" s="85"/>
      <c r="H1848" s="85"/>
    </row>
    <row r="1849">
      <c r="A1849" s="85"/>
      <c r="G1849" s="85"/>
      <c r="H1849" s="85"/>
    </row>
    <row r="1850">
      <c r="A1850" s="85"/>
      <c r="G1850" s="85"/>
      <c r="H1850" s="85"/>
    </row>
    <row r="1851">
      <c r="A1851" s="85"/>
      <c r="G1851" s="85"/>
      <c r="H1851" s="85"/>
    </row>
    <row r="1852">
      <c r="A1852" s="85"/>
      <c r="G1852" s="85"/>
      <c r="H1852" s="85"/>
    </row>
    <row r="1853">
      <c r="A1853" s="85"/>
      <c r="G1853" s="85"/>
      <c r="H1853" s="85"/>
    </row>
    <row r="1854">
      <c r="A1854" s="85"/>
      <c r="G1854" s="85"/>
      <c r="H1854" s="85"/>
    </row>
    <row r="1855">
      <c r="A1855" s="85"/>
      <c r="G1855" s="85"/>
      <c r="H1855" s="85"/>
    </row>
    <row r="1856">
      <c r="A1856" s="85"/>
      <c r="G1856" s="85"/>
      <c r="H1856" s="85"/>
    </row>
    <row r="1857">
      <c r="A1857" s="85"/>
      <c r="G1857" s="85"/>
      <c r="H1857" s="85"/>
    </row>
    <row r="1858">
      <c r="A1858" s="85"/>
      <c r="G1858" s="85"/>
      <c r="H1858" s="85"/>
    </row>
    <row r="1859">
      <c r="A1859" s="85"/>
      <c r="G1859" s="85"/>
      <c r="H1859" s="85"/>
    </row>
    <row r="1860">
      <c r="A1860" s="85"/>
      <c r="G1860" s="85"/>
      <c r="H1860" s="85"/>
    </row>
    <row r="1861">
      <c r="A1861" s="85"/>
      <c r="G1861" s="85"/>
      <c r="H1861" s="85"/>
    </row>
    <row r="1862">
      <c r="A1862" s="85"/>
      <c r="G1862" s="85"/>
      <c r="H1862" s="85"/>
    </row>
    <row r="1863">
      <c r="A1863" s="85"/>
      <c r="G1863" s="85"/>
      <c r="H1863" s="85"/>
    </row>
    <row r="1864">
      <c r="A1864" s="85"/>
      <c r="G1864" s="85"/>
      <c r="H1864" s="85"/>
    </row>
    <row r="1865">
      <c r="A1865" s="85"/>
      <c r="G1865" s="85"/>
      <c r="H1865" s="85"/>
    </row>
    <row r="1866">
      <c r="A1866" s="85"/>
      <c r="G1866" s="85"/>
      <c r="H1866" s="85"/>
    </row>
    <row r="1867">
      <c r="A1867" s="85"/>
      <c r="G1867" s="85"/>
      <c r="H1867" s="85"/>
    </row>
    <row r="1868">
      <c r="A1868" s="85"/>
      <c r="G1868" s="85"/>
      <c r="H1868" s="85"/>
    </row>
    <row r="1869">
      <c r="A1869" s="85"/>
      <c r="G1869" s="85"/>
      <c r="H1869" s="85"/>
    </row>
    <row r="1870">
      <c r="A1870" s="85"/>
      <c r="G1870" s="85"/>
      <c r="H1870" s="85"/>
    </row>
    <row r="1871">
      <c r="A1871" s="85"/>
      <c r="G1871" s="85"/>
      <c r="H1871" s="85"/>
    </row>
    <row r="1872">
      <c r="A1872" s="85"/>
      <c r="G1872" s="85"/>
      <c r="H1872" s="85"/>
    </row>
    <row r="1873">
      <c r="A1873" s="85"/>
      <c r="G1873" s="85"/>
      <c r="H1873" s="85"/>
    </row>
    <row r="1874">
      <c r="A1874" s="85"/>
      <c r="G1874" s="85"/>
      <c r="H1874" s="85"/>
    </row>
    <row r="1875">
      <c r="A1875" s="85"/>
      <c r="G1875" s="85"/>
      <c r="H1875" s="85"/>
    </row>
    <row r="1876">
      <c r="A1876" s="85"/>
      <c r="G1876" s="85"/>
      <c r="H1876" s="85"/>
    </row>
    <row r="1877">
      <c r="A1877" s="85"/>
      <c r="G1877" s="85"/>
      <c r="H1877" s="85"/>
    </row>
    <row r="1878">
      <c r="A1878" s="85"/>
      <c r="G1878" s="85"/>
      <c r="H1878" s="85"/>
    </row>
    <row r="1879">
      <c r="A1879" s="85"/>
      <c r="G1879" s="85"/>
      <c r="H1879" s="85"/>
    </row>
    <row r="1880">
      <c r="A1880" s="85"/>
      <c r="G1880" s="85"/>
      <c r="H1880" s="85"/>
    </row>
    <row r="1881">
      <c r="A1881" s="85"/>
      <c r="G1881" s="85"/>
      <c r="H1881" s="85"/>
    </row>
    <row r="1882">
      <c r="A1882" s="85"/>
      <c r="G1882" s="85"/>
      <c r="H1882" s="85"/>
    </row>
    <row r="1883">
      <c r="A1883" s="85"/>
      <c r="G1883" s="85"/>
      <c r="H1883" s="85"/>
    </row>
    <row r="1884">
      <c r="A1884" s="85"/>
      <c r="G1884" s="85"/>
      <c r="H1884" s="85"/>
    </row>
    <row r="1885">
      <c r="A1885" s="85"/>
      <c r="G1885" s="85"/>
      <c r="H1885" s="85"/>
    </row>
    <row r="1886">
      <c r="A1886" s="85"/>
      <c r="G1886" s="85"/>
      <c r="H1886" s="85"/>
    </row>
    <row r="1887">
      <c r="A1887" s="85"/>
      <c r="G1887" s="85"/>
      <c r="H1887" s="85"/>
    </row>
    <row r="1888">
      <c r="A1888" s="85"/>
      <c r="G1888" s="85"/>
      <c r="H1888" s="85"/>
    </row>
    <row r="1889">
      <c r="A1889" s="85"/>
      <c r="G1889" s="85"/>
      <c r="H1889" s="85"/>
    </row>
    <row r="1890">
      <c r="A1890" s="85"/>
      <c r="G1890" s="85"/>
      <c r="H1890" s="85"/>
    </row>
    <row r="1891">
      <c r="A1891" s="85"/>
      <c r="G1891" s="85"/>
      <c r="H1891" s="85"/>
    </row>
    <row r="1892">
      <c r="A1892" s="85"/>
      <c r="G1892" s="85"/>
      <c r="H1892" s="85"/>
    </row>
    <row r="1893">
      <c r="A1893" s="85"/>
      <c r="G1893" s="85"/>
      <c r="H1893" s="85"/>
    </row>
    <row r="1894">
      <c r="A1894" s="85"/>
      <c r="G1894" s="85"/>
      <c r="H1894" s="85"/>
    </row>
    <row r="1895">
      <c r="A1895" s="85"/>
      <c r="G1895" s="85"/>
      <c r="H1895" s="85"/>
    </row>
    <row r="1896">
      <c r="A1896" s="85"/>
      <c r="G1896" s="85"/>
      <c r="H1896" s="85"/>
    </row>
    <row r="1897">
      <c r="A1897" s="85"/>
      <c r="G1897" s="85"/>
      <c r="H1897" s="85"/>
    </row>
    <row r="1898">
      <c r="A1898" s="85"/>
      <c r="G1898" s="85"/>
      <c r="H1898" s="85"/>
    </row>
    <row r="1899">
      <c r="A1899" s="85"/>
      <c r="G1899" s="85"/>
      <c r="H1899" s="85"/>
    </row>
    <row r="1900">
      <c r="A1900" s="85"/>
      <c r="G1900" s="85"/>
      <c r="H1900" s="85"/>
    </row>
    <row r="1901">
      <c r="A1901" s="85"/>
      <c r="G1901" s="85"/>
      <c r="H1901" s="85"/>
    </row>
    <row r="1902">
      <c r="A1902" s="85"/>
      <c r="G1902" s="85"/>
      <c r="H1902" s="85"/>
    </row>
    <row r="1903">
      <c r="A1903" s="85"/>
      <c r="G1903" s="85"/>
      <c r="H1903" s="85"/>
    </row>
    <row r="1904">
      <c r="A1904" s="85"/>
      <c r="G1904" s="85"/>
      <c r="H1904" s="85"/>
    </row>
    <row r="1905">
      <c r="A1905" s="85"/>
      <c r="G1905" s="85"/>
      <c r="H1905" s="85"/>
    </row>
    <row r="1906">
      <c r="A1906" s="85"/>
      <c r="G1906" s="85"/>
      <c r="H1906" s="85"/>
    </row>
    <row r="1907">
      <c r="A1907" s="85"/>
      <c r="G1907" s="85"/>
      <c r="H1907" s="85"/>
    </row>
    <row r="1908">
      <c r="A1908" s="85"/>
      <c r="G1908" s="85"/>
      <c r="H1908" s="85"/>
    </row>
    <row r="1909">
      <c r="A1909" s="85"/>
      <c r="G1909" s="85"/>
      <c r="H1909" s="85"/>
    </row>
    <row r="1910">
      <c r="A1910" s="85"/>
      <c r="G1910" s="85"/>
      <c r="H1910" s="85"/>
    </row>
    <row r="1911">
      <c r="A1911" s="85"/>
      <c r="G1911" s="85"/>
      <c r="H1911" s="85"/>
    </row>
    <row r="1912">
      <c r="A1912" s="85"/>
      <c r="G1912" s="85"/>
      <c r="H1912" s="85"/>
    </row>
    <row r="1913">
      <c r="A1913" s="85"/>
      <c r="G1913" s="85"/>
      <c r="H1913" s="85"/>
    </row>
    <row r="1914">
      <c r="A1914" s="85"/>
      <c r="G1914" s="85"/>
      <c r="H1914" s="85"/>
    </row>
    <row r="1915">
      <c r="A1915" s="85"/>
      <c r="G1915" s="85"/>
      <c r="H1915" s="85"/>
    </row>
    <row r="1916">
      <c r="A1916" s="85"/>
      <c r="G1916" s="85"/>
      <c r="H1916" s="85"/>
    </row>
    <row r="1917">
      <c r="A1917" s="85"/>
      <c r="G1917" s="85"/>
      <c r="H1917" s="85"/>
    </row>
    <row r="1918">
      <c r="A1918" s="85"/>
      <c r="G1918" s="85"/>
      <c r="H1918" s="85"/>
    </row>
    <row r="1919">
      <c r="A1919" s="85"/>
      <c r="G1919" s="85"/>
      <c r="H1919" s="85"/>
    </row>
    <row r="1920">
      <c r="A1920" s="85"/>
      <c r="G1920" s="85"/>
      <c r="H1920" s="85"/>
    </row>
    <row r="1921">
      <c r="A1921" s="85"/>
      <c r="G1921" s="85"/>
      <c r="H1921" s="85"/>
    </row>
    <row r="1922">
      <c r="A1922" s="85"/>
      <c r="G1922" s="85"/>
      <c r="H1922" s="85"/>
    </row>
    <row r="1923">
      <c r="A1923" s="85"/>
      <c r="G1923" s="85"/>
      <c r="H1923" s="85"/>
    </row>
    <row r="1924">
      <c r="A1924" s="85"/>
      <c r="G1924" s="85"/>
      <c r="H1924" s="85"/>
    </row>
    <row r="1925">
      <c r="A1925" s="85"/>
      <c r="G1925" s="85"/>
      <c r="H1925" s="85"/>
    </row>
    <row r="1926">
      <c r="A1926" s="85"/>
      <c r="G1926" s="85"/>
      <c r="H1926" s="85"/>
    </row>
    <row r="1927">
      <c r="A1927" s="85"/>
      <c r="G1927" s="85"/>
      <c r="H1927" s="85"/>
    </row>
    <row r="1928">
      <c r="A1928" s="85"/>
      <c r="G1928" s="85"/>
      <c r="H1928" s="85"/>
    </row>
    <row r="1929">
      <c r="A1929" s="85"/>
      <c r="G1929" s="85"/>
      <c r="H1929" s="85"/>
    </row>
    <row r="1930">
      <c r="A1930" s="85"/>
      <c r="G1930" s="85"/>
      <c r="H1930" s="85"/>
    </row>
    <row r="1931">
      <c r="A1931" s="85"/>
      <c r="G1931" s="85"/>
      <c r="H1931" s="85"/>
    </row>
    <row r="1932">
      <c r="A1932" s="85"/>
      <c r="G1932" s="85"/>
      <c r="H1932" s="85"/>
    </row>
    <row r="1933">
      <c r="A1933" s="85"/>
      <c r="G1933" s="85"/>
      <c r="H1933" s="85"/>
    </row>
    <row r="1934">
      <c r="A1934" s="85"/>
      <c r="G1934" s="85"/>
      <c r="H1934" s="85"/>
    </row>
    <row r="1935">
      <c r="A1935" s="85"/>
      <c r="G1935" s="85"/>
      <c r="H1935" s="85"/>
    </row>
    <row r="1936">
      <c r="A1936" s="85"/>
      <c r="G1936" s="85"/>
      <c r="H1936" s="85"/>
    </row>
    <row r="1937">
      <c r="A1937" s="85"/>
      <c r="G1937" s="85"/>
      <c r="H1937" s="85"/>
    </row>
    <row r="1938">
      <c r="A1938" s="85"/>
      <c r="G1938" s="85"/>
      <c r="H1938" s="85"/>
    </row>
    <row r="1939">
      <c r="A1939" s="85"/>
      <c r="G1939" s="85"/>
      <c r="H1939" s="85"/>
    </row>
    <row r="1940">
      <c r="A1940" s="85"/>
      <c r="G1940" s="85"/>
      <c r="H1940" s="85"/>
    </row>
    <row r="1941">
      <c r="A1941" s="85"/>
      <c r="G1941" s="85"/>
      <c r="H1941" s="85"/>
    </row>
    <row r="1942">
      <c r="A1942" s="85"/>
      <c r="G1942" s="85"/>
      <c r="H1942" s="85"/>
    </row>
    <row r="1943">
      <c r="A1943" s="85"/>
      <c r="G1943" s="85"/>
      <c r="H1943" s="85"/>
    </row>
    <row r="1944">
      <c r="A1944" s="85"/>
      <c r="G1944" s="85"/>
      <c r="H1944" s="85"/>
    </row>
    <row r="1945">
      <c r="A1945" s="85"/>
      <c r="G1945" s="85"/>
      <c r="H1945" s="85"/>
    </row>
    <row r="1946">
      <c r="A1946" s="85"/>
      <c r="G1946" s="85"/>
      <c r="H1946" s="85"/>
    </row>
    <row r="1947">
      <c r="A1947" s="85"/>
      <c r="G1947" s="85"/>
      <c r="H1947" s="85"/>
    </row>
    <row r="1948">
      <c r="A1948" s="85"/>
      <c r="G1948" s="85"/>
      <c r="H1948" s="85"/>
    </row>
    <row r="1949">
      <c r="A1949" s="85"/>
      <c r="G1949" s="85"/>
      <c r="H1949" s="85"/>
    </row>
    <row r="1950">
      <c r="A1950" s="85"/>
      <c r="G1950" s="85"/>
      <c r="H1950" s="85"/>
    </row>
    <row r="1951">
      <c r="A1951" s="85"/>
      <c r="G1951" s="85"/>
      <c r="H1951" s="85"/>
    </row>
    <row r="1952">
      <c r="A1952" s="85"/>
      <c r="G1952" s="85"/>
      <c r="H1952" s="85"/>
    </row>
    <row r="1953">
      <c r="A1953" s="85"/>
      <c r="G1953" s="85"/>
      <c r="H1953" s="85"/>
    </row>
    <row r="1954">
      <c r="A1954" s="85"/>
      <c r="G1954" s="85"/>
      <c r="H1954" s="85"/>
    </row>
    <row r="1955">
      <c r="A1955" s="85"/>
      <c r="G1955" s="85"/>
      <c r="H1955" s="85"/>
    </row>
    <row r="1956">
      <c r="A1956" s="85"/>
      <c r="G1956" s="85"/>
      <c r="H1956" s="85"/>
    </row>
    <row r="1957">
      <c r="A1957" s="85"/>
      <c r="G1957" s="85"/>
      <c r="H1957" s="85"/>
    </row>
    <row r="1958">
      <c r="A1958" s="85"/>
      <c r="G1958" s="85"/>
      <c r="H1958" s="85"/>
    </row>
    <row r="1959">
      <c r="A1959" s="85"/>
      <c r="G1959" s="85"/>
      <c r="H1959" s="85"/>
    </row>
    <row r="1960">
      <c r="A1960" s="85"/>
      <c r="G1960" s="85"/>
      <c r="H1960" s="85"/>
    </row>
    <row r="1961">
      <c r="A1961" s="85"/>
      <c r="G1961" s="85"/>
      <c r="H1961" s="85"/>
    </row>
    <row r="1962">
      <c r="A1962" s="85"/>
      <c r="G1962" s="85"/>
      <c r="H1962" s="85"/>
    </row>
    <row r="1963">
      <c r="A1963" s="85"/>
      <c r="G1963" s="85"/>
      <c r="H1963" s="85"/>
    </row>
    <row r="1964">
      <c r="A1964" s="85"/>
      <c r="G1964" s="85"/>
      <c r="H1964" s="85"/>
    </row>
    <row r="1965">
      <c r="A1965" s="85"/>
      <c r="G1965" s="85"/>
      <c r="H1965" s="85"/>
    </row>
    <row r="1966">
      <c r="A1966" s="85"/>
      <c r="G1966" s="85"/>
      <c r="H1966" s="85"/>
    </row>
    <row r="1967">
      <c r="A1967" s="85"/>
      <c r="G1967" s="85"/>
      <c r="H1967" s="85"/>
    </row>
    <row r="1968">
      <c r="A1968" s="85"/>
      <c r="G1968" s="85"/>
      <c r="H1968" s="85"/>
    </row>
    <row r="1969">
      <c r="A1969" s="85"/>
      <c r="G1969" s="85"/>
      <c r="H1969" s="85"/>
    </row>
    <row r="1970">
      <c r="A1970" s="85"/>
      <c r="G1970" s="85"/>
      <c r="H1970" s="85"/>
    </row>
    <row r="1971">
      <c r="A1971" s="85"/>
      <c r="G1971" s="85"/>
      <c r="H1971" s="85"/>
    </row>
    <row r="1972">
      <c r="A1972" s="85"/>
      <c r="G1972" s="85"/>
      <c r="H1972" s="85"/>
    </row>
    <row r="1973">
      <c r="A1973" s="85"/>
      <c r="G1973" s="85"/>
      <c r="H1973" s="85"/>
    </row>
    <row r="1974">
      <c r="A1974" s="85"/>
      <c r="G1974" s="85"/>
      <c r="H1974" s="85"/>
    </row>
    <row r="1975">
      <c r="A1975" s="85"/>
      <c r="G1975" s="85"/>
      <c r="H1975" s="85"/>
    </row>
    <row r="1976">
      <c r="A1976" s="85"/>
      <c r="G1976" s="85"/>
      <c r="H1976" s="85"/>
    </row>
    <row r="1977">
      <c r="A1977" s="85"/>
      <c r="G1977" s="85"/>
      <c r="H1977" s="85"/>
    </row>
    <row r="1978">
      <c r="A1978" s="85"/>
      <c r="G1978" s="85"/>
      <c r="H1978" s="85"/>
    </row>
    <row r="1979">
      <c r="A1979" s="85"/>
      <c r="G1979" s="85"/>
      <c r="H1979" s="85"/>
    </row>
    <row r="1980">
      <c r="A1980" s="85"/>
      <c r="G1980" s="85"/>
      <c r="H1980" s="85"/>
    </row>
    <row r="1981">
      <c r="A1981" s="85"/>
      <c r="G1981" s="85"/>
      <c r="H1981" s="85"/>
    </row>
    <row r="1982">
      <c r="A1982" s="85"/>
      <c r="G1982" s="85"/>
      <c r="H1982" s="85"/>
    </row>
    <row r="1983">
      <c r="A1983" s="85"/>
      <c r="G1983" s="85"/>
      <c r="H1983" s="85"/>
    </row>
    <row r="1984">
      <c r="A1984" s="85"/>
      <c r="G1984" s="85"/>
      <c r="H1984" s="85"/>
    </row>
    <row r="1985">
      <c r="A1985" s="85"/>
      <c r="G1985" s="85"/>
      <c r="H1985" s="85"/>
    </row>
    <row r="1986">
      <c r="A1986" s="85"/>
      <c r="G1986" s="85"/>
      <c r="H1986" s="85"/>
    </row>
    <row r="1987">
      <c r="A1987" s="85"/>
      <c r="G1987" s="85"/>
      <c r="H1987" s="85"/>
    </row>
    <row r="1988">
      <c r="A1988" s="85"/>
      <c r="G1988" s="85"/>
      <c r="H1988" s="85"/>
    </row>
    <row r="1989">
      <c r="A1989" s="85"/>
      <c r="G1989" s="85"/>
      <c r="H1989" s="85"/>
    </row>
    <row r="1990">
      <c r="A1990" s="85"/>
      <c r="G1990" s="85"/>
      <c r="H1990" s="85"/>
    </row>
    <row r="1991">
      <c r="A1991" s="85"/>
      <c r="G1991" s="85"/>
      <c r="H1991" s="85"/>
    </row>
    <row r="1992">
      <c r="A1992" s="85"/>
      <c r="G1992" s="85"/>
      <c r="H1992" s="85"/>
    </row>
    <row r="1993">
      <c r="A1993" s="85"/>
      <c r="G1993" s="85"/>
      <c r="H1993" s="85"/>
    </row>
    <row r="1994">
      <c r="A1994" s="85"/>
      <c r="G1994" s="85"/>
      <c r="H1994" s="85"/>
    </row>
    <row r="1995">
      <c r="A1995" s="85"/>
      <c r="G1995" s="85"/>
      <c r="H1995" s="85"/>
    </row>
    <row r="1996">
      <c r="A1996" s="85"/>
      <c r="G1996" s="85"/>
      <c r="H1996" s="85"/>
    </row>
    <row r="1997">
      <c r="A1997" s="85"/>
      <c r="G1997" s="85"/>
      <c r="H1997" s="85"/>
    </row>
    <row r="1998">
      <c r="A1998" s="85"/>
      <c r="G1998" s="85"/>
      <c r="H1998" s="85"/>
    </row>
    <row r="1999">
      <c r="A1999" s="85"/>
      <c r="G1999" s="85"/>
      <c r="H1999" s="85"/>
    </row>
    <row r="2000">
      <c r="A2000" s="85"/>
      <c r="G2000" s="85"/>
      <c r="H2000" s="85"/>
    </row>
    <row r="2001">
      <c r="A2001" s="85"/>
      <c r="G2001" s="85"/>
      <c r="H2001" s="85"/>
    </row>
    <row r="2002">
      <c r="A2002" s="85"/>
      <c r="G2002" s="85"/>
      <c r="H2002" s="85"/>
    </row>
    <row r="2003">
      <c r="A2003" s="85"/>
      <c r="G2003" s="85"/>
      <c r="H2003" s="85"/>
    </row>
    <row r="2004">
      <c r="A2004" s="85"/>
      <c r="G2004" s="85"/>
      <c r="H2004" s="85"/>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2760</v>
      </c>
      <c r="B1" s="6" t="s">
        <v>2703</v>
      </c>
      <c r="C1" s="6" t="s">
        <v>2767</v>
      </c>
      <c r="D1" s="6" t="s">
        <v>2768</v>
      </c>
      <c r="E1" s="6" t="s">
        <v>2769</v>
      </c>
      <c r="F1" s="6" t="s">
        <v>2770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45.75"/>
  </cols>
  <sheetData>
    <row r="1">
      <c r="A1" s="101">
        <v>44711.0</v>
      </c>
      <c r="B1" s="6" t="s">
        <v>2771</v>
      </c>
    </row>
    <row r="2">
      <c r="A2" s="101">
        <f t="shared" ref="A2:A87" si="1">A1+7</f>
        <v>44718</v>
      </c>
    </row>
    <row r="3">
      <c r="A3" s="101">
        <f t="shared" si="1"/>
        <v>44725</v>
      </c>
    </row>
    <row r="4">
      <c r="A4" s="101">
        <f t="shared" si="1"/>
        <v>44732</v>
      </c>
    </row>
    <row r="5">
      <c r="A5" s="101">
        <f t="shared" si="1"/>
        <v>44739</v>
      </c>
    </row>
    <row r="6" ht="13.5" customHeight="1">
      <c r="A6" s="101">
        <f t="shared" si="1"/>
        <v>44746</v>
      </c>
    </row>
    <row r="7">
      <c r="A7" s="101">
        <f t="shared" si="1"/>
        <v>44753</v>
      </c>
    </row>
    <row r="8">
      <c r="A8" s="101">
        <f t="shared" si="1"/>
        <v>44760</v>
      </c>
    </row>
    <row r="9">
      <c r="A9" s="101">
        <f t="shared" si="1"/>
        <v>44767</v>
      </c>
    </row>
    <row r="10">
      <c r="A10" s="101">
        <f t="shared" si="1"/>
        <v>44774</v>
      </c>
    </row>
    <row r="11">
      <c r="A11" s="101">
        <f t="shared" si="1"/>
        <v>44781</v>
      </c>
    </row>
    <row r="12">
      <c r="A12" s="101">
        <f t="shared" si="1"/>
        <v>44788</v>
      </c>
    </row>
    <row r="13">
      <c r="A13" s="101">
        <f t="shared" si="1"/>
        <v>44795</v>
      </c>
    </row>
    <row r="14">
      <c r="A14" s="101">
        <f t="shared" si="1"/>
        <v>44802</v>
      </c>
    </row>
    <row r="15">
      <c r="A15" s="101">
        <f t="shared" si="1"/>
        <v>44809</v>
      </c>
    </row>
    <row r="16">
      <c r="A16" s="101">
        <f t="shared" si="1"/>
        <v>44816</v>
      </c>
    </row>
    <row r="17">
      <c r="A17" s="101">
        <f t="shared" si="1"/>
        <v>44823</v>
      </c>
    </row>
    <row r="18">
      <c r="A18" s="101">
        <f t="shared" si="1"/>
        <v>44830</v>
      </c>
    </row>
    <row r="19">
      <c r="A19" s="101">
        <f t="shared" si="1"/>
        <v>44837</v>
      </c>
    </row>
    <row r="20">
      <c r="A20" s="101">
        <f t="shared" si="1"/>
        <v>44844</v>
      </c>
    </row>
    <row r="21">
      <c r="A21" s="101">
        <f t="shared" si="1"/>
        <v>44851</v>
      </c>
    </row>
    <row r="22">
      <c r="A22" s="101">
        <f t="shared" si="1"/>
        <v>44858</v>
      </c>
    </row>
    <row r="23">
      <c r="A23" s="101">
        <f t="shared" si="1"/>
        <v>44865</v>
      </c>
    </row>
    <row r="24">
      <c r="A24" s="101">
        <f t="shared" si="1"/>
        <v>44872</v>
      </c>
    </row>
    <row r="25">
      <c r="A25" s="101">
        <f t="shared" si="1"/>
        <v>44879</v>
      </c>
    </row>
    <row r="26">
      <c r="A26" s="101">
        <f t="shared" si="1"/>
        <v>44886</v>
      </c>
    </row>
    <row r="27">
      <c r="A27" s="101">
        <f t="shared" si="1"/>
        <v>44893</v>
      </c>
    </row>
    <row r="28">
      <c r="A28" s="101">
        <f t="shared" si="1"/>
        <v>44900</v>
      </c>
    </row>
    <row r="29">
      <c r="A29" s="101">
        <f t="shared" si="1"/>
        <v>44907</v>
      </c>
    </row>
    <row r="30">
      <c r="A30" s="101">
        <f t="shared" si="1"/>
        <v>44914</v>
      </c>
    </row>
    <row r="31">
      <c r="A31" s="101">
        <f t="shared" si="1"/>
        <v>44921</v>
      </c>
    </row>
    <row r="32">
      <c r="A32" s="101">
        <f t="shared" si="1"/>
        <v>44928</v>
      </c>
    </row>
    <row r="33">
      <c r="A33" s="101">
        <f t="shared" si="1"/>
        <v>44935</v>
      </c>
    </row>
    <row r="34">
      <c r="A34" s="101">
        <f t="shared" si="1"/>
        <v>44942</v>
      </c>
    </row>
    <row r="35">
      <c r="A35" s="101">
        <f t="shared" si="1"/>
        <v>44949</v>
      </c>
    </row>
    <row r="36">
      <c r="A36" s="101">
        <f t="shared" si="1"/>
        <v>44956</v>
      </c>
    </row>
    <row r="37">
      <c r="A37" s="101">
        <f t="shared" si="1"/>
        <v>44963</v>
      </c>
    </row>
    <row r="38">
      <c r="A38" s="101">
        <f t="shared" si="1"/>
        <v>44970</v>
      </c>
    </row>
    <row r="39">
      <c r="A39" s="101">
        <f t="shared" si="1"/>
        <v>44977</v>
      </c>
    </row>
    <row r="40">
      <c r="A40" s="101">
        <f t="shared" si="1"/>
        <v>44984</v>
      </c>
    </row>
    <row r="41">
      <c r="A41" s="101">
        <f t="shared" si="1"/>
        <v>44991</v>
      </c>
    </row>
    <row r="42">
      <c r="A42" s="101">
        <f t="shared" si="1"/>
        <v>44998</v>
      </c>
    </row>
    <row r="43">
      <c r="A43" s="101">
        <f t="shared" si="1"/>
        <v>45005</v>
      </c>
    </row>
    <row r="44">
      <c r="A44" s="101">
        <f t="shared" si="1"/>
        <v>45012</v>
      </c>
    </row>
    <row r="45">
      <c r="A45" s="101">
        <f t="shared" si="1"/>
        <v>45019</v>
      </c>
    </row>
    <row r="46">
      <c r="A46" s="101">
        <f t="shared" si="1"/>
        <v>45026</v>
      </c>
    </row>
    <row r="47">
      <c r="A47" s="101">
        <f t="shared" si="1"/>
        <v>45033</v>
      </c>
    </row>
    <row r="48">
      <c r="A48" s="101">
        <f t="shared" si="1"/>
        <v>45040</v>
      </c>
    </row>
    <row r="49">
      <c r="A49" s="101">
        <f t="shared" si="1"/>
        <v>45047</v>
      </c>
    </row>
    <row r="50">
      <c r="A50" s="101">
        <f t="shared" si="1"/>
        <v>45054</v>
      </c>
    </row>
    <row r="51">
      <c r="A51" s="101">
        <f t="shared" si="1"/>
        <v>45061</v>
      </c>
    </row>
    <row r="52">
      <c r="A52" s="101">
        <f t="shared" si="1"/>
        <v>45068</v>
      </c>
    </row>
    <row r="53">
      <c r="A53" s="101">
        <f t="shared" si="1"/>
        <v>45075</v>
      </c>
    </row>
    <row r="54">
      <c r="A54" s="101">
        <f t="shared" si="1"/>
        <v>45082</v>
      </c>
    </row>
    <row r="55">
      <c r="A55" s="101">
        <f t="shared" si="1"/>
        <v>45089</v>
      </c>
    </row>
    <row r="56">
      <c r="A56" s="101">
        <f t="shared" si="1"/>
        <v>45096</v>
      </c>
    </row>
    <row r="57">
      <c r="A57" s="101">
        <f t="shared" si="1"/>
        <v>45103</v>
      </c>
    </row>
    <row r="58">
      <c r="A58" s="101">
        <f t="shared" si="1"/>
        <v>45110</v>
      </c>
    </row>
    <row r="59">
      <c r="A59" s="101">
        <f t="shared" si="1"/>
        <v>45117</v>
      </c>
    </row>
    <row r="60">
      <c r="A60" s="101">
        <f t="shared" si="1"/>
        <v>45124</v>
      </c>
    </row>
    <row r="61">
      <c r="A61" s="101">
        <f t="shared" si="1"/>
        <v>45131</v>
      </c>
    </row>
    <row r="62">
      <c r="A62" s="101">
        <f t="shared" si="1"/>
        <v>45138</v>
      </c>
    </row>
    <row r="63">
      <c r="A63" s="101">
        <f t="shared" si="1"/>
        <v>45145</v>
      </c>
    </row>
    <row r="64">
      <c r="A64" s="101">
        <f t="shared" si="1"/>
        <v>45152</v>
      </c>
    </row>
    <row r="65">
      <c r="A65" s="101">
        <f t="shared" si="1"/>
        <v>45159</v>
      </c>
    </row>
    <row r="66">
      <c r="A66" s="101">
        <f t="shared" si="1"/>
        <v>45166</v>
      </c>
    </row>
    <row r="67">
      <c r="A67" s="101">
        <f t="shared" si="1"/>
        <v>45173</v>
      </c>
    </row>
    <row r="68">
      <c r="A68" s="101">
        <f t="shared" si="1"/>
        <v>45180</v>
      </c>
    </row>
    <row r="69">
      <c r="A69" s="101">
        <f t="shared" si="1"/>
        <v>45187</v>
      </c>
    </row>
    <row r="70">
      <c r="A70" s="101">
        <f t="shared" si="1"/>
        <v>45194</v>
      </c>
    </row>
    <row r="71">
      <c r="A71" s="101">
        <f t="shared" si="1"/>
        <v>45201</v>
      </c>
    </row>
    <row r="72">
      <c r="A72" s="101">
        <f t="shared" si="1"/>
        <v>45208</v>
      </c>
    </row>
    <row r="73">
      <c r="A73" s="101">
        <f t="shared" si="1"/>
        <v>45215</v>
      </c>
    </row>
    <row r="74">
      <c r="A74" s="101">
        <f t="shared" si="1"/>
        <v>45222</v>
      </c>
    </row>
    <row r="75">
      <c r="A75" s="101">
        <f t="shared" si="1"/>
        <v>45229</v>
      </c>
    </row>
    <row r="76">
      <c r="A76" s="101">
        <f t="shared" si="1"/>
        <v>45236</v>
      </c>
    </row>
    <row r="77">
      <c r="A77" s="101">
        <f t="shared" si="1"/>
        <v>45243</v>
      </c>
    </row>
    <row r="78">
      <c r="A78" s="101">
        <f t="shared" si="1"/>
        <v>45250</v>
      </c>
    </row>
    <row r="79">
      <c r="A79" s="101">
        <f t="shared" si="1"/>
        <v>45257</v>
      </c>
    </row>
    <row r="80">
      <c r="A80" s="101">
        <f t="shared" si="1"/>
        <v>45264</v>
      </c>
    </row>
    <row r="81">
      <c r="A81" s="101">
        <f t="shared" si="1"/>
        <v>45271</v>
      </c>
    </row>
    <row r="82">
      <c r="A82" s="101">
        <f t="shared" si="1"/>
        <v>45278</v>
      </c>
    </row>
    <row r="83">
      <c r="A83" s="101">
        <f t="shared" si="1"/>
        <v>45285</v>
      </c>
    </row>
    <row r="84">
      <c r="A84" s="101">
        <f t="shared" si="1"/>
        <v>45292</v>
      </c>
    </row>
    <row r="85">
      <c r="A85" s="101">
        <f t="shared" si="1"/>
        <v>45299</v>
      </c>
    </row>
    <row r="86">
      <c r="A86" s="101">
        <f t="shared" si="1"/>
        <v>45306</v>
      </c>
    </row>
    <row r="87">
      <c r="A87" s="101">
        <f t="shared" si="1"/>
        <v>45313</v>
      </c>
    </row>
    <row r="88">
      <c r="A88" s="56"/>
    </row>
    <row r="89">
      <c r="A89" s="56"/>
    </row>
    <row r="90">
      <c r="A90" s="56"/>
    </row>
    <row r="91">
      <c r="A91" s="56"/>
    </row>
    <row r="92">
      <c r="A92" s="56"/>
    </row>
    <row r="93">
      <c r="A93" s="56"/>
    </row>
    <row r="94">
      <c r="A94" s="56"/>
    </row>
    <row r="95">
      <c r="A95" s="56"/>
    </row>
    <row r="96">
      <c r="A96" s="56"/>
    </row>
    <row r="97">
      <c r="A97" s="56"/>
    </row>
    <row r="98">
      <c r="A98" s="56"/>
    </row>
    <row r="99">
      <c r="A99" s="56"/>
    </row>
    <row r="100">
      <c r="A100" s="56"/>
    </row>
    <row r="101">
      <c r="A101" s="56"/>
    </row>
    <row r="102">
      <c r="A102" s="56"/>
    </row>
    <row r="103">
      <c r="A103" s="56"/>
    </row>
    <row r="104">
      <c r="A104" s="56"/>
    </row>
    <row r="105">
      <c r="A105" s="56"/>
    </row>
    <row r="106">
      <c r="A106" s="56"/>
    </row>
    <row r="107">
      <c r="A107" s="56"/>
    </row>
    <row r="108">
      <c r="A108" s="56"/>
    </row>
    <row r="109">
      <c r="A109" s="56"/>
    </row>
    <row r="110">
      <c r="A110" s="56"/>
    </row>
    <row r="111">
      <c r="A111" s="56"/>
    </row>
    <row r="112">
      <c r="A112" s="56"/>
    </row>
    <row r="113">
      <c r="A113" s="56"/>
    </row>
    <row r="114">
      <c r="A114" s="56"/>
    </row>
    <row r="115">
      <c r="A115" s="56"/>
    </row>
    <row r="116">
      <c r="A116" s="56"/>
    </row>
    <row r="117">
      <c r="A117" s="56"/>
    </row>
    <row r="118">
      <c r="A118" s="56"/>
    </row>
    <row r="119">
      <c r="A119" s="56"/>
    </row>
    <row r="120">
      <c r="A120" s="56"/>
    </row>
    <row r="121">
      <c r="A121" s="56"/>
    </row>
    <row r="122">
      <c r="A122" s="56"/>
    </row>
    <row r="123">
      <c r="A123" s="56"/>
    </row>
    <row r="124">
      <c r="A124" s="56"/>
    </row>
    <row r="125">
      <c r="A125" s="56"/>
    </row>
    <row r="126">
      <c r="A126" s="56"/>
    </row>
    <row r="127">
      <c r="A127" s="56"/>
    </row>
    <row r="128">
      <c r="A128" s="56"/>
    </row>
    <row r="129">
      <c r="A129" s="56"/>
    </row>
    <row r="130">
      <c r="A130" s="56"/>
    </row>
    <row r="131">
      <c r="A131" s="56"/>
    </row>
    <row r="132">
      <c r="A132" s="56"/>
    </row>
    <row r="133">
      <c r="A133" s="56"/>
    </row>
    <row r="134">
      <c r="A134" s="56"/>
    </row>
    <row r="135">
      <c r="A135" s="56"/>
    </row>
    <row r="136">
      <c r="A136" s="56"/>
    </row>
    <row r="137">
      <c r="A137" s="56"/>
    </row>
    <row r="138">
      <c r="A138" s="56"/>
    </row>
    <row r="139">
      <c r="A139" s="56"/>
    </row>
    <row r="140">
      <c r="A140" s="56"/>
    </row>
    <row r="141">
      <c r="A141" s="56"/>
    </row>
    <row r="142">
      <c r="A142" s="56"/>
    </row>
    <row r="143">
      <c r="A143" s="56"/>
    </row>
    <row r="144">
      <c r="A144" s="56"/>
    </row>
    <row r="145">
      <c r="A145" s="56"/>
    </row>
    <row r="146">
      <c r="A146" s="56"/>
    </row>
    <row r="147">
      <c r="A147" s="56"/>
    </row>
    <row r="148">
      <c r="A148" s="56"/>
    </row>
    <row r="149">
      <c r="A149" s="56"/>
    </row>
    <row r="150">
      <c r="A150" s="56"/>
    </row>
    <row r="151">
      <c r="A151" s="56"/>
    </row>
    <row r="152">
      <c r="A152" s="56"/>
    </row>
    <row r="153">
      <c r="A153" s="56"/>
    </row>
    <row r="154">
      <c r="A154" s="56"/>
    </row>
    <row r="155">
      <c r="A155" s="56"/>
    </row>
    <row r="156">
      <c r="A156" s="56"/>
    </row>
    <row r="157">
      <c r="A157" s="56"/>
    </row>
    <row r="158">
      <c r="A158" s="56"/>
    </row>
    <row r="159">
      <c r="A159" s="56"/>
    </row>
    <row r="160">
      <c r="A160" s="56"/>
    </row>
    <row r="161">
      <c r="A161" s="56"/>
    </row>
    <row r="162">
      <c r="A162" s="56"/>
    </row>
    <row r="163">
      <c r="A163" s="56"/>
    </row>
    <row r="164">
      <c r="A164" s="56"/>
    </row>
    <row r="165">
      <c r="A165" s="56"/>
    </row>
    <row r="166">
      <c r="A166" s="56"/>
    </row>
    <row r="167">
      <c r="A167" s="56"/>
    </row>
    <row r="168">
      <c r="A168" s="56"/>
    </row>
    <row r="169">
      <c r="A169" s="56"/>
    </row>
    <row r="170">
      <c r="A170" s="56"/>
    </row>
    <row r="171">
      <c r="A171" s="56"/>
    </row>
    <row r="172">
      <c r="A172" s="56"/>
    </row>
    <row r="173">
      <c r="A173" s="56"/>
    </row>
    <row r="174">
      <c r="A174" s="56"/>
    </row>
    <row r="175">
      <c r="A175" s="56"/>
    </row>
    <row r="176">
      <c r="A176" s="56"/>
    </row>
    <row r="177">
      <c r="A177" s="56"/>
    </row>
    <row r="178">
      <c r="A178" s="56"/>
    </row>
    <row r="179">
      <c r="A179" s="56"/>
    </row>
    <row r="180">
      <c r="A180" s="56"/>
    </row>
    <row r="181">
      <c r="A181" s="56"/>
    </row>
    <row r="182">
      <c r="A182" s="56"/>
    </row>
    <row r="183">
      <c r="A183" s="56"/>
    </row>
    <row r="184">
      <c r="A184" s="56"/>
    </row>
    <row r="185">
      <c r="A185" s="56"/>
    </row>
    <row r="186">
      <c r="A186" s="56"/>
    </row>
    <row r="187">
      <c r="A187" s="56"/>
    </row>
    <row r="188">
      <c r="A188" s="56"/>
    </row>
    <row r="189">
      <c r="A189" s="56"/>
    </row>
    <row r="190">
      <c r="A190" s="56"/>
    </row>
    <row r="191">
      <c r="A191" s="56"/>
    </row>
    <row r="192">
      <c r="A192" s="56"/>
    </row>
    <row r="193">
      <c r="A193" s="56"/>
    </row>
    <row r="194">
      <c r="A194" s="56"/>
    </row>
    <row r="195">
      <c r="A195" s="56"/>
    </row>
    <row r="196">
      <c r="A196" s="56"/>
    </row>
    <row r="197">
      <c r="A197" s="56"/>
    </row>
    <row r="198">
      <c r="A198" s="56"/>
    </row>
    <row r="199">
      <c r="A199" s="56"/>
    </row>
    <row r="200">
      <c r="A200" s="56"/>
    </row>
    <row r="201">
      <c r="A201" s="56"/>
    </row>
    <row r="202">
      <c r="A202" s="56"/>
    </row>
    <row r="203">
      <c r="A203" s="56"/>
    </row>
    <row r="204">
      <c r="A204" s="56"/>
    </row>
    <row r="205">
      <c r="A205" s="56"/>
    </row>
    <row r="206">
      <c r="A206" s="56"/>
    </row>
    <row r="207">
      <c r="A207" s="56"/>
    </row>
    <row r="208">
      <c r="A208" s="56"/>
    </row>
    <row r="209">
      <c r="A209" s="56"/>
    </row>
    <row r="210">
      <c r="A210" s="56"/>
    </row>
    <row r="211">
      <c r="A211" s="56"/>
    </row>
    <row r="212">
      <c r="A212" s="56"/>
    </row>
    <row r="213">
      <c r="A213" s="56"/>
    </row>
    <row r="214">
      <c r="A214" s="56"/>
    </row>
    <row r="215">
      <c r="A215" s="56"/>
    </row>
    <row r="216">
      <c r="A216" s="56"/>
    </row>
    <row r="217">
      <c r="A217" s="56"/>
    </row>
    <row r="218">
      <c r="A218" s="56"/>
    </row>
    <row r="219">
      <c r="A219" s="56"/>
    </row>
    <row r="220">
      <c r="A220" s="56"/>
    </row>
    <row r="221">
      <c r="A221" s="56"/>
    </row>
    <row r="222">
      <c r="A222" s="56"/>
    </row>
    <row r="223">
      <c r="A223" s="56"/>
    </row>
    <row r="224">
      <c r="A224" s="56"/>
    </row>
    <row r="225">
      <c r="A225" s="56"/>
    </row>
    <row r="226">
      <c r="A226" s="56"/>
    </row>
    <row r="227">
      <c r="A227" s="56"/>
    </row>
    <row r="228">
      <c r="A228" s="56"/>
    </row>
    <row r="229">
      <c r="A229" s="56"/>
    </row>
    <row r="230">
      <c r="A230" s="56"/>
    </row>
    <row r="231">
      <c r="A231" s="56"/>
    </row>
    <row r="232">
      <c r="A232" s="56"/>
    </row>
    <row r="233">
      <c r="A233" s="56"/>
    </row>
    <row r="234">
      <c r="A234" s="56"/>
    </row>
    <row r="235">
      <c r="A235" s="56"/>
    </row>
    <row r="236">
      <c r="A236" s="56"/>
    </row>
    <row r="237">
      <c r="A237" s="56"/>
    </row>
    <row r="238">
      <c r="A238" s="56"/>
    </row>
    <row r="239">
      <c r="A239" s="56"/>
    </row>
    <row r="240">
      <c r="A240" s="56"/>
    </row>
    <row r="241">
      <c r="A241" s="56"/>
    </row>
    <row r="242">
      <c r="A242" s="56"/>
    </row>
    <row r="243">
      <c r="A243" s="56"/>
    </row>
    <row r="244">
      <c r="A244" s="56"/>
    </row>
    <row r="245">
      <c r="A245" s="56"/>
    </row>
    <row r="246">
      <c r="A246" s="56"/>
    </row>
    <row r="247">
      <c r="A247" s="56"/>
    </row>
    <row r="248">
      <c r="A248" s="56"/>
    </row>
    <row r="249">
      <c r="A249" s="56"/>
    </row>
    <row r="250">
      <c r="A250" s="56"/>
    </row>
    <row r="251">
      <c r="A251" s="56"/>
    </row>
    <row r="252">
      <c r="A252" s="56"/>
    </row>
    <row r="253">
      <c r="A253" s="56"/>
    </row>
    <row r="254">
      <c r="A254" s="56"/>
    </row>
    <row r="255">
      <c r="A255" s="56"/>
    </row>
    <row r="256">
      <c r="A256" s="56"/>
    </row>
    <row r="257">
      <c r="A257" s="56"/>
    </row>
    <row r="258">
      <c r="A258" s="56"/>
    </row>
    <row r="259">
      <c r="A259" s="56"/>
    </row>
    <row r="260">
      <c r="A260" s="56"/>
    </row>
    <row r="261">
      <c r="A261" s="56"/>
    </row>
    <row r="262">
      <c r="A262" s="56"/>
    </row>
    <row r="263">
      <c r="A263" s="56"/>
    </row>
    <row r="264">
      <c r="A264" s="56"/>
    </row>
    <row r="265">
      <c r="A265" s="56"/>
    </row>
    <row r="266">
      <c r="A266" s="56"/>
    </row>
    <row r="267">
      <c r="A267" s="56"/>
    </row>
    <row r="268">
      <c r="A268" s="56"/>
    </row>
    <row r="269">
      <c r="A269" s="56"/>
    </row>
    <row r="270">
      <c r="A270" s="56"/>
    </row>
    <row r="271">
      <c r="A271" s="56"/>
    </row>
    <row r="272">
      <c r="A272" s="56"/>
    </row>
    <row r="273">
      <c r="A273" s="56"/>
    </row>
    <row r="274">
      <c r="A274" s="56"/>
    </row>
    <row r="275">
      <c r="A275" s="56"/>
    </row>
    <row r="276">
      <c r="A276" s="56"/>
    </row>
    <row r="277">
      <c r="A277" s="56"/>
    </row>
    <row r="278">
      <c r="A278" s="56"/>
    </row>
    <row r="279">
      <c r="A279" s="56"/>
    </row>
    <row r="280">
      <c r="A280" s="56"/>
    </row>
    <row r="281">
      <c r="A281" s="56"/>
    </row>
    <row r="282">
      <c r="A282" s="56"/>
    </row>
    <row r="283">
      <c r="A283" s="56"/>
    </row>
    <row r="284">
      <c r="A284" s="56"/>
    </row>
    <row r="285">
      <c r="A285" s="56"/>
    </row>
    <row r="286">
      <c r="A286" s="56"/>
    </row>
    <row r="287">
      <c r="A287" s="56"/>
    </row>
    <row r="288">
      <c r="A288" s="56"/>
    </row>
    <row r="289">
      <c r="A289" s="56"/>
    </row>
    <row r="290">
      <c r="A290" s="56"/>
    </row>
    <row r="291">
      <c r="A291" s="56"/>
    </row>
    <row r="292">
      <c r="A292" s="56"/>
    </row>
    <row r="293">
      <c r="A293" s="56"/>
    </row>
    <row r="294">
      <c r="A294" s="56"/>
    </row>
    <row r="295">
      <c r="A295" s="56"/>
    </row>
    <row r="296">
      <c r="A296" s="56"/>
    </row>
    <row r="297">
      <c r="A297" s="56"/>
    </row>
    <row r="298">
      <c r="A298" s="56"/>
    </row>
    <row r="299">
      <c r="A299" s="56"/>
    </row>
    <row r="300">
      <c r="A300" s="56"/>
    </row>
    <row r="301">
      <c r="A301" s="56"/>
    </row>
    <row r="302">
      <c r="A302" s="56"/>
    </row>
    <row r="303">
      <c r="A303" s="56"/>
    </row>
    <row r="304">
      <c r="A304" s="56"/>
    </row>
    <row r="305">
      <c r="A305" s="56"/>
    </row>
    <row r="306">
      <c r="A306" s="56"/>
    </row>
    <row r="307">
      <c r="A307" s="56"/>
    </row>
    <row r="308">
      <c r="A308" s="56"/>
    </row>
    <row r="309">
      <c r="A309" s="56"/>
    </row>
    <row r="310">
      <c r="A310" s="56"/>
    </row>
    <row r="311">
      <c r="A311" s="56"/>
    </row>
    <row r="312">
      <c r="A312" s="56"/>
    </row>
    <row r="313">
      <c r="A313" s="56"/>
    </row>
    <row r="314">
      <c r="A314" s="56"/>
    </row>
    <row r="315">
      <c r="A315" s="56"/>
    </row>
    <row r="316">
      <c r="A316" s="56"/>
    </row>
    <row r="317">
      <c r="A317" s="56"/>
    </row>
    <row r="318">
      <c r="A318" s="56"/>
    </row>
    <row r="319">
      <c r="A319" s="56"/>
    </row>
    <row r="320">
      <c r="A320" s="56"/>
    </row>
    <row r="321">
      <c r="A321" s="56"/>
    </row>
    <row r="322">
      <c r="A322" s="56"/>
    </row>
    <row r="323">
      <c r="A323" s="56"/>
    </row>
    <row r="324">
      <c r="A324" s="56"/>
    </row>
    <row r="325">
      <c r="A325" s="56"/>
    </row>
    <row r="326">
      <c r="A326" s="56"/>
    </row>
    <row r="327">
      <c r="A327" s="56"/>
    </row>
    <row r="328">
      <c r="A328" s="56"/>
    </row>
    <row r="329">
      <c r="A329" s="56"/>
    </row>
    <row r="330">
      <c r="A330" s="56"/>
    </row>
    <row r="331">
      <c r="A331" s="56"/>
    </row>
    <row r="332">
      <c r="A332" s="56"/>
    </row>
    <row r="333">
      <c r="A333" s="56"/>
    </row>
    <row r="334">
      <c r="A334" s="56"/>
    </row>
    <row r="335">
      <c r="A335" s="56"/>
    </row>
    <row r="336">
      <c r="A336" s="56"/>
    </row>
    <row r="337">
      <c r="A337" s="56"/>
    </row>
    <row r="338">
      <c r="A338" s="56"/>
    </row>
    <row r="339">
      <c r="A339" s="56"/>
    </row>
    <row r="340">
      <c r="A340" s="56"/>
    </row>
    <row r="341">
      <c r="A341" s="56"/>
    </row>
    <row r="342">
      <c r="A342" s="56"/>
    </row>
    <row r="343">
      <c r="A343" s="56"/>
    </row>
    <row r="344">
      <c r="A344" s="56"/>
    </row>
    <row r="345">
      <c r="A345" s="56"/>
    </row>
    <row r="346">
      <c r="A346" s="56"/>
    </row>
    <row r="347">
      <c r="A347" s="56"/>
    </row>
    <row r="348">
      <c r="A348" s="56"/>
    </row>
    <row r="349">
      <c r="A349" s="56"/>
    </row>
    <row r="350">
      <c r="A350" s="56"/>
    </row>
    <row r="351">
      <c r="A351" s="56"/>
    </row>
    <row r="352">
      <c r="A352" s="56"/>
    </row>
    <row r="353">
      <c r="A353" s="56"/>
    </row>
    <row r="354">
      <c r="A354" s="56"/>
    </row>
    <row r="355">
      <c r="A355" s="56"/>
    </row>
    <row r="356">
      <c r="A356" s="56"/>
    </row>
    <row r="357">
      <c r="A357" s="56"/>
    </row>
    <row r="358">
      <c r="A358" s="56"/>
    </row>
    <row r="359">
      <c r="A359" s="56"/>
    </row>
    <row r="360">
      <c r="A360" s="56"/>
    </row>
    <row r="361">
      <c r="A361" s="56"/>
    </row>
    <row r="362">
      <c r="A362" s="56"/>
    </row>
    <row r="363">
      <c r="A363" s="56"/>
    </row>
    <row r="364">
      <c r="A364" s="56"/>
    </row>
    <row r="365">
      <c r="A365" s="56"/>
    </row>
    <row r="366">
      <c r="A366" s="56"/>
    </row>
    <row r="367">
      <c r="A367" s="56"/>
    </row>
    <row r="368">
      <c r="A368" s="56"/>
    </row>
    <row r="369">
      <c r="A369" s="56"/>
    </row>
    <row r="370">
      <c r="A370" s="56"/>
    </row>
    <row r="371">
      <c r="A371" s="56"/>
    </row>
    <row r="372">
      <c r="A372" s="56"/>
    </row>
    <row r="373">
      <c r="A373" s="56"/>
    </row>
    <row r="374">
      <c r="A374" s="56"/>
    </row>
    <row r="375">
      <c r="A375" s="56"/>
    </row>
    <row r="376">
      <c r="A376" s="56"/>
    </row>
    <row r="377">
      <c r="A377" s="56"/>
    </row>
    <row r="378">
      <c r="A378" s="56"/>
    </row>
    <row r="379">
      <c r="A379" s="56"/>
    </row>
    <row r="380">
      <c r="A380" s="56"/>
    </row>
    <row r="381">
      <c r="A381" s="56"/>
    </row>
    <row r="382">
      <c r="A382" s="56"/>
    </row>
    <row r="383">
      <c r="A383" s="56"/>
    </row>
    <row r="384">
      <c r="A384" s="56"/>
    </row>
    <row r="385">
      <c r="A385" s="56"/>
    </row>
    <row r="386">
      <c r="A386" s="56"/>
    </row>
    <row r="387">
      <c r="A387" s="56"/>
    </row>
    <row r="388">
      <c r="A388" s="56"/>
    </row>
    <row r="389">
      <c r="A389" s="56"/>
    </row>
    <row r="390">
      <c r="A390" s="56"/>
    </row>
    <row r="391">
      <c r="A391" s="56"/>
    </row>
    <row r="392">
      <c r="A392" s="56"/>
    </row>
    <row r="393">
      <c r="A393" s="56"/>
    </row>
    <row r="394">
      <c r="A394" s="56"/>
    </row>
    <row r="395">
      <c r="A395" s="56"/>
    </row>
    <row r="396">
      <c r="A396" s="56"/>
    </row>
    <row r="397">
      <c r="A397" s="56"/>
    </row>
    <row r="398">
      <c r="A398" s="56"/>
    </row>
    <row r="399">
      <c r="A399" s="56"/>
    </row>
    <row r="400">
      <c r="A400" s="56"/>
    </row>
    <row r="401">
      <c r="A401" s="56"/>
    </row>
    <row r="402">
      <c r="A402" s="56"/>
    </row>
    <row r="403">
      <c r="A403" s="56"/>
    </row>
    <row r="404">
      <c r="A404" s="56"/>
    </row>
    <row r="405">
      <c r="A405" s="56"/>
    </row>
    <row r="406">
      <c r="A406" s="56"/>
    </row>
    <row r="407">
      <c r="A407" s="56"/>
    </row>
    <row r="408">
      <c r="A408" s="56"/>
    </row>
    <row r="409">
      <c r="A409" s="56"/>
    </row>
    <row r="410">
      <c r="A410" s="56"/>
    </row>
    <row r="411">
      <c r="A411" s="56"/>
    </row>
    <row r="412">
      <c r="A412" s="56"/>
    </row>
    <row r="413">
      <c r="A413" s="56"/>
    </row>
    <row r="414">
      <c r="A414" s="56"/>
    </row>
    <row r="415">
      <c r="A415" s="56"/>
    </row>
    <row r="416">
      <c r="A416" s="56"/>
    </row>
    <row r="417">
      <c r="A417" s="56"/>
    </row>
    <row r="418">
      <c r="A418" s="56"/>
    </row>
    <row r="419">
      <c r="A419" s="56"/>
    </row>
    <row r="420">
      <c r="A420" s="56"/>
    </row>
    <row r="421">
      <c r="A421" s="56"/>
    </row>
    <row r="422">
      <c r="A422" s="56"/>
    </row>
    <row r="423">
      <c r="A423" s="56"/>
    </row>
    <row r="424">
      <c r="A424" s="56"/>
    </row>
    <row r="425">
      <c r="A425" s="56"/>
    </row>
    <row r="426">
      <c r="A426" s="56"/>
    </row>
    <row r="427">
      <c r="A427" s="56"/>
    </row>
    <row r="428">
      <c r="A428" s="56"/>
    </row>
    <row r="429">
      <c r="A429" s="56"/>
    </row>
    <row r="430">
      <c r="A430" s="56"/>
    </row>
    <row r="431">
      <c r="A431" s="56"/>
    </row>
    <row r="432">
      <c r="A432" s="56"/>
    </row>
    <row r="433">
      <c r="A433" s="56"/>
    </row>
    <row r="434">
      <c r="A434" s="56"/>
    </row>
    <row r="435">
      <c r="A435" s="56"/>
    </row>
    <row r="436">
      <c r="A436" s="56"/>
    </row>
    <row r="437">
      <c r="A437" s="56"/>
    </row>
    <row r="438">
      <c r="A438" s="56"/>
    </row>
    <row r="439">
      <c r="A439" s="56"/>
    </row>
    <row r="440">
      <c r="A440" s="56"/>
    </row>
    <row r="441">
      <c r="A441" s="56"/>
    </row>
    <row r="442">
      <c r="A442" s="56"/>
    </row>
    <row r="443">
      <c r="A443" s="56"/>
    </row>
    <row r="444">
      <c r="A444" s="56"/>
    </row>
    <row r="445">
      <c r="A445" s="56"/>
    </row>
    <row r="446">
      <c r="A446" s="56"/>
    </row>
    <row r="447">
      <c r="A447" s="56"/>
    </row>
    <row r="448">
      <c r="A448" s="56"/>
    </row>
    <row r="449">
      <c r="A449" s="56"/>
    </row>
    <row r="450">
      <c r="A450" s="56"/>
    </row>
    <row r="451">
      <c r="A451" s="56"/>
    </row>
    <row r="452">
      <c r="A452" s="56"/>
    </row>
    <row r="453">
      <c r="A453" s="56"/>
    </row>
    <row r="454">
      <c r="A454" s="56"/>
    </row>
    <row r="455">
      <c r="A455" s="56"/>
    </row>
    <row r="456">
      <c r="A456" s="56"/>
    </row>
    <row r="457">
      <c r="A457" s="56"/>
    </row>
    <row r="458">
      <c r="A458" s="56"/>
    </row>
    <row r="459">
      <c r="A459" s="56"/>
    </row>
    <row r="460">
      <c r="A460" s="56"/>
    </row>
    <row r="461">
      <c r="A461" s="56"/>
    </row>
    <row r="462">
      <c r="A462" s="56"/>
    </row>
    <row r="463">
      <c r="A463" s="56"/>
    </row>
    <row r="464">
      <c r="A464" s="56"/>
    </row>
    <row r="465">
      <c r="A465" s="56"/>
    </row>
    <row r="466">
      <c r="A466" s="56"/>
    </row>
    <row r="467">
      <c r="A467" s="56"/>
    </row>
    <row r="468">
      <c r="A468" s="56"/>
    </row>
    <row r="469">
      <c r="A469" s="56"/>
    </row>
    <row r="470">
      <c r="A470" s="56"/>
    </row>
    <row r="471">
      <c r="A471" s="56"/>
    </row>
    <row r="472">
      <c r="A472" s="56"/>
    </row>
    <row r="473">
      <c r="A473" s="56"/>
    </row>
    <row r="474">
      <c r="A474" s="56"/>
    </row>
    <row r="475">
      <c r="A475" s="56"/>
    </row>
    <row r="476">
      <c r="A476" s="56"/>
    </row>
    <row r="477">
      <c r="A477" s="56"/>
    </row>
    <row r="478">
      <c r="A478" s="56"/>
    </row>
    <row r="479">
      <c r="A479" s="56"/>
    </row>
    <row r="480">
      <c r="A480" s="56"/>
    </row>
    <row r="481">
      <c r="A481" s="56"/>
    </row>
    <row r="482">
      <c r="A482" s="56"/>
    </row>
    <row r="483">
      <c r="A483" s="56"/>
    </row>
    <row r="484">
      <c r="A484" s="56"/>
    </row>
    <row r="485">
      <c r="A485" s="56"/>
    </row>
    <row r="486">
      <c r="A486" s="56"/>
    </row>
    <row r="487">
      <c r="A487" s="56"/>
    </row>
    <row r="488">
      <c r="A488" s="56"/>
    </row>
    <row r="489">
      <c r="A489" s="56"/>
    </row>
    <row r="490">
      <c r="A490" s="56"/>
    </row>
    <row r="491">
      <c r="A491" s="56"/>
    </row>
    <row r="492">
      <c r="A492" s="56"/>
    </row>
    <row r="493">
      <c r="A493" s="56"/>
    </row>
    <row r="494">
      <c r="A494" s="56"/>
    </row>
    <row r="495">
      <c r="A495" s="56"/>
    </row>
    <row r="496">
      <c r="A496" s="56"/>
    </row>
    <row r="497">
      <c r="A497" s="56"/>
    </row>
    <row r="498">
      <c r="A498" s="56"/>
    </row>
    <row r="499">
      <c r="A499" s="56"/>
    </row>
    <row r="500">
      <c r="A500" s="56"/>
    </row>
    <row r="501">
      <c r="A501" s="56"/>
    </row>
    <row r="502">
      <c r="A502" s="56"/>
    </row>
    <row r="503">
      <c r="A503" s="56"/>
    </row>
    <row r="504">
      <c r="A504" s="56"/>
    </row>
    <row r="505">
      <c r="A505" s="56"/>
    </row>
    <row r="506">
      <c r="A506" s="56"/>
    </row>
    <row r="507">
      <c r="A507" s="56"/>
    </row>
    <row r="508">
      <c r="A508" s="56"/>
    </row>
    <row r="509">
      <c r="A509" s="56"/>
    </row>
    <row r="510">
      <c r="A510" s="56"/>
    </row>
    <row r="511">
      <c r="A511" s="56"/>
    </row>
    <row r="512">
      <c r="A512" s="56"/>
    </row>
    <row r="513">
      <c r="A513" s="56"/>
    </row>
    <row r="514">
      <c r="A514" s="56"/>
    </row>
    <row r="515">
      <c r="A515" s="56"/>
    </row>
    <row r="516">
      <c r="A516" s="56"/>
    </row>
    <row r="517">
      <c r="A517" s="56"/>
    </row>
    <row r="518">
      <c r="A518" s="56"/>
    </row>
    <row r="519">
      <c r="A519" s="56"/>
    </row>
    <row r="520">
      <c r="A520" s="56"/>
    </row>
    <row r="521">
      <c r="A521" s="56"/>
    </row>
    <row r="522">
      <c r="A522" s="56"/>
    </row>
    <row r="523">
      <c r="A523" s="56"/>
    </row>
    <row r="524">
      <c r="A524" s="56"/>
    </row>
    <row r="525">
      <c r="A525" s="56"/>
    </row>
    <row r="526">
      <c r="A526" s="56"/>
    </row>
    <row r="527">
      <c r="A527" s="56"/>
    </row>
    <row r="528">
      <c r="A528" s="56"/>
    </row>
    <row r="529">
      <c r="A529" s="56"/>
    </row>
    <row r="530">
      <c r="A530" s="56"/>
    </row>
    <row r="531">
      <c r="A531" s="56"/>
    </row>
    <row r="532">
      <c r="A532" s="56"/>
    </row>
    <row r="533">
      <c r="A533" s="56"/>
    </row>
    <row r="534">
      <c r="A534" s="56"/>
    </row>
    <row r="535">
      <c r="A535" s="56"/>
    </row>
    <row r="536">
      <c r="A536" s="56"/>
    </row>
    <row r="537">
      <c r="A537" s="56"/>
    </row>
    <row r="538">
      <c r="A538" s="56"/>
    </row>
    <row r="539">
      <c r="A539" s="56"/>
    </row>
    <row r="540">
      <c r="A540" s="56"/>
    </row>
    <row r="541">
      <c r="A541" s="56"/>
    </row>
    <row r="542">
      <c r="A542" s="56"/>
    </row>
    <row r="543">
      <c r="A543" s="56"/>
    </row>
    <row r="544">
      <c r="A544" s="56"/>
    </row>
    <row r="545">
      <c r="A545" s="56"/>
    </row>
    <row r="546">
      <c r="A546" s="56"/>
    </row>
    <row r="547">
      <c r="A547" s="56"/>
    </row>
    <row r="548">
      <c r="A548" s="56"/>
    </row>
    <row r="549">
      <c r="A549" s="56"/>
    </row>
    <row r="550">
      <c r="A550" s="56"/>
    </row>
    <row r="551">
      <c r="A551" s="56"/>
    </row>
    <row r="552">
      <c r="A552" s="56"/>
    </row>
    <row r="553">
      <c r="A553" s="56"/>
    </row>
    <row r="554">
      <c r="A554" s="56"/>
    </row>
    <row r="555">
      <c r="A555" s="56"/>
    </row>
    <row r="556">
      <c r="A556" s="56"/>
    </row>
    <row r="557">
      <c r="A557" s="56"/>
    </row>
    <row r="558">
      <c r="A558" s="56"/>
    </row>
    <row r="559">
      <c r="A559" s="56"/>
    </row>
    <row r="560">
      <c r="A560" s="56"/>
    </row>
    <row r="561">
      <c r="A561" s="56"/>
    </row>
    <row r="562">
      <c r="A562" s="56"/>
    </row>
    <row r="563">
      <c r="A563" s="56"/>
    </row>
    <row r="564">
      <c r="A564" s="56"/>
    </row>
    <row r="565">
      <c r="A565" s="56"/>
    </row>
    <row r="566">
      <c r="A566" s="56"/>
    </row>
    <row r="567">
      <c r="A567" s="56"/>
    </row>
    <row r="568">
      <c r="A568" s="56"/>
    </row>
    <row r="569">
      <c r="A569" s="56"/>
    </row>
    <row r="570">
      <c r="A570" s="56"/>
    </row>
    <row r="571">
      <c r="A571" s="56"/>
    </row>
    <row r="572">
      <c r="A572" s="56"/>
    </row>
    <row r="573">
      <c r="A573" s="56"/>
    </row>
    <row r="574">
      <c r="A574" s="56"/>
    </row>
    <row r="575">
      <c r="A575" s="56"/>
    </row>
    <row r="576">
      <c r="A576" s="56"/>
    </row>
    <row r="577">
      <c r="A577" s="56"/>
    </row>
    <row r="578">
      <c r="A578" s="56"/>
    </row>
    <row r="579">
      <c r="A579" s="56"/>
    </row>
    <row r="580">
      <c r="A580" s="56"/>
    </row>
    <row r="581">
      <c r="A581" s="56"/>
    </row>
    <row r="582">
      <c r="A582" s="56"/>
    </row>
    <row r="583">
      <c r="A583" s="56"/>
    </row>
    <row r="584">
      <c r="A584" s="56"/>
    </row>
    <row r="585">
      <c r="A585" s="56"/>
    </row>
    <row r="586">
      <c r="A586" s="56"/>
    </row>
    <row r="587">
      <c r="A587" s="56"/>
    </row>
    <row r="588">
      <c r="A588" s="56"/>
    </row>
    <row r="589">
      <c r="A589" s="56"/>
    </row>
    <row r="590">
      <c r="A590" s="56"/>
    </row>
    <row r="591">
      <c r="A591" s="56"/>
    </row>
    <row r="592">
      <c r="A592" s="56"/>
    </row>
    <row r="593">
      <c r="A593" s="56"/>
    </row>
    <row r="594">
      <c r="A594" s="56"/>
    </row>
    <row r="595">
      <c r="A595" s="56"/>
    </row>
    <row r="596">
      <c r="A596" s="56"/>
    </row>
    <row r="597">
      <c r="A597" s="56"/>
    </row>
    <row r="598">
      <c r="A598" s="56"/>
    </row>
    <row r="599">
      <c r="A599" s="56"/>
    </row>
    <row r="600">
      <c r="A600" s="56"/>
    </row>
    <row r="601">
      <c r="A601" s="56"/>
    </row>
    <row r="602">
      <c r="A602" s="56"/>
    </row>
    <row r="603">
      <c r="A603" s="56"/>
    </row>
    <row r="604">
      <c r="A604" s="56"/>
    </row>
    <row r="605">
      <c r="A605" s="56"/>
    </row>
    <row r="606">
      <c r="A606" s="56"/>
    </row>
    <row r="607">
      <c r="A607" s="56"/>
    </row>
    <row r="608">
      <c r="A608" s="56"/>
    </row>
    <row r="609">
      <c r="A609" s="56"/>
    </row>
    <row r="610">
      <c r="A610" s="56"/>
    </row>
    <row r="611">
      <c r="A611" s="56"/>
    </row>
    <row r="612">
      <c r="A612" s="56"/>
    </row>
    <row r="613">
      <c r="A613" s="56"/>
    </row>
    <row r="614">
      <c r="A614" s="56"/>
    </row>
    <row r="615">
      <c r="A615" s="56"/>
    </row>
    <row r="616">
      <c r="A616" s="56"/>
    </row>
    <row r="617">
      <c r="A617" s="56"/>
    </row>
    <row r="618">
      <c r="A618" s="56"/>
    </row>
    <row r="619">
      <c r="A619" s="56"/>
    </row>
    <row r="620">
      <c r="A620" s="56"/>
    </row>
    <row r="621">
      <c r="A621" s="56"/>
    </row>
    <row r="622">
      <c r="A622" s="56"/>
    </row>
    <row r="623">
      <c r="A623" s="56"/>
    </row>
    <row r="624">
      <c r="A624" s="56"/>
    </row>
    <row r="625">
      <c r="A625" s="56"/>
    </row>
    <row r="626">
      <c r="A626" s="56"/>
    </row>
    <row r="627">
      <c r="A627" s="56"/>
    </row>
    <row r="628">
      <c r="A628" s="56"/>
    </row>
    <row r="629">
      <c r="A629" s="56"/>
    </row>
    <row r="630">
      <c r="A630" s="56"/>
    </row>
    <row r="631">
      <c r="A631" s="56"/>
    </row>
    <row r="632">
      <c r="A632" s="56"/>
    </row>
    <row r="633">
      <c r="A633" s="56"/>
    </row>
    <row r="634">
      <c r="A634" s="56"/>
    </row>
    <row r="635">
      <c r="A635" s="56"/>
    </row>
    <row r="636">
      <c r="A636" s="56"/>
    </row>
    <row r="637">
      <c r="A637" s="56"/>
    </row>
    <row r="638">
      <c r="A638" s="56"/>
    </row>
    <row r="639">
      <c r="A639" s="56"/>
    </row>
    <row r="640">
      <c r="A640" s="56"/>
    </row>
    <row r="641">
      <c r="A641" s="56"/>
    </row>
    <row r="642">
      <c r="A642" s="56"/>
    </row>
    <row r="643">
      <c r="A643" s="56"/>
    </row>
    <row r="644">
      <c r="A644" s="56"/>
    </row>
    <row r="645">
      <c r="A645" s="56"/>
    </row>
    <row r="646">
      <c r="A646" s="56"/>
    </row>
    <row r="647">
      <c r="A647" s="56"/>
    </row>
    <row r="648">
      <c r="A648" s="56"/>
    </row>
    <row r="649">
      <c r="A649" s="56"/>
    </row>
    <row r="650">
      <c r="A650" s="56"/>
    </row>
    <row r="651">
      <c r="A651" s="56"/>
    </row>
    <row r="652">
      <c r="A652" s="56"/>
    </row>
    <row r="653">
      <c r="A653" s="56"/>
    </row>
    <row r="654">
      <c r="A654" s="56"/>
    </row>
    <row r="655">
      <c r="A655" s="56"/>
    </row>
    <row r="656">
      <c r="A656" s="56"/>
    </row>
    <row r="657">
      <c r="A657" s="56"/>
    </row>
    <row r="658">
      <c r="A658" s="56"/>
    </row>
    <row r="659">
      <c r="A659" s="56"/>
    </row>
    <row r="660">
      <c r="A660" s="56"/>
    </row>
    <row r="661">
      <c r="A661" s="56"/>
    </row>
    <row r="662">
      <c r="A662" s="56"/>
    </row>
    <row r="663">
      <c r="A663" s="56"/>
    </row>
    <row r="664">
      <c r="A664" s="56"/>
    </row>
    <row r="665">
      <c r="A665" s="56"/>
    </row>
    <row r="666">
      <c r="A666" s="56"/>
    </row>
    <row r="667">
      <c r="A667" s="56"/>
    </row>
    <row r="668">
      <c r="A668" s="56"/>
    </row>
    <row r="669">
      <c r="A669" s="56"/>
    </row>
    <row r="670">
      <c r="A670" s="56"/>
    </row>
    <row r="671">
      <c r="A671" s="56"/>
    </row>
    <row r="672">
      <c r="A672" s="56"/>
    </row>
    <row r="673">
      <c r="A673" s="56"/>
    </row>
    <row r="674">
      <c r="A674" s="56"/>
    </row>
    <row r="675">
      <c r="A675" s="56"/>
    </row>
    <row r="676">
      <c r="A676" s="56"/>
    </row>
    <row r="677">
      <c r="A677" s="56"/>
    </row>
    <row r="678">
      <c r="A678" s="56"/>
    </row>
    <row r="679">
      <c r="A679" s="56"/>
    </row>
    <row r="680">
      <c r="A680" s="56"/>
    </row>
    <row r="681">
      <c r="A681" s="56"/>
    </row>
    <row r="682">
      <c r="A682" s="56"/>
    </row>
    <row r="683">
      <c r="A683" s="56"/>
    </row>
    <row r="684">
      <c r="A684" s="56"/>
    </row>
    <row r="685">
      <c r="A685" s="56"/>
    </row>
    <row r="686">
      <c r="A686" s="56"/>
    </row>
    <row r="687">
      <c r="A687" s="56"/>
    </row>
    <row r="688">
      <c r="A688" s="56"/>
    </row>
    <row r="689">
      <c r="A689" s="56"/>
    </row>
    <row r="690">
      <c r="A690" s="56"/>
    </row>
    <row r="691">
      <c r="A691" s="56"/>
    </row>
    <row r="692">
      <c r="A692" s="56"/>
    </row>
    <row r="693">
      <c r="A693" s="56"/>
    </row>
    <row r="694">
      <c r="A694" s="56"/>
    </row>
    <row r="695">
      <c r="A695" s="56"/>
    </row>
    <row r="696">
      <c r="A696" s="56"/>
    </row>
    <row r="697">
      <c r="A697" s="56"/>
    </row>
    <row r="698">
      <c r="A698" s="56"/>
    </row>
    <row r="699">
      <c r="A699" s="56"/>
    </row>
    <row r="700">
      <c r="A700" s="56"/>
    </row>
    <row r="701">
      <c r="A701" s="56"/>
    </row>
    <row r="702">
      <c r="A702" s="56"/>
    </row>
    <row r="703">
      <c r="A703" s="56"/>
    </row>
    <row r="704">
      <c r="A704" s="56"/>
    </row>
    <row r="705">
      <c r="A705" s="56"/>
    </row>
    <row r="706">
      <c r="A706" s="56"/>
    </row>
    <row r="707">
      <c r="A707" s="56"/>
    </row>
    <row r="708">
      <c r="A708" s="56"/>
    </row>
    <row r="709">
      <c r="A709" s="56"/>
    </row>
    <row r="710">
      <c r="A710" s="56"/>
    </row>
    <row r="711">
      <c r="A711" s="56"/>
    </row>
    <row r="712">
      <c r="A712" s="56"/>
    </row>
    <row r="713">
      <c r="A713" s="56"/>
    </row>
    <row r="714">
      <c r="A714" s="56"/>
    </row>
    <row r="715">
      <c r="A715" s="56"/>
    </row>
    <row r="716">
      <c r="A716" s="56"/>
    </row>
    <row r="717">
      <c r="A717" s="56"/>
    </row>
    <row r="718">
      <c r="A718" s="56"/>
    </row>
    <row r="719">
      <c r="A719" s="56"/>
    </row>
    <row r="720">
      <c r="A720" s="56"/>
    </row>
    <row r="721">
      <c r="A721" s="56"/>
    </row>
    <row r="722">
      <c r="A722" s="56"/>
    </row>
    <row r="723">
      <c r="A723" s="56"/>
    </row>
    <row r="724">
      <c r="A724" s="56"/>
    </row>
    <row r="725">
      <c r="A725" s="56"/>
    </row>
    <row r="726">
      <c r="A726" s="56"/>
    </row>
    <row r="727">
      <c r="A727" s="56"/>
    </row>
    <row r="728">
      <c r="A728" s="56"/>
    </row>
    <row r="729">
      <c r="A729" s="56"/>
    </row>
    <row r="730">
      <c r="A730" s="56"/>
    </row>
    <row r="731">
      <c r="A731" s="56"/>
    </row>
    <row r="732">
      <c r="A732" s="56"/>
    </row>
    <row r="733">
      <c r="A733" s="56"/>
    </row>
    <row r="734">
      <c r="A734" s="56"/>
    </row>
    <row r="735">
      <c r="A735" s="56"/>
    </row>
    <row r="736">
      <c r="A736" s="56"/>
    </row>
    <row r="737">
      <c r="A737" s="56"/>
    </row>
    <row r="738">
      <c r="A738" s="56"/>
    </row>
    <row r="739">
      <c r="A739" s="56"/>
    </row>
    <row r="740">
      <c r="A740" s="56"/>
    </row>
    <row r="741">
      <c r="A741" s="56"/>
    </row>
    <row r="742">
      <c r="A742" s="56"/>
    </row>
    <row r="743">
      <c r="A743" s="56"/>
    </row>
    <row r="744">
      <c r="A744" s="56"/>
    </row>
    <row r="745">
      <c r="A745" s="56"/>
    </row>
    <row r="746">
      <c r="A746" s="56"/>
    </row>
    <row r="747">
      <c r="A747" s="56"/>
    </row>
    <row r="748">
      <c r="A748" s="56"/>
    </row>
    <row r="749">
      <c r="A749" s="56"/>
    </row>
    <row r="750">
      <c r="A750" s="56"/>
    </row>
    <row r="751">
      <c r="A751" s="56"/>
    </row>
    <row r="752">
      <c r="A752" s="56"/>
    </row>
    <row r="753">
      <c r="A753" s="56"/>
    </row>
    <row r="754">
      <c r="A754" s="56"/>
    </row>
    <row r="755">
      <c r="A755" s="56"/>
    </row>
    <row r="756">
      <c r="A756" s="56"/>
    </row>
    <row r="757">
      <c r="A757" s="56"/>
    </row>
    <row r="758">
      <c r="A758" s="56"/>
    </row>
    <row r="759">
      <c r="A759" s="56"/>
    </row>
    <row r="760">
      <c r="A760" s="56"/>
    </row>
    <row r="761">
      <c r="A761" s="56"/>
    </row>
    <row r="762">
      <c r="A762" s="56"/>
    </row>
    <row r="763">
      <c r="A763" s="56"/>
    </row>
    <row r="764">
      <c r="A764" s="56"/>
    </row>
    <row r="765">
      <c r="A765" s="56"/>
    </row>
    <row r="766">
      <c r="A766" s="56"/>
    </row>
    <row r="767">
      <c r="A767" s="56"/>
    </row>
    <row r="768">
      <c r="A768" s="56"/>
    </row>
    <row r="769">
      <c r="A769" s="56"/>
    </row>
    <row r="770">
      <c r="A770" s="56"/>
    </row>
    <row r="771">
      <c r="A771" s="56"/>
    </row>
    <row r="772">
      <c r="A772" s="56"/>
    </row>
    <row r="773">
      <c r="A773" s="56"/>
    </row>
    <row r="774">
      <c r="A774" s="56"/>
    </row>
    <row r="775">
      <c r="A775" s="56"/>
    </row>
    <row r="776">
      <c r="A776" s="56"/>
    </row>
    <row r="777">
      <c r="A777" s="56"/>
    </row>
    <row r="778">
      <c r="A778" s="56"/>
    </row>
    <row r="779">
      <c r="A779" s="56"/>
    </row>
    <row r="780">
      <c r="A780" s="56"/>
    </row>
    <row r="781">
      <c r="A781" s="56"/>
    </row>
    <row r="782">
      <c r="A782" s="56"/>
    </row>
    <row r="783">
      <c r="A783" s="56"/>
    </row>
    <row r="784">
      <c r="A784" s="56"/>
    </row>
    <row r="785">
      <c r="A785" s="56"/>
    </row>
    <row r="786">
      <c r="A786" s="56"/>
    </row>
    <row r="787">
      <c r="A787" s="56"/>
    </row>
    <row r="788">
      <c r="A788" s="56"/>
    </row>
    <row r="789">
      <c r="A789" s="56"/>
    </row>
    <row r="790">
      <c r="A790" s="56"/>
    </row>
    <row r="791">
      <c r="A791" s="56"/>
    </row>
    <row r="792">
      <c r="A792" s="56"/>
    </row>
    <row r="793">
      <c r="A793" s="56"/>
    </row>
    <row r="794">
      <c r="A794" s="56"/>
    </row>
    <row r="795">
      <c r="A795" s="56"/>
    </row>
    <row r="796">
      <c r="A796" s="56"/>
    </row>
    <row r="797">
      <c r="A797" s="56"/>
    </row>
    <row r="798">
      <c r="A798" s="56"/>
    </row>
    <row r="799">
      <c r="A799" s="56"/>
    </row>
    <row r="800">
      <c r="A800" s="56"/>
    </row>
    <row r="801">
      <c r="A801" s="56"/>
    </row>
    <row r="802">
      <c r="A802" s="56"/>
    </row>
    <row r="803">
      <c r="A803" s="56"/>
    </row>
    <row r="804">
      <c r="A804" s="56"/>
    </row>
    <row r="805">
      <c r="A805" s="56"/>
    </row>
    <row r="806">
      <c r="A806" s="56"/>
    </row>
    <row r="807">
      <c r="A807" s="56"/>
    </row>
    <row r="808">
      <c r="A808" s="56"/>
    </row>
    <row r="809">
      <c r="A809" s="56"/>
    </row>
    <row r="810">
      <c r="A810" s="56"/>
    </row>
    <row r="811">
      <c r="A811" s="56"/>
    </row>
    <row r="812">
      <c r="A812" s="56"/>
    </row>
    <row r="813">
      <c r="A813" s="56"/>
    </row>
    <row r="814">
      <c r="A814" s="56"/>
    </row>
    <row r="815">
      <c r="A815" s="56"/>
    </row>
    <row r="816">
      <c r="A816" s="56"/>
    </row>
    <row r="817">
      <c r="A817" s="56"/>
    </row>
    <row r="818">
      <c r="A818" s="56"/>
    </row>
    <row r="819">
      <c r="A819" s="56"/>
    </row>
    <row r="820">
      <c r="A820" s="56"/>
    </row>
    <row r="821">
      <c r="A821" s="56"/>
    </row>
    <row r="822">
      <c r="A822" s="56"/>
    </row>
    <row r="823">
      <c r="A823" s="56"/>
    </row>
    <row r="824">
      <c r="A824" s="56"/>
    </row>
    <row r="825">
      <c r="A825" s="56"/>
    </row>
    <row r="826">
      <c r="A826" s="56"/>
    </row>
    <row r="827">
      <c r="A827" s="56"/>
    </row>
    <row r="828">
      <c r="A828" s="56"/>
    </row>
    <row r="829">
      <c r="A829" s="56"/>
    </row>
    <row r="830">
      <c r="A830" s="56"/>
    </row>
    <row r="831">
      <c r="A831" s="56"/>
    </row>
    <row r="832">
      <c r="A832" s="56"/>
    </row>
    <row r="833">
      <c r="A833" s="56"/>
    </row>
    <row r="834">
      <c r="A834" s="56"/>
    </row>
    <row r="835">
      <c r="A835" s="56"/>
    </row>
    <row r="836">
      <c r="A836" s="56"/>
    </row>
    <row r="837">
      <c r="A837" s="56"/>
    </row>
    <row r="838">
      <c r="A838" s="56"/>
    </row>
    <row r="839">
      <c r="A839" s="56"/>
    </row>
    <row r="840">
      <c r="A840" s="56"/>
    </row>
    <row r="841">
      <c r="A841" s="56"/>
    </row>
    <row r="842">
      <c r="A842" s="56"/>
    </row>
    <row r="843">
      <c r="A843" s="56"/>
    </row>
    <row r="844">
      <c r="A844" s="56"/>
    </row>
    <row r="845">
      <c r="A845" s="56"/>
    </row>
    <row r="846">
      <c r="A846" s="56"/>
    </row>
    <row r="847">
      <c r="A847" s="56"/>
    </row>
    <row r="848">
      <c r="A848" s="56"/>
    </row>
    <row r="849">
      <c r="A849" s="56"/>
    </row>
    <row r="850">
      <c r="A850" s="56"/>
    </row>
    <row r="851">
      <c r="A851" s="56"/>
    </row>
    <row r="852">
      <c r="A852" s="56"/>
    </row>
    <row r="853">
      <c r="A853" s="56"/>
    </row>
    <row r="854">
      <c r="A854" s="56"/>
    </row>
    <row r="855">
      <c r="A855" s="56"/>
    </row>
    <row r="856">
      <c r="A856" s="56"/>
    </row>
    <row r="857">
      <c r="A857" s="56"/>
    </row>
    <row r="858">
      <c r="A858" s="56"/>
    </row>
    <row r="859">
      <c r="A859" s="56"/>
    </row>
    <row r="860">
      <c r="A860" s="56"/>
    </row>
    <row r="861">
      <c r="A861" s="56"/>
    </row>
    <row r="862">
      <c r="A862" s="56"/>
    </row>
    <row r="863">
      <c r="A863" s="56"/>
    </row>
    <row r="864">
      <c r="A864" s="56"/>
    </row>
    <row r="865">
      <c r="A865" s="56"/>
    </row>
    <row r="866">
      <c r="A866" s="56"/>
    </row>
    <row r="867">
      <c r="A867" s="56"/>
    </row>
    <row r="868">
      <c r="A868" s="56"/>
    </row>
    <row r="869">
      <c r="A869" s="56"/>
    </row>
    <row r="870">
      <c r="A870" s="56"/>
    </row>
    <row r="871">
      <c r="A871" s="56"/>
    </row>
    <row r="872">
      <c r="A872" s="56"/>
    </row>
    <row r="873">
      <c r="A873" s="56"/>
    </row>
    <row r="874">
      <c r="A874" s="56"/>
    </row>
    <row r="875">
      <c r="A875" s="56"/>
    </row>
    <row r="876">
      <c r="A876" s="56"/>
    </row>
    <row r="877">
      <c r="A877" s="56"/>
    </row>
    <row r="878">
      <c r="A878" s="56"/>
    </row>
    <row r="879">
      <c r="A879" s="56"/>
    </row>
    <row r="880">
      <c r="A880" s="56"/>
    </row>
    <row r="881">
      <c r="A881" s="56"/>
    </row>
    <row r="882">
      <c r="A882" s="56"/>
    </row>
    <row r="883">
      <c r="A883" s="56"/>
    </row>
    <row r="884">
      <c r="A884" s="56"/>
    </row>
    <row r="885">
      <c r="A885" s="56"/>
    </row>
    <row r="886">
      <c r="A886" s="56"/>
    </row>
    <row r="887">
      <c r="A887" s="56"/>
    </row>
    <row r="888">
      <c r="A888" s="56"/>
    </row>
    <row r="889">
      <c r="A889" s="56"/>
    </row>
    <row r="890">
      <c r="A890" s="56"/>
    </row>
    <row r="891">
      <c r="A891" s="56"/>
    </row>
    <row r="892">
      <c r="A892" s="56"/>
    </row>
    <row r="893">
      <c r="A893" s="56"/>
    </row>
    <row r="894">
      <c r="A894" s="56"/>
    </row>
    <row r="895">
      <c r="A895" s="56"/>
    </row>
    <row r="896">
      <c r="A896" s="56"/>
    </row>
    <row r="897">
      <c r="A897" s="56"/>
    </row>
    <row r="898">
      <c r="A898" s="56"/>
    </row>
    <row r="899">
      <c r="A899" s="56"/>
    </row>
    <row r="900">
      <c r="A900" s="56"/>
    </row>
    <row r="901">
      <c r="A901" s="56"/>
    </row>
    <row r="902">
      <c r="A902" s="56"/>
    </row>
    <row r="903">
      <c r="A903" s="56"/>
    </row>
    <row r="904">
      <c r="A904" s="56"/>
    </row>
    <row r="905">
      <c r="A905" s="56"/>
    </row>
    <row r="906">
      <c r="A906" s="56"/>
    </row>
    <row r="907">
      <c r="A907" s="56"/>
    </row>
    <row r="908">
      <c r="A908" s="56"/>
    </row>
    <row r="909">
      <c r="A909" s="56"/>
    </row>
    <row r="910">
      <c r="A910" s="56"/>
    </row>
    <row r="911">
      <c r="A911" s="56"/>
    </row>
    <row r="912">
      <c r="A912" s="56"/>
    </row>
    <row r="913">
      <c r="A913" s="56"/>
    </row>
    <row r="914">
      <c r="A914" s="56"/>
    </row>
    <row r="915">
      <c r="A915" s="56"/>
    </row>
    <row r="916">
      <c r="A916" s="56"/>
    </row>
    <row r="917">
      <c r="A917" s="56"/>
    </row>
    <row r="918">
      <c r="A918" s="56"/>
    </row>
    <row r="919">
      <c r="A919" s="56"/>
    </row>
    <row r="920">
      <c r="A920" s="56"/>
    </row>
    <row r="921">
      <c r="A921" s="56"/>
    </row>
    <row r="922">
      <c r="A922" s="56"/>
    </row>
    <row r="923">
      <c r="A923" s="56"/>
    </row>
    <row r="924">
      <c r="A924" s="56"/>
    </row>
    <row r="925">
      <c r="A925" s="56"/>
    </row>
    <row r="926">
      <c r="A926" s="56"/>
    </row>
    <row r="927">
      <c r="A927" s="56"/>
    </row>
    <row r="928">
      <c r="A928" s="56"/>
    </row>
    <row r="929">
      <c r="A929" s="56"/>
    </row>
    <row r="930">
      <c r="A930" s="56"/>
    </row>
    <row r="931">
      <c r="A931" s="56"/>
    </row>
    <row r="932">
      <c r="A932" s="56"/>
    </row>
    <row r="933">
      <c r="A933" s="56"/>
    </row>
    <row r="934">
      <c r="A934" s="56"/>
    </row>
    <row r="935">
      <c r="A935" s="56"/>
    </row>
    <row r="936">
      <c r="A936" s="56"/>
    </row>
    <row r="937">
      <c r="A937" s="56"/>
    </row>
    <row r="938">
      <c r="A938" s="56"/>
    </row>
    <row r="939">
      <c r="A939" s="56"/>
    </row>
    <row r="940">
      <c r="A940" s="56"/>
    </row>
    <row r="941">
      <c r="A941" s="56"/>
    </row>
    <row r="942">
      <c r="A942" s="56"/>
    </row>
    <row r="943">
      <c r="A943" s="56"/>
    </row>
    <row r="944">
      <c r="A944" s="56"/>
    </row>
    <row r="945">
      <c r="A945" s="56"/>
    </row>
    <row r="946">
      <c r="A946" s="56"/>
    </row>
    <row r="947">
      <c r="A947" s="56"/>
    </row>
    <row r="948">
      <c r="A948" s="56"/>
    </row>
    <row r="949">
      <c r="A949" s="56"/>
    </row>
    <row r="950">
      <c r="A950" s="56"/>
    </row>
    <row r="951">
      <c r="A951" s="56"/>
    </row>
    <row r="952">
      <c r="A952" s="56"/>
    </row>
    <row r="953">
      <c r="A953" s="56"/>
    </row>
    <row r="954">
      <c r="A954" s="56"/>
    </row>
    <row r="955">
      <c r="A955" s="56"/>
    </row>
    <row r="956">
      <c r="A956" s="56"/>
    </row>
    <row r="957">
      <c r="A957" s="56"/>
    </row>
    <row r="958">
      <c r="A958" s="56"/>
    </row>
    <row r="959">
      <c r="A959" s="56"/>
    </row>
    <row r="960">
      <c r="A960" s="56"/>
    </row>
    <row r="961">
      <c r="A961" s="56"/>
    </row>
    <row r="962">
      <c r="A962" s="56"/>
    </row>
    <row r="963">
      <c r="A963" s="56"/>
    </row>
    <row r="964">
      <c r="A964" s="56"/>
    </row>
    <row r="965">
      <c r="A965" s="56"/>
    </row>
    <row r="966">
      <c r="A966" s="56"/>
    </row>
    <row r="967">
      <c r="A967" s="56"/>
    </row>
    <row r="968">
      <c r="A968" s="56"/>
    </row>
    <row r="969">
      <c r="A969" s="56"/>
    </row>
    <row r="970">
      <c r="A970" s="56"/>
    </row>
    <row r="971">
      <c r="A971" s="56"/>
    </row>
    <row r="972">
      <c r="A972" s="56"/>
    </row>
    <row r="973">
      <c r="A973" s="56"/>
    </row>
    <row r="974">
      <c r="A974" s="56"/>
    </row>
    <row r="975">
      <c r="A975" s="56"/>
    </row>
    <row r="976">
      <c r="A976" s="56"/>
    </row>
    <row r="977">
      <c r="A977" s="56"/>
    </row>
    <row r="978">
      <c r="A978" s="56"/>
    </row>
    <row r="979">
      <c r="A979" s="56"/>
    </row>
    <row r="980">
      <c r="A980" s="56"/>
    </row>
    <row r="981">
      <c r="A981" s="56"/>
    </row>
    <row r="982">
      <c r="A982" s="56"/>
    </row>
    <row r="983">
      <c r="A983" s="56"/>
    </row>
    <row r="984">
      <c r="A984" s="56"/>
    </row>
    <row r="985">
      <c r="A985" s="56"/>
    </row>
    <row r="986">
      <c r="A986" s="56"/>
    </row>
    <row r="987">
      <c r="A987" s="56"/>
    </row>
    <row r="988">
      <c r="A988" s="56"/>
    </row>
    <row r="989">
      <c r="A989" s="56"/>
    </row>
    <row r="990">
      <c r="A990" s="56"/>
    </row>
    <row r="991">
      <c r="A991" s="56"/>
    </row>
    <row r="992">
      <c r="A992" s="56"/>
    </row>
    <row r="993">
      <c r="A993" s="56"/>
    </row>
    <row r="994">
      <c r="A994" s="56"/>
    </row>
    <row r="995">
      <c r="A995" s="56"/>
    </row>
    <row r="996">
      <c r="A996" s="56"/>
    </row>
    <row r="997">
      <c r="A997" s="56"/>
    </row>
    <row r="998">
      <c r="A998" s="56"/>
    </row>
    <row r="999">
      <c r="A999" s="56"/>
    </row>
    <row r="1000">
      <c r="A1000" s="56"/>
    </row>
  </sheetData>
  <dataValidations>
    <dataValidation type="custom" allowBlank="1" showDropDown="1" showErrorMessage="1" sqref="A1:A1000">
      <formula1>OR(NOT(ISERROR(DATEVALUE(A1))), AND(ISNUMBER(A1), LEFT(CELL("format", A1))="D"))</formula1>
    </dataValidation>
  </dataValidations>
  <drawing r:id="rId1"/>
</worksheet>
</file>